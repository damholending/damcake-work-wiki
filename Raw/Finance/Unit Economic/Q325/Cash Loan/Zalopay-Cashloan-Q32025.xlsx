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m.ho/Desktop/Work/damcake-work-wiki/Raw/Finance/Unit Economic/Q325/Cash Loan/"/>
    </mc:Choice>
  </mc:AlternateContent>
  <xr:revisionPtr revIDLastSave="0" documentId="13_ncr:101_{DD0C798D-4043-8348-B595-DC1F41E45E98}" xr6:coauthVersionLast="47" xr6:coauthVersionMax="47" xr10:uidLastSave="{00000000-0000-0000-0000-000000000000}"/>
  <bookViews>
    <workbookView xWindow="1080" yWindow="1240" windowWidth="27640" windowHeight="16760" xr2:uid="{451282B0-6471-CF4F-B7B1-98BA5D7607BD}"/>
  </bookViews>
  <sheets>
    <sheet name="IR" sheetId="2" r:id="rId1"/>
    <sheet name="COF" sheetId="3" r:id="rId2"/>
    <sheet name="NOTE" sheetId="4" r:id="rId3"/>
    <sheet name="Leadsheet" sheetId="5" r:id="rId4"/>
    <sheet name="DATA" sheetId="6" r:id="rId5"/>
    <sheet name="SAP_Speadsheet" sheetId="7" r:id="rId6"/>
    <sheet name="Saleplan&amp;PnL" sheetId="8" r:id="rId7"/>
    <sheet name="PnL_Speadsheet" sheetId="9" r:id="rId8"/>
    <sheet name="Sheet1" sheetId="1" r:id="rId9"/>
  </sheets>
  <externalReferences>
    <externalReference r:id="rId10"/>
    <externalReference r:id="rId11"/>
  </externalReferences>
  <definedNames>
    <definedName name="_____T3" localSheetId="1" hidden="1">{"'Sheet1'!$L$16"}</definedName>
    <definedName name="_____T3" localSheetId="2" hidden="1">{"'Sheet1'!$L$16"}</definedName>
    <definedName name="_____T3" hidden="1">{"'Sheet1'!$L$16"}</definedName>
    <definedName name="____T3" localSheetId="1" hidden="1">{"'Sheet1'!$L$16"}</definedName>
    <definedName name="____T3" localSheetId="2" hidden="1">{"'Sheet1'!$L$16"}</definedName>
    <definedName name="____T3" hidden="1">{"'Sheet1'!$L$16"}</definedName>
    <definedName name="___T3" localSheetId="1" hidden="1">{"'Sheet1'!$L$16"}</definedName>
    <definedName name="___T3" localSheetId="2" hidden="1">{"'Sheet1'!$L$16"}</definedName>
    <definedName name="___T3" hidden="1">{"'Sheet1'!$L$16"}</definedName>
    <definedName name="__123Graph_A" localSheetId="2"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2"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2" hidden="1">#REF!</definedName>
    <definedName name="__123Graph_LBL_A" hidden="1">#REF!</definedName>
    <definedName name="__123Graph_LBL_B" localSheetId="2" hidden="1">#REF!</definedName>
    <definedName name="__123Graph_LBL_B" hidden="1">#REF!</definedName>
    <definedName name="__123Graph_X" localSheetId="2"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2" hidden="1">#REF!</definedName>
    <definedName name="__123Graph_Z" hidden="1">#REF!</definedName>
    <definedName name="__f5" localSheetId="1" hidden="1">{"'Sheet1'!$L$16"}</definedName>
    <definedName name="__f5" localSheetId="2" hidden="1">{"'Sheet1'!$L$16"}</definedName>
    <definedName name="__f5" hidden="1">{"'Sheet1'!$L$16"}</definedName>
    <definedName name="__NSO2" localSheetId="1" hidden="1">{"'Sheet1'!$L$16"}</definedName>
    <definedName name="__NSO2" localSheetId="2" hidden="1">{"'Sheet1'!$L$16"}</definedName>
    <definedName name="__NSO2" hidden="1">{"'Sheet1'!$L$16"}</definedName>
    <definedName name="__S1" localSheetId="1">{"Book1"}</definedName>
    <definedName name="__S1" localSheetId="2">{"Book1"}</definedName>
    <definedName name="__S1">{"Book1"}</definedName>
    <definedName name="__T3" localSheetId="1" hidden="1">{"'Sheet1'!$L$16"}</definedName>
    <definedName name="__T3" localSheetId="2" hidden="1">{"'Sheet1'!$L$16"}</definedName>
    <definedName name="__T3" hidden="1">{"'Sheet1'!$L$16"}</definedName>
    <definedName name="__T5" localSheetId="1" hidden="1">{"'Sheet1'!$L$16"}</definedName>
    <definedName name="__T5" localSheetId="2"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1">{"'Sheet1'!$L$16"}</definedName>
    <definedName name="_a1" localSheetId="2">{"'Sheet1'!$L$16"}</definedName>
    <definedName name="_a1">{"'Sheet1'!$L$16"}</definedName>
    <definedName name="_a129" localSheetId="1"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1" hidden="1">{#N/A,#N/A,FALSE,"Gesamt";#N/A,#N/A,FALSE,"Ree KG";#N/A,#N/A,FALSE,"Ree Inter";#N/A,#N/A,FALSE,"BTM";#N/A,#N/A,FALSE,"GmbH";#N/A,#N/A,FALSE,"Sonstige"}</definedName>
    <definedName name="_aa58" localSheetId="2" hidden="1">{#N/A,#N/A,FALSE,"Gesamt";#N/A,#N/A,FALSE,"Ree KG";#N/A,#N/A,FALSE,"Ree Inter";#N/A,#N/A,FALSE,"BTM";#N/A,#N/A,FALSE,"GmbH";#N/A,#N/A,FALSE,"Sonstige"}</definedName>
    <definedName name="_aa58" hidden="1">{#N/A,#N/A,FALSE,"Gesamt";#N/A,#N/A,FALSE,"Ree KG";#N/A,#N/A,FALSE,"Ree Inter";#N/A,#N/A,FALSE,"BTM";#N/A,#N/A,FALSE,"GmbH";#N/A,#N/A,FALSE,"Sonstige"}</definedName>
    <definedName name="_aa5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1" hidden="1">{#N/A,#N/A,FALSE,"Gesamt";#N/A,#N/A,FALSE,"Ree KG";#N/A,#N/A,FALSE,"Ree Inter";#N/A,#N/A,FALSE,"BTM";#N/A,#N/A,FALSE,"GmbH";#N/A,#N/A,FALSE,"Sonstige"}</definedName>
    <definedName name="_aa7" localSheetId="2" hidden="1">{#N/A,#N/A,FALSE,"Gesamt";#N/A,#N/A,FALSE,"Ree KG";#N/A,#N/A,FALSE,"Ree Inter";#N/A,#N/A,FALSE,"BTM";#N/A,#N/A,FALSE,"GmbH";#N/A,#N/A,FALSE,"Sonstige"}</definedName>
    <definedName name="_aa7" hidden="1">{#N/A,#N/A,FALSE,"Gesamt";#N/A,#N/A,FALSE,"Ree KG";#N/A,#N/A,FALSE,"Ree Inter";#N/A,#N/A,FALSE,"BTM";#N/A,#N/A,FALSE,"GmbH";#N/A,#N/A,FALSE,"Sonstige"}</definedName>
    <definedName name="_aa7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1" hidden="1">{#N/A,#N/A,FALSE,"Gesamt";#N/A,#N/A,FALSE,"Ree KG";#N/A,#N/A,FALSE,"Ree Inter";#N/A,#N/A,FALSE,"BTM";#N/A,#N/A,FALSE,"GmbH";#N/A,#N/A,FALSE,"Sonstige"}</definedName>
    <definedName name="_aa72" localSheetId="2" hidden="1">{#N/A,#N/A,FALSE,"Gesamt";#N/A,#N/A,FALSE,"Ree KG";#N/A,#N/A,FALSE,"Ree Inter";#N/A,#N/A,FALSE,"BTM";#N/A,#N/A,FALSE,"GmbH";#N/A,#N/A,FALSE,"Sonstige"}</definedName>
    <definedName name="_aa72" hidden="1">{#N/A,#N/A,FALSE,"Gesamt";#N/A,#N/A,FALSE,"Ree KG";#N/A,#N/A,FALSE,"Ree Inter";#N/A,#N/A,FALSE,"BTM";#N/A,#N/A,FALSE,"GmbH";#N/A,#N/A,FALSE,"Sonstige"}</definedName>
    <definedName name="_aa7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1" hidden="1">{#N/A,#N/A,FALSE,"Gesamt";#N/A,#N/A,FALSE,"Ree KG";#N/A,#N/A,FALSE,"Ree Inter";#N/A,#N/A,FALSE,"BTM";#N/A,#N/A,FALSE,"GmbH";#N/A,#N/A,FALSE,"Sonstige"}</definedName>
    <definedName name="_aa88" localSheetId="2" hidden="1">{#N/A,#N/A,FALSE,"Gesamt";#N/A,#N/A,FALSE,"Ree KG";#N/A,#N/A,FALSE,"Ree Inter";#N/A,#N/A,FALSE,"BTM";#N/A,#N/A,FALSE,"GmbH";#N/A,#N/A,FALSE,"Sonstige"}</definedName>
    <definedName name="_aa88" hidden="1">{#N/A,#N/A,FALSE,"Gesamt";#N/A,#N/A,FALSE,"Ree KG";#N/A,#N/A,FALSE,"Ree Inter";#N/A,#N/A,FALSE,"BTM";#N/A,#N/A,FALSE,"GmbH";#N/A,#N/A,FALSE,"Sonstige"}</definedName>
    <definedName name="_aa8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1" hidden="1">{"'Sheet1'!$L$16"}</definedName>
    <definedName name="_f5" localSheetId="2" hidden="1">{"'Sheet1'!$L$16"}</definedName>
    <definedName name="_f5" hidden="1">{"'Sheet1'!$L$16"}</definedName>
    <definedName name="_Fill" localSheetId="2" hidden="1">#REF!</definedName>
    <definedName name="_Fill" hidden="1">#REF!</definedName>
    <definedName name="_xlnm._FilterDatabase" localSheetId="1" hidden="1">COF!$B$3:$I$42</definedName>
    <definedName name="_xlnm._FilterDatabase" localSheetId="0" hidden="1">IR!$A$1:$I$2246</definedName>
    <definedName name="_xlnm._FilterDatabase" localSheetId="2" hidden="1">#REF!</definedName>
    <definedName name="_xlnm._FilterDatabase" hidden="1">#REF!</definedName>
    <definedName name="_GSRATES_1" hidden="1">"CT300001Latest          "</definedName>
    <definedName name="_GSRATES_COUNT" hidden="1">1</definedName>
    <definedName name="_GSRATESR_1" hidden="1">#REF!</definedName>
    <definedName name="_Key1" localSheetId="2" hidden="1">#REF!</definedName>
    <definedName name="_Key1" hidden="1">#REF!</definedName>
    <definedName name="_Key2" localSheetId="2" hidden="1">#REF!</definedName>
    <definedName name="_Key2" hidden="1">#REF!</definedName>
    <definedName name="_NSO2" localSheetId="1" hidden="1">{"'Sheet1'!$L$16"}</definedName>
    <definedName name="_NSO2" localSheetId="2" hidden="1">{"'Sheet1'!$L$16"}</definedName>
    <definedName name="_NSO2" hidden="1">{"'Sheet1'!$L$16"}</definedName>
    <definedName name="_o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1">{"Book1"}</definedName>
    <definedName name="_S1" localSheetId="2">{"Book1"}</definedName>
    <definedName name="_S1">{"Book1"}</definedName>
    <definedName name="_Sort" localSheetId="2" hidden="1">#REF!</definedName>
    <definedName name="_Sort" hidden="1">#REF!</definedName>
    <definedName name="_t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1" hidden="1">{"'Sheet1'!$L$16"}</definedName>
    <definedName name="_T5" localSheetId="2"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2">#REF!</definedName>
    <definedName name="â259">#REF!</definedName>
    <definedName name="â312" localSheetId="2">#REF!</definedName>
    <definedName name="â312">#REF!</definedName>
    <definedName name="aa" hidden="1">#REF!</definedName>
    <definedName name="AAA_DOCTOPS" hidden="1">"AAA_SET"</definedName>
    <definedName name="AAA_duser" hidden="1">"OFF"</definedName>
    <definedName name="aaa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1">(PeriodInActual*(#REF!&gt;0))*PeriodInPlan</definedName>
    <definedName name="Actual" localSheetId="2">(PeriodInActual*(#REF!&gt;0))*PeriodInPlan</definedName>
    <definedName name="Actual">(PeriodInActual*(#REF!&gt;0))*PeriodInPlan</definedName>
    <definedName name="ActualBeyond" localSheetId="1">PeriodInActual*(#REF!&gt;0)</definedName>
    <definedName name="ActualBeyond" localSheetId="2">PeriodInActual*(#REF!&gt;0)</definedName>
    <definedName name="ActualBeyond">PeriodInActual*(#REF!&gt;0)</definedName>
    <definedName name="adcasdas" localSheetId="2" hidden="1">#REF!</definedName>
    <definedName name="adcasdas" hidden="1">#REF!</definedName>
    <definedName name="adf" localSheetId="2">#REF!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1" hidden="1">{0,#N/A,FALSE,0;0,#N/A,FALSE,0;0,#N/A,FALSE,0;0,#N/A,FALSE,0;0,#N/A,FALSE,0;0,#N/A,FALSE,0;0,#N/A,FALSE,0}</definedName>
    <definedName name="aldfj" localSheetId="2"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2">#REF!</definedName>
    <definedName name="approval">#REF!</definedName>
    <definedName name="AS2DocOpenMode" hidden="1">"AS2DocumentEdit"</definedName>
    <definedName name="asd" localSheetId="1" hidden="1">{"'Sheet1'!$L$16"}</definedName>
    <definedName name="asd" localSheetId="2" hidden="1">{"'Sheet1'!$L$16"}</definedName>
    <definedName name="asd" hidden="1">{"'Sheet1'!$L$16"}</definedName>
    <definedName name="asd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1" hidden="1">{0,#N/A,FALSE,0;0,#N/A,FALSE,0;0,#N/A,FALSE,0;0,#N/A,FALSE,0;0,#N/A,FALSE,0;0,#N/A,FALSE,0;0,#N/A,FALSE,0}</definedName>
    <definedName name="asdj" localSheetId="2" hidden="1">{0,#N/A,FALSE,0;0,#N/A,FALSE,0;0,#N/A,FALSE,0;0,#N/A,FALSE,0;0,#N/A,FALSE,0;0,#N/A,FALSE,0;0,#N/A,FALSE,0}</definedName>
    <definedName name="asdj" hidden="1">{0,#N/A,FALSE,0;0,#N/A,FALSE,0;0,#N/A,FALSE,0;0,#N/A,FALSE,0;0,#N/A,FALSE,0;0,#N/A,FALSE,0;0,#N/A,FALSE,0}</definedName>
    <definedName name="asdjfhop" localSheetId="1" hidden="1">{0}</definedName>
    <definedName name="asdjfhop" localSheetId="2" hidden="1">{0}</definedName>
    <definedName name="asdjfhop" hidden="1">{0}</definedName>
    <definedName name="Attribute_F">#REF!</definedName>
    <definedName name="B">#REF!</definedName>
    <definedName name="b2bSpr">#REF!</definedName>
    <definedName name="BaoHanhSuaChua">#REF!</definedName>
    <definedName name="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1" hidden="1">{#N/A,#N/A,FALSE,"Gesamt";#N/A,#N/A,FALSE,"Ree KG";#N/A,#N/A,FALSE,"Ree Inter";#N/A,#N/A,FALSE,"BTM";#N/A,#N/A,FALSE,"GmbH";#N/A,#N/A,FALSE,"Sonstige"}</definedName>
    <definedName name="bbbb" localSheetId="2" hidden="1">{#N/A,#N/A,FALSE,"Gesamt";#N/A,#N/A,FALSE,"Ree KG";#N/A,#N/A,FALSE,"Ree Inter";#N/A,#N/A,FALSE,"BTM";#N/A,#N/A,FALSE,"GmbH";#N/A,#N/A,FALSE,"Sonstige"}</definedName>
    <definedName name="bbbb" hidden="1">{#N/A,#N/A,FALSE,"Gesamt";#N/A,#N/A,FALSE,"Ree KG";#N/A,#N/A,FALSE,"Ree Inter";#N/A,#N/A,FALSE,"BTM";#N/A,#N/A,FALSE,"GmbH";#N/A,#N/A,FALSE,"Sonstige"}</definedName>
    <definedName name="b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2">#REF!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2">#REF!</definedName>
    <definedName name="chart">#REF!</definedName>
    <definedName name="ChuyenTienNoiBo">#REF!</definedName>
    <definedName name="CIQWBGuid" hidden="1">"621f55ae-6bbd-4e45-8f58-3e88dc7f13f9"</definedName>
    <definedName name="CL" localSheetId="2">#REF!</definedName>
    <definedName name="CL">#REF!</definedName>
    <definedName name="CLVC3">0.1</definedName>
    <definedName name="cnc" localSheetId="2">#REF!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2">#REF!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1" hidden="1">{#N/A,#N/A,FALSE,"Aging Summary";#N/A,#N/A,FALSE,"Ratio Analysis";#N/A,#N/A,FALSE,"Test 120 Day Accts";#N/A,#N/A,FALSE,"Tickmarks"}</definedName>
    <definedName name="dasc" localSheetId="2"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2">#REF!</definedName>
    <definedName name="DataYTD">#REF!</definedName>
    <definedName name="DateSelected">#REF!</definedName>
    <definedName name="DCR" localSheetId="2" hidden="1">#REF!</definedName>
    <definedName name="DCR" hidden="1">#REF!</definedName>
    <definedName name="dcwqc" localSheetId="1" hidden="1">{#N/A,#N/A,FALSE,"Aging Summary";#N/A,#N/A,FALSE,"Ratio Analysis";#N/A,#N/A,FALSE,"Test 120 Day Accts";#N/A,#N/A,FALSE,"Tickmarks"}</definedName>
    <definedName name="dcwqc" localSheetId="2" hidden="1">{#N/A,#N/A,FALSE,"Aging Summary";#N/A,#N/A,FALSE,"Ratio Analysis";#N/A,#N/A,FALSE,"Test 120 Day Accts";#N/A,#N/A,FALSE,"Tickmarks"}</definedName>
    <definedName name="dcwqc" hidden="1">{#N/A,#N/A,FALSE,"Aging Summary";#N/A,#N/A,FALSE,"Ratio Analysis";#N/A,#N/A,FALSE,"Test 120 Day Accts";#N/A,#N/A,FALSE,"Tickmarks"}</definedName>
    <definedName name="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1" hidden="1">{"IGRONIC2",#N/A,FALSE,"IG fixed RONIC";"IGRONIC1",#N/A,FALSE,"IG fixed RONIC"}</definedName>
    <definedName name="delete" localSheetId="2" hidden="1">{"IGRONIC2",#N/A,FALSE,"IG fixed RONIC";"IGRONIC1",#N/A,FALSE,"IG fixed RONIC"}</definedName>
    <definedName name="delete" hidden="1">{"IGRONIC2",#N/A,FALSE,"IG fixed RONIC";"IGRONIC1",#N/A,FALSE,"IG fixed RONIC"}</definedName>
    <definedName name="delete2" localSheetId="1" hidden="1">{"IGRONIC2",#N/A,FALSE,"IG fixed RONIC";"IGRONIC1",#N/A,FALSE,"IG fixed RONIC"}</definedName>
    <definedName name="delete2" localSheetId="2"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2" hidden="1">#REF!</definedName>
    <definedName name="dgjdgjdg" hidden="1">#REF!</definedName>
    <definedName name="DGN">#REF!</definedName>
    <definedName name="dgnx">#REF!</definedName>
    <definedName name="dgsdg" localSheetId="1" hidden="1">{"'Sheet1'!$L$16"}</definedName>
    <definedName name="dgsdg" localSheetId="2" hidden="1">{"'Sheet1'!$L$16"}</definedName>
    <definedName name="dgsdg" hidden="1">{"'Sheet1'!$L$16"}</definedName>
    <definedName name="dgx">#REF!</definedName>
    <definedName name="dhgfdhgfd" localSheetId="2" hidden="1">#REF!</definedName>
    <definedName name="dhgfdhgfd" hidden="1">#REF!</definedName>
    <definedName name="dhgsd" localSheetId="1" hidden="1">{"Offgrid",#N/A,FALSE,"OFFGRID";"Region",#N/A,FALSE,"REGION";"Offgrid -2",#N/A,FALSE,"OFFGRID";"WTP",#N/A,FALSE,"WTP";"WTP -2",#N/A,FALSE,"WTP";"Project",#N/A,FALSE,"PROJECT";"Summary -2",#N/A,FALSE,"SUMMARY"}</definedName>
    <definedName name="dhgsd" localSheetId="2"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1" hidden="1">{"'Sheet1'!$L$16"}</definedName>
    <definedName name="dhhs" localSheetId="2" hidden="1">{"'Sheet1'!$L$16"}</definedName>
    <definedName name="dhhs" hidden="1">{"'Sheet1'!$L$16"}</definedName>
    <definedName name="dhjdjhg" localSheetId="2"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2" hidden="1">#REF!</definedName>
    <definedName name="djdgjg" hidden="1">#REF!</definedName>
    <definedName name="dmct">#REF!</definedName>
    <definedName name="dmkhncc">#REF!</definedName>
    <definedName name="dmtk">#REF!</definedName>
    <definedName name="Document_array" localSheetId="1">{"Book1"}</definedName>
    <definedName name="Document_array" localSheetId="2">{"Book1"}</definedName>
    <definedName name="Document_array">{"Book1"}</definedName>
    <definedName name="DongTienDauTu">#REF!</definedName>
    <definedName name="DongTienKinhDoanh">#REF!</definedName>
    <definedName name="DongTienTaiChinh">#REF!</definedName>
    <definedName name="DownPayment">#REF!</definedName>
    <definedName name="d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2">#REF!</definedName>
    <definedName name="Ê1">#REF!</definedName>
    <definedName nam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2" hidden="1">#REF!</definedName>
    <definedName name="f" hidden="1">#REF!</definedName>
    <definedName name="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2" hidden="1">#REF!</definedName>
    <definedName name="FGDG" hidden="1">#REF!</definedName>
    <definedName name="finance">#REF!</definedName>
    <definedName name="FROM_DATE" localSheetId="2">#REF!</definedName>
    <definedName name="FROM_DATE">#REF!</definedName>
    <definedName name="front" localSheetId="2">#REF!</definedName>
    <definedName name="front">#REF!</definedName>
    <definedName name="fsdsfafd" localSheetId="1" hidden="1">{"CSheet",#N/A,FALSE,"C";"SmCap",#N/A,FALSE,"VAL1";"GulfCoast",#N/A,FALSE,"VAL1";"nav",#N/A,FALSE,"NAV";"Summary",#N/A,FALSE,"NAV"}</definedName>
    <definedName name="fsdsfafd" hidden="1">{"CSheet",#N/A,FALSE,"C";"SmCap",#N/A,FALSE,"VAL1";"GulfCoast",#N/A,FALSE,"VAL1";"nav",#N/A,FALSE,"NAV";"Summary",#N/A,FALSE,"NAV"}</definedName>
    <definedName name="fshg" localSheetId="1" hidden="1">{"'Sheet1'!$L$16"}</definedName>
    <definedName name="fshg" localSheetId="2" hidden="1">{"'Sheet1'!$L$16"}</definedName>
    <definedName name="fshg" hidden="1">{"'Sheet1'!$L$16"}</definedName>
    <definedName name="fsv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1"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2">#REF!</definedName>
    <definedName name="g.">#REF!</definedName>
    <definedName name="gd" localSheetId="2">#REF!</definedName>
    <definedName name="gd">#REF!</definedName>
    <definedName name="gdshd" localSheetId="1" hidden="1">{"'Sheet1'!$L$16"}</definedName>
    <definedName name="gdshd" localSheetId="2" hidden="1">{"'Sheet1'!$L$16"}</definedName>
    <definedName name="gdshd" hidden="1">{"'Sheet1'!$L$16"}</definedName>
    <definedName name="GDV" localSheetId="2">#REF!</definedName>
    <definedName name="GDV">#REF!</definedName>
    <definedName name="gfgfg" localSheetId="2">#REF!</definedName>
    <definedName name="gfgfg">#REF!</definedName>
    <definedName name="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2" hidden="1">#REF!</definedName>
    <definedName name="ghdfhdf" hidden="1">#REF!</definedName>
    <definedName name="g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1" hidden="1">{"'Sheet1'!$L$16"}</definedName>
    <definedName name="h" localSheetId="2" hidden="1">{"'Sheet1'!$L$16"}</definedName>
    <definedName name="h" hidden="1">{"'Sheet1'!$L$16"}</definedName>
    <definedName name="HanhChinh">#REF!</definedName>
    <definedName name="hdsdhd" localSheetId="1" hidden="1">{"Offgrid",#N/A,FALSE,"OFFGRID";"Region",#N/A,FALSE,"REGION";"Offgrid -2",#N/A,FALSE,"OFFGRID";"WTP",#N/A,FALSE,"WTP";"WTP -2",#N/A,FALSE,"WTP";"Project",#N/A,FALSE,"PROJECT";"Summary -2",#N/A,FALSE,"SUMMARY"}</definedName>
    <definedName name="hdsdhd" localSheetId="2"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2">#REF!</definedName>
    <definedName name="hesophucapdatdo">#REF!</definedName>
    <definedName nam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2" hidden="1">#REF!</definedName>
    <definedName name="hjdgjdgh" hidden="1">#REF!</definedName>
    <definedName name="hjjkl" localSheetId="1" hidden="1">{"'Sheet1'!$L$16"}</definedName>
    <definedName name="hjjkl" localSheetId="2" hidden="1">{"'Sheet1'!$L$16"}</definedName>
    <definedName name="hjjkl" hidden="1">{"'Sheet1'!$L$16"}</definedName>
    <definedName name="Hoang" localSheetId="1">{"Book1"}</definedName>
    <definedName name="Hoang" localSheetId="2">{"Book1"}</definedName>
    <definedName name="Hoang">{"Book1"}</definedName>
    <definedName name="HSCT3">0.1</definedName>
    <definedName name="HSDN">2.5</definedName>
    <definedName name="hsgs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1" hidden="1">{"'Sheet1'!$L$16"}</definedName>
    <definedName name="HTML_Control" localSheetId="2"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1">{"Book1"}</definedName>
    <definedName name="HTthang10" localSheetId="2">{"Book1"}</definedName>
    <definedName name="HTthang10">{"Book1"}</definedName>
    <definedName name="huy" localSheetId="1" hidden="1">{"'Sheet1'!$L$16"}</definedName>
    <definedName name="huy" localSheetId="2" hidden="1">{"'Sheet1'!$L$16"}</definedName>
    <definedName name="huy" hidden="1">{"'Sheet1'!$L$16"}</definedName>
    <definedName name="hwtrw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1" hidden="1">{"'Sheet1'!$L$16"}</definedName>
    <definedName name="ihh" localSheetId="2" hidden="1">{"'Sheet1'!$L$16"}</definedName>
    <definedName name="ihh" hidden="1">{"'Sheet1'!$L$16"}</definedName>
    <definedName name="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2">#REF!</definedName>
    <definedName name="ketqua">#REF!</definedName>
    <definedName name="ketyrt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2" hidden="1">#REF!</definedName>
    <definedName name="Khối" hidden="1">#REF!</definedName>
    <definedName name="khu" localSheetId="2">#REF!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2">#REF!</definedName>
    <definedName name="l41a">#REF!</definedName>
    <definedName name="lcbthitruong" localSheetId="2">#REF!</definedName>
    <definedName name="lcbthitruong">#REF!</definedName>
    <definedName name="Legal_F">#REF!</definedName>
    <definedName name="limcount" hidden="1">2</definedName>
    <definedName name="ListOffset" hidden="1">1</definedName>
    <definedName name="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2">#REF!</definedName>
    <definedName name="luongcodinhtt">#REF!</definedName>
    <definedName name="luongtoithieuvung" localSheetId="2">#REF!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2">#REF!</definedName>
    <definedName name="matrandcluong">#REF!</definedName>
    <definedName name="Mavtnx">#REF!</definedName>
    <definedName name="MEWarning" hidden="1">0</definedName>
    <definedName name="Million">#REF!</definedName>
    <definedName name="mmmm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2">#REF!</definedName>
    <definedName name="MonthsPaid">#REF!</definedName>
    <definedName name="mst">#REF!</definedName>
    <definedName name="mucdich" localSheetId="2">#REF!</definedName>
    <definedName name="mucdich">#REF!</definedName>
    <definedName name="mvbr">#REF!</definedName>
    <definedName name="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1">{"Book1"}</definedName>
    <definedName name="nam" localSheetId="2">{"Book1"}</definedName>
    <definedName name="nam">{"Book1"}</definedName>
    <definedName name="Name">#REF!</definedName>
    <definedName name="ndf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1">{"Book1"}</definedName>
    <definedName name="ngoclan210779" localSheetId="2">{"Book1"}</definedName>
    <definedName name="ngoclan210779">{"Book1"}</definedName>
    <definedName name="NhanSu">#REF!</definedName>
    <definedName name="nnn" localSheetId="2" hidden="1">#REF!</definedName>
    <definedName name="nnn" hidden="1">#REF!</definedName>
    <definedName name="nodky">#REF!</definedName>
    <definedName name="noidungcongviec" localSheetId="2">#REF!</definedName>
    <definedName name="noidungcongviec">#REF!</definedName>
    <definedName name="none" hidden="1">#REF!</definedName>
    <definedName name="nonx">#REF!</definedName>
    <definedName name="nst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1" hidden="1">{#N/A,#N/A,FALSE,"Gesamt";#N/A,#N/A,FALSE,"Ree KG";#N/A,#N/A,FALSE,"Ree Inter";#N/A,#N/A,FALSE,"BTM";#N/A,#N/A,FALSE,"GmbH";#N/A,#N/A,FALSE,"Sonstige"}</definedName>
    <definedName name="oppp" localSheetId="2"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1"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1">PercentCompleteBeyond*PeriodInPlan</definedName>
    <definedName name="PercentComplete" localSheetId="2">[0]!PercentCompleteBeyond*[0]!PeriodInPlan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2">#REF!</definedName>
    <definedName name="PhucapThamnien">#REF!</definedName>
    <definedName name="picture1" localSheetId="2">#REF!</definedName>
    <definedName name="picture1">#REF!</definedName>
    <definedName name="picture2" localSheetId="2">#REF!</definedName>
    <definedName name="picture2">#REF!</definedName>
    <definedName name="picture23" localSheetId="2">INDEX(#REF!,MATCH(#REF!,#REF!))</definedName>
    <definedName name="picture23">INDEX(#REF!,MATCH(#REF!,#REF!))</definedName>
    <definedName name="PL" localSheetId="2">OFFSET(#REF!,0,0,COUNTA(#REF!),1)</definedName>
    <definedName name="PL">OFFSET(#REF!,0,0,COUNTA(#REF!),1)</definedName>
    <definedName name="Plan" localSheetId="1">PeriodInPlan*(#REF!&gt;0)</definedName>
    <definedName name="Plan" localSheetId="2">PeriodInPlan*(#REF!&gt;0)</definedName>
    <definedName name="Plan">PeriodInPlan*(#REF!&gt;0)</definedName>
    <definedName name="PLLYDOTUCHOI" localSheetId="2">#REF!</definedName>
    <definedName name="PLLYDOTUCHOI">#REF!</definedName>
    <definedName name="p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1" hidden="1">{"'Sheet1'!$L$16"}</definedName>
    <definedName name="PR" hidden="1">{"'Sheet1'!$L$16"}</definedName>
    <definedName name="prd" localSheetId="1" hidden="1">{"Netbacks",#N/A,FALSE,"Netbacks"}</definedName>
    <definedName name="prd" hidden="1">{"Netbacks",#N/A,FALSE,"Netbacks"}</definedName>
    <definedName name="prd." localSheetId="1"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_xlnm.Print_Area" localSheetId="6">'Saleplan&amp;PnL'!$A$1:$AO$33</definedName>
    <definedName name="_xlnm.Print_Area" localSheetId="5">SAP_Speadsheet!$A$1:$BF$223</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2">#REF!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2">#REF!</definedName>
    <definedName name="purpose">#REF!</definedName>
    <definedName name="q" localSheetId="2"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1" hidden="1">{0}</definedName>
    <definedName name="qiyf" localSheetId="2" hidden="1">{0}</definedName>
    <definedName name="qiyf" hidden="1">{0}</definedName>
    <definedName name="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2">#REF!</definedName>
    <definedName name="Rate">#REF!</definedName>
    <definedName name="rawdata" localSheetId="2">#REF!</definedName>
    <definedName name="rawdata">#REF!</definedName>
    <definedName name="RCArea" hidden="1">#REF!</definedName>
    <definedName name="REFSITE" localSheetId="2">#REF!</definedName>
    <definedName name="REFSITE">#REF!</definedName>
    <definedName name="refuse" localSheetId="2">#REF!</definedName>
    <definedName name="refuse">#REF!</definedName>
    <definedName name="Region" localSheetId="2">#REF!</definedName>
    <definedName name="Region">#REF!</definedName>
    <definedName name="Region_Business_Overview" localSheetId="2">#REF!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2">#REF!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2">#REF!</definedName>
    <definedName name="RPTYEAR">#REF!</definedName>
    <definedName name="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2">#REF!</definedName>
    <definedName name="SANPHAM">#REF!</definedName>
    <definedName name="sbrtr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2">#REF!</definedName>
    <definedName name="sda">#REF!</definedName>
    <definedName name="sdas" localSheetId="1"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1" hidden="1">{"'Sheet1'!$L$16"}</definedName>
    <definedName name="sdgfdh" localSheetId="2" hidden="1">{"'Sheet1'!$L$16"}</definedName>
    <definedName name="sdgfdh" hidden="1">{"'Sheet1'!$L$16"}</definedName>
    <definedName name="sdhrt" localSheetId="1" hidden="1">{"'Sheet1'!$L$16"}</definedName>
    <definedName name="sdhrt" localSheetId="2" hidden="1">{"'Sheet1'!$L$16"}</definedName>
    <definedName name="sdhrt" hidden="1">{"'Sheet1'!$L$16"}</definedName>
    <definedName name="sencount" hidden="1">2</definedName>
    <definedName name="seyrt" localSheetId="1" hidden="1">{"'Sheet1'!$L$16"}</definedName>
    <definedName name="seyrt" localSheetId="2" hidden="1">{"'Sheet1'!$L$16"}</definedName>
    <definedName name="seyrt" hidden="1">{"'Sheet1'!$L$16"}</definedName>
    <definedName name="sgfhg" localSheetId="1" hidden="1">{"'Sheet1'!$L$16"}</definedName>
    <definedName name="sgfhg" localSheetId="2" hidden="1">{"'Sheet1'!$L$16"}</definedName>
    <definedName name="sgfhg" hidden="1">{"'Sheet1'!$L$16"}</definedName>
    <definedName name="sgfhgf" localSheetId="1" hidden="1">{"Offgrid",#N/A,FALSE,"OFFGRID";"Region",#N/A,FALSE,"REGION";"Offgrid -2",#N/A,FALSE,"OFFGRID";"WTP",#N/A,FALSE,"WTP";"WTP -2",#N/A,FALSE,"WTP";"Project",#N/A,FALSE,"PROJECT";"Summary -2",#N/A,FALSE,"SUMMARY"}</definedName>
    <definedName name="sgfhgf" localSheetId="2"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1" hidden="1">{"Offgrid",#N/A,FALSE,"OFFGRID";"Region",#N/A,FALSE,"REGION";"Offgrid -2",#N/A,FALSE,"OFFGRID";"WTP",#N/A,FALSE,"WTP";"WTP -2",#N/A,FALSE,"WTP";"Project",#N/A,FALSE,"PROJECT";"Summary -2",#N/A,FALSE,"SUMMARY"}</definedName>
    <definedName name="sghfhf" localSheetId="2"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1" hidden="1">{#N/A,#N/A,FALSE,"Chi tiÆt"}</definedName>
    <definedName name="shfg" localSheetId="2" hidden="1">{#N/A,#N/A,FALSE,"Chi tiÆt"}</definedName>
    <definedName name="shfg" hidden="1">{#N/A,#N/A,FALSE,"Chi tiÆt"}</definedName>
    <definedName name="shfgb" localSheetId="1" hidden="1">{"'Sheet1'!$L$16"}</definedName>
    <definedName name="shfgb" localSheetId="2" hidden="1">{"'Sheet1'!$L$16"}</definedName>
    <definedName name="shfgb" hidden="1">{"'Sheet1'!$L$16"}</definedName>
    <definedName name="shfgf" localSheetId="1" hidden="1">{"'Sheet1'!$L$16"}</definedName>
    <definedName name="shfgf" localSheetId="2" hidden="1">{"'Sheet1'!$L$16"}</definedName>
    <definedName name="shfgf" hidden="1">{"'Sheet1'!$L$16"}</definedName>
    <definedName name="shfghgf"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2"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1" hidden="1">{"'Sheet1'!$L$16"}</definedName>
    <definedName name="shyt" localSheetId="2"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1" hidden="1">{#N/A,#N/A,FALSE,"Gesamt";#N/A,#N/A,FALSE,"Ree KG";#N/A,#N/A,FALSE,"Ree Inter";#N/A,#N/A,FALSE,"BTM";#N/A,#N/A,FALSE,"GmbH";#N/A,#N/A,FALSE,"Sonstige"}</definedName>
    <definedName name="ssssss" localSheetId="2"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1" hidden="1">{"'Sheet1'!$L$16"}</definedName>
    <definedName name="sua" localSheetId="2" hidden="1">{"'Sheet1'!$L$16"}</definedName>
    <definedName name="sua" hidden="1">{"'Sheet1'!$L$16"}</definedName>
    <definedName name="SWITCH_EXPENSES">1</definedName>
    <definedName name="SWITCH_LIABILITIES">1</definedName>
    <definedName name="sy" hidden="1">#REF!</definedName>
    <definedName name="sygg" localSheetId="1" hidden="1">{"'Sheet1'!$L$16"}</definedName>
    <definedName name="sygg" localSheetId="2" hidden="1">{"'Sheet1'!$L$16"}</definedName>
    <definedName name="sygg" hidden="1">{"'Sheet1'!$L$16"}</definedName>
    <definedName name="TABLE" localSheetId="2">#REF!</definedName>
    <definedName name="TABLE">#REF!</definedName>
    <definedName name="table_total_apps" localSheetId="1">data_total_Apps</definedName>
    <definedName name="table_total_apps" localSheetId="2">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1" hidden="1">{"'Sheet1'!$L$16"}</definedName>
    <definedName name="tha" localSheetId="2" hidden="1">{"'Sheet1'!$L$16"}</definedName>
    <definedName name="tha" hidden="1">{"'Sheet1'!$L$16"}</definedName>
    <definedName name="thang10" localSheetId="1">{"Book1"}</definedName>
    <definedName name="thang10" localSheetId="2">{"Book1"}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2">#REF!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2">#REF!</definedName>
    <definedName name="Trạng_thái_khoản_vay_được_duyệt">#REF!</definedName>
    <definedName name="trend1">#REF!</definedName>
    <definedName name="trend2">#REF!</definedName>
    <definedName name="trend3">#REF!</definedName>
    <definedName name="tstr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2">#REF!</definedName>
    <definedName name="TTD">#REF!</definedName>
    <definedName name="ttntt" localSheetId="2">#REF!</definedName>
    <definedName name="ttntt">#REF!</definedName>
    <definedName name="ttnx">#REF!</definedName>
    <definedName name="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2">#REF!</definedName>
    <definedName name="tuchoi">#REF!</definedName>
    <definedName name="tyledieuchinhluong" localSheetId="2">#REF!</definedName>
    <definedName name="tyledieuchinhluong">#REF!</definedName>
    <definedName name="Type_detail">#REF!</definedName>
    <definedName name="u" localSheetId="1" hidden="1">{"CSheet",#N/A,FALSE,"C";"SmCap",#N/A,FALSE,"VAL1";"GulfCoast",#N/A,FALSE,"VAL1";"nav",#N/A,FALSE,"NAV";"Summary",#N/A,FALSE,"NAV"}</definedName>
    <definedName name="u" hidden="1">{"CSheet",#N/A,FALSE,"C";"SmCap",#N/A,FALSE,"VAL1";"GulfCoast",#N/A,FALSE,"VAL1";"nav",#N/A,FALSE,"NAV";"Summary",#N/A,FALSE,"NAV"}</definedName>
    <definedName name="ư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2">#REF!</definedName>
    <definedName name="ư377">#REF!</definedName>
    <definedName name="ủ8" localSheetId="2">#REF!</definedName>
    <definedName name="ủ8">#REF!</definedName>
    <definedName name="uet5w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2">#REF!</definedName>
    <definedName name="VPBBaseSalaryScale">#REF!</definedName>
    <definedName name="VPBBaseSalaryScaleSale" localSheetId="2">#REF!</definedName>
    <definedName name="VPBBaseSalaryScaleSale">#REF!</definedName>
    <definedName name="VPBdata" localSheetId="2">#REF!</definedName>
    <definedName name="VPBdata">#REF!</definedName>
    <definedName name="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1" hidden="1">{#N/A,#N/A,FALSE,"Gesamt";#N/A,#N/A,FALSE,"Ree KG";#N/A,#N/A,FALSE,"Ree Inter";#N/A,#N/A,FALSE,"BTM";#N/A,#N/A,FALSE,"GmbH";#N/A,#N/A,FALSE,"Sonstige"}</definedName>
    <definedName name="vzv" localSheetId="2" hidden="1">{#N/A,#N/A,FALSE,"Gesamt";#N/A,#N/A,FALSE,"Ree KG";#N/A,#N/A,FALSE,"Ree Inter";#N/A,#N/A,FALSE,"BTM";#N/A,#N/A,FALSE,"GmbH";#N/A,#N/A,FALSE,"Sonstige"}</definedName>
    <definedName name="vzv" hidden="1">{#N/A,#N/A,FALSE,"Gesamt";#N/A,#N/A,FALSE,"Ree KG";#N/A,#N/A,FALSE,"Ree Inter";#N/A,#N/A,FALSE,"BTM";#N/A,#N/A,FALSE,"GmbH";#N/A,#N/A,FALSE,"Sonstige"}</definedName>
    <definedName nam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2"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1"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1" hidden="1">{#N/A,#N/A,FALSE,"Chi tiÆt"}</definedName>
    <definedName name="wrn.chi._.tiÆt." localSheetId="2" hidden="1">{#N/A,#N/A,FALSE,"Chi tiÆt"}</definedName>
    <definedName name="wrn.chi._.tiÆt." hidden="1">{#N/A,#N/A,FALSE,"Chi tiÆt"}</definedName>
    <definedName name="wrn.Corporate." localSheetId="1" hidden="1">{"Corporate",#N/A,FALSE,"Corporate Profile"}</definedName>
    <definedName name="wrn.Corporate." hidden="1">{"Corporate",#N/A,FALSE,"Corporate Profile"}</definedName>
    <definedName name="wrn.cotop." localSheetId="1" hidden="1">{"ReportTop",#N/A,FALSE,"report top"}</definedName>
    <definedName name="wrn.cotop." hidden="1">{"ReportTop",#N/A,FALSE,"report top"}</definedName>
    <definedName name="wrn.cotop2." localSheetId="1" hidden="1">{"ReportTop",#N/A,FALSE,"report top"}</definedName>
    <definedName name="wrn.cotop2." hidden="1">{"ReportTop",#N/A,FALSE,"report top"}</definedName>
    <definedName name="wrn.FCB." localSheetId="1" hidden="1">{"FCB_ALL",#N/A,FALSE,"FCB"}</definedName>
    <definedName name="wrn.FCB." hidden="1">{"FCB_ALL",#N/A,FALSE,"FCB"}</definedName>
    <definedName name="wrn.fcb2" localSheetId="1" hidden="1">{"FCB_ALL",#N/A,FALSE,"FCB"}</definedName>
    <definedName name="wrn.fcb2" hidden="1">{"FCB_ALL",#N/A,FALSE,"FCB"}</definedName>
    <definedName name="wrn.graph." localSheetId="1"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1" hidden="1">{"IGRONIC2",#N/A,FALSE,"IG fixed RONIC";"IGRONIC1",#N/A,FALSE,"IG fixed RONIC"}</definedName>
    <definedName name="wrn.IGRONICbasicdata." localSheetId="2" hidden="1">{"IGRONIC2",#N/A,FALSE,"IG fixed RONIC";"IGRONIC1",#N/A,FALSE,"IG fixed RONIC"}</definedName>
    <definedName name="wrn.IGRONICbasicdata." hidden="1">{"IGRONIC2",#N/A,FALSE,"IG fixed RONIC";"IGRONIC1",#N/A,FALSE,"IG fixed RONIC"}</definedName>
    <definedName name="wrn.IGRONICbasicdata2" localSheetId="1" hidden="1">{"IGRONIC2",#N/A,FALSE,"IG fixed RONIC";"IGRONIC1",#N/A,FALSE,"IG fixed RONIC"}</definedName>
    <definedName name="wrn.IGRONICbasicdata2" localSheetId="2" hidden="1">{"IGRONIC2",#N/A,FALSE,"IG fixed RONIC";"IGRONIC1",#N/A,FALSE,"IG fixed RONIC"}</definedName>
    <definedName name="wrn.IGRONICbasicdata2" hidden="1">{"IGRONIC2",#N/A,FALSE,"IG fixed RONIC";"IGRONIC1",#N/A,FALSE,"IG fixed RONIC"}</definedName>
    <definedName name="wrn.IS._.Q96." localSheetId="1" hidden="1">{"IS Q96",#N/A,FALSE,"Income Statement"}</definedName>
    <definedName name="wrn.IS._.Q96." hidden="1">{"IS Q96",#N/A,FALSE,"Income Statement"}</definedName>
    <definedName name="wrn.IS._.Q97." localSheetId="1" hidden="1">{"IS Q97",#N/A,FALSE,"Income Statement"}</definedName>
    <definedName name="wrn.IS._.Q97." hidden="1">{"IS Q97",#N/A,FALSE,"Income Statement"}</definedName>
    <definedName name="wrn.IS._.Years." localSheetId="1" hidden="1">{"IS Years",#N/A,FALSE,"Income Statement"}</definedName>
    <definedName name="wrn.IS._.Years." hidden="1">{"IS Years",#N/A,FALSE,"Income Statement"}</definedName>
    <definedName name="wrn.JODM._.Graphs." localSheetId="1"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1" hidden="1">{"Netbacks",#N/A,FALSE,"Netbacks"}</definedName>
    <definedName name="wrn.Netbacks." hidden="1">{"Netbacks",#N/A,FALSE,"Netbacks"}</definedName>
    <definedName name="wrn.PLX." localSheetId="1"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1"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1"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1" hidden="1">{"inputs raw data",#N/A,TRUE,"INPUT"}</definedName>
    <definedName name="wrn.print._.raw._.data._.entry." hidden="1">{"inputs raw data",#N/A,TRUE,"INPUT"}</definedName>
    <definedName name="wrn.print._.summary._.sheets." localSheetId="1" hidden="1">{"summary1",#N/A,TRUE,"Comps";"summary2",#N/A,TRUE,"Comps";"summary3",#N/A,TRUE,"Comps"}</definedName>
    <definedName name="wrn.print._.summary._.sheets." hidden="1">{"summary1",#N/A,TRUE,"Comps";"summary2",#N/A,TRUE,"Comps";"summary3",#N/A,TRUE,"Comps"}</definedName>
    <definedName name="wrn.Report." localSheetId="1"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1"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1" hidden="1">{"FCB_ALL",#N/A,FALSE,"FCB";"GREY_ALL",#N/A,FALSE,"GREY"}</definedName>
    <definedName name="wrn.STAND_ALONE_BOTH." hidden="1">{"FCB_ALL",#N/A,FALSE,"FCB";"GREY_ALL",#N/A,FALSE,"GREY"}</definedName>
    <definedName name="wrn.Summary." localSheetId="1"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1" hidden="1">{"CSheet",#N/A,FALSE,"C";"SmCap",#N/A,FALSE,"VAL1";"GulfCoast",#N/A,FALSE,"VAL1";"nav",#N/A,FALSE,"NAV";"Summary",#N/A,FALSE,"NAV"}</definedName>
    <definedName name="wrn.TheWholeEnchilada." hidden="1">{"CSheet",#N/A,FALSE,"C";"SmCap",#N/A,FALSE,"VAL1";"GulfCoast",#N/A,FALSE,"VAL1";"nav",#N/A,FALSE,"NAV";"Summary",#N/A,FALSE,"NAV"}</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1"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1"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1" hidden="1">{#N/A,#N/A,FALSE,"Gesamt";#N/A,#N/A,FALSE,"Ree KG";#N/A,#N/A,FALSE,"Ree Inter";#N/A,#N/A,FALSE,"BTM";#N/A,#N/A,FALSE,"GmbH";#N/A,#N/A,FALSE,"Sonstige"}</definedName>
    <definedName name="wrn.Working._.Capital." localSheetId="2"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1"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1" hidden="1">{"'Sheet1'!$L$16"}</definedName>
    <definedName name="xsx" localSheetId="2" hidden="1">{"'Sheet1'!$L$16"}</definedName>
    <definedName name="xsx" hidden="1">{"'Sheet1'!$L$16"}</definedName>
    <definedName name="xx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2">#REF!</definedName>
    <definedName name="ỵ">#REF!</definedName>
    <definedName name="Ỷ9" localSheetId="2">#REF!</definedName>
    <definedName name="Ỷ9">#REF!</definedName>
    <definedName name="ya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2">#REF!</definedName>
    <definedName name="YTD1">#REF!</definedName>
    <definedName name="YTD10" localSheetId="2">#REF!</definedName>
    <definedName name="YTD10">#REF!</definedName>
    <definedName name="YTD11" localSheetId="2">#REF!</definedName>
    <definedName name="YTD11">#REF!</definedName>
    <definedName name="YTD12" localSheetId="2">#REF!</definedName>
    <definedName name="YTD12">#REF!</definedName>
    <definedName name="YTD2" localSheetId="2">#REF!</definedName>
    <definedName name="YTD2">#REF!</definedName>
    <definedName name="YTD3" localSheetId="2">#REF!</definedName>
    <definedName name="YTD3">#REF!</definedName>
    <definedName name="YTD4" localSheetId="2">#REF!</definedName>
    <definedName name="YTD4">#REF!</definedName>
    <definedName name="YTD5" localSheetId="2">#REF!</definedName>
    <definedName name="YTD5">#REF!</definedName>
    <definedName name="YTD6" localSheetId="2">#REF!</definedName>
    <definedName name="YTD6">#REF!</definedName>
    <definedName name="YTD7" localSheetId="2">#REF!</definedName>
    <definedName name="YTD7">#REF!</definedName>
    <definedName name="YTD8" localSheetId="2">#REF!</definedName>
    <definedName name="YTD8">#REF!</definedName>
    <definedName name="YTD9" localSheetId="2">#REF!</definedName>
    <definedName name="YTD9">#REF!</definedName>
    <definedName name="ytys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1" hidden="1">{"CSheet",#N/A,FALSE,"C";"SmCap",#N/A,FALSE,"VAL1";"GulfCoast",#N/A,FALSE,"VAL1";"nav",#N/A,FALSE,"NAV";"Summary",#N/A,FALSE,"NAV"}</definedName>
    <definedName name="z" hidden="1">{"CSheet",#N/A,FALSE,"C";"SmCap",#N/A,FALSE,"VAL1";"GulfCoast",#N/A,FALSE,"VAL1";"nav",#N/A,FALSE,"NAV";"Summary",#N/A,FALSE,"NAV"}</definedName>
    <definedName name="zdfgxzdfg" localSheetId="1" hidden="1">{"ReportTop",#N/A,FALSE,"report top"}</definedName>
    <definedName name="zdfgxzdfg" hidden="1">{"ReportTop",#N/A,FALSE,"report top"}</definedName>
    <definedName name="zone" localSheetId="2">#REF!</definedName>
    <definedName name="zone">#REF!</definedName>
    <definedName name="zzzzz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1" hidden="1">{#N/A,#N/A,FALSE,"Aging Summary";#N/A,#N/A,FALSE,"Ratio Analysis";#N/A,#N/A,FALSE,"Test 120 Day Accts";#N/A,#N/A,FALSE,"Tickmarks"}</definedName>
    <definedName name="ввыфс" localSheetId="2"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1" hidden="1">{#N/A,#N/A,FALSE,"Aging Summary";#N/A,#N/A,FALSE,"Ratio Analysis";#N/A,#N/A,FALSE,"Test 120 Day Accts";#N/A,#N/A,FALSE,"Tickmarks"}</definedName>
    <definedName name="выфс" localSheetId="2"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1" hidden="1">{#N/A,#N/A,FALSE,"Aging Summary";#N/A,#N/A,FALSE,"Ratio Analysis";#N/A,#N/A,FALSE,"Test 120 Day Accts";#N/A,#N/A,FALSE,"Tickmarks"}</definedName>
    <definedName name="структура" localSheetId="2"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1" hidden="1">{#N/A,#N/A,FALSE,"Aging Summary";#N/A,#N/A,FALSE,"Ratio Analysis";#N/A,#N/A,FALSE,"Test 120 Day Accts";#N/A,#N/A,FALSE,"Tickmarks"}</definedName>
    <definedName name="ФФ" localSheetId="2" hidden="1">{#N/A,#N/A,FALSE,"Aging Summary";#N/A,#N/A,FALSE,"Ratio Analysis";#N/A,#N/A,FALSE,"Test 120 Day Accts";#N/A,#N/A,FALSE,"Tickmarks"}</definedName>
    <definedName name="ФФ" hidden="1">{#N/A,#N/A,FALSE,"Aging Summary";#N/A,#N/A,FALSE,"Ratio Analysis";#N/A,#N/A,FALSE,"Test 120 Day Accts";#N/A,#N/A,FALSE,"Tickmarks"}</definedName>
    <definedName name="фыч" localSheetId="1" hidden="1">{#N/A,#N/A,FALSE,"Aging Summary";#N/A,#N/A,FALSE,"Ratio Analysis";#N/A,#N/A,FALSE,"Test 120 Day Accts";#N/A,#N/A,FALSE,"Tickmarks"}</definedName>
    <definedName name="фыч" localSheetId="2" hidden="1">{#N/A,#N/A,FALSE,"Aging Summary";#N/A,#N/A,FALSE,"Ratio Analysis";#N/A,#N/A,FALSE,"Test 120 Day Accts";#N/A,#N/A,FALSE,"Tickmarks"}</definedName>
    <definedName name="фыч" hidden="1">{#N/A,#N/A,FALSE,"Aging Summary";#N/A,#N/A,FALSE,"Ratio Analysis";#N/A,#N/A,FALSE,"Test 120 Day Accts";#N/A,#N/A,FALSE,"Tickmarks"}</definedName>
  </definedNames>
  <calcPr calcId="181029" iterate="1"/>
  <pivotCaches>
    <pivotCache cacheId="11" r:id="rId12"/>
    <pivotCache cacheId="10"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4" i="9" l="1"/>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C114" i="9"/>
  <c r="B114" i="9"/>
  <c r="AK113" i="9"/>
  <c r="AJ113" i="9"/>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C113" i="9"/>
  <c r="B113" i="9"/>
  <c r="AK112" i="9"/>
  <c r="AJ112" i="9"/>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C112" i="9"/>
  <c r="B112" i="9"/>
  <c r="AK111" i="9"/>
  <c r="AJ111" i="9"/>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C111" i="9"/>
  <c r="B111" i="9"/>
  <c r="AK110" i="9"/>
  <c r="AJ110" i="9"/>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C110" i="9"/>
  <c r="B110" i="9"/>
  <c r="AK109" i="9"/>
  <c r="AJ109" i="9"/>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C109" i="9"/>
  <c r="B109" i="9"/>
  <c r="AK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C108" i="9"/>
  <c r="B108" i="9"/>
  <c r="AK107" i="9"/>
  <c r="AJ107" i="9"/>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C107" i="9"/>
  <c r="B107" i="9"/>
  <c r="AK106" i="9"/>
  <c r="AJ106" i="9"/>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C106" i="9"/>
  <c r="B106" i="9"/>
  <c r="AK105"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C105" i="9"/>
  <c r="B105" i="9"/>
  <c r="AK104" i="9"/>
  <c r="AJ104" i="9"/>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C104" i="9"/>
  <c r="B104" i="9"/>
  <c r="AK103" i="9"/>
  <c r="AJ103" i="9"/>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C103" i="9"/>
  <c r="B103" i="9"/>
  <c r="AK102"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B102" i="9"/>
  <c r="AK101"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C101" i="9"/>
  <c r="B101" i="9"/>
  <c r="AK100"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C100" i="9"/>
  <c r="B100" i="9"/>
  <c r="AK99"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C99" i="9"/>
  <c r="B99" i="9"/>
  <c r="AK98"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C98" i="9"/>
  <c r="B98" i="9"/>
  <c r="AK97"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C97" i="9"/>
  <c r="B97" i="9"/>
  <c r="AK96"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C96" i="9"/>
  <c r="B96" i="9"/>
  <c r="AK95"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C95" i="9"/>
  <c r="B95" i="9"/>
  <c r="AK94" i="9"/>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C94" i="9"/>
  <c r="B94" i="9"/>
  <c r="AK93"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B93" i="9"/>
  <c r="AK92"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C92" i="9"/>
  <c r="B92" i="9"/>
  <c r="AK91"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C91" i="9"/>
  <c r="B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C90" i="9"/>
  <c r="B90"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C89" i="9"/>
  <c r="B89"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C88" i="9"/>
  <c r="B88"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C87" i="9"/>
  <c r="B87"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C86" i="9"/>
  <c r="B86"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C85" i="9"/>
  <c r="B85"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C84" i="9"/>
  <c r="B84" i="9"/>
  <c r="AC83" i="9"/>
  <c r="AB83" i="9"/>
  <c r="AA83" i="9"/>
  <c r="Z83" i="9"/>
  <c r="Y83" i="9"/>
  <c r="X83" i="9"/>
  <c r="W83" i="9"/>
  <c r="V83" i="9"/>
  <c r="U83" i="9"/>
  <c r="T83" i="9"/>
  <c r="S83" i="9"/>
  <c r="R83" i="9"/>
  <c r="Q83" i="9"/>
  <c r="P83" i="9"/>
  <c r="O83" i="9"/>
  <c r="N83" i="9"/>
  <c r="M83" i="9"/>
  <c r="L83" i="9"/>
  <c r="K83" i="9"/>
  <c r="J83" i="9"/>
  <c r="I83" i="9"/>
  <c r="H83" i="9"/>
  <c r="G83" i="9"/>
  <c r="F83" i="9"/>
  <c r="E83" i="9"/>
  <c r="D83" i="9"/>
  <c r="C83" i="9"/>
  <c r="B83" i="9"/>
  <c r="AB82" i="9"/>
  <c r="AA82" i="9"/>
  <c r="Z82" i="9"/>
  <c r="Y82" i="9"/>
  <c r="X82" i="9"/>
  <c r="W82" i="9"/>
  <c r="V82" i="9"/>
  <c r="U82" i="9"/>
  <c r="T82" i="9"/>
  <c r="S82" i="9"/>
  <c r="R82" i="9"/>
  <c r="Q82" i="9"/>
  <c r="P82" i="9"/>
  <c r="O82" i="9"/>
  <c r="N82" i="9"/>
  <c r="M82" i="9"/>
  <c r="L82" i="9"/>
  <c r="K82" i="9"/>
  <c r="J82" i="9"/>
  <c r="I82" i="9"/>
  <c r="H82" i="9"/>
  <c r="G82" i="9"/>
  <c r="F82" i="9"/>
  <c r="E82" i="9"/>
  <c r="D82" i="9"/>
  <c r="C82" i="9"/>
  <c r="B82" i="9"/>
  <c r="AA81" i="9"/>
  <c r="Z81" i="9"/>
  <c r="Y81" i="9"/>
  <c r="X81" i="9"/>
  <c r="W81" i="9"/>
  <c r="V81" i="9"/>
  <c r="U81" i="9"/>
  <c r="T81" i="9"/>
  <c r="S81" i="9"/>
  <c r="R81" i="9"/>
  <c r="Q81" i="9"/>
  <c r="P81" i="9"/>
  <c r="O81" i="9"/>
  <c r="N81" i="9"/>
  <c r="M81" i="9"/>
  <c r="L81" i="9"/>
  <c r="K81" i="9"/>
  <c r="J81" i="9"/>
  <c r="I81" i="9"/>
  <c r="H81" i="9"/>
  <c r="G81" i="9"/>
  <c r="F81" i="9"/>
  <c r="E81" i="9"/>
  <c r="D81" i="9"/>
  <c r="C81" i="9"/>
  <c r="B81" i="9"/>
  <c r="Z80" i="9"/>
  <c r="Y80" i="9"/>
  <c r="X80" i="9"/>
  <c r="W80" i="9"/>
  <c r="V80" i="9"/>
  <c r="U80" i="9"/>
  <c r="T80" i="9"/>
  <c r="S80" i="9"/>
  <c r="R80" i="9"/>
  <c r="Q80" i="9"/>
  <c r="P80" i="9"/>
  <c r="O80" i="9"/>
  <c r="N80" i="9"/>
  <c r="M80" i="9"/>
  <c r="L80" i="9"/>
  <c r="K80" i="9"/>
  <c r="J80" i="9"/>
  <c r="I80" i="9"/>
  <c r="H80" i="9"/>
  <c r="G80" i="9"/>
  <c r="F80" i="9"/>
  <c r="E80" i="9"/>
  <c r="D80" i="9"/>
  <c r="C80" i="9"/>
  <c r="B80" i="9"/>
  <c r="Y79" i="9"/>
  <c r="X79" i="9"/>
  <c r="W79" i="9"/>
  <c r="V79" i="9"/>
  <c r="U79" i="9"/>
  <c r="T79" i="9"/>
  <c r="S79" i="9"/>
  <c r="R79" i="9"/>
  <c r="Q79" i="9"/>
  <c r="P79" i="9"/>
  <c r="O79" i="9"/>
  <c r="N79" i="9"/>
  <c r="M79" i="9"/>
  <c r="L79" i="9"/>
  <c r="K79" i="9"/>
  <c r="J79" i="9"/>
  <c r="I79" i="9"/>
  <c r="H79" i="9"/>
  <c r="G79" i="9"/>
  <c r="F79" i="9"/>
  <c r="E79" i="9"/>
  <c r="D79" i="9"/>
  <c r="C79" i="9"/>
  <c r="B79" i="9"/>
  <c r="X78" i="9"/>
  <c r="W78" i="9"/>
  <c r="V78" i="9"/>
  <c r="U78" i="9"/>
  <c r="T78" i="9"/>
  <c r="S78" i="9"/>
  <c r="R78" i="9"/>
  <c r="Q78" i="9"/>
  <c r="P78" i="9"/>
  <c r="O78" i="9"/>
  <c r="N78" i="9"/>
  <c r="M78" i="9"/>
  <c r="L78" i="9"/>
  <c r="K78" i="9"/>
  <c r="J78" i="9"/>
  <c r="I78" i="9"/>
  <c r="H78" i="9"/>
  <c r="G78" i="9"/>
  <c r="F78" i="9"/>
  <c r="E78" i="9"/>
  <c r="D78" i="9"/>
  <c r="C78" i="9"/>
  <c r="B78" i="9"/>
  <c r="W77" i="9"/>
  <c r="V77" i="9"/>
  <c r="U77" i="9"/>
  <c r="T77" i="9"/>
  <c r="S77" i="9"/>
  <c r="R77" i="9"/>
  <c r="Q77" i="9"/>
  <c r="P77" i="9"/>
  <c r="O77" i="9"/>
  <c r="N77" i="9"/>
  <c r="M77" i="9"/>
  <c r="L77" i="9"/>
  <c r="K77" i="9"/>
  <c r="J77" i="9"/>
  <c r="I77" i="9"/>
  <c r="H77" i="9"/>
  <c r="G77" i="9"/>
  <c r="F77" i="9"/>
  <c r="E77" i="9"/>
  <c r="D77" i="9"/>
  <c r="C77" i="9"/>
  <c r="B77" i="9"/>
  <c r="V76" i="9"/>
  <c r="U76" i="9"/>
  <c r="T76" i="9"/>
  <c r="S76" i="9"/>
  <c r="R76" i="9"/>
  <c r="Q76" i="9"/>
  <c r="P76" i="9"/>
  <c r="O76" i="9"/>
  <c r="N76" i="9"/>
  <c r="M76" i="9"/>
  <c r="L76" i="9"/>
  <c r="K76" i="9"/>
  <c r="J76" i="9"/>
  <c r="I76" i="9"/>
  <c r="H76" i="9"/>
  <c r="G76" i="9"/>
  <c r="F76" i="9"/>
  <c r="E76" i="9"/>
  <c r="D76" i="9"/>
  <c r="C76" i="9"/>
  <c r="B76" i="9"/>
  <c r="U75" i="9"/>
  <c r="T75" i="9"/>
  <c r="S75" i="9"/>
  <c r="R75" i="9"/>
  <c r="Q75" i="9"/>
  <c r="P75" i="9"/>
  <c r="O75" i="9"/>
  <c r="N75" i="9"/>
  <c r="M75" i="9"/>
  <c r="L75" i="9"/>
  <c r="K75" i="9"/>
  <c r="J75" i="9"/>
  <c r="I75" i="9"/>
  <c r="H75" i="9"/>
  <c r="G75" i="9"/>
  <c r="F75" i="9"/>
  <c r="E75" i="9"/>
  <c r="D75" i="9"/>
  <c r="C75" i="9"/>
  <c r="B75" i="9"/>
  <c r="T74" i="9"/>
  <c r="S74" i="9"/>
  <c r="R74" i="9"/>
  <c r="Q74" i="9"/>
  <c r="P74" i="9"/>
  <c r="O74" i="9"/>
  <c r="N74" i="9"/>
  <c r="M74" i="9"/>
  <c r="L74" i="9"/>
  <c r="K74" i="9"/>
  <c r="J74" i="9"/>
  <c r="I74" i="9"/>
  <c r="H74" i="9"/>
  <c r="G74" i="9"/>
  <c r="F74" i="9"/>
  <c r="E74" i="9"/>
  <c r="D74" i="9"/>
  <c r="C74" i="9"/>
  <c r="B74" i="9"/>
  <c r="S73" i="9"/>
  <c r="R73" i="9"/>
  <c r="Q73" i="9"/>
  <c r="P73" i="9"/>
  <c r="O73" i="9"/>
  <c r="N73" i="9"/>
  <c r="M73" i="9"/>
  <c r="L73" i="9"/>
  <c r="K73" i="9"/>
  <c r="J73" i="9"/>
  <c r="I73" i="9"/>
  <c r="H73" i="9"/>
  <c r="G73" i="9"/>
  <c r="F73" i="9"/>
  <c r="E73" i="9"/>
  <c r="D73" i="9"/>
  <c r="C73" i="9"/>
  <c r="B73" i="9"/>
  <c r="R72" i="9"/>
  <c r="Q72" i="9"/>
  <c r="P72" i="9"/>
  <c r="O72" i="9"/>
  <c r="N72" i="9"/>
  <c r="M72" i="9"/>
  <c r="L72" i="9"/>
  <c r="K72" i="9"/>
  <c r="J72" i="9"/>
  <c r="I72" i="9"/>
  <c r="H72" i="9"/>
  <c r="G72" i="9"/>
  <c r="F72" i="9"/>
  <c r="E72" i="9"/>
  <c r="D72" i="9"/>
  <c r="C72" i="9"/>
  <c r="B72" i="9"/>
  <c r="Q71" i="9"/>
  <c r="P71" i="9"/>
  <c r="O71" i="9"/>
  <c r="N71" i="9"/>
  <c r="M71" i="9"/>
  <c r="L71" i="9"/>
  <c r="K71" i="9"/>
  <c r="J71" i="9"/>
  <c r="I71" i="9"/>
  <c r="H71" i="9"/>
  <c r="G71" i="9"/>
  <c r="F71" i="9"/>
  <c r="E71" i="9"/>
  <c r="D71" i="9"/>
  <c r="C71" i="9"/>
  <c r="B71" i="9"/>
  <c r="P70" i="9"/>
  <c r="O70" i="9"/>
  <c r="N70" i="9"/>
  <c r="M70" i="9"/>
  <c r="L70" i="9"/>
  <c r="K70" i="9"/>
  <c r="J70" i="9"/>
  <c r="I70" i="9"/>
  <c r="H70" i="9"/>
  <c r="G70" i="9"/>
  <c r="F70" i="9"/>
  <c r="E70" i="9"/>
  <c r="D70" i="9"/>
  <c r="C70" i="9"/>
  <c r="B70" i="9"/>
  <c r="O69" i="9"/>
  <c r="N69" i="9"/>
  <c r="M69" i="9"/>
  <c r="L69" i="9"/>
  <c r="K69" i="9"/>
  <c r="J69" i="9"/>
  <c r="I69" i="9"/>
  <c r="H69" i="9"/>
  <c r="G69" i="9"/>
  <c r="F69" i="9"/>
  <c r="E69" i="9"/>
  <c r="D69" i="9"/>
  <c r="C69" i="9"/>
  <c r="B69" i="9"/>
  <c r="N68" i="9"/>
  <c r="M68" i="9"/>
  <c r="L68" i="9"/>
  <c r="K68" i="9"/>
  <c r="J68" i="9"/>
  <c r="I68" i="9"/>
  <c r="H68" i="9"/>
  <c r="G68" i="9"/>
  <c r="F68" i="9"/>
  <c r="E68" i="9"/>
  <c r="D68" i="9"/>
  <c r="C68" i="9"/>
  <c r="B68" i="9"/>
  <c r="M67" i="9"/>
  <c r="L67" i="9"/>
  <c r="K67" i="9"/>
  <c r="J67" i="9"/>
  <c r="I67" i="9"/>
  <c r="H67" i="9"/>
  <c r="G67" i="9"/>
  <c r="F67" i="9"/>
  <c r="E67" i="9"/>
  <c r="D67" i="9"/>
  <c r="C67" i="9"/>
  <c r="B67" i="9"/>
  <c r="L66" i="9"/>
  <c r="K66" i="9"/>
  <c r="J66" i="9"/>
  <c r="I66" i="9"/>
  <c r="H66" i="9"/>
  <c r="G66" i="9"/>
  <c r="F66" i="9"/>
  <c r="E66" i="9"/>
  <c r="D66" i="9"/>
  <c r="C66" i="9"/>
  <c r="B66" i="9"/>
  <c r="K65" i="9"/>
  <c r="J65" i="9"/>
  <c r="I65" i="9"/>
  <c r="H65" i="9"/>
  <c r="G65" i="9"/>
  <c r="F65" i="9"/>
  <c r="E65" i="9"/>
  <c r="D65" i="9"/>
  <c r="C65" i="9"/>
  <c r="B65" i="9"/>
  <c r="J64" i="9"/>
  <c r="I64" i="9"/>
  <c r="H64" i="9"/>
  <c r="G64" i="9"/>
  <c r="F64" i="9"/>
  <c r="E64" i="9"/>
  <c r="D64" i="9"/>
  <c r="C64" i="9"/>
  <c r="B64" i="9"/>
  <c r="I63" i="9"/>
  <c r="H63" i="9"/>
  <c r="G63" i="9"/>
  <c r="F63" i="9"/>
  <c r="E63" i="9"/>
  <c r="D63" i="9"/>
  <c r="C63" i="9"/>
  <c r="B63" i="9"/>
  <c r="H62" i="9"/>
  <c r="G62" i="9"/>
  <c r="F62" i="9"/>
  <c r="E62" i="9"/>
  <c r="D62" i="9"/>
  <c r="C62" i="9"/>
  <c r="B62" i="9"/>
  <c r="G61" i="9"/>
  <c r="F61" i="9"/>
  <c r="E61" i="9"/>
  <c r="D61" i="9"/>
  <c r="C61" i="9"/>
  <c r="B61" i="9"/>
  <c r="F60" i="9"/>
  <c r="E60" i="9"/>
  <c r="D60" i="9"/>
  <c r="C60" i="9"/>
  <c r="B60" i="9"/>
  <c r="E59" i="9"/>
  <c r="D59" i="9"/>
  <c r="C59" i="9"/>
  <c r="B59" i="9"/>
  <c r="D58" i="9"/>
  <c r="C58" i="9"/>
  <c r="B58" i="9"/>
  <c r="C57" i="9"/>
  <c r="B57" i="9"/>
  <c r="B56" i="9"/>
  <c r="AL5" i="9"/>
  <c r="B4" i="9"/>
  <c r="B3" i="9"/>
  <c r="H10" i="8"/>
  <c r="G10" i="8"/>
  <c r="F10" i="8"/>
  <c r="L6" i="8"/>
  <c r="K6" i="8"/>
  <c r="J6" i="8"/>
  <c r="E5" i="8"/>
  <c r="D5" i="8"/>
  <c r="E4" i="8"/>
  <c r="E221" i="7"/>
  <c r="AV218" i="7"/>
  <c r="AW217" i="7" s="1"/>
  <c r="AU218" i="7"/>
  <c r="AV217" i="7" s="1"/>
  <c r="AS218" i="7"/>
  <c r="AT217" i="7" s="1"/>
  <c r="AF218" i="7"/>
  <c r="AG217" i="7" s="1"/>
  <c r="T218" i="7"/>
  <c r="P218" i="7"/>
  <c r="Q217" i="7" s="1"/>
  <c r="N218" i="7"/>
  <c r="O217" i="7" s="1"/>
  <c r="L218" i="7"/>
  <c r="M217" i="7" s="1"/>
  <c r="AX217" i="7"/>
  <c r="AS217" i="7"/>
  <c r="AK217" i="7"/>
  <c r="AI217" i="7"/>
  <c r="AH217" i="7"/>
  <c r="AF217" i="7"/>
  <c r="U217" i="7"/>
  <c r="R217" i="7"/>
  <c r="I217" i="7"/>
  <c r="G217" i="7"/>
  <c r="E217" i="7"/>
  <c r="E214" i="7"/>
  <c r="E209" i="7"/>
  <c r="E213" i="7" s="1"/>
  <c r="BF205" i="7"/>
  <c r="BF218" i="7" s="1"/>
  <c r="BE205" i="7"/>
  <c r="BE218" i="7" s="1"/>
  <c r="BF217" i="7" s="1"/>
  <c r="BC205" i="7"/>
  <c r="BC218" i="7" s="1"/>
  <c r="BD217" i="7" s="1"/>
  <c r="AZ205" i="7"/>
  <c r="AZ218" i="7" s="1"/>
  <c r="BA217" i="7" s="1"/>
  <c r="AX205" i="7"/>
  <c r="AX218" i="7" s="1"/>
  <c r="AY217" i="7" s="1"/>
  <c r="AR205" i="7"/>
  <c r="AR218" i="7" s="1"/>
  <c r="AP205" i="7"/>
  <c r="AP218" i="7" s="1"/>
  <c r="AQ217" i="7" s="1"/>
  <c r="AM205" i="7"/>
  <c r="AM218" i="7" s="1"/>
  <c r="AN217" i="7" s="1"/>
  <c r="AJ205" i="7"/>
  <c r="AJ218" i="7" s="1"/>
  <c r="AH205" i="7"/>
  <c r="AH218" i="7" s="1"/>
  <c r="AG205" i="7"/>
  <c r="AG218" i="7" s="1"/>
  <c r="AB205" i="7"/>
  <c r="AB218" i="7" s="1"/>
  <c r="AC217" i="7" s="1"/>
  <c r="Z205" i="7"/>
  <c r="Z218" i="7" s="1"/>
  <c r="AA217" i="7" s="1"/>
  <c r="Y205" i="7"/>
  <c r="Y218" i="7" s="1"/>
  <c r="Z217" i="7" s="1"/>
  <c r="W205" i="7"/>
  <c r="W218" i="7" s="1"/>
  <c r="X217" i="7" s="1"/>
  <c r="T205" i="7"/>
  <c r="R205" i="7"/>
  <c r="R218" i="7" s="1"/>
  <c r="S217" i="7" s="1"/>
  <c r="L205" i="7"/>
  <c r="J205" i="7"/>
  <c r="J218" i="7" s="1"/>
  <c r="K217" i="7" s="1"/>
  <c r="G205" i="7"/>
  <c r="G218" i="7" s="1"/>
  <c r="H217" i="7" s="1"/>
  <c r="BF201" i="7"/>
  <c r="BE201" i="7"/>
  <c r="BD201" i="7"/>
  <c r="BD205" i="7" s="1"/>
  <c r="BD218" i="7" s="1"/>
  <c r="BE217" i="7" s="1"/>
  <c r="BC201" i="7"/>
  <c r="BB201" i="7"/>
  <c r="BB205" i="7" s="1"/>
  <c r="BB218" i="7" s="1"/>
  <c r="BC217" i="7" s="1"/>
  <c r="BA201" i="7"/>
  <c r="BA205" i="7" s="1"/>
  <c r="BA218" i="7" s="1"/>
  <c r="BB217" i="7" s="1"/>
  <c r="AZ201" i="7"/>
  <c r="AY201" i="7"/>
  <c r="AY205" i="7" s="1"/>
  <c r="AY218" i="7" s="1"/>
  <c r="AZ217" i="7" s="1"/>
  <c r="AX201" i="7"/>
  <c r="AW201" i="7"/>
  <c r="AW205" i="7" s="1"/>
  <c r="AW218" i="7" s="1"/>
  <c r="AV201" i="7"/>
  <c r="AV205" i="7" s="1"/>
  <c r="AU201" i="7"/>
  <c r="AU205" i="7" s="1"/>
  <c r="AT201" i="7"/>
  <c r="AT205" i="7" s="1"/>
  <c r="AT218" i="7" s="1"/>
  <c r="AU217" i="7" s="1"/>
  <c r="AS201" i="7"/>
  <c r="AS205" i="7" s="1"/>
  <c r="AR201" i="7"/>
  <c r="AQ201" i="7"/>
  <c r="AQ205" i="7" s="1"/>
  <c r="AQ218" i="7" s="1"/>
  <c r="AR217" i="7" s="1"/>
  <c r="AP201" i="7"/>
  <c r="AO201" i="7"/>
  <c r="AO205" i="7" s="1"/>
  <c r="AO218" i="7" s="1"/>
  <c r="AP217" i="7" s="1"/>
  <c r="AN201" i="7"/>
  <c r="AN205" i="7" s="1"/>
  <c r="AN218" i="7" s="1"/>
  <c r="AO217" i="7" s="1"/>
  <c r="AM201" i="7"/>
  <c r="AL201" i="7"/>
  <c r="AL205" i="7" s="1"/>
  <c r="AL218" i="7" s="1"/>
  <c r="AM217" i="7" s="1"/>
  <c r="AK201" i="7"/>
  <c r="AK205" i="7" s="1"/>
  <c r="AK218" i="7" s="1"/>
  <c r="AL217" i="7" s="1"/>
  <c r="AJ201" i="7"/>
  <c r="AI201" i="7"/>
  <c r="AI205" i="7" s="1"/>
  <c r="AI218" i="7" s="1"/>
  <c r="AJ217" i="7" s="1"/>
  <c r="AH201" i="7"/>
  <c r="AG201" i="7"/>
  <c r="AF201" i="7"/>
  <c r="AF205" i="7" s="1"/>
  <c r="AE201" i="7"/>
  <c r="AE205" i="7" s="1"/>
  <c r="AE218" i="7" s="1"/>
  <c r="AD201" i="7"/>
  <c r="AD205" i="7" s="1"/>
  <c r="AD218" i="7" s="1"/>
  <c r="AE217" i="7" s="1"/>
  <c r="AC201" i="7"/>
  <c r="AC205" i="7" s="1"/>
  <c r="AC218" i="7" s="1"/>
  <c r="AD217" i="7" s="1"/>
  <c r="AB201" i="7"/>
  <c r="AA201" i="7"/>
  <c r="AA205" i="7" s="1"/>
  <c r="AA218" i="7" s="1"/>
  <c r="AB217" i="7" s="1"/>
  <c r="Z201" i="7"/>
  <c r="Y201" i="7"/>
  <c r="X201" i="7"/>
  <c r="X205" i="7" s="1"/>
  <c r="X218" i="7" s="1"/>
  <c r="Y217" i="7" s="1"/>
  <c r="W201" i="7"/>
  <c r="V201" i="7"/>
  <c r="V205" i="7" s="1"/>
  <c r="V218" i="7" s="1"/>
  <c r="W217" i="7" s="1"/>
  <c r="U201" i="7"/>
  <c r="U205" i="7" s="1"/>
  <c r="U218" i="7" s="1"/>
  <c r="V217" i="7" s="1"/>
  <c r="T201" i="7"/>
  <c r="S201" i="7"/>
  <c r="S205" i="7" s="1"/>
  <c r="S218" i="7" s="1"/>
  <c r="T217" i="7" s="1"/>
  <c r="R201" i="7"/>
  <c r="Q201" i="7"/>
  <c r="Q205" i="7" s="1"/>
  <c r="Q218" i="7" s="1"/>
  <c r="P201" i="7"/>
  <c r="P205" i="7" s="1"/>
  <c r="O201" i="7"/>
  <c r="O205" i="7" s="1"/>
  <c r="O218" i="7" s="1"/>
  <c r="P217" i="7" s="1"/>
  <c r="N201" i="7"/>
  <c r="N205" i="7" s="1"/>
  <c r="M201" i="7"/>
  <c r="M205" i="7" s="1"/>
  <c r="M218" i="7" s="1"/>
  <c r="N217" i="7" s="1"/>
  <c r="L201" i="7"/>
  <c r="K201" i="7"/>
  <c r="K205" i="7" s="1"/>
  <c r="K218" i="7" s="1"/>
  <c r="L217" i="7" s="1"/>
  <c r="J201" i="7"/>
  <c r="I201" i="7"/>
  <c r="I205" i="7" s="1"/>
  <c r="I218" i="7" s="1"/>
  <c r="J217" i="7" s="1"/>
  <c r="H201" i="7"/>
  <c r="H205" i="7" s="1"/>
  <c r="H218" i="7" s="1"/>
  <c r="G201" i="7"/>
  <c r="F201" i="7"/>
  <c r="F205" i="7" s="1"/>
  <c r="F218" i="7" s="1"/>
  <c r="E201" i="7"/>
  <c r="E205" i="7" s="1"/>
  <c r="E218" i="7" s="1"/>
  <c r="F217" i="7" s="1"/>
  <c r="BF194" i="7"/>
  <c r="BE194" i="7"/>
  <c r="BD194" i="7"/>
  <c r="BC194" i="7"/>
  <c r="BB194" i="7"/>
  <c r="BA194" i="7"/>
  <c r="AZ194" i="7"/>
  <c r="AY194" i="7"/>
  <c r="AX194" i="7"/>
  <c r="AW194" i="7"/>
  <c r="AV194" i="7"/>
  <c r="AU194" i="7"/>
  <c r="AT194" i="7"/>
  <c r="AS194" i="7"/>
  <c r="AR194" i="7"/>
  <c r="AQ194" i="7"/>
  <c r="AP194" i="7"/>
  <c r="AO194" i="7"/>
  <c r="AN194" i="7"/>
  <c r="AM194" i="7"/>
  <c r="AL194" i="7"/>
  <c r="AK194" i="7"/>
  <c r="AJ194" i="7"/>
  <c r="AI194" i="7"/>
  <c r="AH194" i="7"/>
  <c r="AG194" i="7"/>
  <c r="AF194" i="7"/>
  <c r="AE194" i="7"/>
  <c r="AD194" i="7"/>
  <c r="AC194" i="7"/>
  <c r="AB194" i="7"/>
  <c r="AA194" i="7"/>
  <c r="Z194" i="7"/>
  <c r="Y194" i="7"/>
  <c r="X194" i="7"/>
  <c r="W194" i="7"/>
  <c r="V194" i="7"/>
  <c r="U194" i="7"/>
  <c r="T194" i="7"/>
  <c r="S194" i="7"/>
  <c r="R194" i="7"/>
  <c r="Q194" i="7"/>
  <c r="P194" i="7"/>
  <c r="O194" i="7"/>
  <c r="N194" i="7"/>
  <c r="M194" i="7"/>
  <c r="L194" i="7"/>
  <c r="K194" i="7"/>
  <c r="J194" i="7"/>
  <c r="I194" i="7"/>
  <c r="H194" i="7"/>
  <c r="G194" i="7"/>
  <c r="F194" i="7"/>
  <c r="E194" i="7"/>
  <c r="E193" i="7"/>
  <c r="E126" i="7"/>
  <c r="E91" i="7"/>
  <c r="E90" i="7"/>
  <c r="E14" i="7"/>
  <c r="F6" i="7"/>
  <c r="G5" i="7"/>
  <c r="F5" i="7"/>
  <c r="E5" i="7"/>
  <c r="E73" i="6"/>
  <c r="E72" i="6"/>
  <c r="D72" i="6"/>
  <c r="E71" i="6"/>
  <c r="D71" i="6"/>
  <c r="C71" i="6"/>
  <c r="E70" i="6"/>
  <c r="D70" i="6"/>
  <c r="C70" i="6"/>
  <c r="E69" i="6"/>
  <c r="D69" i="6"/>
  <c r="C69" i="6"/>
  <c r="E68" i="6"/>
  <c r="D68" i="6"/>
  <c r="C68" i="6"/>
  <c r="E67" i="6"/>
  <c r="D67" i="6"/>
  <c r="C67" i="6"/>
  <c r="E66" i="6"/>
  <c r="D66" i="6"/>
  <c r="C66" i="6"/>
  <c r="E65" i="6"/>
  <c r="D65" i="6"/>
  <c r="C65" i="6"/>
  <c r="E64" i="6"/>
  <c r="D64" i="6"/>
  <c r="C64" i="6"/>
  <c r="E63" i="6"/>
  <c r="D63" i="6"/>
  <c r="C63" i="6"/>
  <c r="E62" i="6"/>
  <c r="F62" i="6" s="1"/>
  <c r="G62" i="6" s="1"/>
  <c r="D94" i="5" s="1"/>
  <c r="E94" i="5" s="1"/>
  <c r="F94" i="5" s="1"/>
  <c r="E115" i="7" s="1"/>
  <c r="D62" i="6"/>
  <c r="C62" i="6"/>
  <c r="E61" i="6"/>
  <c r="D61" i="6"/>
  <c r="F61" i="6" s="1"/>
  <c r="G61" i="6" s="1"/>
  <c r="D93" i="5" s="1"/>
  <c r="E93" i="5" s="1"/>
  <c r="F93" i="5" s="1"/>
  <c r="E114" i="7" s="1"/>
  <c r="C61" i="6"/>
  <c r="E60" i="6"/>
  <c r="F60" i="6" s="1"/>
  <c r="G60" i="6" s="1"/>
  <c r="D92" i="5" s="1"/>
  <c r="D60" i="6"/>
  <c r="C60" i="6"/>
  <c r="E59" i="6"/>
  <c r="D59" i="6"/>
  <c r="F59" i="6" s="1"/>
  <c r="G59" i="6" s="1"/>
  <c r="D91" i="5" s="1"/>
  <c r="C59" i="6"/>
  <c r="I33" i="6"/>
  <c r="H32" i="6"/>
  <c r="I31" i="6"/>
  <c r="H31" i="6"/>
  <c r="I30" i="6"/>
  <c r="I29" i="6"/>
  <c r="K20" i="6"/>
  <c r="E35" i="5" s="1"/>
  <c r="I20" i="6"/>
  <c r="H20" i="6"/>
  <c r="G20" i="6"/>
  <c r="L19" i="6"/>
  <c r="L18" i="6"/>
  <c r="L17" i="6"/>
  <c r="J20" i="6" s="1"/>
  <c r="E34" i="5" s="1"/>
  <c r="F106" i="5"/>
  <c r="F105" i="5"/>
  <c r="F104" i="5"/>
  <c r="E125" i="7" s="1"/>
  <c r="E103" i="5"/>
  <c r="F103" i="5" s="1"/>
  <c r="E124" i="7" s="1"/>
  <c r="F102" i="5"/>
  <c r="E123" i="7" s="1"/>
  <c r="E102" i="5"/>
  <c r="F101" i="5"/>
  <c r="E122" i="7" s="1"/>
  <c r="E101" i="5"/>
  <c r="E100" i="5"/>
  <c r="F100" i="5" s="1"/>
  <c r="E121" i="7" s="1"/>
  <c r="D99" i="5"/>
  <c r="E97" i="5" s="1"/>
  <c r="F97" i="5" s="1"/>
  <c r="E118" i="7" s="1"/>
  <c r="D98" i="5"/>
  <c r="D97" i="5"/>
  <c r="D96" i="5"/>
  <c r="E96" i="5" s="1"/>
  <c r="F96" i="5" s="1"/>
  <c r="E117" i="7" s="1"/>
  <c r="D95" i="5"/>
  <c r="E78" i="5"/>
  <c r="E71" i="5"/>
  <c r="E67" i="5"/>
  <c r="E66" i="5"/>
  <c r="E63" i="5"/>
  <c r="E89" i="7" s="1"/>
  <c r="E61" i="5"/>
  <c r="E86" i="7" s="1"/>
  <c r="E85" i="7" s="1"/>
  <c r="S50" i="5"/>
  <c r="R50" i="5"/>
  <c r="Q50" i="5"/>
  <c r="P50" i="5"/>
  <c r="O50" i="5"/>
  <c r="S47" i="5"/>
  <c r="R47" i="5"/>
  <c r="Q47" i="5"/>
  <c r="P47" i="5"/>
  <c r="O47" i="5"/>
  <c r="N47" i="5"/>
  <c r="S46" i="5"/>
  <c r="R46" i="5"/>
  <c r="R45" i="5" s="1"/>
  <c r="R19" i="5" s="1"/>
  <c r="Q46" i="5"/>
  <c r="P46" i="5"/>
  <c r="P45" i="5" s="1"/>
  <c r="P19" i="5" s="1"/>
  <c r="S45" i="5"/>
  <c r="Q45" i="5"/>
  <c r="S44" i="5"/>
  <c r="R44" i="5"/>
  <c r="Q44" i="5"/>
  <c r="P44" i="5"/>
  <c r="S42" i="5"/>
  <c r="R42" i="5"/>
  <c r="Q42" i="5"/>
  <c r="P42" i="5"/>
  <c r="S36" i="5"/>
  <c r="R36" i="5"/>
  <c r="Q36" i="5"/>
  <c r="P36" i="5"/>
  <c r="E31" i="5"/>
  <c r="C31" i="5"/>
  <c r="E30" i="5"/>
  <c r="C30" i="5"/>
  <c r="C28" i="5"/>
  <c r="C27" i="5"/>
  <c r="S19" i="5"/>
  <c r="Q19" i="5"/>
  <c r="F18" i="5"/>
  <c r="D12" i="7" s="1"/>
  <c r="E14" i="5"/>
  <c r="D19" i="5" s="1"/>
  <c r="E12" i="5"/>
  <c r="E10" i="5"/>
  <c r="H6" i="5"/>
  <c r="H5" i="5"/>
  <c r="H4" i="5"/>
  <c r="D2" i="5"/>
  <c r="C2" i="5"/>
  <c r="B2" i="5"/>
  <c r="I2" i="3"/>
  <c r="G2" i="3"/>
  <c r="F2" i="3"/>
  <c r="G1" i="3"/>
  <c r="I1" i="3" s="1"/>
  <c r="F1" i="3"/>
  <c r="U24" i="2"/>
  <c r="U26" i="2"/>
  <c r="U27" i="2"/>
  <c r="U25" i="2"/>
  <c r="U28" i="2"/>
  <c r="E18" i="5" l="1"/>
  <c r="E92" i="5"/>
  <c r="F92" i="5" s="1"/>
  <c r="E113" i="7" s="1"/>
  <c r="E117" i="5"/>
  <c r="E88" i="7"/>
  <c r="O46" i="5"/>
  <c r="E91" i="5"/>
  <c r="F91" i="5" s="1"/>
  <c r="E112" i="7" s="1"/>
  <c r="E99" i="5"/>
  <c r="F99" i="5" s="1"/>
  <c r="E120" i="7" s="1"/>
  <c r="BC54" i="9"/>
  <c r="AU54" i="9"/>
  <c r="AM54" i="9"/>
  <c r="AE54" i="9"/>
  <c r="W54" i="9"/>
  <c r="O54" i="9"/>
  <c r="G54" i="9"/>
  <c r="BB54" i="9"/>
  <c r="AT54" i="9"/>
  <c r="AL54" i="9"/>
  <c r="AD54" i="9"/>
  <c r="V54" i="9"/>
  <c r="N54" i="9"/>
  <c r="F54" i="9"/>
  <c r="BI54" i="9"/>
  <c r="BA54" i="9"/>
  <c r="AS54" i="9"/>
  <c r="AK54" i="9"/>
  <c r="AK55" i="9" s="1"/>
  <c r="AC54" i="9"/>
  <c r="AL64" i="9" s="1"/>
  <c r="U54" i="9"/>
  <c r="M54" i="9"/>
  <c r="E54" i="9"/>
  <c r="BE54" i="9"/>
  <c r="AQ54" i="9"/>
  <c r="AF54" i="9"/>
  <c r="R54" i="9"/>
  <c r="D54" i="9"/>
  <c r="BD54" i="9"/>
  <c r="AP54" i="9"/>
  <c r="AB54" i="9"/>
  <c r="Q54" i="9"/>
  <c r="C54" i="9"/>
  <c r="AZ54" i="9"/>
  <c r="AO54" i="9"/>
  <c r="AA54" i="9"/>
  <c r="P54" i="9"/>
  <c r="B54" i="9"/>
  <c r="AY54" i="9"/>
  <c r="AN54" i="9"/>
  <c r="Z54" i="9"/>
  <c r="L54" i="9"/>
  <c r="AX54" i="9"/>
  <c r="AJ54" i="9"/>
  <c r="Y54" i="9"/>
  <c r="K54" i="9"/>
  <c r="BH54" i="9"/>
  <c r="AW54" i="9"/>
  <c r="AI54" i="9"/>
  <c r="X54" i="9"/>
  <c r="BG54" i="9"/>
  <c r="AV54" i="9"/>
  <c r="AH54" i="9"/>
  <c r="T54" i="9"/>
  <c r="BF54" i="9"/>
  <c r="AR54" i="9"/>
  <c r="AG54" i="9"/>
  <c r="S54" i="9"/>
  <c r="E65" i="7"/>
  <c r="E73" i="7"/>
  <c r="E63" i="7"/>
  <c r="O36" i="5" s="1"/>
  <c r="N36" i="5" s="1"/>
  <c r="D27" i="7"/>
  <c r="D6" i="7"/>
  <c r="E6" i="7"/>
  <c r="D7" i="7"/>
  <c r="D18" i="5"/>
  <c r="C19" i="5" s="1"/>
  <c r="E95" i="5"/>
  <c r="F95" i="5" s="1"/>
  <c r="E116" i="7" s="1"/>
  <c r="E98" i="5"/>
  <c r="F98" i="5" s="1"/>
  <c r="E119" i="7" s="1"/>
  <c r="F11" i="7"/>
  <c r="F13" i="7"/>
  <c r="F202" i="7" s="1"/>
  <c r="F12" i="7"/>
  <c r="F14" i="7"/>
  <c r="H5" i="7"/>
  <c r="H6" i="7" s="1"/>
  <c r="G14" i="7"/>
  <c r="F19" i="5"/>
  <c r="C29" i="5"/>
  <c r="O44" i="5"/>
  <c r="N44" i="5" s="1"/>
  <c r="N50" i="5"/>
  <c r="G13" i="7"/>
  <c r="G202" i="7" s="1"/>
  <c r="D17" i="7"/>
  <c r="G6" i="7"/>
  <c r="U47" i="5"/>
  <c r="E177" i="7"/>
  <c r="E197" i="7"/>
  <c r="F193" i="7" s="1"/>
  <c r="F197" i="7" s="1"/>
  <c r="G193" i="7" s="1"/>
  <c r="E179" i="7"/>
  <c r="E96" i="7"/>
  <c r="E137" i="7"/>
  <c r="E106" i="7"/>
  <c r="E68" i="7" a="1"/>
  <c r="E68" i="7" s="1"/>
  <c r="E40" i="7"/>
  <c r="E13" i="7"/>
  <c r="E16" i="7" s="1"/>
  <c r="E107" i="7"/>
  <c r="E11" i="7"/>
  <c r="E36" i="7"/>
  <c r="E139" i="7" s="1"/>
  <c r="E29" i="7"/>
  <c r="F30" i="7" s="1"/>
  <c r="E105" i="7"/>
  <c r="E34" i="7"/>
  <c r="F35" i="7" s="1"/>
  <c r="F158" i="7" s="1"/>
  <c r="E31" i="7"/>
  <c r="E37" i="7"/>
  <c r="E104" i="7"/>
  <c r="I10" i="8"/>
  <c r="E195" i="7"/>
  <c r="E196" i="7"/>
  <c r="H54" i="9"/>
  <c r="E14" i="8"/>
  <c r="AL114" i="9"/>
  <c r="AL112" i="9"/>
  <c r="AL110" i="9"/>
  <c r="AL108" i="9"/>
  <c r="AL106" i="9"/>
  <c r="AL104" i="9"/>
  <c r="AL102" i="9"/>
  <c r="AL100" i="9"/>
  <c r="AL98" i="9"/>
  <c r="AL96" i="9"/>
  <c r="AL94" i="9"/>
  <c r="AL92" i="9"/>
  <c r="AL113" i="9"/>
  <c r="AL111" i="9"/>
  <c r="AL109" i="9"/>
  <c r="AL107" i="9"/>
  <c r="AL105" i="9"/>
  <c r="AL103" i="9"/>
  <c r="AL101" i="9"/>
  <c r="AL99" i="9"/>
  <c r="AL97" i="9"/>
  <c r="AL95" i="9"/>
  <c r="AL93" i="9"/>
  <c r="AL86" i="9"/>
  <c r="AL82" i="9"/>
  <c r="AL80" i="9"/>
  <c r="AL91" i="9"/>
  <c r="AL87" i="9"/>
  <c r="AL88" i="9"/>
  <c r="AL90" i="9"/>
  <c r="AL78" i="9"/>
  <c r="AL75" i="9"/>
  <c r="AL74" i="9"/>
  <c r="AL81" i="9"/>
  <c r="AL79" i="9"/>
  <c r="AL73" i="9"/>
  <c r="AL72" i="9"/>
  <c r="AL76" i="9"/>
  <c r="AL77" i="9"/>
  <c r="AL71" i="9"/>
  <c r="AL69" i="9"/>
  <c r="AL67" i="9"/>
  <c r="AL65" i="9"/>
  <c r="AL68" i="9"/>
  <c r="AL58" i="9"/>
  <c r="AL56" i="9"/>
  <c r="AL70" i="9"/>
  <c r="AL55" i="9"/>
  <c r="AL62" i="9"/>
  <c r="AL61" i="9"/>
  <c r="AL59" i="9"/>
  <c r="AL60" i="9"/>
  <c r="AM5" i="9"/>
  <c r="E222" i="7"/>
  <c r="C4" i="9"/>
  <c r="F4" i="8"/>
  <c r="J54" i="9"/>
  <c r="AL83" i="9" s="1"/>
  <c r="I54" i="9"/>
  <c r="G196" i="7" l="1"/>
  <c r="G195" i="7"/>
  <c r="G197" i="7"/>
  <c r="H193" i="7" s="1"/>
  <c r="F178" i="7"/>
  <c r="E100" i="7"/>
  <c r="E99" i="7" s="1"/>
  <c r="G4" i="8"/>
  <c r="F5" i="8"/>
  <c r="D4" i="9"/>
  <c r="D3" i="9" s="1"/>
  <c r="AM113" i="9"/>
  <c r="AM111" i="9"/>
  <c r="AM109" i="9"/>
  <c r="AM107" i="9"/>
  <c r="AM105" i="9"/>
  <c r="AM103" i="9"/>
  <c r="AM101" i="9"/>
  <c r="AM99" i="9"/>
  <c r="AM97" i="9"/>
  <c r="AM95" i="9"/>
  <c r="AM93" i="9"/>
  <c r="AM91" i="9"/>
  <c r="AM114" i="9"/>
  <c r="AM112" i="9"/>
  <c r="AM110" i="9"/>
  <c r="AM108" i="9"/>
  <c r="AM106" i="9"/>
  <c r="AM104" i="9"/>
  <c r="AM102" i="9"/>
  <c r="AM100" i="9"/>
  <c r="AM98" i="9"/>
  <c r="AM96" i="9"/>
  <c r="AM94" i="9"/>
  <c r="AM92" i="9"/>
  <c r="AM89" i="9"/>
  <c r="AM87" i="9"/>
  <c r="AM86" i="9"/>
  <c r="AM85" i="9"/>
  <c r="AM84" i="9"/>
  <c r="AM83" i="9"/>
  <c r="AM81" i="9"/>
  <c r="AM79" i="9"/>
  <c r="AM77" i="9"/>
  <c r="AM75" i="9"/>
  <c r="AM73" i="9"/>
  <c r="AM90" i="9"/>
  <c r="AM74" i="9"/>
  <c r="AM70" i="9"/>
  <c r="AM68" i="9"/>
  <c r="AM66" i="9"/>
  <c r="AM64" i="9"/>
  <c r="AM62" i="9"/>
  <c r="AM60" i="9"/>
  <c r="AM58" i="9"/>
  <c r="AM56" i="9"/>
  <c r="AM82" i="9"/>
  <c r="AM80" i="9"/>
  <c r="AM72" i="9"/>
  <c r="AM76" i="9"/>
  <c r="AM88" i="9"/>
  <c r="AM78" i="9"/>
  <c r="AM71" i="9"/>
  <c r="AM59" i="9"/>
  <c r="AM69" i="9"/>
  <c r="AM67" i="9"/>
  <c r="AM61" i="9"/>
  <c r="AM63" i="9"/>
  <c r="AM65" i="9"/>
  <c r="AM57" i="9"/>
  <c r="AM55" i="9"/>
  <c r="AN5" i="9"/>
  <c r="E103" i="7"/>
  <c r="E32" i="7"/>
  <c r="E154" i="7"/>
  <c r="E163" i="7"/>
  <c r="G11" i="7"/>
  <c r="G68" i="7" a="1"/>
  <c r="G68" i="7" s="1"/>
  <c r="G93" i="7"/>
  <c r="F138" i="7"/>
  <c r="F68" i="7" a="1"/>
  <c r="F68" i="7" s="1"/>
  <c r="F153" i="7"/>
  <c r="F173" i="7"/>
  <c r="E51" i="7"/>
  <c r="E202" i="7"/>
  <c r="D44" i="7"/>
  <c r="AK72" i="9"/>
  <c r="AG68" i="9"/>
  <c r="Y60" i="9"/>
  <c r="AJ71" i="9"/>
  <c r="AB63" i="9"/>
  <c r="AE66" i="9"/>
  <c r="W58" i="9"/>
  <c r="AD65" i="9"/>
  <c r="AF67" i="9"/>
  <c r="AI70" i="9"/>
  <c r="U56" i="9"/>
  <c r="AC64" i="9"/>
  <c r="AH69" i="9"/>
  <c r="X59" i="9"/>
  <c r="T55" i="9"/>
  <c r="Z61" i="9"/>
  <c r="AA62" i="9"/>
  <c r="V57" i="9"/>
  <c r="AG77" i="9"/>
  <c r="AE75" i="9"/>
  <c r="AD74" i="9"/>
  <c r="U65" i="9"/>
  <c r="X68" i="9"/>
  <c r="P60" i="9"/>
  <c r="AF76" i="9"/>
  <c r="AC73" i="9"/>
  <c r="AA71" i="9"/>
  <c r="S63" i="9"/>
  <c r="AK81" i="9"/>
  <c r="AJ80" i="9"/>
  <c r="AB72" i="9"/>
  <c r="AI79" i="9"/>
  <c r="AH78" i="9"/>
  <c r="Z70" i="9"/>
  <c r="K55" i="9"/>
  <c r="V66" i="9"/>
  <c r="T64" i="9"/>
  <c r="Q61" i="9"/>
  <c r="O59" i="9"/>
  <c r="Y69" i="9"/>
  <c r="R62" i="9"/>
  <c r="W67" i="9"/>
  <c r="M57" i="9"/>
  <c r="N58" i="9"/>
  <c r="L56" i="9"/>
  <c r="AK90" i="9"/>
  <c r="AH87" i="9"/>
  <c r="AJ89" i="9"/>
  <c r="U74" i="9"/>
  <c r="AE84" i="9"/>
  <c r="X77" i="9"/>
  <c r="AD83" i="9"/>
  <c r="AI88" i="9"/>
  <c r="AF85" i="9"/>
  <c r="Z79" i="9"/>
  <c r="AB81" i="9"/>
  <c r="Q70" i="9"/>
  <c r="I62" i="9"/>
  <c r="AA80" i="9"/>
  <c r="W76" i="9"/>
  <c r="T73" i="9"/>
  <c r="L65" i="9"/>
  <c r="O68" i="9"/>
  <c r="G60" i="9"/>
  <c r="Y78" i="9"/>
  <c r="V75" i="9"/>
  <c r="AG86" i="9"/>
  <c r="AC82" i="9"/>
  <c r="N67" i="9"/>
  <c r="B55" i="9"/>
  <c r="R71" i="9"/>
  <c r="S72" i="9"/>
  <c r="P69" i="9"/>
  <c r="H61" i="9"/>
  <c r="F59" i="9"/>
  <c r="K64" i="9"/>
  <c r="J63" i="9"/>
  <c r="E58" i="9"/>
  <c r="C56" i="9"/>
  <c r="M66" i="9"/>
  <c r="D57" i="9"/>
  <c r="AG75" i="9"/>
  <c r="AJ78" i="9"/>
  <c r="AE73" i="9"/>
  <c r="AH76" i="9"/>
  <c r="AC71" i="9"/>
  <c r="U63" i="9"/>
  <c r="X66" i="9"/>
  <c r="AI77" i="9"/>
  <c r="AA69" i="9"/>
  <c r="S61" i="9"/>
  <c r="AD72" i="9"/>
  <c r="AK79" i="9"/>
  <c r="AF74" i="9"/>
  <c r="Z68" i="9"/>
  <c r="T62" i="9"/>
  <c r="O57" i="9"/>
  <c r="N56" i="9"/>
  <c r="R60" i="9"/>
  <c r="Y67" i="9"/>
  <c r="AB70" i="9"/>
  <c r="V64" i="9"/>
  <c r="Q59" i="9"/>
  <c r="W65" i="9"/>
  <c r="P58" i="9"/>
  <c r="M55" i="9"/>
  <c r="AK78" i="9"/>
  <c r="AI76" i="9"/>
  <c r="AF73" i="9"/>
  <c r="Y66" i="9"/>
  <c r="AJ77" i="9"/>
  <c r="AB69" i="9"/>
  <c r="T61" i="9"/>
  <c r="AE72" i="9"/>
  <c r="W64" i="9"/>
  <c r="AH75" i="9"/>
  <c r="AG74" i="9"/>
  <c r="AD71" i="9"/>
  <c r="AA68" i="9"/>
  <c r="P57" i="9"/>
  <c r="O56" i="9"/>
  <c r="S60" i="9"/>
  <c r="Z67" i="9"/>
  <c r="AC70" i="9"/>
  <c r="X65" i="9"/>
  <c r="V63" i="9"/>
  <c r="U62" i="9"/>
  <c r="R59" i="9"/>
  <c r="Q58" i="9"/>
  <c r="N55" i="9"/>
  <c r="AK69" i="9"/>
  <c r="AC61" i="9"/>
  <c r="AF64" i="9"/>
  <c r="AI67" i="9"/>
  <c r="AA59" i="9"/>
  <c r="AH66" i="9"/>
  <c r="Y57" i="9"/>
  <c r="AE63" i="9"/>
  <c r="AD62" i="9"/>
  <c r="AJ68" i="9"/>
  <c r="AG65" i="9"/>
  <c r="X56" i="9"/>
  <c r="Z58" i="9"/>
  <c r="AB60" i="9"/>
  <c r="W55" i="9"/>
  <c r="N46" i="5"/>
  <c r="O45" i="5"/>
  <c r="AG79" i="9"/>
  <c r="AE77" i="9"/>
  <c r="AH80" i="9"/>
  <c r="U67" i="9"/>
  <c r="M59" i="9"/>
  <c r="AF78" i="9"/>
  <c r="AB74" i="9"/>
  <c r="X70" i="9"/>
  <c r="P62" i="9"/>
  <c r="S65" i="9"/>
  <c r="K57" i="9"/>
  <c r="AK83" i="9"/>
  <c r="AD76" i="9"/>
  <c r="AA73" i="9"/>
  <c r="AJ82" i="9"/>
  <c r="AI81" i="9"/>
  <c r="AC75" i="9"/>
  <c r="Z72" i="9"/>
  <c r="R64" i="9"/>
  <c r="V68" i="9"/>
  <c r="Q63" i="9"/>
  <c r="I55" i="9"/>
  <c r="T66" i="9"/>
  <c r="W69" i="9"/>
  <c r="Y71" i="9"/>
  <c r="L58" i="9"/>
  <c r="J56" i="9"/>
  <c r="N60" i="9"/>
  <c r="O61" i="9"/>
  <c r="O42" i="5"/>
  <c r="AJ55" i="9"/>
  <c r="AK56" i="9"/>
  <c r="AK65" i="9"/>
  <c r="AF60" i="9"/>
  <c r="AI63" i="9"/>
  <c r="AH62" i="9"/>
  <c r="AA55" i="9"/>
  <c r="AJ64" i="9"/>
  <c r="AG61" i="9"/>
  <c r="AE59" i="9"/>
  <c r="AD58" i="9"/>
  <c r="AC57" i="9"/>
  <c r="AB56" i="9"/>
  <c r="AH85" i="9"/>
  <c r="AF83" i="9"/>
  <c r="AE82" i="9"/>
  <c r="AD81" i="9"/>
  <c r="AA78" i="9"/>
  <c r="AK88" i="9"/>
  <c r="AG84" i="9"/>
  <c r="Z77" i="9"/>
  <c r="Q68" i="9"/>
  <c r="I60" i="9"/>
  <c r="AB79" i="9"/>
  <c r="T71" i="9"/>
  <c r="L63" i="9"/>
  <c r="O66" i="9"/>
  <c r="G58" i="9"/>
  <c r="X75" i="9"/>
  <c r="AI86" i="9"/>
  <c r="U72" i="9"/>
  <c r="W74" i="9"/>
  <c r="AJ87" i="9"/>
  <c r="AC80" i="9"/>
  <c r="Y76" i="9"/>
  <c r="V73" i="9"/>
  <c r="N65" i="9"/>
  <c r="P67" i="9"/>
  <c r="S70" i="9"/>
  <c r="F57" i="9"/>
  <c r="E56" i="9"/>
  <c r="M64" i="9"/>
  <c r="R69" i="9"/>
  <c r="J61" i="9"/>
  <c r="K62" i="9"/>
  <c r="D55" i="9"/>
  <c r="H59" i="9"/>
  <c r="AK63" i="9"/>
  <c r="AF58" i="9"/>
  <c r="AI61" i="9"/>
  <c r="AH60" i="9"/>
  <c r="AD56" i="9"/>
  <c r="AE57" i="9"/>
  <c r="AJ62" i="9"/>
  <c r="AC55" i="9"/>
  <c r="AG59" i="9"/>
  <c r="AG58" i="9"/>
  <c r="AJ61" i="9"/>
  <c r="AE56" i="9"/>
  <c r="AF57" i="9"/>
  <c r="AI60" i="9"/>
  <c r="AK62" i="9"/>
  <c r="AD55" i="9"/>
  <c r="AH59" i="9"/>
  <c r="AL63" i="9"/>
  <c r="E174" i="7"/>
  <c r="AC74" i="9"/>
  <c r="AF77" i="9"/>
  <c r="AH79" i="9"/>
  <c r="AG78" i="9"/>
  <c r="Y70" i="9"/>
  <c r="Q62" i="9"/>
  <c r="T65" i="9"/>
  <c r="W68" i="9"/>
  <c r="O60" i="9"/>
  <c r="AE76" i="9"/>
  <c r="AB73" i="9"/>
  <c r="AK82" i="9"/>
  <c r="AJ81" i="9"/>
  <c r="AI80" i="9"/>
  <c r="AD75" i="9"/>
  <c r="AA72" i="9"/>
  <c r="V67" i="9"/>
  <c r="R63" i="9"/>
  <c r="J55" i="9"/>
  <c r="U66" i="9"/>
  <c r="S64" i="9"/>
  <c r="P61" i="9"/>
  <c r="N59" i="9"/>
  <c r="X69" i="9"/>
  <c r="Z71" i="9"/>
  <c r="L57" i="9"/>
  <c r="M58" i="9"/>
  <c r="K56" i="9"/>
  <c r="AL66" i="9"/>
  <c r="AL84" i="9"/>
  <c r="J10" i="8"/>
  <c r="E140" i="7"/>
  <c r="U50" i="5"/>
  <c r="E18" i="7"/>
  <c r="E62" i="7" s="1"/>
  <c r="U36" i="5"/>
  <c r="AH55" i="9"/>
  <c r="AJ57" i="9"/>
  <c r="AK58" i="9"/>
  <c r="AI56" i="9"/>
  <c r="AK67" i="9"/>
  <c r="AC59" i="9"/>
  <c r="AF62" i="9"/>
  <c r="AI65" i="9"/>
  <c r="AA57" i="9"/>
  <c r="AH64" i="9"/>
  <c r="AE61" i="9"/>
  <c r="AD60" i="9"/>
  <c r="AB58" i="9"/>
  <c r="Y55" i="9"/>
  <c r="AJ66" i="9"/>
  <c r="AG63" i="9"/>
  <c r="Z56" i="9"/>
  <c r="AK76" i="9"/>
  <c r="AI74" i="9"/>
  <c r="AG72" i="9"/>
  <c r="Y64" i="9"/>
  <c r="AB67" i="9"/>
  <c r="T59" i="9"/>
  <c r="AJ75" i="9"/>
  <c r="AE70" i="9"/>
  <c r="W62" i="9"/>
  <c r="AH73" i="9"/>
  <c r="AD69" i="9"/>
  <c r="AA66" i="9"/>
  <c r="S58" i="9"/>
  <c r="Z65" i="9"/>
  <c r="AF71" i="9"/>
  <c r="AC68" i="9"/>
  <c r="V61" i="9"/>
  <c r="U60" i="9"/>
  <c r="R57" i="9"/>
  <c r="P55" i="9"/>
  <c r="Q56" i="9"/>
  <c r="X63" i="9"/>
  <c r="AK71" i="9"/>
  <c r="AC63" i="9"/>
  <c r="AF66" i="9"/>
  <c r="AI69" i="9"/>
  <c r="AA61" i="9"/>
  <c r="AH68" i="9"/>
  <c r="AJ70" i="9"/>
  <c r="AE65" i="9"/>
  <c r="V56" i="9"/>
  <c r="Y59" i="9"/>
  <c r="W57" i="9"/>
  <c r="AG67" i="9"/>
  <c r="U55" i="9"/>
  <c r="X58" i="9"/>
  <c r="AB62" i="9"/>
  <c r="Z60" i="9"/>
  <c r="AD64" i="9"/>
  <c r="AG66" i="9"/>
  <c r="AJ69" i="9"/>
  <c r="AB61" i="9"/>
  <c r="AE64" i="9"/>
  <c r="AF65" i="9"/>
  <c r="W56" i="9"/>
  <c r="Z59" i="9"/>
  <c r="X57" i="9"/>
  <c r="AD63" i="9"/>
  <c r="AC62" i="9"/>
  <c r="AI68" i="9"/>
  <c r="AH67" i="9"/>
  <c r="AK70" i="9"/>
  <c r="V55" i="9"/>
  <c r="Y58" i="9"/>
  <c r="AA60" i="9"/>
  <c r="AK61" i="9"/>
  <c r="AI59" i="9"/>
  <c r="AF56" i="9"/>
  <c r="AG57" i="9"/>
  <c r="AJ60" i="9"/>
  <c r="AE55" i="9"/>
  <c r="AH58" i="9"/>
  <c r="H197" i="7"/>
  <c r="I193" i="7" s="1"/>
  <c r="H93" i="7"/>
  <c r="I5" i="7"/>
  <c r="H14" i="7"/>
  <c r="H12" i="7"/>
  <c r="H68" i="7" a="1"/>
  <c r="H68" i="7" s="1"/>
  <c r="H32" i="7"/>
  <c r="H175" i="7" s="1"/>
  <c r="H40" i="7"/>
  <c r="H143" i="7" s="1"/>
  <c r="H13" i="7"/>
  <c r="H202" i="7" s="1"/>
  <c r="H11" i="7"/>
  <c r="F141" i="7"/>
  <c r="F38" i="7"/>
  <c r="F161" i="7" s="1"/>
  <c r="AK74" i="9"/>
  <c r="AI72" i="9"/>
  <c r="AG70" i="9"/>
  <c r="Y62" i="9"/>
  <c r="AB65" i="9"/>
  <c r="AE68" i="9"/>
  <c r="W60" i="9"/>
  <c r="AJ73" i="9"/>
  <c r="AD67" i="9"/>
  <c r="R55" i="9"/>
  <c r="AH71" i="9"/>
  <c r="AC66" i="9"/>
  <c r="AF69" i="9"/>
  <c r="U58" i="9"/>
  <c r="T57" i="9"/>
  <c r="V59" i="9"/>
  <c r="S56" i="9"/>
  <c r="Z63" i="9"/>
  <c r="X61" i="9"/>
  <c r="AA64" i="9"/>
  <c r="AL89" i="9"/>
  <c r="D45" i="7" a="1"/>
  <c r="D45" i="7" s="1"/>
  <c r="E12" i="7"/>
  <c r="F32" i="7"/>
  <c r="E35" i="7"/>
  <c r="E138" i="7" s="1"/>
  <c r="E30" i="7"/>
  <c r="E33" i="7"/>
  <c r="E39" i="7"/>
  <c r="E79" i="7"/>
  <c r="E28" i="7"/>
  <c r="AC65" i="9"/>
  <c r="AF68" i="9"/>
  <c r="X60" i="9"/>
  <c r="AI71" i="9"/>
  <c r="AA63" i="9"/>
  <c r="AK73" i="9"/>
  <c r="AJ72" i="9"/>
  <c r="AH70" i="9"/>
  <c r="S55" i="9"/>
  <c r="AE67" i="9"/>
  <c r="AD66" i="9"/>
  <c r="AG69" i="9"/>
  <c r="W59" i="9"/>
  <c r="T56" i="9"/>
  <c r="V58" i="9"/>
  <c r="Y61" i="9"/>
  <c r="AB64" i="9"/>
  <c r="Z62" i="9"/>
  <c r="U57" i="9"/>
  <c r="AG64" i="9"/>
  <c r="AJ67" i="9"/>
  <c r="AB59" i="9"/>
  <c r="AE62" i="9"/>
  <c r="AF63" i="9"/>
  <c r="AK68" i="9"/>
  <c r="AD61" i="9"/>
  <c r="AC60" i="9"/>
  <c r="AA58" i="9"/>
  <c r="AI66" i="9"/>
  <c r="Z57" i="9"/>
  <c r="Y56" i="9"/>
  <c r="AH65" i="9"/>
  <c r="X55" i="9"/>
  <c r="AI78" i="9"/>
  <c r="AH77" i="9"/>
  <c r="Y68" i="9"/>
  <c r="Q60" i="9"/>
  <c r="AG76" i="9"/>
  <c r="AD73" i="9"/>
  <c r="AB71" i="9"/>
  <c r="T63" i="9"/>
  <c r="W66" i="9"/>
  <c r="O58" i="9"/>
  <c r="AK80" i="9"/>
  <c r="AC72" i="9"/>
  <c r="AJ79" i="9"/>
  <c r="AF75" i="9"/>
  <c r="AE74" i="9"/>
  <c r="V65" i="9"/>
  <c r="U64" i="9"/>
  <c r="R61" i="9"/>
  <c r="P59" i="9"/>
  <c r="Z69" i="9"/>
  <c r="S62" i="9"/>
  <c r="N57" i="9"/>
  <c r="M56" i="9"/>
  <c r="X67" i="9"/>
  <c r="AA70" i="9"/>
  <c r="L55" i="9"/>
  <c r="AJ59" i="9"/>
  <c r="AH57" i="9"/>
  <c r="AG56" i="9"/>
  <c r="AK60" i="9"/>
  <c r="AF55" i="9"/>
  <c r="AI58" i="9"/>
  <c r="E41" i="7"/>
  <c r="E157" i="7"/>
  <c r="E133" i="7"/>
  <c r="E159" i="7"/>
  <c r="E132" i="7"/>
  <c r="E151" i="7"/>
  <c r="G31" i="7"/>
  <c r="G154" i="7" s="1"/>
  <c r="G36" i="7"/>
  <c r="G159" i="7" s="1"/>
  <c r="G139" i="7"/>
  <c r="F16" i="7"/>
  <c r="G16" i="7" s="1"/>
  <c r="F29" i="7"/>
  <c r="F172" i="7" s="1"/>
  <c r="F37" i="7"/>
  <c r="AK59" i="9"/>
  <c r="AK27" i="9" s="1" a="1"/>
  <c r="AK27" i="9" s="1"/>
  <c r="AI57" i="9"/>
  <c r="AG55" i="9"/>
  <c r="AJ58" i="9"/>
  <c r="AH56" i="9"/>
  <c r="AI55" i="9"/>
  <c r="AK57" i="9"/>
  <c r="AK16" i="9" s="1" a="1"/>
  <c r="AK16" i="9" s="1"/>
  <c r="AJ56" i="9"/>
  <c r="AG62" i="9"/>
  <c r="AJ65" i="9"/>
  <c r="AE60" i="9"/>
  <c r="AF61" i="9"/>
  <c r="AD59" i="9"/>
  <c r="AC58" i="9"/>
  <c r="Z55" i="9"/>
  <c r="AK66" i="9"/>
  <c r="AI64" i="9"/>
  <c r="AH63" i="9"/>
  <c r="AB57" i="9"/>
  <c r="AA56" i="9"/>
  <c r="AJ88" i="9"/>
  <c r="AD82" i="9"/>
  <c r="AF84" i="9"/>
  <c r="Y77" i="9"/>
  <c r="AE83" i="9"/>
  <c r="W75" i="9"/>
  <c r="AK89" i="9"/>
  <c r="AI87" i="9"/>
  <c r="AB80" i="9"/>
  <c r="X76" i="9"/>
  <c r="U73" i="9"/>
  <c r="M65" i="9"/>
  <c r="P68" i="9"/>
  <c r="H60" i="9"/>
  <c r="AG85" i="9"/>
  <c r="AA79" i="9"/>
  <c r="S71" i="9"/>
  <c r="K63" i="9"/>
  <c r="Z78" i="9"/>
  <c r="AH86" i="9"/>
  <c r="T72" i="9"/>
  <c r="V74" i="9"/>
  <c r="AC81" i="9"/>
  <c r="R70" i="9"/>
  <c r="C55" i="9"/>
  <c r="O67" i="9"/>
  <c r="E57" i="9"/>
  <c r="N66" i="9"/>
  <c r="Q69" i="9"/>
  <c r="J62" i="9"/>
  <c r="G59" i="9"/>
  <c r="L64" i="9"/>
  <c r="F58" i="9"/>
  <c r="I61" i="9"/>
  <c r="D56" i="9"/>
  <c r="C3" i="9"/>
  <c r="E143" i="7"/>
  <c r="E152" i="7"/>
  <c r="AC67" i="9"/>
  <c r="U59" i="9"/>
  <c r="AK75" i="9"/>
  <c r="AF70" i="9"/>
  <c r="X62" i="9"/>
  <c r="AA65" i="9"/>
  <c r="S57" i="9"/>
  <c r="AJ74" i="9"/>
  <c r="AI73" i="9"/>
  <c r="AH72" i="9"/>
  <c r="Z64" i="9"/>
  <c r="AE69" i="9"/>
  <c r="T58" i="9"/>
  <c r="Q55" i="9"/>
  <c r="AG71" i="9"/>
  <c r="AD68" i="9"/>
  <c r="AB66" i="9"/>
  <c r="R56" i="9"/>
  <c r="Y63" i="9"/>
  <c r="V60" i="9"/>
  <c r="W61" i="9"/>
  <c r="Y73" i="9"/>
  <c r="AF80" i="9"/>
  <c r="AE79" i="9"/>
  <c r="AH82" i="9"/>
  <c r="AG81" i="9"/>
  <c r="AD78" i="9"/>
  <c r="U69" i="9"/>
  <c r="M61" i="9"/>
  <c r="AA75" i="9"/>
  <c r="X72" i="9"/>
  <c r="P64" i="9"/>
  <c r="Z74" i="9"/>
  <c r="S67" i="9"/>
  <c r="K59" i="9"/>
  <c r="AJ84" i="9"/>
  <c r="AC77" i="9"/>
  <c r="AB76" i="9"/>
  <c r="AI83" i="9"/>
  <c r="AK85" i="9"/>
  <c r="R66" i="9"/>
  <c r="W71" i="9"/>
  <c r="J58" i="9"/>
  <c r="T68" i="9"/>
  <c r="V70" i="9"/>
  <c r="Q65" i="9"/>
  <c r="H56" i="9"/>
  <c r="O63" i="9"/>
  <c r="N62" i="9"/>
  <c r="L60" i="9"/>
  <c r="G55" i="9"/>
  <c r="I57" i="9"/>
  <c r="G39" i="7"/>
  <c r="G162" i="7" s="1"/>
  <c r="U44" i="5"/>
  <c r="F195" i="7"/>
  <c r="F196" i="7"/>
  <c r="AL25" i="9" a="1"/>
  <c r="AL25" i="9" s="1"/>
  <c r="AH81" i="9"/>
  <c r="AG80" i="9"/>
  <c r="AC76" i="9"/>
  <c r="AF79" i="9"/>
  <c r="AA74" i="9"/>
  <c r="AB75" i="9"/>
  <c r="Y72" i="9"/>
  <c r="Q64" i="9"/>
  <c r="T67" i="9"/>
  <c r="L59" i="9"/>
  <c r="AK84" i="9"/>
  <c r="AE78" i="9"/>
  <c r="W70" i="9"/>
  <c r="O62" i="9"/>
  <c r="AD77" i="9"/>
  <c r="AJ83" i="9"/>
  <c r="Z73" i="9"/>
  <c r="AI82" i="9"/>
  <c r="V69" i="9"/>
  <c r="X71" i="9"/>
  <c r="K58" i="9"/>
  <c r="U68" i="9"/>
  <c r="P63" i="9"/>
  <c r="S66" i="9"/>
  <c r="N61" i="9"/>
  <c r="H55" i="9"/>
  <c r="I56" i="9"/>
  <c r="J57" i="9"/>
  <c r="R65" i="9"/>
  <c r="M60" i="9"/>
  <c r="E95" i="7"/>
  <c r="E134" i="7"/>
  <c r="E223" i="7"/>
  <c r="F221" i="7"/>
  <c r="AL57" i="9"/>
  <c r="AL85" i="9"/>
  <c r="E162" i="7"/>
  <c r="E38" i="7"/>
  <c r="E172" i="7"/>
  <c r="E160" i="7"/>
  <c r="E136" i="7"/>
  <c r="E155" i="7"/>
  <c r="G12" i="7"/>
  <c r="F33" i="7"/>
  <c r="F176" i="7" s="1"/>
  <c r="F133" i="7"/>
  <c r="F160" i="7"/>
  <c r="F93" i="7"/>
  <c r="F41" i="7"/>
  <c r="F144" i="7" s="1"/>
  <c r="AG60" i="9"/>
  <c r="AJ63" i="9"/>
  <c r="AE58" i="9"/>
  <c r="AK64" i="9"/>
  <c r="AC56" i="9"/>
  <c r="AI62" i="9"/>
  <c r="AB55" i="9"/>
  <c r="AF59" i="9"/>
  <c r="AH61" i="9"/>
  <c r="AD57" i="9"/>
  <c r="AD80" i="9"/>
  <c r="Y75" i="9"/>
  <c r="AF82" i="9"/>
  <c r="AE81" i="9"/>
  <c r="AB78" i="9"/>
  <c r="AK87" i="9"/>
  <c r="W73" i="9"/>
  <c r="AG83" i="9"/>
  <c r="AC79" i="9"/>
  <c r="U71" i="9"/>
  <c r="M63" i="9"/>
  <c r="AI85" i="9"/>
  <c r="P66" i="9"/>
  <c r="S69" i="9"/>
  <c r="K61" i="9"/>
  <c r="AJ86" i="9"/>
  <c r="X74" i="9"/>
  <c r="AH84" i="9"/>
  <c r="AA77" i="9"/>
  <c r="Z76" i="9"/>
  <c r="R68" i="9"/>
  <c r="T70" i="9"/>
  <c r="G57" i="9"/>
  <c r="O65" i="9"/>
  <c r="F56" i="9"/>
  <c r="V72" i="9"/>
  <c r="Q67" i="9"/>
  <c r="J60" i="9"/>
  <c r="N64" i="9"/>
  <c r="H58" i="9"/>
  <c r="L62" i="9"/>
  <c r="E55" i="9"/>
  <c r="I59" i="9"/>
  <c r="AH83" i="9"/>
  <c r="AG82" i="9"/>
  <c r="AF81" i="9"/>
  <c r="AC78" i="9"/>
  <c r="AK86" i="9"/>
  <c r="AE80" i="9"/>
  <c r="AA76" i="9"/>
  <c r="AJ85" i="9"/>
  <c r="Q66" i="9"/>
  <c r="T69" i="9"/>
  <c r="L61" i="9"/>
  <c r="Z75" i="9"/>
  <c r="W72" i="9"/>
  <c r="O64" i="9"/>
  <c r="Y74" i="9"/>
  <c r="AI84" i="9"/>
  <c r="AB77" i="9"/>
  <c r="X73" i="9"/>
  <c r="AD79" i="9"/>
  <c r="V71" i="9"/>
  <c r="P65" i="9"/>
  <c r="G56" i="9"/>
  <c r="I58" i="9"/>
  <c r="S68" i="9"/>
  <c r="R67" i="9"/>
  <c r="U70" i="9"/>
  <c r="H57" i="9"/>
  <c r="N63" i="9"/>
  <c r="M62" i="9"/>
  <c r="K60" i="9"/>
  <c r="F55" i="9"/>
  <c r="J59" i="9"/>
  <c r="AG73" i="9"/>
  <c r="AK77" i="9"/>
  <c r="AC69" i="9"/>
  <c r="U61" i="9"/>
  <c r="AF72" i="9"/>
  <c r="X64" i="9"/>
  <c r="AA67" i="9"/>
  <c r="S59" i="9"/>
  <c r="AI75" i="9"/>
  <c r="AH74" i="9"/>
  <c r="AJ76" i="9"/>
  <c r="Z66" i="9"/>
  <c r="T60" i="9"/>
  <c r="AD70" i="9"/>
  <c r="R58" i="9"/>
  <c r="Y65" i="9"/>
  <c r="AE71" i="9"/>
  <c r="AB68" i="9"/>
  <c r="Q57" i="9"/>
  <c r="P56" i="9"/>
  <c r="O55" i="9"/>
  <c r="W63" i="9"/>
  <c r="V62" i="9"/>
  <c r="D11" i="7"/>
  <c r="E19" i="5"/>
  <c r="G19" i="5" s="1"/>
  <c r="G18" i="5"/>
  <c r="G100" i="7" l="1"/>
  <c r="G99" i="7" s="1"/>
  <c r="H16" i="7"/>
  <c r="H100" i="7" s="1"/>
  <c r="H99" i="7" s="1"/>
  <c r="H105" i="7"/>
  <c r="E176" i="7"/>
  <c r="AK25" i="9" a="1"/>
  <c r="AK25" i="9" s="1"/>
  <c r="AL27" i="9" a="1"/>
  <c r="AL27" i="9" s="1"/>
  <c r="F31" i="7"/>
  <c r="E153" i="7"/>
  <c r="E173" i="7"/>
  <c r="L26" i="9" a="1"/>
  <c r="L26" i="9" s="1"/>
  <c r="L27" i="9" a="1"/>
  <c r="L27" i="9" s="1"/>
  <c r="L25" i="9" a="1"/>
  <c r="L25" i="9" s="1"/>
  <c r="L21" i="9" a="1"/>
  <c r="L21" i="9" s="1"/>
  <c r="L24" i="9" a="1"/>
  <c r="L24" i="9" s="1"/>
  <c r="L23" i="9" a="1"/>
  <c r="L23" i="9" s="1"/>
  <c r="L16" i="9" a="1"/>
  <c r="L16" i="9" s="1"/>
  <c r="E156" i="7"/>
  <c r="C25" i="9" a="1"/>
  <c r="C25" i="9" s="1"/>
  <c r="C26" i="9" a="1"/>
  <c r="C26" i="9" s="1"/>
  <c r="C24" i="9" a="1"/>
  <c r="C24" i="9" s="1"/>
  <c r="C23" i="9" a="1"/>
  <c r="C23" i="9" s="1"/>
  <c r="C27" i="9" a="1"/>
  <c r="C27" i="9" s="1"/>
  <c r="C21" i="9" a="1"/>
  <c r="C21" i="9" s="1"/>
  <c r="C16" i="9" a="1"/>
  <c r="C16" i="9" s="1"/>
  <c r="F140" i="7"/>
  <c r="G38" i="7"/>
  <c r="X26" i="9" a="1"/>
  <c r="X26" i="9" s="1"/>
  <c r="X27" i="9" a="1"/>
  <c r="X27" i="9" s="1"/>
  <c r="X25" i="9" a="1"/>
  <c r="X25" i="9" s="1"/>
  <c r="X24" i="9" a="1"/>
  <c r="X24" i="9" s="1"/>
  <c r="X21" i="9" a="1"/>
  <c r="X21" i="9" s="1"/>
  <c r="X23" i="9" a="1"/>
  <c r="X23" i="9" s="1"/>
  <c r="X16" i="9" a="1"/>
  <c r="X16" i="9" s="1"/>
  <c r="S27" i="9" a="1"/>
  <c r="S27" i="9" s="1"/>
  <c r="S26" i="9" a="1"/>
  <c r="S26" i="9" s="1"/>
  <c r="S25" i="9" a="1"/>
  <c r="S25" i="9" s="1"/>
  <c r="S24" i="9" a="1"/>
  <c r="S24" i="9" s="1"/>
  <c r="S23" i="9" a="1"/>
  <c r="S23" i="9" s="1"/>
  <c r="S16" i="9" a="1"/>
  <c r="S16" i="9" s="1"/>
  <c r="S21" i="9" a="1"/>
  <c r="S21" i="9" s="1"/>
  <c r="AK21" i="9" a="1"/>
  <c r="AK21" i="9" s="1"/>
  <c r="H37" i="7"/>
  <c r="H163" i="7"/>
  <c r="H107" i="7"/>
  <c r="K10" i="8"/>
  <c r="J26" i="9" a="1"/>
  <c r="J26" i="9" s="1"/>
  <c r="J24" i="9" a="1"/>
  <c r="J24" i="9" s="1"/>
  <c r="J23" i="9" a="1"/>
  <c r="J23" i="9" s="1"/>
  <c r="J25" i="9" a="1"/>
  <c r="J25" i="9" s="1"/>
  <c r="J27" i="9" a="1"/>
  <c r="J27" i="9" s="1"/>
  <c r="J16" i="9" a="1"/>
  <c r="J16" i="9" s="1"/>
  <c r="J21" i="9" a="1"/>
  <c r="J21" i="9" s="1"/>
  <c r="B26" i="9" a="1"/>
  <c r="B26" i="9" s="1"/>
  <c r="B27" i="9" a="1"/>
  <c r="B27" i="9" s="1"/>
  <c r="B21" i="9" a="1"/>
  <c r="B21" i="9" s="1"/>
  <c r="B25" i="9" a="1"/>
  <c r="B25" i="9" s="1"/>
  <c r="B23" i="9" a="1"/>
  <c r="B23" i="9" s="1"/>
  <c r="B24" i="9" a="1"/>
  <c r="B24" i="9" s="1"/>
  <c r="B16" i="9" a="1"/>
  <c r="B16" i="9" s="1"/>
  <c r="E58" i="7"/>
  <c r="F34" i="7"/>
  <c r="AM26" i="9" a="1"/>
  <c r="AM26" i="9" s="1"/>
  <c r="AM27" i="9" a="1"/>
  <c r="AM27" i="9" s="1"/>
  <c r="AM21" i="9" a="1"/>
  <c r="AM21" i="9" s="1"/>
  <c r="AM24" i="9" a="1"/>
  <c r="AM24" i="9" s="1"/>
  <c r="AM25" i="9" a="1"/>
  <c r="AM25" i="9" s="1"/>
  <c r="AM16" i="9" a="1"/>
  <c r="AM16" i="9" s="1"/>
  <c r="AM23" i="9" a="1"/>
  <c r="AM23" i="9" s="1"/>
  <c r="O26" i="9" a="1"/>
  <c r="O26" i="9" s="1"/>
  <c r="O24" i="9" a="1"/>
  <c r="O24" i="9" s="1"/>
  <c r="O23" i="9" a="1"/>
  <c r="O23" i="9" s="1"/>
  <c r="O27" i="9" a="1"/>
  <c r="O27" i="9" s="1"/>
  <c r="O25" i="9" a="1"/>
  <c r="O25" i="9" s="1"/>
  <c r="O21" i="9" a="1"/>
  <c r="O21" i="9" s="1"/>
  <c r="O16" i="9" a="1"/>
  <c r="O16" i="9" s="1"/>
  <c r="AL23" i="9" a="1"/>
  <c r="AL23" i="9" s="1"/>
  <c r="AL21" i="9" a="1"/>
  <c r="AL21" i="9" s="1"/>
  <c r="Z27" i="9" a="1"/>
  <c r="Z27" i="9" s="1"/>
  <c r="Z24" i="9" a="1"/>
  <c r="Z24" i="9" s="1"/>
  <c r="Z23" i="9" a="1"/>
  <c r="Z23" i="9" s="1"/>
  <c r="Z16" i="9" a="1"/>
  <c r="Z16" i="9" s="1"/>
  <c r="Z26" i="9" a="1"/>
  <c r="Z26" i="9" s="1"/>
  <c r="Z25" i="9" a="1"/>
  <c r="Z25" i="9" s="1"/>
  <c r="Z21" i="9" a="1"/>
  <c r="Z21" i="9" s="1"/>
  <c r="F39" i="7"/>
  <c r="E141" i="7"/>
  <c r="AF25" i="9" a="1"/>
  <c r="AF25" i="9" s="1"/>
  <c r="AF27" i="9" a="1"/>
  <c r="AF27" i="9" s="1"/>
  <c r="AF24" i="9" a="1"/>
  <c r="AF24" i="9" s="1"/>
  <c r="AF26" i="9" a="1"/>
  <c r="AF26" i="9" s="1"/>
  <c r="AF23" i="9" a="1"/>
  <c r="AF23" i="9" s="1"/>
  <c r="AF16" i="9" a="1"/>
  <c r="AF16" i="9" s="1"/>
  <c r="AF21" i="9" a="1"/>
  <c r="AF21" i="9" s="1"/>
  <c r="E171" i="7"/>
  <c r="D47" i="7"/>
  <c r="E66" i="7"/>
  <c r="E64" i="7" s="1"/>
  <c r="AK24" i="9" a="1"/>
  <c r="AK24" i="9" s="1"/>
  <c r="R26" i="9" a="1"/>
  <c r="R26" i="9" s="1"/>
  <c r="R27" i="9" a="1"/>
  <c r="R27" i="9" s="1"/>
  <c r="R21" i="9" a="1"/>
  <c r="R21" i="9" s="1"/>
  <c r="R25" i="9" a="1"/>
  <c r="R25" i="9" s="1"/>
  <c r="R24" i="9" a="1"/>
  <c r="R24" i="9" s="1"/>
  <c r="R23" i="9" a="1"/>
  <c r="R23" i="9" s="1"/>
  <c r="R16" i="9" a="1"/>
  <c r="R16" i="9" s="1"/>
  <c r="F164" i="7"/>
  <c r="G142" i="7"/>
  <c r="H104" i="7"/>
  <c r="F136" i="7"/>
  <c r="E178" i="7"/>
  <c r="F179" i="7" s="1"/>
  <c r="G179" i="7" s="1"/>
  <c r="AJ26" i="9" a="1"/>
  <c r="AJ26" i="9" s="1"/>
  <c r="AJ27" i="9" a="1"/>
  <c r="AJ27" i="9" s="1"/>
  <c r="AJ25" i="9" a="1"/>
  <c r="AJ25" i="9" s="1"/>
  <c r="AJ24" i="9" a="1"/>
  <c r="AJ24" i="9" s="1"/>
  <c r="AJ23" i="9" a="1"/>
  <c r="AJ23" i="9" s="1"/>
  <c r="AJ21" i="9" a="1"/>
  <c r="AJ21" i="9" s="1"/>
  <c r="AJ16" i="9" a="1"/>
  <c r="AJ16" i="9" s="1"/>
  <c r="E131" i="7"/>
  <c r="F27" i="9" a="1"/>
  <c r="F27" i="9" s="1"/>
  <c r="F26" i="9" a="1"/>
  <c r="F26" i="9" s="1"/>
  <c r="F21" i="9" a="1"/>
  <c r="F21" i="9" s="1"/>
  <c r="F25" i="9" a="1"/>
  <c r="F25" i="9" s="1"/>
  <c r="F24" i="9" a="1"/>
  <c r="F24" i="9" s="1"/>
  <c r="F23" i="9" a="1"/>
  <c r="F23" i="9" s="1"/>
  <c r="F16" i="9" a="1"/>
  <c r="F16" i="9" s="1"/>
  <c r="F96" i="7"/>
  <c r="F104" i="7"/>
  <c r="F107" i="7"/>
  <c r="F105" i="7"/>
  <c r="F106" i="7"/>
  <c r="Q25" i="9" a="1"/>
  <c r="Q25" i="9" s="1"/>
  <c r="Q26" i="9" a="1"/>
  <c r="Q26" i="9" s="1"/>
  <c r="Q27" i="9" a="1"/>
  <c r="Q27" i="9" s="1"/>
  <c r="Q21" i="9" a="1"/>
  <c r="Q21" i="9" s="1"/>
  <c r="Q24" i="9" a="1"/>
  <c r="Q24" i="9" s="1"/>
  <c r="Q23" i="9" a="1"/>
  <c r="Q23" i="9" s="1"/>
  <c r="Q16" i="9" a="1"/>
  <c r="Q16" i="9" s="1"/>
  <c r="AG26" i="9" a="1"/>
  <c r="AG26" i="9" s="1"/>
  <c r="AG25" i="9" a="1"/>
  <c r="AG25" i="9" s="1"/>
  <c r="AG21" i="9" a="1"/>
  <c r="AG21" i="9" s="1"/>
  <c r="AG24" i="9" a="1"/>
  <c r="AG24" i="9" s="1"/>
  <c r="AG27" i="9" a="1"/>
  <c r="AG27" i="9" s="1"/>
  <c r="AG16" i="9" a="1"/>
  <c r="AG16" i="9" s="1"/>
  <c r="AG23" i="9" a="1"/>
  <c r="AG23" i="9" s="1"/>
  <c r="AK23" i="9" a="1"/>
  <c r="AK23" i="9" s="1"/>
  <c r="H155" i="7"/>
  <c r="H135" i="7"/>
  <c r="AE26" i="9" a="1"/>
  <c r="AE26" i="9" s="1"/>
  <c r="AE27" i="9" a="1"/>
  <c r="AE27" i="9" s="1"/>
  <c r="AE24" i="9" a="1"/>
  <c r="AE24" i="9" s="1"/>
  <c r="AE23" i="9" a="1"/>
  <c r="AE23" i="9" s="1"/>
  <c r="AE25" i="9" a="1"/>
  <c r="AE25" i="9" s="1"/>
  <c r="AE21" i="9" a="1"/>
  <c r="AE21" i="9" s="1"/>
  <c r="AE16" i="9" a="1"/>
  <c r="AE16" i="9" s="1"/>
  <c r="V16" i="9" a="1"/>
  <c r="V16" i="9" s="1"/>
  <c r="V21" i="9" a="1"/>
  <c r="V21" i="9" s="1"/>
  <c r="V26" i="9" a="1"/>
  <c r="V26" i="9" s="1"/>
  <c r="V27" i="9" a="1"/>
  <c r="V27" i="9" s="1"/>
  <c r="V24" i="9" a="1"/>
  <c r="V24" i="9" s="1"/>
  <c r="V25" i="9" a="1"/>
  <c r="V25" i="9" s="1"/>
  <c r="V23" i="9" a="1"/>
  <c r="V23" i="9" s="1"/>
  <c r="Y26" i="9" a="1"/>
  <c r="Y26" i="9" s="1"/>
  <c r="Y25" i="9" a="1"/>
  <c r="Y25" i="9" s="1"/>
  <c r="Y27" i="9" a="1"/>
  <c r="Y27" i="9" s="1"/>
  <c r="Y24" i="9" a="1"/>
  <c r="Y24" i="9" s="1"/>
  <c r="Y23" i="9" a="1"/>
  <c r="Y23" i="9" s="1"/>
  <c r="Y16" i="9" a="1"/>
  <c r="Y16" i="9" s="1"/>
  <c r="Y21" i="9" a="1"/>
  <c r="Y21" i="9" s="1"/>
  <c r="E19" i="7"/>
  <c r="E21" i="7" s="1"/>
  <c r="E20" i="7"/>
  <c r="AL24" i="9" a="1"/>
  <c r="AL24" i="9" s="1"/>
  <c r="G30" i="7"/>
  <c r="F132" i="7"/>
  <c r="F152" i="7"/>
  <c r="F40" i="7"/>
  <c r="E142" i="7"/>
  <c r="AK26" i="9" a="1"/>
  <c r="AK26" i="9" s="1"/>
  <c r="H96" i="7"/>
  <c r="H95" i="7" s="1"/>
  <c r="P26" i="9" a="1"/>
  <c r="P26" i="9" s="1"/>
  <c r="P25" i="9" a="1"/>
  <c r="P25" i="9" s="1"/>
  <c r="P27" i="9" a="1"/>
  <c r="P27" i="9" s="1"/>
  <c r="P24" i="9" a="1"/>
  <c r="P24" i="9" s="1"/>
  <c r="P23" i="9" a="1"/>
  <c r="P23" i="9" s="1"/>
  <c r="P21" i="9" a="1"/>
  <c r="P21" i="9" s="1"/>
  <c r="P16" i="9" a="1"/>
  <c r="P16" i="9" s="1"/>
  <c r="N42" i="5"/>
  <c r="O19" i="5"/>
  <c r="N45" i="5"/>
  <c r="K27" i="9" a="1"/>
  <c r="K27" i="9" s="1"/>
  <c r="K26" i="9" a="1"/>
  <c r="K26" i="9" s="1"/>
  <c r="K25" i="9" a="1"/>
  <c r="K25" i="9" s="1"/>
  <c r="K21" i="9" a="1"/>
  <c r="K21" i="9" s="1"/>
  <c r="K24" i="9" a="1"/>
  <c r="K24" i="9" s="1"/>
  <c r="K23" i="9" a="1"/>
  <c r="K23" i="9" s="1"/>
  <c r="K16" i="9" a="1"/>
  <c r="K16" i="9" s="1"/>
  <c r="H196" i="7"/>
  <c r="H195" i="7"/>
  <c r="G174" i="7"/>
  <c r="G134" i="7"/>
  <c r="I176" i="7"/>
  <c r="I141" i="7"/>
  <c r="I197" i="7"/>
  <c r="J193" i="7" s="1"/>
  <c r="I68" i="7" a="1"/>
  <c r="I68" i="7" s="1"/>
  <c r="I14" i="7"/>
  <c r="I12" i="7"/>
  <c r="I136" i="7"/>
  <c r="I33" i="7"/>
  <c r="I156" i="7" s="1"/>
  <c r="J5" i="7"/>
  <c r="I93" i="7"/>
  <c r="I104" i="7" s="1"/>
  <c r="I13" i="7"/>
  <c r="I202" i="7" s="1"/>
  <c r="I38" i="7"/>
  <c r="I161" i="7" s="1"/>
  <c r="I11" i="7"/>
  <c r="I6" i="7"/>
  <c r="U25" i="9" a="1"/>
  <c r="U25" i="9" s="1"/>
  <c r="U23" i="9" a="1"/>
  <c r="U23" i="9" s="1"/>
  <c r="U26" i="9" a="1"/>
  <c r="U26" i="9" s="1"/>
  <c r="U27" i="9" a="1"/>
  <c r="U27" i="9" s="1"/>
  <c r="U24" i="9" a="1"/>
  <c r="U24" i="9" s="1"/>
  <c r="U21" i="9" a="1"/>
  <c r="U21" i="9" s="1"/>
  <c r="U16" i="9" a="1"/>
  <c r="U16" i="9" s="1"/>
  <c r="AD26" i="9" a="1"/>
  <c r="AD26" i="9" s="1"/>
  <c r="AD27" i="9" a="1"/>
  <c r="AD27" i="9" s="1"/>
  <c r="AD16" i="9" a="1"/>
  <c r="AD16" i="9" s="1"/>
  <c r="AD24" i="9" a="1"/>
  <c r="AD24" i="9" s="1"/>
  <c r="AD23" i="9" a="1"/>
  <c r="AD23" i="9" s="1"/>
  <c r="AD25" i="9" a="1"/>
  <c r="AD25" i="9" s="1"/>
  <c r="AD21" i="9" a="1"/>
  <c r="AD21" i="9" s="1"/>
  <c r="AC27" i="9" a="1"/>
  <c r="AC27" i="9" s="1"/>
  <c r="AC25" i="9" a="1"/>
  <c r="AC25" i="9" s="1"/>
  <c r="AC26" i="9" a="1"/>
  <c r="AC26" i="9" s="1"/>
  <c r="AC21" i="9" a="1"/>
  <c r="AC21" i="9" s="1"/>
  <c r="AC24" i="9" a="1"/>
  <c r="AC24" i="9" s="1"/>
  <c r="AC23" i="9" a="1"/>
  <c r="AC23" i="9" s="1"/>
  <c r="AC16" i="9" a="1"/>
  <c r="AC16" i="9" s="1"/>
  <c r="AA25" i="9" a="1"/>
  <c r="AA25" i="9" s="1"/>
  <c r="AA26" i="9" a="1"/>
  <c r="AA26" i="9" s="1"/>
  <c r="AA21" i="9" a="1"/>
  <c r="AA21" i="9" s="1"/>
  <c r="AA27" i="9" a="1"/>
  <c r="AA27" i="9" s="1"/>
  <c r="AA24" i="9" a="1"/>
  <c r="AA24" i="9" s="1"/>
  <c r="AA23" i="9" a="1"/>
  <c r="AA23" i="9" s="1"/>
  <c r="AA16" i="9" a="1"/>
  <c r="AA16" i="9" s="1"/>
  <c r="U46" i="5"/>
  <c r="N27" i="9" a="1"/>
  <c r="N27" i="9" s="1"/>
  <c r="N26" i="9" a="1"/>
  <c r="N26" i="9" s="1"/>
  <c r="N24" i="9" a="1"/>
  <c r="N24" i="9" s="1"/>
  <c r="N23" i="9" a="1"/>
  <c r="N23" i="9" s="1"/>
  <c r="N25" i="9" a="1"/>
  <c r="N25" i="9" s="1"/>
  <c r="N16" i="9" a="1"/>
  <c r="N16" i="9" s="1"/>
  <c r="N21" i="9" a="1"/>
  <c r="N21" i="9" s="1"/>
  <c r="M27" i="9" a="1"/>
  <c r="M27" i="9" s="1"/>
  <c r="M25" i="9" a="1"/>
  <c r="M25" i="9" s="1"/>
  <c r="M26" i="9" a="1"/>
  <c r="M26" i="9" s="1"/>
  <c r="M21" i="9" a="1"/>
  <c r="M21" i="9" s="1"/>
  <c r="M24" i="9" a="1"/>
  <c r="M24" i="9" s="1"/>
  <c r="M23" i="9" a="1"/>
  <c r="M23" i="9" s="1"/>
  <c r="M16" i="9" a="1"/>
  <c r="M16" i="9" s="1"/>
  <c r="E135" i="7"/>
  <c r="E175" i="7"/>
  <c r="F100" i="7"/>
  <c r="F99" i="7" s="1"/>
  <c r="D25" i="9" a="1"/>
  <c r="D25" i="9" s="1"/>
  <c r="D26" i="9" a="1"/>
  <c r="D26" i="9" s="1"/>
  <c r="D24" i="9" a="1"/>
  <c r="D24" i="9" s="1"/>
  <c r="D27" i="9" a="1"/>
  <c r="D27" i="9" s="1"/>
  <c r="D23" i="9" a="1"/>
  <c r="D23" i="9" s="1"/>
  <c r="D16" i="9" a="1"/>
  <c r="D16" i="9" s="1"/>
  <c r="D21" i="9" a="1"/>
  <c r="D21" i="9" s="1"/>
  <c r="I25" i="9" a="1"/>
  <c r="I25" i="9" s="1"/>
  <c r="I24" i="9" a="1"/>
  <c r="I24" i="9" s="1"/>
  <c r="I23" i="9" a="1"/>
  <c r="I23" i="9" s="1"/>
  <c r="I26" i="9" a="1"/>
  <c r="I26" i="9" s="1"/>
  <c r="I27" i="9" a="1"/>
  <c r="I27" i="9" s="1"/>
  <c r="I16" i="9" a="1"/>
  <c r="I16" i="9" s="1"/>
  <c r="I21" i="9" a="1"/>
  <c r="I21" i="9" s="1"/>
  <c r="W26" i="9" a="1"/>
  <c r="W26" i="9" s="1"/>
  <c r="W21" i="9" a="1"/>
  <c r="W21" i="9" s="1"/>
  <c r="W27" i="9" a="1"/>
  <c r="W27" i="9" s="1"/>
  <c r="W24" i="9" a="1"/>
  <c r="W24" i="9" s="1"/>
  <c r="W25" i="9" a="1"/>
  <c r="W25" i="9" s="1"/>
  <c r="W23" i="9" a="1"/>
  <c r="W23" i="9" s="1"/>
  <c r="W16" i="9" a="1"/>
  <c r="W16" i="9" s="1"/>
  <c r="E27" i="9" a="1"/>
  <c r="E27" i="9" s="1"/>
  <c r="E25" i="9" a="1"/>
  <c r="E25" i="9" s="1"/>
  <c r="E26" i="9" a="1"/>
  <c r="E26" i="9" s="1"/>
  <c r="E23" i="9" a="1"/>
  <c r="E23" i="9" s="1"/>
  <c r="E24" i="9" a="1"/>
  <c r="E24" i="9" s="1"/>
  <c r="E21" i="9" a="1"/>
  <c r="E21" i="9" s="1"/>
  <c r="E16" i="9" a="1"/>
  <c r="E16" i="9" s="1"/>
  <c r="F156" i="7"/>
  <c r="H106" i="7"/>
  <c r="D46" i="7"/>
  <c r="E4" i="9"/>
  <c r="H4" i="8"/>
  <c r="G5" i="8"/>
  <c r="AL26" i="9" a="1"/>
  <c r="AL26" i="9" s="1"/>
  <c r="G26" i="9" a="1"/>
  <c r="G26" i="9" s="1"/>
  <c r="G27" i="9" a="1"/>
  <c r="G27" i="9" s="1"/>
  <c r="G21" i="9" a="1"/>
  <c r="G21" i="9" s="1"/>
  <c r="G24" i="9" a="1"/>
  <c r="G24" i="9" s="1"/>
  <c r="G25" i="9" a="1"/>
  <c r="G25" i="9" s="1"/>
  <c r="G23" i="9" a="1"/>
  <c r="G23" i="9" s="1"/>
  <c r="G16" i="9" a="1"/>
  <c r="G16" i="9" s="1"/>
  <c r="F36" i="7"/>
  <c r="E158" i="7"/>
  <c r="AB27" i="9" a="1"/>
  <c r="AB27" i="9" s="1"/>
  <c r="AB25" i="9" a="1"/>
  <c r="AB25" i="9" s="1"/>
  <c r="AB26" i="9" a="1"/>
  <c r="AB26" i="9" s="1"/>
  <c r="AB21" i="9" a="1"/>
  <c r="AB21" i="9" s="1"/>
  <c r="AB24" i="9" a="1"/>
  <c r="AB24" i="9" s="1"/>
  <c r="AB23" i="9" a="1"/>
  <c r="AB23" i="9" s="1"/>
  <c r="AB16" i="9" a="1"/>
  <c r="AB16" i="9" s="1"/>
  <c r="G34" i="7"/>
  <c r="H25" i="9" a="1"/>
  <c r="H25" i="9" s="1"/>
  <c r="H27" i="9" a="1"/>
  <c r="H27" i="9" s="1"/>
  <c r="H24" i="9" a="1"/>
  <c r="H24" i="9" s="1"/>
  <c r="H26" i="9" a="1"/>
  <c r="H26" i="9" s="1"/>
  <c r="H21" i="9" a="1"/>
  <c r="H21" i="9" s="1"/>
  <c r="H16" i="9" a="1"/>
  <c r="H16" i="9" s="1"/>
  <c r="H23" i="9" a="1"/>
  <c r="H23" i="9" s="1"/>
  <c r="AL16" i="9" a="1"/>
  <c r="AL16" i="9" s="1"/>
  <c r="AI25" i="9" a="1"/>
  <c r="AI25" i="9" s="1"/>
  <c r="AI24" i="9" a="1"/>
  <c r="AI24" i="9" s="1"/>
  <c r="AI23" i="9" a="1"/>
  <c r="AI23" i="9" s="1"/>
  <c r="AI26" i="9" a="1"/>
  <c r="AI26" i="9" s="1"/>
  <c r="AI27" i="9" a="1"/>
  <c r="AI27" i="9" s="1"/>
  <c r="AI16" i="9" a="1"/>
  <c r="AI16" i="9" s="1"/>
  <c r="AI21" i="9" a="1"/>
  <c r="AI21" i="9" s="1"/>
  <c r="E164" i="7"/>
  <c r="E144" i="7"/>
  <c r="G33" i="7"/>
  <c r="F155" i="7"/>
  <c r="F175" i="7"/>
  <c r="F135" i="7"/>
  <c r="I196" i="7"/>
  <c r="I195" i="7"/>
  <c r="AH26" i="9" a="1"/>
  <c r="AH26" i="9" s="1"/>
  <c r="AH21" i="9" a="1"/>
  <c r="AH21" i="9" s="1"/>
  <c r="AH16" i="9" a="1"/>
  <c r="AH16" i="9" s="1"/>
  <c r="AH25" i="9" a="1"/>
  <c r="AH25" i="9" s="1"/>
  <c r="AH24" i="9" a="1"/>
  <c r="AH24" i="9" s="1"/>
  <c r="AH27" i="9" a="1"/>
  <c r="AH27" i="9" s="1"/>
  <c r="AH23" i="9" a="1"/>
  <c r="AH23" i="9" s="1"/>
  <c r="T27" i="9" a="1"/>
  <c r="T27" i="9" s="1"/>
  <c r="T25" i="9" a="1"/>
  <c r="T25" i="9" s="1"/>
  <c r="T24" i="9" a="1"/>
  <c r="T24" i="9" s="1"/>
  <c r="T23" i="9" a="1"/>
  <c r="T23" i="9" s="1"/>
  <c r="T26" i="9" a="1"/>
  <c r="T26" i="9" s="1"/>
  <c r="T16" i="9" a="1"/>
  <c r="T16" i="9" s="1"/>
  <c r="T21" i="9" a="1"/>
  <c r="T21" i="9" s="1"/>
  <c r="G104" i="7"/>
  <c r="G107" i="7"/>
  <c r="G105" i="7"/>
  <c r="G96" i="7"/>
  <c r="G95" i="7" s="1"/>
  <c r="G106" i="7"/>
  <c r="E161" i="7"/>
  <c r="AN113" i="9"/>
  <c r="AN111" i="9"/>
  <c r="AN109" i="9"/>
  <c r="AN107" i="9"/>
  <c r="AN105" i="9"/>
  <c r="AN103" i="9"/>
  <c r="AN101" i="9"/>
  <c r="AN99" i="9"/>
  <c r="AN97" i="9"/>
  <c r="AN95" i="9"/>
  <c r="AN93" i="9"/>
  <c r="AN91" i="9"/>
  <c r="AN89" i="9"/>
  <c r="AN87" i="9"/>
  <c r="AN114" i="9"/>
  <c r="AN112" i="9"/>
  <c r="AN110" i="9"/>
  <c r="AN108" i="9"/>
  <c r="AN104" i="9"/>
  <c r="AN86" i="9"/>
  <c r="AN85" i="9"/>
  <c r="AN84" i="9"/>
  <c r="AN83" i="9"/>
  <c r="AN81" i="9"/>
  <c r="AN79" i="9"/>
  <c r="AN77" i="9"/>
  <c r="AN106" i="9"/>
  <c r="AN88" i="9"/>
  <c r="AN82" i="9"/>
  <c r="AN80" i="9"/>
  <c r="AN100" i="9"/>
  <c r="AN98" i="9"/>
  <c r="AN96" i="9"/>
  <c r="AN94" i="9"/>
  <c r="AN92" i="9"/>
  <c r="AN90" i="9"/>
  <c r="AN102" i="9"/>
  <c r="AN74" i="9"/>
  <c r="AN70" i="9"/>
  <c r="AN68" i="9"/>
  <c r="AN66" i="9"/>
  <c r="AN64" i="9"/>
  <c r="AN62" i="9"/>
  <c r="AN60" i="9"/>
  <c r="AN58" i="9"/>
  <c r="AN73" i="9"/>
  <c r="AN72" i="9"/>
  <c r="AN76" i="9"/>
  <c r="AN78" i="9"/>
  <c r="AN75" i="9"/>
  <c r="AN71" i="9"/>
  <c r="AN59" i="9"/>
  <c r="AN56" i="9"/>
  <c r="AN69" i="9"/>
  <c r="AN67" i="9"/>
  <c r="AN65" i="9"/>
  <c r="AN63" i="9"/>
  <c r="AN57" i="9"/>
  <c r="AN55" i="9"/>
  <c r="AN61" i="9"/>
  <c r="AO5" i="9"/>
  <c r="E78" i="7"/>
  <c r="AO113" i="9" l="1"/>
  <c r="AO111" i="9"/>
  <c r="AO109" i="9"/>
  <c r="AO107" i="9"/>
  <c r="AO105" i="9"/>
  <c r="AO103" i="9"/>
  <c r="AO101" i="9"/>
  <c r="AO99" i="9"/>
  <c r="AO97" i="9"/>
  <c r="AO95" i="9"/>
  <c r="AO93" i="9"/>
  <c r="AO91" i="9"/>
  <c r="AO89" i="9"/>
  <c r="AO114" i="9"/>
  <c r="AO112" i="9"/>
  <c r="AO110" i="9"/>
  <c r="AO108" i="9"/>
  <c r="AO84" i="9"/>
  <c r="AO83" i="9"/>
  <c r="AO81" i="9"/>
  <c r="AO79" i="9"/>
  <c r="AO77" i="9"/>
  <c r="AO75" i="9"/>
  <c r="AO73" i="9"/>
  <c r="AO106" i="9"/>
  <c r="AO88" i="9"/>
  <c r="AO82" i="9"/>
  <c r="AO80" i="9"/>
  <c r="AO100" i="9"/>
  <c r="AO98" i="9"/>
  <c r="AO96" i="9"/>
  <c r="AO102" i="9"/>
  <c r="AO104" i="9"/>
  <c r="AO87" i="9"/>
  <c r="AO86" i="9"/>
  <c r="AO85" i="9"/>
  <c r="AO94" i="9"/>
  <c r="AO70" i="9"/>
  <c r="AO68" i="9"/>
  <c r="AO66" i="9"/>
  <c r="AO64" i="9"/>
  <c r="AO62" i="9"/>
  <c r="AO60" i="9"/>
  <c r="AO58" i="9"/>
  <c r="AO92" i="9"/>
  <c r="AO72" i="9"/>
  <c r="AO76" i="9"/>
  <c r="AO90" i="9"/>
  <c r="AO78" i="9"/>
  <c r="AO74" i="9"/>
  <c r="AO59" i="9"/>
  <c r="AO56" i="9"/>
  <c r="AO69" i="9"/>
  <c r="AO63" i="9"/>
  <c r="AO61" i="9"/>
  <c r="AO57" i="9"/>
  <c r="AO55" i="9"/>
  <c r="AO67" i="9"/>
  <c r="AO65" i="9"/>
  <c r="AO71" i="9"/>
  <c r="AP5" i="9"/>
  <c r="J195" i="7"/>
  <c r="J196" i="7"/>
  <c r="G133" i="7"/>
  <c r="G173" i="7"/>
  <c r="G153" i="7"/>
  <c r="H31" i="7"/>
  <c r="E24" i="7"/>
  <c r="E27" i="7" s="1"/>
  <c r="E17" i="7"/>
  <c r="I106" i="7"/>
  <c r="F177" i="7"/>
  <c r="F157" i="7"/>
  <c r="G35" i="7"/>
  <c r="F137" i="7"/>
  <c r="F79" i="7"/>
  <c r="E75" i="7"/>
  <c r="G141" i="7"/>
  <c r="H39" i="7"/>
  <c r="G161" i="7"/>
  <c r="I107" i="7"/>
  <c r="G137" i="7"/>
  <c r="H35" i="7"/>
  <c r="G177" i="7"/>
  <c r="G157" i="7"/>
  <c r="J197" i="7"/>
  <c r="K193" i="7" s="1"/>
  <c r="J177" i="7"/>
  <c r="J93" i="7"/>
  <c r="J106" i="7" s="1"/>
  <c r="J68" i="7" a="1"/>
  <c r="J68" i="7" s="1"/>
  <c r="J34" i="7"/>
  <c r="J107" i="7"/>
  <c r="J39" i="7"/>
  <c r="J142" i="7" s="1"/>
  <c r="J137" i="7"/>
  <c r="J14" i="7"/>
  <c r="J12" i="7"/>
  <c r="J13" i="7"/>
  <c r="J202" i="7" s="1"/>
  <c r="J11" i="7"/>
  <c r="K5" i="7"/>
  <c r="J6" i="7"/>
  <c r="N19" i="5"/>
  <c r="U45" i="5"/>
  <c r="F103" i="7"/>
  <c r="H103" i="7"/>
  <c r="F95" i="7"/>
  <c r="G41" i="7"/>
  <c r="F163" i="7"/>
  <c r="F143" i="7"/>
  <c r="I96" i="7"/>
  <c r="I95" i="7" s="1"/>
  <c r="G103" i="7"/>
  <c r="I4" i="8"/>
  <c r="F4" i="9"/>
  <c r="F3" i="9" s="1"/>
  <c r="H5" i="8"/>
  <c r="I105" i="7"/>
  <c r="U42" i="5"/>
  <c r="E61" i="7"/>
  <c r="H140" i="7"/>
  <c r="H160" i="7"/>
  <c r="F139" i="7"/>
  <c r="G37" i="7"/>
  <c r="F159" i="7"/>
  <c r="AN25" i="9" a="1"/>
  <c r="AN25" i="9" s="1"/>
  <c r="AN26" i="9" a="1"/>
  <c r="AN26" i="9" s="1"/>
  <c r="AN27" i="9" a="1"/>
  <c r="AN27" i="9" s="1"/>
  <c r="AN24" i="9" a="1"/>
  <c r="AN24" i="9" s="1"/>
  <c r="AN21" i="9" a="1"/>
  <c r="AN21" i="9" s="1"/>
  <c r="AN23" i="9" a="1"/>
  <c r="AN23" i="9" s="1"/>
  <c r="AN16" i="9" a="1"/>
  <c r="AN16" i="9" s="1"/>
  <c r="G156" i="7"/>
  <c r="G136" i="7"/>
  <c r="G176" i="7"/>
  <c r="H34" i="7"/>
  <c r="E3" i="9"/>
  <c r="I16" i="7"/>
  <c r="I100" i="7" s="1"/>
  <c r="I99" i="7" s="1"/>
  <c r="F162" i="7"/>
  <c r="F142" i="7"/>
  <c r="G40" i="7"/>
  <c r="F174" i="7"/>
  <c r="F78" i="7"/>
  <c r="F134" i="7"/>
  <c r="F154" i="7"/>
  <c r="G32" i="7"/>
  <c r="J16" i="7" l="1"/>
  <c r="J100" i="7" s="1"/>
  <c r="J99" i="7" s="1"/>
  <c r="J157" i="7"/>
  <c r="H158" i="7"/>
  <c r="H178" i="7"/>
  <c r="H138" i="7"/>
  <c r="I36" i="7"/>
  <c r="G178" i="7"/>
  <c r="H179" i="7" s="1"/>
  <c r="H36" i="7"/>
  <c r="G138" i="7"/>
  <c r="G158" i="7"/>
  <c r="AP114" i="9"/>
  <c r="AP113" i="9"/>
  <c r="AP111" i="9"/>
  <c r="AP109" i="9"/>
  <c r="AP107" i="9"/>
  <c r="AP105" i="9"/>
  <c r="AP103" i="9"/>
  <c r="AP101" i="9"/>
  <c r="AP99" i="9"/>
  <c r="AP97" i="9"/>
  <c r="AP95" i="9"/>
  <c r="AP93" i="9"/>
  <c r="AP88" i="9"/>
  <c r="AP85" i="9"/>
  <c r="AP83" i="9"/>
  <c r="AP81" i="9"/>
  <c r="AP79" i="9"/>
  <c r="AP91" i="9"/>
  <c r="AP90" i="9"/>
  <c r="AP112" i="9"/>
  <c r="AP110" i="9"/>
  <c r="AP108" i="9"/>
  <c r="AP106" i="9"/>
  <c r="AP82" i="9"/>
  <c r="AP80" i="9"/>
  <c r="AP100" i="9"/>
  <c r="AP98" i="9"/>
  <c r="AP96" i="9"/>
  <c r="AP94" i="9"/>
  <c r="AP92" i="9"/>
  <c r="AP102" i="9"/>
  <c r="AP89" i="9"/>
  <c r="AP104" i="9"/>
  <c r="AP84" i="9"/>
  <c r="AP77" i="9"/>
  <c r="AP73" i="9"/>
  <c r="AP72" i="9"/>
  <c r="AP86" i="9"/>
  <c r="AP76" i="9"/>
  <c r="AP78" i="9"/>
  <c r="AP87" i="9"/>
  <c r="AP75" i="9"/>
  <c r="AP74" i="9"/>
  <c r="AP70" i="9"/>
  <c r="AP68" i="9"/>
  <c r="AP66" i="9"/>
  <c r="AP64" i="9"/>
  <c r="AP69" i="9"/>
  <c r="AP63" i="9"/>
  <c r="AP61" i="9"/>
  <c r="AP58" i="9"/>
  <c r="AP57" i="9"/>
  <c r="AP55" i="9"/>
  <c r="AP67" i="9"/>
  <c r="AP65" i="9"/>
  <c r="AP71" i="9"/>
  <c r="AP59" i="9"/>
  <c r="AP56" i="9"/>
  <c r="AP62" i="9"/>
  <c r="AP60" i="9"/>
  <c r="AQ5" i="9"/>
  <c r="H137" i="7"/>
  <c r="H177" i="7"/>
  <c r="H157" i="7"/>
  <c r="I35" i="7"/>
  <c r="K158" i="7"/>
  <c r="K138" i="7"/>
  <c r="K197" i="7"/>
  <c r="L193" i="7" s="1"/>
  <c r="K105" i="7"/>
  <c r="K143" i="7"/>
  <c r="K35" i="7"/>
  <c r="K178" i="7" s="1"/>
  <c r="K93" i="7"/>
  <c r="K96" i="7" s="1"/>
  <c r="K163" i="7"/>
  <c r="K40" i="7"/>
  <c r="K13" i="7"/>
  <c r="K202" i="7" s="1"/>
  <c r="L5" i="7"/>
  <c r="K12" i="7"/>
  <c r="K11" i="7"/>
  <c r="K68" i="7" a="1"/>
  <c r="K68" i="7" s="1"/>
  <c r="K16" i="7"/>
  <c r="K100" i="7" s="1"/>
  <c r="K99" i="7" s="1"/>
  <c r="K14" i="7"/>
  <c r="K6" i="7"/>
  <c r="J96" i="7"/>
  <c r="J95" i="7" s="1"/>
  <c r="G175" i="7"/>
  <c r="G155" i="7"/>
  <c r="H33" i="7"/>
  <c r="G135" i="7"/>
  <c r="G78" i="7"/>
  <c r="E77" i="7"/>
  <c r="AO25" i="9" a="1"/>
  <c r="AO25" i="9" s="1"/>
  <c r="AO26" i="9" a="1"/>
  <c r="AO26" i="9" s="1"/>
  <c r="AO27" i="9" a="1"/>
  <c r="AO27" i="9" s="1"/>
  <c r="AO24" i="9" a="1"/>
  <c r="AO24" i="9" s="1"/>
  <c r="AO23" i="9" a="1"/>
  <c r="AO23" i="9" s="1"/>
  <c r="AO16" i="9" a="1"/>
  <c r="AO16" i="9" s="1"/>
  <c r="AO21" i="9" a="1"/>
  <c r="AO21" i="9" s="1"/>
  <c r="G4" i="9"/>
  <c r="J4" i="8"/>
  <c r="I5" i="8"/>
  <c r="G160" i="7"/>
  <c r="G140" i="7"/>
  <c r="H38" i="7"/>
  <c r="J105" i="7"/>
  <c r="J104" i="7"/>
  <c r="H162" i="7"/>
  <c r="H142" i="7"/>
  <c r="I40" i="7"/>
  <c r="F19" i="7"/>
  <c r="F20" i="7"/>
  <c r="I103" i="7"/>
  <c r="H41" i="7"/>
  <c r="G143" i="7"/>
  <c r="G163" i="7"/>
  <c r="G164" i="7"/>
  <c r="G144" i="7"/>
  <c r="J162" i="7"/>
  <c r="F51" i="7"/>
  <c r="F58" i="7" s="1"/>
  <c r="E44" i="7"/>
  <c r="E150" i="7"/>
  <c r="E165" i="7" s="1"/>
  <c r="E166" i="7" s="1"/>
  <c r="F18" i="7"/>
  <c r="F62" i="7" s="1"/>
  <c r="E130" i="7"/>
  <c r="E145" i="7" s="1"/>
  <c r="E146" i="7" s="1"/>
  <c r="E183" i="7" s="1" a="1"/>
  <c r="E183" i="7" s="1"/>
  <c r="F28" i="7"/>
  <c r="E45" i="7" a="1"/>
  <c r="E45" i="7" s="1"/>
  <c r="F66" i="7"/>
  <c r="F64" i="7" s="1"/>
  <c r="E170" i="7"/>
  <c r="E180" i="7" s="1"/>
  <c r="E181" i="7" s="1"/>
  <c r="U19" i="5"/>
  <c r="K195" i="7"/>
  <c r="K196" i="7"/>
  <c r="G79" i="7"/>
  <c r="H174" i="7"/>
  <c r="H134" i="7"/>
  <c r="H154" i="7"/>
  <c r="H78" i="7"/>
  <c r="I32" i="7"/>
  <c r="K95" i="7" l="1"/>
  <c r="F21" i="7"/>
  <c r="AQ114" i="9"/>
  <c r="AQ112" i="9"/>
  <c r="AQ110" i="9"/>
  <c r="AQ108" i="9"/>
  <c r="AQ106" i="9"/>
  <c r="AQ104" i="9"/>
  <c r="AQ102" i="9"/>
  <c r="AQ100" i="9"/>
  <c r="AQ98" i="9"/>
  <c r="AQ96" i="9"/>
  <c r="AQ94" i="9"/>
  <c r="AQ92" i="9"/>
  <c r="AQ90" i="9"/>
  <c r="AQ113" i="9"/>
  <c r="AQ89" i="9"/>
  <c r="AQ87" i="9"/>
  <c r="AQ91" i="9"/>
  <c r="AQ111" i="9"/>
  <c r="AQ109" i="9"/>
  <c r="AQ99" i="9"/>
  <c r="AQ97" i="9"/>
  <c r="AQ95" i="9"/>
  <c r="AQ93" i="9"/>
  <c r="AQ88" i="9"/>
  <c r="AQ101" i="9"/>
  <c r="AQ78" i="9"/>
  <c r="AQ76" i="9"/>
  <c r="AQ74" i="9"/>
  <c r="AQ72" i="9"/>
  <c r="AQ103" i="9"/>
  <c r="AQ105" i="9"/>
  <c r="AQ107" i="9"/>
  <c r="AQ83" i="9"/>
  <c r="AQ82" i="9"/>
  <c r="AQ81" i="9"/>
  <c r="AQ80" i="9"/>
  <c r="AQ79" i="9"/>
  <c r="AQ73" i="9"/>
  <c r="AQ86" i="9"/>
  <c r="AQ84" i="9"/>
  <c r="AQ71" i="9"/>
  <c r="AQ69" i="9"/>
  <c r="AQ67" i="9"/>
  <c r="AQ65" i="9"/>
  <c r="AQ63" i="9"/>
  <c r="AQ61" i="9"/>
  <c r="AQ59" i="9"/>
  <c r="AQ57" i="9"/>
  <c r="AQ75" i="9"/>
  <c r="AQ85" i="9"/>
  <c r="AQ77" i="9"/>
  <c r="AQ68" i="9"/>
  <c r="AQ66" i="9"/>
  <c r="AQ58" i="9"/>
  <c r="AQ55" i="9"/>
  <c r="AQ62" i="9"/>
  <c r="AQ60" i="9"/>
  <c r="AQ70" i="9"/>
  <c r="AQ56" i="9"/>
  <c r="AQ64" i="9"/>
  <c r="AR5" i="9"/>
  <c r="AP26" i="9" a="1"/>
  <c r="AP26" i="9" s="1"/>
  <c r="AP27" i="9" a="1"/>
  <c r="AP27" i="9" s="1"/>
  <c r="AP24" i="9" a="1"/>
  <c r="AP24" i="9" s="1"/>
  <c r="AP23" i="9" a="1"/>
  <c r="AP23" i="9" s="1"/>
  <c r="AP16" i="9" a="1"/>
  <c r="AP16" i="9" s="1"/>
  <c r="AP25" i="9" a="1"/>
  <c r="AP25" i="9" s="1"/>
  <c r="AP21" i="9" a="1"/>
  <c r="AP21" i="9" s="1"/>
  <c r="H161" i="7"/>
  <c r="H141" i="7"/>
  <c r="I39" i="7"/>
  <c r="I139" i="7"/>
  <c r="I159" i="7"/>
  <c r="J37" i="7"/>
  <c r="L195" i="7"/>
  <c r="L196" i="7"/>
  <c r="H79" i="7"/>
  <c r="E46" i="7"/>
  <c r="F209" i="7" s="1"/>
  <c r="F213" i="7" s="1"/>
  <c r="I155" i="7"/>
  <c r="I175" i="7"/>
  <c r="I135" i="7"/>
  <c r="J33" i="7"/>
  <c r="E47" i="7"/>
  <c r="E50" i="7"/>
  <c r="I163" i="7"/>
  <c r="I143" i="7"/>
  <c r="L106" i="7"/>
  <c r="L104" i="7"/>
  <c r="L100" i="7"/>
  <c r="L99" i="7" s="1"/>
  <c r="L96" i="7"/>
  <c r="L95" i="7" s="1"/>
  <c r="L93" i="7"/>
  <c r="L197" i="7"/>
  <c r="M193" i="7" s="1"/>
  <c r="L105" i="7"/>
  <c r="L107" i="7"/>
  <c r="L16" i="7"/>
  <c r="L13" i="7"/>
  <c r="L202" i="7" s="1"/>
  <c r="L68" i="7" a="1"/>
  <c r="L68" i="7" s="1"/>
  <c r="L159" i="7"/>
  <c r="M5" i="7"/>
  <c r="L36" i="7"/>
  <c r="L139" i="7" s="1"/>
  <c r="L11" i="7"/>
  <c r="L14" i="7"/>
  <c r="L12" i="7"/>
  <c r="L6" i="7"/>
  <c r="K107" i="7"/>
  <c r="F75" i="7"/>
  <c r="F171" i="7"/>
  <c r="G29" i="7"/>
  <c r="F151" i="7"/>
  <c r="F131" i="7"/>
  <c r="K104" i="7"/>
  <c r="J103" i="7"/>
  <c r="H164" i="7"/>
  <c r="H144" i="7"/>
  <c r="I41" i="7"/>
  <c r="J5" i="8"/>
  <c r="H4" i="9"/>
  <c r="K4" i="8"/>
  <c r="K106" i="7"/>
  <c r="H139" i="7"/>
  <c r="H159" i="7"/>
  <c r="I37" i="7"/>
  <c r="F61" i="7"/>
  <c r="G3" i="9"/>
  <c r="H176" i="7"/>
  <c r="H156" i="7"/>
  <c r="H136" i="7"/>
  <c r="I34" i="7"/>
  <c r="I158" i="7"/>
  <c r="I138" i="7"/>
  <c r="I178" i="7"/>
  <c r="J36" i="7"/>
  <c r="I179" i="7"/>
  <c r="F222" i="7" l="1"/>
  <c r="F214" i="7"/>
  <c r="M195" i="7"/>
  <c r="M196" i="7"/>
  <c r="E59" i="7"/>
  <c r="J156" i="7"/>
  <c r="J136" i="7"/>
  <c r="J176" i="7"/>
  <c r="K34" i="7"/>
  <c r="J160" i="7"/>
  <c r="J140" i="7"/>
  <c r="K38" i="7"/>
  <c r="AQ27" i="9" a="1"/>
  <c r="AQ27" i="9" s="1"/>
  <c r="AQ26" i="9" a="1"/>
  <c r="AQ26" i="9" s="1"/>
  <c r="AQ25" i="9" a="1"/>
  <c r="AQ25" i="9" s="1"/>
  <c r="AQ21" i="9" a="1"/>
  <c r="AQ21" i="9" s="1"/>
  <c r="AQ24" i="9" a="1"/>
  <c r="AQ24" i="9" s="1"/>
  <c r="AQ16" i="9" a="1"/>
  <c r="AQ16" i="9" s="1"/>
  <c r="AQ23" i="9" a="1"/>
  <c r="AQ23" i="9" s="1"/>
  <c r="L103" i="7"/>
  <c r="F77" i="7"/>
  <c r="H3" i="9"/>
  <c r="AR114" i="9"/>
  <c r="AR112" i="9"/>
  <c r="AR110" i="9"/>
  <c r="AR108" i="9"/>
  <c r="AR106" i="9"/>
  <c r="AR104" i="9"/>
  <c r="AR102" i="9"/>
  <c r="AR100" i="9"/>
  <c r="AR98" i="9"/>
  <c r="AR96" i="9"/>
  <c r="AR94" i="9"/>
  <c r="AR92" i="9"/>
  <c r="AR90" i="9"/>
  <c r="AR88" i="9"/>
  <c r="AR91" i="9"/>
  <c r="AR111" i="9"/>
  <c r="AR109" i="9"/>
  <c r="AR107" i="9"/>
  <c r="AR113" i="9"/>
  <c r="AR101" i="9"/>
  <c r="AR78" i="9"/>
  <c r="AR103" i="9"/>
  <c r="AR105" i="9"/>
  <c r="AR89" i="9"/>
  <c r="AR99" i="9"/>
  <c r="AR97" i="9"/>
  <c r="AR95" i="9"/>
  <c r="AR93" i="9"/>
  <c r="AR86" i="9"/>
  <c r="AR84" i="9"/>
  <c r="AR72" i="9"/>
  <c r="AR76" i="9"/>
  <c r="AR71" i="9"/>
  <c r="AR69" i="9"/>
  <c r="AR67" i="9"/>
  <c r="AR65" i="9"/>
  <c r="AR63" i="9"/>
  <c r="AR61" i="9"/>
  <c r="AR59" i="9"/>
  <c r="AR83" i="9"/>
  <c r="AR82" i="9"/>
  <c r="AR81" i="9"/>
  <c r="AR80" i="9"/>
  <c r="AR79" i="9"/>
  <c r="AR75" i="9"/>
  <c r="AR87" i="9"/>
  <c r="AR85" i="9"/>
  <c r="AR77" i="9"/>
  <c r="AR74" i="9"/>
  <c r="AR73" i="9"/>
  <c r="AR57" i="9"/>
  <c r="AR62" i="9"/>
  <c r="AR60" i="9"/>
  <c r="AR70" i="9"/>
  <c r="AR68" i="9"/>
  <c r="AR66" i="9"/>
  <c r="AR58" i="9"/>
  <c r="AR55" i="9"/>
  <c r="AR56" i="9"/>
  <c r="AR64" i="9"/>
  <c r="AS5" i="9"/>
  <c r="I144" i="7"/>
  <c r="I164" i="7"/>
  <c r="I4" i="9"/>
  <c r="L4" i="8"/>
  <c r="K5" i="8"/>
  <c r="G132" i="7"/>
  <c r="G152" i="7"/>
  <c r="H30" i="7"/>
  <c r="G172" i="7"/>
  <c r="I162" i="7"/>
  <c r="I142" i="7"/>
  <c r="J40" i="7"/>
  <c r="J139" i="7"/>
  <c r="J159" i="7"/>
  <c r="K37" i="7"/>
  <c r="I160" i="7"/>
  <c r="I140" i="7"/>
  <c r="J38" i="7"/>
  <c r="I157" i="7"/>
  <c r="I137" i="7"/>
  <c r="I79" i="7"/>
  <c r="I177" i="7"/>
  <c r="J35" i="7"/>
  <c r="J79" i="7"/>
  <c r="J41" i="7"/>
  <c r="F24" i="7"/>
  <c r="F27" i="7" s="1"/>
  <c r="F17" i="7"/>
  <c r="M140" i="7"/>
  <c r="M197" i="7"/>
  <c r="N193" i="7" s="1"/>
  <c r="M68" i="7" a="1"/>
  <c r="M68" i="7" s="1"/>
  <c r="M13" i="7"/>
  <c r="M202" i="7" s="1"/>
  <c r="M93" i="7"/>
  <c r="M107" i="7" s="1"/>
  <c r="M11" i="7"/>
  <c r="M14" i="7"/>
  <c r="M12" i="7"/>
  <c r="M37" i="7"/>
  <c r="M160" i="7" s="1"/>
  <c r="N5" i="7"/>
  <c r="M6" i="7"/>
  <c r="J179" i="7"/>
  <c r="K103" i="7"/>
  <c r="AS114" i="9" l="1"/>
  <c r="AS112" i="9"/>
  <c r="AS110" i="9"/>
  <c r="AS108" i="9"/>
  <c r="AS106" i="9"/>
  <c r="AS104" i="9"/>
  <c r="AS102" i="9"/>
  <c r="AS100" i="9"/>
  <c r="AS98" i="9"/>
  <c r="AS96" i="9"/>
  <c r="AS94" i="9"/>
  <c r="AS92" i="9"/>
  <c r="AS90" i="9"/>
  <c r="AS113" i="9"/>
  <c r="AS111" i="9"/>
  <c r="AS109" i="9"/>
  <c r="AS91" i="9"/>
  <c r="AS78" i="9"/>
  <c r="AS76" i="9"/>
  <c r="AS74" i="9"/>
  <c r="AS72" i="9"/>
  <c r="AS103" i="9"/>
  <c r="AS105" i="9"/>
  <c r="AS107" i="9"/>
  <c r="AS99" i="9"/>
  <c r="AS97" i="9"/>
  <c r="AS95" i="9"/>
  <c r="AS93" i="9"/>
  <c r="AS101" i="9"/>
  <c r="AS88" i="9"/>
  <c r="AS71" i="9"/>
  <c r="AS69" i="9"/>
  <c r="AS67" i="9"/>
  <c r="AS65" i="9"/>
  <c r="AS63" i="9"/>
  <c r="AS61" i="9"/>
  <c r="AS59" i="9"/>
  <c r="AS89" i="9"/>
  <c r="AS83" i="9"/>
  <c r="AS82" i="9"/>
  <c r="AS81" i="9"/>
  <c r="AS80" i="9"/>
  <c r="AS79" i="9"/>
  <c r="AS75" i="9"/>
  <c r="AS87" i="9"/>
  <c r="AS85" i="9"/>
  <c r="AS77" i="9"/>
  <c r="AS73" i="9"/>
  <c r="AS86" i="9"/>
  <c r="AS84" i="9"/>
  <c r="AS62" i="9"/>
  <c r="AS60" i="9"/>
  <c r="AS70" i="9"/>
  <c r="AS64" i="9"/>
  <c r="AS68" i="9"/>
  <c r="AS66" i="9"/>
  <c r="AS57" i="9"/>
  <c r="AS58" i="9"/>
  <c r="AS55" i="9"/>
  <c r="AS56" i="9"/>
  <c r="AT5" i="9"/>
  <c r="K157" i="7"/>
  <c r="K137" i="7"/>
  <c r="K177" i="7"/>
  <c r="L35" i="7"/>
  <c r="H153" i="7"/>
  <c r="H133" i="7"/>
  <c r="H173" i="7"/>
  <c r="I31" i="7"/>
  <c r="J164" i="7"/>
  <c r="J144" i="7"/>
  <c r="M16" i="7"/>
  <c r="M100" i="7" s="1"/>
  <c r="M99" i="7" s="1"/>
  <c r="M96" i="7"/>
  <c r="M95" i="7" s="1"/>
  <c r="J161" i="7"/>
  <c r="J141" i="7"/>
  <c r="K39" i="7"/>
  <c r="F44" i="7"/>
  <c r="G51" i="7"/>
  <c r="G58" i="7" s="1"/>
  <c r="G28" i="7"/>
  <c r="F150" i="7"/>
  <c r="F165" i="7" s="1"/>
  <c r="F166" i="7" s="1"/>
  <c r="F170" i="7"/>
  <c r="F180" i="7" s="1"/>
  <c r="F181" i="7" s="1"/>
  <c r="G18" i="7"/>
  <c r="G62" i="7" s="1"/>
  <c r="F130" i="7"/>
  <c r="F145" i="7" s="1"/>
  <c r="F146" i="7" s="1"/>
  <c r="F183" i="7" s="1" a="1"/>
  <c r="F183" i="7" s="1"/>
  <c r="F45" i="7" a="1"/>
  <c r="F45" i="7" s="1"/>
  <c r="G66" i="7"/>
  <c r="G64" i="7" s="1"/>
  <c r="J158" i="7"/>
  <c r="J178" i="7"/>
  <c r="K179" i="7" s="1"/>
  <c r="L179" i="7" s="1"/>
  <c r="J138" i="7"/>
  <c r="K36" i="7"/>
  <c r="K79" i="7" s="1"/>
  <c r="K141" i="7"/>
  <c r="K161" i="7"/>
  <c r="L39" i="7"/>
  <c r="AR25" i="9" a="1"/>
  <c r="AR25" i="9" s="1"/>
  <c r="AR27" i="9" a="1"/>
  <c r="AR27" i="9" s="1"/>
  <c r="AR26" i="9" a="1"/>
  <c r="AR26" i="9" s="1"/>
  <c r="AR21" i="9" a="1"/>
  <c r="AR21" i="9" s="1"/>
  <c r="AR24" i="9" a="1"/>
  <c r="AR24" i="9" s="1"/>
  <c r="AR23" i="9" a="1"/>
  <c r="AR23" i="9" s="1"/>
  <c r="AR16" i="9" a="1"/>
  <c r="AR16" i="9" s="1"/>
  <c r="M106" i="7"/>
  <c r="M104" i="7"/>
  <c r="L5" i="8"/>
  <c r="J4" i="9"/>
  <c r="J3" i="9" s="1"/>
  <c r="M4" i="8"/>
  <c r="E76" i="7"/>
  <c r="E57" i="7"/>
  <c r="G221" i="7"/>
  <c r="F223" i="7"/>
  <c r="M105" i="7"/>
  <c r="N197" i="7"/>
  <c r="O193" i="7" s="1"/>
  <c r="N68" i="7" a="1"/>
  <c r="N68" i="7" s="1"/>
  <c r="N93" i="7"/>
  <c r="N104" i="7" s="1"/>
  <c r="N11" i="7"/>
  <c r="N38" i="7"/>
  <c r="N161" i="7" s="1"/>
  <c r="N141" i="7"/>
  <c r="N16" i="7"/>
  <c r="N100" i="7" s="1"/>
  <c r="N99" i="7" s="1"/>
  <c r="N13" i="7"/>
  <c r="N202" i="7" s="1"/>
  <c r="N14" i="7"/>
  <c r="N12" i="7"/>
  <c r="O5" i="7"/>
  <c r="N6" i="7"/>
  <c r="I3" i="9"/>
  <c r="N195" i="7"/>
  <c r="N196" i="7"/>
  <c r="G20" i="7"/>
  <c r="G19" i="7"/>
  <c r="K160" i="7"/>
  <c r="K140" i="7"/>
  <c r="L38" i="7"/>
  <c r="J163" i="7"/>
  <c r="J143" i="7"/>
  <c r="K41" i="7"/>
  <c r="E55" i="7" l="1"/>
  <c r="E82" i="7"/>
  <c r="E81" i="7"/>
  <c r="M103" i="7"/>
  <c r="G21" i="7"/>
  <c r="L142" i="7"/>
  <c r="L162" i="7"/>
  <c r="M40" i="7"/>
  <c r="G171" i="7"/>
  <c r="G131" i="7"/>
  <c r="G151" i="7"/>
  <c r="H29" i="7"/>
  <c r="G75" i="7"/>
  <c r="AT114" i="9"/>
  <c r="AT112" i="9"/>
  <c r="AT110" i="9"/>
  <c r="AT108" i="9"/>
  <c r="AT106" i="9"/>
  <c r="AT104" i="9"/>
  <c r="AT102" i="9"/>
  <c r="AT100" i="9"/>
  <c r="AT98" i="9"/>
  <c r="AT96" i="9"/>
  <c r="AT94" i="9"/>
  <c r="AT92" i="9"/>
  <c r="AT86" i="9"/>
  <c r="AT84" i="9"/>
  <c r="AT82" i="9"/>
  <c r="AT80" i="9"/>
  <c r="AT90" i="9"/>
  <c r="AT111" i="9"/>
  <c r="AT109" i="9"/>
  <c r="AT107" i="9"/>
  <c r="AT105" i="9"/>
  <c r="AT103" i="9"/>
  <c r="AT101" i="9"/>
  <c r="AT113" i="9"/>
  <c r="AT89" i="9"/>
  <c r="AT99" i="9"/>
  <c r="AT97" i="9"/>
  <c r="AT95" i="9"/>
  <c r="AT93" i="9"/>
  <c r="AT88" i="9"/>
  <c r="AT91" i="9"/>
  <c r="AT78" i="9"/>
  <c r="AT83" i="9"/>
  <c r="AT81" i="9"/>
  <c r="AT79" i="9"/>
  <c r="AT76" i="9"/>
  <c r="AT75" i="9"/>
  <c r="AT87" i="9"/>
  <c r="AT85" i="9"/>
  <c r="AT77" i="9"/>
  <c r="AT74" i="9"/>
  <c r="AT73" i="9"/>
  <c r="AT72" i="9"/>
  <c r="AT71" i="9"/>
  <c r="AT69" i="9"/>
  <c r="AT67" i="9"/>
  <c r="AT65" i="9"/>
  <c r="AT63" i="9"/>
  <c r="AT61" i="9"/>
  <c r="AT70" i="9"/>
  <c r="AT68" i="9"/>
  <c r="AT66" i="9"/>
  <c r="AT62" i="9"/>
  <c r="AT60" i="9"/>
  <c r="AT64" i="9"/>
  <c r="AT58" i="9"/>
  <c r="AT59" i="9"/>
  <c r="AT55" i="9"/>
  <c r="AT57" i="9"/>
  <c r="AT56" i="9"/>
  <c r="AU5" i="9"/>
  <c r="F46" i="7"/>
  <c r="G209" i="7" s="1"/>
  <c r="G213" i="7" s="1"/>
  <c r="F47" i="7"/>
  <c r="F50" i="7"/>
  <c r="L158" i="7"/>
  <c r="L138" i="7"/>
  <c r="L178" i="7"/>
  <c r="M179" i="7" s="1"/>
  <c r="M36" i="7"/>
  <c r="AS25" i="9" a="1"/>
  <c r="AS25" i="9" s="1"/>
  <c r="AS21" i="9" a="1"/>
  <c r="AS21" i="9" s="1"/>
  <c r="AS24" i="9" a="1"/>
  <c r="AS24" i="9" s="1"/>
  <c r="AS26" i="9" a="1"/>
  <c r="AS26" i="9" s="1"/>
  <c r="AS27" i="9" a="1"/>
  <c r="AS27" i="9" s="1"/>
  <c r="AS23" i="9" a="1"/>
  <c r="AS23" i="9" s="1"/>
  <c r="AS16" i="9" a="1"/>
  <c r="AS16" i="9" s="1"/>
  <c r="K144" i="7"/>
  <c r="K164" i="7"/>
  <c r="L41" i="7"/>
  <c r="N107" i="7"/>
  <c r="G61" i="7"/>
  <c r="K162" i="7"/>
  <c r="K142" i="7"/>
  <c r="L40" i="7"/>
  <c r="N106" i="7"/>
  <c r="N96" i="7"/>
  <c r="N95" i="7" s="1"/>
  <c r="N105" i="7"/>
  <c r="N103" i="7" s="1"/>
  <c r="E74" i="7"/>
  <c r="I154" i="7"/>
  <c r="I134" i="7"/>
  <c r="I174" i="7"/>
  <c r="I78" i="7"/>
  <c r="J32" i="7"/>
  <c r="L161" i="7"/>
  <c r="L141" i="7"/>
  <c r="M39" i="7"/>
  <c r="O196" i="7"/>
  <c r="O195" i="7"/>
  <c r="O197" i="7"/>
  <c r="P193" i="7" s="1"/>
  <c r="O96" i="7"/>
  <c r="O95" i="7" s="1"/>
  <c r="O142" i="7"/>
  <c r="O106" i="7"/>
  <c r="O93" i="7"/>
  <c r="O105" i="7"/>
  <c r="O104" i="7"/>
  <c r="P5" i="7"/>
  <c r="O162" i="7"/>
  <c r="O68" i="7" a="1"/>
  <c r="O68" i="7" s="1"/>
  <c r="O11" i="7"/>
  <c r="O14" i="7"/>
  <c r="O39" i="7"/>
  <c r="O107" i="7"/>
  <c r="O13" i="7"/>
  <c r="O202" i="7" s="1"/>
  <c r="O12" i="7"/>
  <c r="O6" i="7"/>
  <c r="K4" i="9"/>
  <c r="N4" i="8"/>
  <c r="M5" i="8"/>
  <c r="K139" i="7"/>
  <c r="K159" i="7"/>
  <c r="L37" i="7"/>
  <c r="G214" i="7" l="1"/>
  <c r="G222" i="7"/>
  <c r="O103" i="7"/>
  <c r="K3" i="9"/>
  <c r="L160" i="7"/>
  <c r="L140" i="7"/>
  <c r="M38" i="7"/>
  <c r="F59" i="7"/>
  <c r="H132" i="7"/>
  <c r="H172" i="7"/>
  <c r="H152" i="7"/>
  <c r="I30" i="7"/>
  <c r="L163" i="7"/>
  <c r="L143" i="7"/>
  <c r="M41" i="7"/>
  <c r="G24" i="7"/>
  <c r="G27" i="7" s="1"/>
  <c r="G17" i="7"/>
  <c r="AU113" i="9"/>
  <c r="AU111" i="9"/>
  <c r="AU109" i="9"/>
  <c r="AU107" i="9"/>
  <c r="AU105" i="9"/>
  <c r="AU103" i="9"/>
  <c r="AU101" i="9"/>
  <c r="AU99" i="9"/>
  <c r="AU97" i="9"/>
  <c r="AU95" i="9"/>
  <c r="AU93" i="9"/>
  <c r="AU91" i="9"/>
  <c r="AU114" i="9"/>
  <c r="AU90" i="9"/>
  <c r="AU112" i="9"/>
  <c r="AU110" i="9"/>
  <c r="AU108" i="9"/>
  <c r="AU106" i="9"/>
  <c r="AU104" i="9"/>
  <c r="AU102" i="9"/>
  <c r="AU100" i="9"/>
  <c r="AU98" i="9"/>
  <c r="AU96" i="9"/>
  <c r="AU94" i="9"/>
  <c r="AU92" i="9"/>
  <c r="AU89" i="9"/>
  <c r="AU87" i="9"/>
  <c r="AU86" i="9"/>
  <c r="AU85" i="9"/>
  <c r="AU77" i="9"/>
  <c r="AU75" i="9"/>
  <c r="AU73" i="9"/>
  <c r="AU88" i="9"/>
  <c r="AU82" i="9"/>
  <c r="AU80" i="9"/>
  <c r="AU78" i="9"/>
  <c r="AU70" i="9"/>
  <c r="AU68" i="9"/>
  <c r="AU66" i="9"/>
  <c r="AU64" i="9"/>
  <c r="AU62" i="9"/>
  <c r="AU60" i="9"/>
  <c r="AU58" i="9"/>
  <c r="AU56" i="9"/>
  <c r="AU74" i="9"/>
  <c r="AU84" i="9"/>
  <c r="AU72" i="9"/>
  <c r="AU83" i="9"/>
  <c r="AU81" i="9"/>
  <c r="AU79" i="9"/>
  <c r="AU76" i="9"/>
  <c r="AU69" i="9"/>
  <c r="AU67" i="9"/>
  <c r="AU65" i="9"/>
  <c r="AU71" i="9"/>
  <c r="AU63" i="9"/>
  <c r="AU61" i="9"/>
  <c r="AU59" i="9"/>
  <c r="AU55" i="9"/>
  <c r="AU57" i="9"/>
  <c r="AV5" i="9"/>
  <c r="E72" i="7"/>
  <c r="E71" i="7" s="1"/>
  <c r="E189" i="7" s="1"/>
  <c r="O4" i="8"/>
  <c r="N5" i="8"/>
  <c r="L4" i="9"/>
  <c r="L3" i="9" s="1"/>
  <c r="M142" i="7"/>
  <c r="M162" i="7"/>
  <c r="N40" i="7"/>
  <c r="P196" i="7"/>
  <c r="P195" i="7"/>
  <c r="O16" i="7"/>
  <c r="O100" i="7" s="1"/>
  <c r="O99" i="7" s="1"/>
  <c r="P197" i="7"/>
  <c r="Q193" i="7" s="1"/>
  <c r="P106" i="7"/>
  <c r="O55" i="5" s="1"/>
  <c r="P93" i="7"/>
  <c r="P107" i="7" s="1"/>
  <c r="O56" i="5" s="1"/>
  <c r="P104" i="7"/>
  <c r="Q5" i="7"/>
  <c r="P14" i="7"/>
  <c r="P12" i="7"/>
  <c r="P68" i="7" a="1"/>
  <c r="P68" i="7" s="1"/>
  <c r="O38" i="5" s="1"/>
  <c r="P11" i="7"/>
  <c r="P13" i="7"/>
  <c r="P202" i="7" s="1"/>
  <c r="P40" i="7"/>
  <c r="P163" i="7" s="1"/>
  <c r="P16" i="7"/>
  <c r="P100" i="7" s="1"/>
  <c r="P99" i="7" s="1"/>
  <c r="P6" i="7"/>
  <c r="L164" i="7"/>
  <c r="L144" i="7"/>
  <c r="AT27" i="9" a="1"/>
  <c r="AT27" i="9" s="1"/>
  <c r="AT25" i="9" a="1"/>
  <c r="AT25" i="9" s="1"/>
  <c r="AT16" i="9" a="1"/>
  <c r="AT16" i="9" s="1"/>
  <c r="AT24" i="9" a="1"/>
  <c r="AT24" i="9" s="1"/>
  <c r="AT23" i="9" a="1"/>
  <c r="AT23" i="9" s="1"/>
  <c r="AT26" i="9" a="1"/>
  <c r="AT26" i="9" s="1"/>
  <c r="AT21" i="9" a="1"/>
  <c r="AT21" i="9" s="1"/>
  <c r="M163" i="7"/>
  <c r="M143" i="7"/>
  <c r="N41" i="7"/>
  <c r="E188" i="7"/>
  <c r="E187" i="7"/>
  <c r="G77" i="7"/>
  <c r="J135" i="7"/>
  <c r="J155" i="7"/>
  <c r="J175" i="7"/>
  <c r="K33" i="7"/>
  <c r="M159" i="7"/>
  <c r="M139" i="7"/>
  <c r="N37" i="7"/>
  <c r="O51" i="5" l="1"/>
  <c r="P103" i="7"/>
  <c r="O53" i="5"/>
  <c r="P143" i="7"/>
  <c r="Q196" i="7"/>
  <c r="Q195" i="7"/>
  <c r="M4" i="9"/>
  <c r="M3" i="9" s="1"/>
  <c r="O5" i="8"/>
  <c r="P4" i="8"/>
  <c r="H20" i="7"/>
  <c r="H19" i="7"/>
  <c r="N140" i="7"/>
  <c r="N160" i="7"/>
  <c r="O38" i="7"/>
  <c r="N144" i="7"/>
  <c r="N164" i="7"/>
  <c r="P96" i="7"/>
  <c r="P105" i="7"/>
  <c r="O54" i="5" s="1"/>
  <c r="H51" i="7"/>
  <c r="H58" i="7" s="1"/>
  <c r="G44" i="7"/>
  <c r="G45" i="7" a="1"/>
  <c r="G45" i="7" s="1"/>
  <c r="G170" i="7"/>
  <c r="G180" i="7" s="1"/>
  <c r="G181" i="7" s="1"/>
  <c r="G150" i="7"/>
  <c r="G165" i="7" s="1"/>
  <c r="G166" i="7" s="1"/>
  <c r="H28" i="7"/>
  <c r="G130" i="7"/>
  <c r="G145" i="7" s="1"/>
  <c r="G146" i="7" s="1"/>
  <c r="G183" i="7" s="1" a="1"/>
  <c r="G183" i="7" s="1"/>
  <c r="H18" i="7"/>
  <c r="H62" i="7" s="1"/>
  <c r="AV113" i="9"/>
  <c r="AV111" i="9"/>
  <c r="AV109" i="9"/>
  <c r="AV107" i="9"/>
  <c r="AV105" i="9"/>
  <c r="AV103" i="9"/>
  <c r="AV101" i="9"/>
  <c r="AV99" i="9"/>
  <c r="AV97" i="9"/>
  <c r="AV95" i="9"/>
  <c r="AV93" i="9"/>
  <c r="AV91" i="9"/>
  <c r="AV89" i="9"/>
  <c r="AV87" i="9"/>
  <c r="AV114" i="9"/>
  <c r="AV112" i="9"/>
  <c r="AV110" i="9"/>
  <c r="AV108" i="9"/>
  <c r="AV98" i="9"/>
  <c r="AV96" i="9"/>
  <c r="AV94" i="9"/>
  <c r="AV92" i="9"/>
  <c r="AV100" i="9"/>
  <c r="AV86" i="9"/>
  <c r="AV85" i="9"/>
  <c r="AV77" i="9"/>
  <c r="AV90" i="9"/>
  <c r="AV84" i="9"/>
  <c r="AV83" i="9"/>
  <c r="AV81" i="9"/>
  <c r="AV79" i="9"/>
  <c r="AV102" i="9"/>
  <c r="AV88" i="9"/>
  <c r="AV104" i="9"/>
  <c r="AV106" i="9"/>
  <c r="AV78" i="9"/>
  <c r="AV75" i="9"/>
  <c r="AV70" i="9"/>
  <c r="AV68" i="9"/>
  <c r="AV66" i="9"/>
  <c r="AV64" i="9"/>
  <c r="AV62" i="9"/>
  <c r="AV60" i="9"/>
  <c r="AV58" i="9"/>
  <c r="AV74" i="9"/>
  <c r="AV73" i="9"/>
  <c r="AV72" i="9"/>
  <c r="AV71" i="9"/>
  <c r="AV76" i="9"/>
  <c r="AV82" i="9"/>
  <c r="AV80" i="9"/>
  <c r="AV67" i="9"/>
  <c r="AV65" i="9"/>
  <c r="AV56" i="9"/>
  <c r="AV69" i="9"/>
  <c r="AV59" i="9"/>
  <c r="AV55" i="9"/>
  <c r="AV57" i="9"/>
  <c r="AV61" i="9"/>
  <c r="AV63" i="9"/>
  <c r="AW5" i="9"/>
  <c r="M141" i="7"/>
  <c r="M161" i="7"/>
  <c r="N39" i="7"/>
  <c r="G223" i="7"/>
  <c r="H221" i="7"/>
  <c r="N143" i="7"/>
  <c r="N163" i="7"/>
  <c r="O41" i="7"/>
  <c r="K156" i="7"/>
  <c r="K136" i="7"/>
  <c r="K176" i="7"/>
  <c r="L34" i="7"/>
  <c r="O15" i="5"/>
  <c r="AU26" i="9" a="1"/>
  <c r="AU26" i="9" s="1"/>
  <c r="AU24" i="9" a="1"/>
  <c r="AU24" i="9" s="1"/>
  <c r="AU23" i="9" a="1"/>
  <c r="AU23" i="9" s="1"/>
  <c r="AU27" i="9" a="1"/>
  <c r="AU27" i="9" s="1"/>
  <c r="AU25" i="9" a="1"/>
  <c r="AU25" i="9" s="1"/>
  <c r="AU16" i="9" a="1"/>
  <c r="AU16" i="9" s="1"/>
  <c r="AU21" i="9" a="1"/>
  <c r="AU21" i="9" s="1"/>
  <c r="M164" i="7"/>
  <c r="M144" i="7"/>
  <c r="Q197" i="7"/>
  <c r="R193" i="7" s="1"/>
  <c r="Q93" i="7"/>
  <c r="Q106" i="7" s="1"/>
  <c r="Q104" i="7"/>
  <c r="Q68" i="7" a="1"/>
  <c r="Q68" i="7" s="1"/>
  <c r="Q14" i="7"/>
  <c r="Q12" i="7"/>
  <c r="R5" i="7"/>
  <c r="Q105" i="7"/>
  <c r="Q96" i="7"/>
  <c r="Q11" i="7"/>
  <c r="Q107" i="7"/>
  <c r="Q16" i="7"/>
  <c r="Q100" i="7" s="1"/>
  <c r="Q99" i="7" s="1"/>
  <c r="Q13" i="7"/>
  <c r="Q202" i="7" s="1"/>
  <c r="Q6" i="7"/>
  <c r="F76" i="7"/>
  <c r="F57" i="7"/>
  <c r="I133" i="7"/>
  <c r="I153" i="7"/>
  <c r="I173" i="7"/>
  <c r="J31" i="7"/>
  <c r="R196" i="7" l="1"/>
  <c r="R195" i="7"/>
  <c r="AV26" i="9" a="1"/>
  <c r="AV26" i="9" s="1"/>
  <c r="AV25" i="9" a="1"/>
  <c r="AV25" i="9" s="1"/>
  <c r="AV27" i="9" a="1"/>
  <c r="AV27" i="9" s="1"/>
  <c r="AV24" i="9" a="1"/>
  <c r="AV24" i="9" s="1"/>
  <c r="AV23" i="9" a="1"/>
  <c r="AV23" i="9" s="1"/>
  <c r="AV21" i="9" a="1"/>
  <c r="AV21" i="9" s="1"/>
  <c r="AV16" i="9" a="1"/>
  <c r="AV16" i="9" s="1"/>
  <c r="G47" i="7"/>
  <c r="G50" i="7"/>
  <c r="Q4" i="8"/>
  <c r="P5" i="8"/>
  <c r="N4" i="9"/>
  <c r="N3" i="9" s="1"/>
  <c r="G46" i="7"/>
  <c r="H209" i="7" s="1"/>
  <c r="H213" i="7" s="1"/>
  <c r="O52" i="5"/>
  <c r="H66" i="7"/>
  <c r="H64" i="7" s="1"/>
  <c r="H75" i="7"/>
  <c r="O161" i="7"/>
  <c r="O141" i="7"/>
  <c r="P39" i="7"/>
  <c r="Q103" i="7"/>
  <c r="J154" i="7"/>
  <c r="J174" i="7"/>
  <c r="J134" i="7"/>
  <c r="J78" i="7"/>
  <c r="K32" i="7"/>
  <c r="O164" i="7"/>
  <c r="O144" i="7"/>
  <c r="N142" i="7"/>
  <c r="N162" i="7"/>
  <c r="O40" i="7"/>
  <c r="AW113" i="9"/>
  <c r="AW111" i="9"/>
  <c r="AW109" i="9"/>
  <c r="AW107" i="9"/>
  <c r="AW105" i="9"/>
  <c r="AW103" i="9"/>
  <c r="AW101" i="9"/>
  <c r="AW99" i="9"/>
  <c r="AW97" i="9"/>
  <c r="AW95" i="9"/>
  <c r="AW93" i="9"/>
  <c r="AW91" i="9"/>
  <c r="AW89" i="9"/>
  <c r="AW114" i="9"/>
  <c r="AW112" i="9"/>
  <c r="AW110" i="9"/>
  <c r="AW108" i="9"/>
  <c r="AW106" i="9"/>
  <c r="AW104" i="9"/>
  <c r="AW102" i="9"/>
  <c r="AW100" i="9"/>
  <c r="AW98" i="9"/>
  <c r="AW96" i="9"/>
  <c r="AW94" i="9"/>
  <c r="AW92" i="9"/>
  <c r="AW86" i="9"/>
  <c r="AW85" i="9"/>
  <c r="AW77" i="9"/>
  <c r="AW75" i="9"/>
  <c r="AW73" i="9"/>
  <c r="AW90" i="9"/>
  <c r="AW87" i="9"/>
  <c r="AW84" i="9"/>
  <c r="AW83" i="9"/>
  <c r="AW81" i="9"/>
  <c r="AW79" i="9"/>
  <c r="AW82" i="9"/>
  <c r="AW80" i="9"/>
  <c r="AW78" i="9"/>
  <c r="AW70" i="9"/>
  <c r="AW68" i="9"/>
  <c r="AW66" i="9"/>
  <c r="AW64" i="9"/>
  <c r="AW62" i="9"/>
  <c r="AW60" i="9"/>
  <c r="AW58" i="9"/>
  <c r="AW74" i="9"/>
  <c r="AW72" i="9"/>
  <c r="AW88" i="9"/>
  <c r="AW76" i="9"/>
  <c r="AW56" i="9"/>
  <c r="AW55" i="9"/>
  <c r="AW71" i="9"/>
  <c r="AW69" i="9"/>
  <c r="AW67" i="9"/>
  <c r="AW65" i="9"/>
  <c r="AW59" i="9"/>
  <c r="AW57" i="9"/>
  <c r="AW61" i="9"/>
  <c r="AW63" i="9"/>
  <c r="AX5" i="9"/>
  <c r="F55" i="7"/>
  <c r="F81" i="7"/>
  <c r="F82" i="7"/>
  <c r="L157" i="7"/>
  <c r="L79" i="7"/>
  <c r="L137" i="7"/>
  <c r="L177" i="7"/>
  <c r="M35" i="7"/>
  <c r="Q95" i="7"/>
  <c r="R197" i="7"/>
  <c r="S193" i="7" s="1"/>
  <c r="R106" i="7"/>
  <c r="R104" i="7"/>
  <c r="R93" i="7"/>
  <c r="R96" i="7" s="1"/>
  <c r="R150" i="7"/>
  <c r="R68" i="7" a="1"/>
  <c r="R68" i="7" s="1"/>
  <c r="R105" i="7"/>
  <c r="R14" i="7"/>
  <c r="R12" i="7"/>
  <c r="R11" i="7"/>
  <c r="R107" i="7"/>
  <c r="R27" i="7"/>
  <c r="R130" i="7" s="1"/>
  <c r="S5" i="7"/>
  <c r="R6" i="7"/>
  <c r="R18" i="7" s="1"/>
  <c r="R62" i="7" s="1"/>
  <c r="R13" i="7"/>
  <c r="R202" i="7" s="1"/>
  <c r="F74" i="7"/>
  <c r="H131" i="7"/>
  <c r="H171" i="7"/>
  <c r="H151" i="7"/>
  <c r="I29" i="7"/>
  <c r="P95" i="7"/>
  <c r="O49" i="5"/>
  <c r="H21" i="7"/>
  <c r="H222" i="7" l="1"/>
  <c r="H214" i="7"/>
  <c r="R95" i="7"/>
  <c r="H24" i="7"/>
  <c r="H27" i="7" s="1"/>
  <c r="H17" i="7"/>
  <c r="AW26" i="9" a="1"/>
  <c r="AW26" i="9" s="1"/>
  <c r="AW27" i="9" a="1"/>
  <c r="AW27" i="9" s="1"/>
  <c r="AW25" i="9" a="1"/>
  <c r="AW25" i="9" s="1"/>
  <c r="AW21" i="9" a="1"/>
  <c r="AW21" i="9" s="1"/>
  <c r="AW24" i="9" a="1"/>
  <c r="AW24" i="9" s="1"/>
  <c r="AW16" i="9" a="1"/>
  <c r="AW16" i="9" s="1"/>
  <c r="Q5" i="8"/>
  <c r="O4" i="9"/>
  <c r="O3" i="9" s="1"/>
  <c r="R4" i="8"/>
  <c r="R103" i="7"/>
  <c r="K135" i="7"/>
  <c r="K155" i="7"/>
  <c r="K175" i="7"/>
  <c r="L33" i="7"/>
  <c r="G59" i="7"/>
  <c r="O163" i="7"/>
  <c r="O143" i="7"/>
  <c r="P41" i="7"/>
  <c r="O48" i="5"/>
  <c r="M178" i="7"/>
  <c r="N179" i="7" s="1"/>
  <c r="M158" i="7"/>
  <c r="M138" i="7"/>
  <c r="N36" i="7"/>
  <c r="S196" i="7"/>
  <c r="S195" i="7"/>
  <c r="O21" i="5"/>
  <c r="F72" i="7"/>
  <c r="F71" i="7" s="1"/>
  <c r="F189" i="7" s="1"/>
  <c r="R170" i="7"/>
  <c r="H61" i="7"/>
  <c r="I172" i="7"/>
  <c r="I152" i="7"/>
  <c r="I132" i="7"/>
  <c r="J30" i="7"/>
  <c r="S170" i="7"/>
  <c r="S151" i="7"/>
  <c r="S197" i="7"/>
  <c r="T193" i="7" s="1"/>
  <c r="S66" i="7"/>
  <c r="S64" i="7" s="1"/>
  <c r="S104" i="7"/>
  <c r="S107" i="7"/>
  <c r="S106" i="7"/>
  <c r="S93" i="7"/>
  <c r="S28" i="7"/>
  <c r="S171" i="7" s="1"/>
  <c r="S105" i="7"/>
  <c r="S24" i="7"/>
  <c r="S20" i="7"/>
  <c r="S68" i="7" a="1"/>
  <c r="S68" i="7" s="1"/>
  <c r="S100" i="7"/>
  <c r="S99" i="7" s="1"/>
  <c r="S27" i="7"/>
  <c r="S12" i="7"/>
  <c r="S17" i="7"/>
  <c r="S11" i="7"/>
  <c r="T5" i="7"/>
  <c r="S14" i="7"/>
  <c r="S13" i="7"/>
  <c r="S202" i="7" s="1"/>
  <c r="S6" i="7"/>
  <c r="S18" i="7" s="1"/>
  <c r="S62" i="7" s="1"/>
  <c r="S61" i="7" s="1"/>
  <c r="S77" i="7" s="1"/>
  <c r="R16" i="7"/>
  <c r="R100" i="7" s="1"/>
  <c r="R99" i="7" s="1"/>
  <c r="AX114" i="9"/>
  <c r="AX113" i="9"/>
  <c r="AX111" i="9"/>
  <c r="AX109" i="9"/>
  <c r="AX107" i="9"/>
  <c r="AX105" i="9"/>
  <c r="AX103" i="9"/>
  <c r="AX101" i="9"/>
  <c r="AX99" i="9"/>
  <c r="AX97" i="9"/>
  <c r="AX95" i="9"/>
  <c r="AX93" i="9"/>
  <c r="AX85" i="9"/>
  <c r="AX83" i="9"/>
  <c r="AX81" i="9"/>
  <c r="AX79" i="9"/>
  <c r="AX112" i="9"/>
  <c r="AX110" i="9"/>
  <c r="AX108" i="9"/>
  <c r="AX106" i="9"/>
  <c r="AX104" i="9"/>
  <c r="AX102" i="9"/>
  <c r="AX100" i="9"/>
  <c r="AX98" i="9"/>
  <c r="AX96" i="9"/>
  <c r="AX94" i="9"/>
  <c r="AX92" i="9"/>
  <c r="AX90" i="9"/>
  <c r="AX89" i="9"/>
  <c r="AX87" i="9"/>
  <c r="AX84" i="9"/>
  <c r="AX82" i="9"/>
  <c r="AX80" i="9"/>
  <c r="AX88" i="9"/>
  <c r="AX91" i="9"/>
  <c r="AX86" i="9"/>
  <c r="AX77" i="9"/>
  <c r="AX75" i="9"/>
  <c r="AX74" i="9"/>
  <c r="AX73" i="9"/>
  <c r="AX72" i="9"/>
  <c r="AX76" i="9"/>
  <c r="AX78" i="9"/>
  <c r="AX70" i="9"/>
  <c r="AX68" i="9"/>
  <c r="AX66" i="9"/>
  <c r="AX64" i="9"/>
  <c r="AX56" i="9"/>
  <c r="AX55" i="9"/>
  <c r="AX59" i="9"/>
  <c r="AX57" i="9"/>
  <c r="AX71" i="9"/>
  <c r="AX69" i="9"/>
  <c r="AX67" i="9"/>
  <c r="AX65" i="9"/>
  <c r="AX58" i="9"/>
  <c r="AX61" i="9"/>
  <c r="AX63" i="9"/>
  <c r="AX60" i="9"/>
  <c r="AX62" i="9"/>
  <c r="AY5" i="9"/>
  <c r="P162" i="7"/>
  <c r="P142" i="7"/>
  <c r="Q40" i="7"/>
  <c r="I19" i="7" l="1"/>
  <c r="I21" i="7" s="1"/>
  <c r="I20" i="7"/>
  <c r="Q143" i="7"/>
  <c r="Q163" i="7"/>
  <c r="T51" i="7"/>
  <c r="T58" i="7" s="1"/>
  <c r="L156" i="7"/>
  <c r="L176" i="7"/>
  <c r="L136" i="7"/>
  <c r="M34" i="7"/>
  <c r="AX25" i="9" a="1"/>
  <c r="AX25" i="9" s="1"/>
  <c r="AX27" i="9" a="1"/>
  <c r="AX27" i="9" s="1"/>
  <c r="AX21" i="9" a="1"/>
  <c r="AX21" i="9" s="1"/>
  <c r="AX16" i="9" a="1"/>
  <c r="AX16" i="9" s="1"/>
  <c r="AX26" i="9" a="1"/>
  <c r="AX26" i="9" s="1"/>
  <c r="AX24" i="9" a="1"/>
  <c r="AX24" i="9" s="1"/>
  <c r="AX23" i="9" a="1"/>
  <c r="AX23" i="9" s="1"/>
  <c r="T106" i="7"/>
  <c r="T104" i="7"/>
  <c r="T100" i="7"/>
  <c r="T99" i="7" s="1"/>
  <c r="T93" i="7"/>
  <c r="T170" i="7"/>
  <c r="T107" i="7"/>
  <c r="T197" i="7"/>
  <c r="U193" i="7" s="1"/>
  <c r="T150" i="7"/>
  <c r="T132" i="7"/>
  <c r="T66" i="7"/>
  <c r="T64" i="7" s="1"/>
  <c r="T105" i="7"/>
  <c r="T68" i="7" a="1"/>
  <c r="T68" i="7" s="1"/>
  <c r="T24" i="7"/>
  <c r="T20" i="7"/>
  <c r="T13" i="7"/>
  <c r="T202" i="7" s="1"/>
  <c r="T152" i="7"/>
  <c r="T28" i="7"/>
  <c r="T131" i="7" s="1"/>
  <c r="T27" i="7"/>
  <c r="T12" i="7"/>
  <c r="T14" i="7"/>
  <c r="U5" i="7"/>
  <c r="T17" i="7"/>
  <c r="T11" i="7"/>
  <c r="T29" i="7"/>
  <c r="T172" i="7" s="1"/>
  <c r="T6" i="7"/>
  <c r="T18" i="7" s="1"/>
  <c r="T62" i="7" s="1"/>
  <c r="T61" i="7" s="1"/>
  <c r="T77" i="7" s="1"/>
  <c r="H44" i="7"/>
  <c r="I51" i="7"/>
  <c r="I58" i="7" s="1"/>
  <c r="H45" i="7" a="1"/>
  <c r="H45" i="7" s="1"/>
  <c r="H130" i="7"/>
  <c r="H145" i="7" s="1"/>
  <c r="H146" i="7" s="1"/>
  <c r="H183" i="7" s="1" a="1"/>
  <c r="H183" i="7" s="1"/>
  <c r="H170" i="7"/>
  <c r="H180" i="7" s="1"/>
  <c r="H181" i="7" s="1"/>
  <c r="H150" i="7"/>
  <c r="H165" i="7" s="1"/>
  <c r="H166" i="7" s="1"/>
  <c r="I66" i="7"/>
  <c r="I64" i="7" s="1"/>
  <c r="I28" i="7"/>
  <c r="I18" i="7"/>
  <c r="I62" i="7" s="1"/>
  <c r="T195" i="7"/>
  <c r="T196" i="7"/>
  <c r="T19" i="7"/>
  <c r="T21" i="7" s="1"/>
  <c r="S16" i="7"/>
  <c r="N159" i="7"/>
  <c r="N139" i="7"/>
  <c r="O37" i="7"/>
  <c r="G76" i="7"/>
  <c r="G57" i="7"/>
  <c r="S150" i="7"/>
  <c r="F188" i="7"/>
  <c r="H223" i="7"/>
  <c r="I221" i="7"/>
  <c r="H77" i="7"/>
  <c r="R5" i="8"/>
  <c r="S4" i="8"/>
  <c r="P4" i="9"/>
  <c r="P3" i="9" s="1"/>
  <c r="F187" i="7"/>
  <c r="AY114" i="9"/>
  <c r="AY112" i="9"/>
  <c r="AY110" i="9"/>
  <c r="AY108" i="9"/>
  <c r="AY106" i="9"/>
  <c r="AY104" i="9"/>
  <c r="AY102" i="9"/>
  <c r="AY100" i="9"/>
  <c r="AY98" i="9"/>
  <c r="AY96" i="9"/>
  <c r="AY94" i="9"/>
  <c r="AY92" i="9"/>
  <c r="AY90" i="9"/>
  <c r="AY113" i="9"/>
  <c r="AY88" i="9"/>
  <c r="AY89" i="9"/>
  <c r="AY111" i="9"/>
  <c r="AY109" i="9"/>
  <c r="AY107" i="9"/>
  <c r="AY103" i="9"/>
  <c r="AY83" i="9"/>
  <c r="AY82" i="9"/>
  <c r="AY81" i="9"/>
  <c r="AY80" i="9"/>
  <c r="AY79" i="9"/>
  <c r="AY105" i="9"/>
  <c r="AY78" i="9"/>
  <c r="AY76" i="9"/>
  <c r="AY74" i="9"/>
  <c r="AY72" i="9"/>
  <c r="AY99" i="9"/>
  <c r="AY97" i="9"/>
  <c r="AY95" i="9"/>
  <c r="AY93" i="9"/>
  <c r="AY91" i="9"/>
  <c r="AY101" i="9"/>
  <c r="AY87" i="9"/>
  <c r="AY85" i="9"/>
  <c r="AY84" i="9"/>
  <c r="AY77" i="9"/>
  <c r="AY73" i="9"/>
  <c r="AY71" i="9"/>
  <c r="AY69" i="9"/>
  <c r="AY67" i="9"/>
  <c r="AY65" i="9"/>
  <c r="AY63" i="9"/>
  <c r="AY61" i="9"/>
  <c r="AY59" i="9"/>
  <c r="AY57" i="9"/>
  <c r="AY86" i="9"/>
  <c r="AY75" i="9"/>
  <c r="AY55" i="9"/>
  <c r="AY70" i="9"/>
  <c r="AY64" i="9"/>
  <c r="AY68" i="9"/>
  <c r="AY66" i="9"/>
  <c r="AY56" i="9"/>
  <c r="AY58" i="9"/>
  <c r="AY60" i="9"/>
  <c r="AY62" i="9"/>
  <c r="AZ5" i="9"/>
  <c r="S131" i="7"/>
  <c r="S103" i="7"/>
  <c r="S130" i="7"/>
  <c r="J153" i="7"/>
  <c r="J173" i="7"/>
  <c r="J133" i="7"/>
  <c r="K31" i="7"/>
  <c r="O20" i="5"/>
  <c r="P164" i="7"/>
  <c r="P144" i="7"/>
  <c r="Q41" i="7"/>
  <c r="G55" i="7" l="1"/>
  <c r="G82" i="7"/>
  <c r="G81" i="7"/>
  <c r="Q164" i="7"/>
  <c r="Q144" i="7"/>
  <c r="AY27" i="9" a="1"/>
  <c r="AY27" i="9" s="1"/>
  <c r="AY26" i="9" a="1"/>
  <c r="AY26" i="9" s="1"/>
  <c r="AY24" i="9" a="1"/>
  <c r="AY24" i="9" s="1"/>
  <c r="AY25" i="9" a="1"/>
  <c r="AY25" i="9" s="1"/>
  <c r="AY16" i="9" a="1"/>
  <c r="AY16" i="9" s="1"/>
  <c r="AY23" i="9" a="1"/>
  <c r="AY23" i="9" s="1"/>
  <c r="AY21" i="9" a="1"/>
  <c r="AY21" i="9" s="1"/>
  <c r="I75" i="7"/>
  <c r="I61" i="7"/>
  <c r="H46" i="7"/>
  <c r="I27" i="7"/>
  <c r="I24" i="7"/>
  <c r="O160" i="7"/>
  <c r="O140" i="7"/>
  <c r="P38" i="7"/>
  <c r="I171" i="7"/>
  <c r="I131" i="7"/>
  <c r="I151" i="7"/>
  <c r="J29" i="7"/>
  <c r="U51" i="7"/>
  <c r="U58" i="7" s="1"/>
  <c r="T16" i="7"/>
  <c r="U16" i="7" s="1"/>
  <c r="I17" i="7"/>
  <c r="T75" i="7"/>
  <c r="T171" i="7"/>
  <c r="T151" i="7"/>
  <c r="T103" i="7"/>
  <c r="R41" i="7"/>
  <c r="U19" i="7"/>
  <c r="U21" i="7" s="1"/>
  <c r="U196" i="7"/>
  <c r="U195" i="7"/>
  <c r="T130" i="7"/>
  <c r="U170" i="7"/>
  <c r="U130" i="7"/>
  <c r="U107" i="7"/>
  <c r="U104" i="7"/>
  <c r="U133" i="7"/>
  <c r="U152" i="7"/>
  <c r="U105" i="7"/>
  <c r="U100" i="7"/>
  <c r="U99" i="7" s="1"/>
  <c r="U68" i="7" a="1"/>
  <c r="U68" i="7" s="1"/>
  <c r="U13" i="7"/>
  <c r="U202" i="7" s="1"/>
  <c r="U11" i="7"/>
  <c r="U29" i="7"/>
  <c r="U132" i="7" s="1"/>
  <c r="U27" i="7"/>
  <c r="U150" i="7"/>
  <c r="U197" i="7"/>
  <c r="V193" i="7" s="1"/>
  <c r="U93" i="7"/>
  <c r="U66" i="7"/>
  <c r="U64" i="7" s="1"/>
  <c r="U24" i="7"/>
  <c r="U20" i="7"/>
  <c r="U12" i="7"/>
  <c r="U14" i="7"/>
  <c r="U106" i="7"/>
  <c r="U28" i="7"/>
  <c r="U17" i="7"/>
  <c r="U30" i="7"/>
  <c r="U153" i="7" s="1"/>
  <c r="V5" i="7"/>
  <c r="U6" i="7"/>
  <c r="U18" i="7" s="1"/>
  <c r="U62" i="7" s="1"/>
  <c r="K154" i="7"/>
  <c r="K78" i="7"/>
  <c r="K174" i="7"/>
  <c r="K134" i="7"/>
  <c r="L32" i="7"/>
  <c r="AZ114" i="9"/>
  <c r="AZ112" i="9"/>
  <c r="AZ110" i="9"/>
  <c r="AZ108" i="9"/>
  <c r="AZ106" i="9"/>
  <c r="AZ104" i="9"/>
  <c r="AZ102" i="9"/>
  <c r="AZ100" i="9"/>
  <c r="AZ98" i="9"/>
  <c r="AZ96" i="9"/>
  <c r="AZ94" i="9"/>
  <c r="AZ92" i="9"/>
  <c r="AZ90" i="9"/>
  <c r="AZ88" i="9"/>
  <c r="AZ87" i="9"/>
  <c r="AZ111" i="9"/>
  <c r="AZ109" i="9"/>
  <c r="AZ107" i="9"/>
  <c r="AZ105" i="9"/>
  <c r="AZ103" i="9"/>
  <c r="AZ101" i="9"/>
  <c r="AZ99" i="9"/>
  <c r="AZ97" i="9"/>
  <c r="AZ95" i="9"/>
  <c r="AZ93" i="9"/>
  <c r="AZ113" i="9"/>
  <c r="AZ78" i="9"/>
  <c r="AZ91" i="9"/>
  <c r="AZ89" i="9"/>
  <c r="AZ83" i="9"/>
  <c r="AZ82" i="9"/>
  <c r="AZ81" i="9"/>
  <c r="AZ80" i="9"/>
  <c r="AZ79" i="9"/>
  <c r="AZ77" i="9"/>
  <c r="AZ73" i="9"/>
  <c r="AZ71" i="9"/>
  <c r="AZ69" i="9"/>
  <c r="AZ67" i="9"/>
  <c r="AZ65" i="9"/>
  <c r="AZ63" i="9"/>
  <c r="AZ61" i="9"/>
  <c r="AZ59" i="9"/>
  <c r="AZ85" i="9"/>
  <c r="AZ72" i="9"/>
  <c r="AZ76" i="9"/>
  <c r="AZ86" i="9"/>
  <c r="AZ84" i="9"/>
  <c r="AZ75" i="9"/>
  <c r="AZ74" i="9"/>
  <c r="AZ70" i="9"/>
  <c r="AZ64" i="9"/>
  <c r="AZ57" i="9"/>
  <c r="AZ58" i="9"/>
  <c r="AZ68" i="9"/>
  <c r="AZ66" i="9"/>
  <c r="AZ55" i="9"/>
  <c r="AZ60" i="9"/>
  <c r="AZ62" i="9"/>
  <c r="AZ56" i="9"/>
  <c r="BA5" i="9"/>
  <c r="Q4" i="9"/>
  <c r="Q3" i="9" s="1"/>
  <c r="T4" i="8"/>
  <c r="S5" i="8"/>
  <c r="H47" i="7"/>
  <c r="I209" i="7" s="1"/>
  <c r="I213" i="7" s="1"/>
  <c r="H50" i="7"/>
  <c r="M177" i="7"/>
  <c r="M79" i="7"/>
  <c r="M157" i="7"/>
  <c r="M137" i="7"/>
  <c r="N35" i="7"/>
  <c r="I214" i="7" l="1"/>
  <c r="I222" i="7"/>
  <c r="H59" i="7"/>
  <c r="U171" i="7"/>
  <c r="P141" i="7"/>
  <c r="P161" i="7"/>
  <c r="Q39" i="7"/>
  <c r="I44" i="7"/>
  <c r="J51" i="7"/>
  <c r="J58" i="7" s="1"/>
  <c r="I170" i="7"/>
  <c r="I180" i="7" s="1"/>
  <c r="I181" i="7" s="1"/>
  <c r="I45" i="7" a="1"/>
  <c r="I45" i="7" s="1"/>
  <c r="I150" i="7"/>
  <c r="I165" i="7" s="1"/>
  <c r="I166" i="7" s="1"/>
  <c r="I130" i="7"/>
  <c r="I145" i="7" s="1"/>
  <c r="I146" i="7" s="1"/>
  <c r="I183" i="7" s="1" a="1"/>
  <c r="I183" i="7" s="1"/>
  <c r="J28" i="7"/>
  <c r="J18" i="7"/>
  <c r="J62" i="7" s="1"/>
  <c r="J66" i="7"/>
  <c r="J64" i="7" s="1"/>
  <c r="N178" i="7"/>
  <c r="O179" i="7" s="1"/>
  <c r="N158" i="7"/>
  <c r="N138" i="7"/>
  <c r="O36" i="7"/>
  <c r="V51" i="7"/>
  <c r="V58" i="7" s="1"/>
  <c r="J152" i="7"/>
  <c r="J132" i="7"/>
  <c r="J172" i="7"/>
  <c r="K30" i="7"/>
  <c r="I77" i="7"/>
  <c r="BA114" i="9"/>
  <c r="BA112" i="9"/>
  <c r="BA110" i="9"/>
  <c r="BA108" i="9"/>
  <c r="BA106" i="9"/>
  <c r="BA104" i="9"/>
  <c r="BA102" i="9"/>
  <c r="BA100" i="9"/>
  <c r="BA98" i="9"/>
  <c r="BA96" i="9"/>
  <c r="BA94" i="9"/>
  <c r="BA92" i="9"/>
  <c r="BA90" i="9"/>
  <c r="BA113" i="9"/>
  <c r="BA89" i="9"/>
  <c r="BA111" i="9"/>
  <c r="BA109" i="9"/>
  <c r="BA107" i="9"/>
  <c r="BA105" i="9"/>
  <c r="BA103" i="9"/>
  <c r="BA101" i="9"/>
  <c r="BA99" i="9"/>
  <c r="BA97" i="9"/>
  <c r="BA95" i="9"/>
  <c r="BA93" i="9"/>
  <c r="BA91" i="9"/>
  <c r="BA78" i="9"/>
  <c r="BA76" i="9"/>
  <c r="BA74" i="9"/>
  <c r="BA72" i="9"/>
  <c r="BA88" i="9"/>
  <c r="BA87" i="9"/>
  <c r="BA77" i="9"/>
  <c r="BA73" i="9"/>
  <c r="BA71" i="9"/>
  <c r="BA69" i="9"/>
  <c r="BA67" i="9"/>
  <c r="BA65" i="9"/>
  <c r="BA63" i="9"/>
  <c r="BA61" i="9"/>
  <c r="BA59" i="9"/>
  <c r="BA85" i="9"/>
  <c r="BA86" i="9"/>
  <c r="BA84" i="9"/>
  <c r="BA75" i="9"/>
  <c r="BA83" i="9"/>
  <c r="BA82" i="9"/>
  <c r="BA81" i="9"/>
  <c r="BA80" i="9"/>
  <c r="BA79" i="9"/>
  <c r="BA64" i="9"/>
  <c r="BA57" i="9"/>
  <c r="BA58" i="9"/>
  <c r="BA68" i="9"/>
  <c r="BA66" i="9"/>
  <c r="BA70" i="9"/>
  <c r="BA55" i="9"/>
  <c r="BA60" i="9"/>
  <c r="BA62" i="9"/>
  <c r="BA56" i="9"/>
  <c r="BB5" i="9"/>
  <c r="U172" i="7"/>
  <c r="U151" i="7"/>
  <c r="AZ27" i="9" a="1"/>
  <c r="AZ27" i="9" s="1"/>
  <c r="AZ25" i="9" a="1"/>
  <c r="AZ25" i="9" s="1"/>
  <c r="AZ24" i="9" a="1"/>
  <c r="AZ24" i="9" s="1"/>
  <c r="AZ26" i="9" a="1"/>
  <c r="AZ26" i="9" s="1"/>
  <c r="AZ23" i="9" a="1"/>
  <c r="AZ23" i="9" s="1"/>
  <c r="AZ21" i="9" a="1"/>
  <c r="AZ21" i="9" s="1"/>
  <c r="AZ16" i="9" a="1"/>
  <c r="AZ16" i="9" s="1"/>
  <c r="U131" i="7"/>
  <c r="U173" i="7"/>
  <c r="R144" i="7"/>
  <c r="R164" i="7"/>
  <c r="U61" i="7"/>
  <c r="U77" i="7" s="1"/>
  <c r="V174" i="7"/>
  <c r="V170" i="7"/>
  <c r="V107" i="7"/>
  <c r="V105" i="7"/>
  <c r="V133" i="7"/>
  <c r="V68" i="7" a="1"/>
  <c r="V68" i="7" s="1"/>
  <c r="V152" i="7"/>
  <c r="V100" i="7"/>
  <c r="V99" i="7" s="1"/>
  <c r="V197" i="7"/>
  <c r="W193" i="7" s="1"/>
  <c r="V104" i="7"/>
  <c r="V11" i="7"/>
  <c r="W19" i="7" s="1"/>
  <c r="V29" i="7"/>
  <c r="V172" i="7" s="1"/>
  <c r="V27" i="7"/>
  <c r="V130" i="7" s="1"/>
  <c r="V150" i="7"/>
  <c r="V106" i="7"/>
  <c r="V31" i="7"/>
  <c r="V134" i="7" s="1"/>
  <c r="V17" i="7"/>
  <c r="V132" i="7"/>
  <c r="V154" i="7"/>
  <c r="V16" i="7"/>
  <c r="V13" i="7"/>
  <c r="V202" i="7" s="1"/>
  <c r="W5" i="7"/>
  <c r="V28" i="7"/>
  <c r="V151" i="7" s="1"/>
  <c r="V30" i="7"/>
  <c r="V173" i="7" s="1"/>
  <c r="V93" i="7"/>
  <c r="V14" i="7"/>
  <c r="V12" i="7"/>
  <c r="V6" i="7"/>
  <c r="V18" i="7" s="1"/>
  <c r="V62" i="7" s="1"/>
  <c r="V66" i="7"/>
  <c r="V64" i="7" s="1"/>
  <c r="V24" i="7"/>
  <c r="V20" i="7"/>
  <c r="V195" i="7"/>
  <c r="V196" i="7"/>
  <c r="L175" i="7"/>
  <c r="L155" i="7"/>
  <c r="L135" i="7"/>
  <c r="M33" i="7"/>
  <c r="V19" i="7"/>
  <c r="U103" i="7"/>
  <c r="U75" i="7"/>
  <c r="T5" i="8"/>
  <c r="R4" i="9"/>
  <c r="R3" i="9" s="1"/>
  <c r="U4" i="8"/>
  <c r="J19" i="7"/>
  <c r="J20" i="7"/>
  <c r="V153" i="7" l="1"/>
  <c r="J21" i="7"/>
  <c r="M156" i="7"/>
  <c r="M176" i="7"/>
  <c r="M136" i="7"/>
  <c r="N34" i="7"/>
  <c r="W195" i="7"/>
  <c r="W196" i="7"/>
  <c r="J61" i="7"/>
  <c r="J131" i="7"/>
  <c r="J151" i="7"/>
  <c r="J171" i="7"/>
  <c r="K29" i="7"/>
  <c r="BB113" i="9"/>
  <c r="BB114" i="9"/>
  <c r="BB112" i="9"/>
  <c r="BB110" i="9"/>
  <c r="BB108" i="9"/>
  <c r="BB106" i="9"/>
  <c r="BB104" i="9"/>
  <c r="BB102" i="9"/>
  <c r="BB100" i="9"/>
  <c r="BB98" i="9"/>
  <c r="BB96" i="9"/>
  <c r="BB94" i="9"/>
  <c r="BB92" i="9"/>
  <c r="BB111" i="9"/>
  <c r="BB109" i="9"/>
  <c r="BB107" i="9"/>
  <c r="BB105" i="9"/>
  <c r="BB103" i="9"/>
  <c r="BB101" i="9"/>
  <c r="BB99" i="9"/>
  <c r="BB97" i="9"/>
  <c r="BB95" i="9"/>
  <c r="BB93" i="9"/>
  <c r="BB86" i="9"/>
  <c r="BB84" i="9"/>
  <c r="BB82" i="9"/>
  <c r="BB80" i="9"/>
  <c r="BB91" i="9"/>
  <c r="BB88" i="9"/>
  <c r="BB89" i="9"/>
  <c r="BB90" i="9"/>
  <c r="BB78" i="9"/>
  <c r="BB85" i="9"/>
  <c r="BB72" i="9"/>
  <c r="BB87" i="9"/>
  <c r="BB76" i="9"/>
  <c r="BB75" i="9"/>
  <c r="BB83" i="9"/>
  <c r="BB81" i="9"/>
  <c r="BB79" i="9"/>
  <c r="BB74" i="9"/>
  <c r="BB77" i="9"/>
  <c r="BB73" i="9"/>
  <c r="BB71" i="9"/>
  <c r="BB69" i="9"/>
  <c r="BB67" i="9"/>
  <c r="BB65" i="9"/>
  <c r="BB63" i="9"/>
  <c r="BB58" i="9"/>
  <c r="BB68" i="9"/>
  <c r="BB66" i="9"/>
  <c r="BB59" i="9"/>
  <c r="BB62" i="9"/>
  <c r="BB60" i="9"/>
  <c r="BB70" i="9"/>
  <c r="BB64" i="9"/>
  <c r="BB57" i="9"/>
  <c r="BB55" i="9"/>
  <c r="BB61" i="9"/>
  <c r="BB56" i="9"/>
  <c r="BC5" i="9"/>
  <c r="S4" i="9"/>
  <c r="S3" i="9" s="1"/>
  <c r="V4" i="8"/>
  <c r="U5" i="8"/>
  <c r="V61" i="7"/>
  <c r="V77" i="7" s="1"/>
  <c r="V131" i="7"/>
  <c r="V75" i="7"/>
  <c r="H76" i="7"/>
  <c r="H57" i="7"/>
  <c r="K133" i="7"/>
  <c r="K153" i="7"/>
  <c r="K173" i="7"/>
  <c r="L31" i="7"/>
  <c r="J221" i="7"/>
  <c r="I223" i="7"/>
  <c r="W175" i="7"/>
  <c r="W197" i="7"/>
  <c r="X193" i="7" s="1"/>
  <c r="W171" i="7"/>
  <c r="W150" i="7"/>
  <c r="W170" i="7"/>
  <c r="W155" i="7"/>
  <c r="W100" i="7"/>
  <c r="W99" i="7" s="1"/>
  <c r="W105" i="7"/>
  <c r="W107" i="7"/>
  <c r="W29" i="7"/>
  <c r="W132" i="7" s="1"/>
  <c r="W27" i="7"/>
  <c r="W106" i="7"/>
  <c r="W31" i="7"/>
  <c r="W154" i="7" s="1"/>
  <c r="W17" i="7"/>
  <c r="X5" i="7"/>
  <c r="W172" i="7"/>
  <c r="W153" i="7"/>
  <c r="W104" i="7"/>
  <c r="W11" i="7"/>
  <c r="W28" i="7"/>
  <c r="W131" i="7" s="1"/>
  <c r="W32" i="7"/>
  <c r="W135" i="7" s="1"/>
  <c r="W20" i="7"/>
  <c r="W13" i="7"/>
  <c r="W202" i="7" s="1"/>
  <c r="W93" i="7"/>
  <c r="W68" i="7" a="1"/>
  <c r="W68" i="7" s="1"/>
  <c r="W66" i="7"/>
  <c r="W64" i="7" s="1"/>
  <c r="W24" i="7"/>
  <c r="W12" i="7"/>
  <c r="W30" i="7"/>
  <c r="W133" i="7" s="1"/>
  <c r="W14" i="7"/>
  <c r="W6" i="7"/>
  <c r="W18" i="7" s="1"/>
  <c r="W62" i="7" s="1"/>
  <c r="W16" i="7"/>
  <c r="V171" i="7"/>
  <c r="I47" i="7"/>
  <c r="I50" i="7"/>
  <c r="W21" i="7"/>
  <c r="V21" i="7"/>
  <c r="W51" i="7"/>
  <c r="W58" i="7" s="1"/>
  <c r="BA26" i="9" a="1"/>
  <c r="BA26" i="9" s="1"/>
  <c r="BA25" i="9" a="1"/>
  <c r="BA25" i="9" s="1"/>
  <c r="BA27" i="9" a="1"/>
  <c r="BA27" i="9" s="1"/>
  <c r="BA23" i="9" a="1"/>
  <c r="BA23" i="9" s="1"/>
  <c r="BA24" i="9" a="1"/>
  <c r="BA24" i="9" s="1"/>
  <c r="BA21" i="9" a="1"/>
  <c r="BA21" i="9" s="1"/>
  <c r="BA16" i="9" a="1"/>
  <c r="BA16" i="9" s="1"/>
  <c r="O159" i="7"/>
  <c r="O139" i="7"/>
  <c r="P37" i="7"/>
  <c r="V103" i="7"/>
  <c r="J75" i="7"/>
  <c r="Q142" i="7"/>
  <c r="Q162" i="7"/>
  <c r="R40" i="7"/>
  <c r="I46" i="7"/>
  <c r="J209" i="7" s="1"/>
  <c r="J213" i="7" s="1"/>
  <c r="J214" i="7" l="1"/>
  <c r="J222" i="7"/>
  <c r="X197" i="7"/>
  <c r="Y193" i="7" s="1"/>
  <c r="X173" i="7"/>
  <c r="X107" i="7"/>
  <c r="X105" i="7"/>
  <c r="X152" i="7"/>
  <c r="X45" i="7" a="1"/>
  <c r="X45" i="7" s="1"/>
  <c r="X133" i="7"/>
  <c r="X100" i="7"/>
  <c r="X99" i="7" s="1"/>
  <c r="X106" i="7"/>
  <c r="X33" i="7"/>
  <c r="X156" i="7" s="1"/>
  <c r="X31" i="7"/>
  <c r="X154" i="7" s="1"/>
  <c r="X17" i="7"/>
  <c r="Y5" i="7"/>
  <c r="X14" i="7"/>
  <c r="X12" i="7"/>
  <c r="X153" i="7"/>
  <c r="X135" i="7"/>
  <c r="X29" i="7"/>
  <c r="X132" i="7" s="1"/>
  <c r="X27" i="7"/>
  <c r="X150" i="7" s="1"/>
  <c r="X28" i="7"/>
  <c r="X171" i="7" s="1"/>
  <c r="X32" i="7"/>
  <c r="X175" i="7" s="1"/>
  <c r="X20" i="7"/>
  <c r="X13" i="7"/>
  <c r="X202" i="7" s="1"/>
  <c r="X16" i="7"/>
  <c r="X66" i="7"/>
  <c r="X64" i="7" s="1"/>
  <c r="X24" i="7"/>
  <c r="X11" i="7"/>
  <c r="X30" i="7"/>
  <c r="X104" i="7"/>
  <c r="X103" i="7" s="1"/>
  <c r="X93" i="7"/>
  <c r="X6" i="7"/>
  <c r="X18" i="7" s="1"/>
  <c r="X62" i="7" s="1"/>
  <c r="X61" i="7" s="1"/>
  <c r="X77" i="7" s="1"/>
  <c r="W75" i="7"/>
  <c r="W174" i="7"/>
  <c r="W4" i="8"/>
  <c r="V5" i="8"/>
  <c r="T4" i="9"/>
  <c r="T3" i="9" s="1"/>
  <c r="J24" i="7"/>
  <c r="J27" i="7" s="1"/>
  <c r="J17" i="7"/>
  <c r="W61" i="7"/>
  <c r="W77" i="7" s="1"/>
  <c r="X196" i="7"/>
  <c r="X195" i="7"/>
  <c r="K132" i="7"/>
  <c r="K152" i="7"/>
  <c r="K172" i="7"/>
  <c r="L30" i="7"/>
  <c r="J77" i="7"/>
  <c r="W134" i="7"/>
  <c r="H55" i="7"/>
  <c r="H81" i="7"/>
  <c r="H82" i="7"/>
  <c r="BC113" i="9"/>
  <c r="BC111" i="9"/>
  <c r="BC109" i="9"/>
  <c r="BC107" i="9"/>
  <c r="BC105" i="9"/>
  <c r="BC103" i="9"/>
  <c r="BC101" i="9"/>
  <c r="BC99" i="9"/>
  <c r="BC97" i="9"/>
  <c r="BC95" i="9"/>
  <c r="BC93" i="9"/>
  <c r="BC91" i="9"/>
  <c r="BC114" i="9"/>
  <c r="BC112" i="9"/>
  <c r="BC110" i="9"/>
  <c r="BC108" i="9"/>
  <c r="BC106" i="9"/>
  <c r="BC104" i="9"/>
  <c r="BC102" i="9"/>
  <c r="BC100" i="9"/>
  <c r="BC98" i="9"/>
  <c r="BC96" i="9"/>
  <c r="BC94" i="9"/>
  <c r="BC92" i="9"/>
  <c r="BC77" i="9"/>
  <c r="BC75" i="9"/>
  <c r="BC73" i="9"/>
  <c r="BC89" i="9"/>
  <c r="BC90" i="9"/>
  <c r="BC88" i="9"/>
  <c r="BC72" i="9"/>
  <c r="BC87" i="9"/>
  <c r="BC76" i="9"/>
  <c r="BC70" i="9"/>
  <c r="BC68" i="9"/>
  <c r="BC66" i="9"/>
  <c r="BC64" i="9"/>
  <c r="BC62" i="9"/>
  <c r="BC60" i="9"/>
  <c r="BC58" i="9"/>
  <c r="BC56" i="9"/>
  <c r="BC86" i="9"/>
  <c r="BC84" i="9"/>
  <c r="BC83" i="9"/>
  <c r="BC81" i="9"/>
  <c r="BC79" i="9"/>
  <c r="BC82" i="9"/>
  <c r="BC80" i="9"/>
  <c r="BC74" i="9"/>
  <c r="BC78" i="9"/>
  <c r="BC85" i="9"/>
  <c r="BC59" i="9"/>
  <c r="BC71" i="9"/>
  <c r="BC61" i="9"/>
  <c r="BC69" i="9"/>
  <c r="BC67" i="9"/>
  <c r="BC65" i="9"/>
  <c r="BC57" i="9"/>
  <c r="BC63" i="9"/>
  <c r="BC55" i="9"/>
  <c r="BD5" i="9"/>
  <c r="I59" i="7"/>
  <c r="W151" i="7"/>
  <c r="W173" i="7"/>
  <c r="L134" i="7"/>
  <c r="L174" i="7"/>
  <c r="L154" i="7"/>
  <c r="L78" i="7"/>
  <c r="M32" i="7"/>
  <c r="H74" i="7"/>
  <c r="H72" i="7" s="1"/>
  <c r="H71" i="7" s="1"/>
  <c r="X19" i="7"/>
  <c r="X21" i="7" s="1"/>
  <c r="P160" i="7"/>
  <c r="P140" i="7"/>
  <c r="Q38" i="7"/>
  <c r="W152" i="7"/>
  <c r="N177" i="7"/>
  <c r="N137" i="7"/>
  <c r="N157" i="7"/>
  <c r="N79" i="7"/>
  <c r="O35" i="7"/>
  <c r="R163" i="7"/>
  <c r="R143" i="7"/>
  <c r="S41" i="7"/>
  <c r="W103" i="7"/>
  <c r="X51" i="7"/>
  <c r="X58" i="7" s="1"/>
  <c r="W130" i="7"/>
  <c r="BB26" i="9" a="1"/>
  <c r="BB26" i="9" s="1"/>
  <c r="BB25" i="9" a="1"/>
  <c r="BB25" i="9" s="1"/>
  <c r="BB27" i="9" a="1"/>
  <c r="BB27" i="9" s="1"/>
  <c r="BB23" i="9" a="1"/>
  <c r="BB23" i="9" s="1"/>
  <c r="BB16" i="9" a="1"/>
  <c r="BB16" i="9" s="1"/>
  <c r="BB21" i="9" a="1"/>
  <c r="BB21" i="9" s="1"/>
  <c r="BB24" i="9" a="1"/>
  <c r="BB24" i="9" s="1"/>
  <c r="Q161" i="7" l="1"/>
  <c r="Q141" i="7"/>
  <c r="R39" i="7"/>
  <c r="H188" i="7"/>
  <c r="H189" i="7"/>
  <c r="H187" i="7"/>
  <c r="L133" i="7"/>
  <c r="L173" i="7"/>
  <c r="L153" i="7"/>
  <c r="M31" i="7"/>
  <c r="K51" i="7"/>
  <c r="K58" i="7" s="1"/>
  <c r="J44" i="7"/>
  <c r="J170" i="7"/>
  <c r="J180" i="7" s="1"/>
  <c r="J181" i="7" s="1"/>
  <c r="J130" i="7"/>
  <c r="J145" i="7" s="1"/>
  <c r="J146" i="7" s="1"/>
  <c r="J183" i="7" s="1" a="1"/>
  <c r="J183" i="7" s="1"/>
  <c r="J150" i="7"/>
  <c r="J165" i="7" s="1"/>
  <c r="J166" i="7" s="1"/>
  <c r="J45" i="7" a="1"/>
  <c r="J45" i="7" s="1"/>
  <c r="K66" i="7"/>
  <c r="K64" i="7" s="1"/>
  <c r="K28" i="7"/>
  <c r="K18" i="7"/>
  <c r="K62" i="7" s="1"/>
  <c r="Y19" i="7"/>
  <c r="X130" i="7"/>
  <c r="X174" i="7"/>
  <c r="Y197" i="7"/>
  <c r="Z193" i="7" s="1"/>
  <c r="Y179" i="7"/>
  <c r="Y171" i="7"/>
  <c r="Y161" i="7"/>
  <c r="Y156" i="7"/>
  <c r="Y154" i="7"/>
  <c r="Y152" i="7"/>
  <c r="Y150" i="7"/>
  <c r="Y145" i="7"/>
  <c r="Y143" i="7"/>
  <c r="Y141" i="7"/>
  <c r="Y139" i="7"/>
  <c r="Y137" i="7"/>
  <c r="Y135" i="7"/>
  <c r="Y133" i="7"/>
  <c r="Y131" i="7"/>
  <c r="Y81" i="7"/>
  <c r="Y166" i="7"/>
  <c r="Y159" i="7"/>
  <c r="Y177" i="7"/>
  <c r="Y176" i="7"/>
  <c r="Y164" i="7"/>
  <c r="Y157" i="7"/>
  <c r="Y173" i="7"/>
  <c r="Y163" i="7"/>
  <c r="Y181" i="7"/>
  <c r="Y105" i="7"/>
  <c r="Y50" i="7"/>
  <c r="Y59" i="7" s="1"/>
  <c r="Y76" i="7" s="1"/>
  <c r="Y162" i="7"/>
  <c r="Y142" i="7"/>
  <c r="Y134" i="7"/>
  <c r="Y172" i="7"/>
  <c r="Y153" i="7"/>
  <c r="Y146" i="7"/>
  <c r="Y183" i="7" s="1" a="1"/>
  <c r="Y183" i="7" s="1"/>
  <c r="Y106" i="7"/>
  <c r="Y93" i="7"/>
  <c r="Y68" i="7" a="1"/>
  <c r="Y68" i="7" s="1"/>
  <c r="Y66" i="7"/>
  <c r="Y64" i="7" s="1"/>
  <c r="Y178" i="7"/>
  <c r="Y175" i="7"/>
  <c r="Y180" i="7"/>
  <c r="Y174" i="7"/>
  <c r="Y170" i="7"/>
  <c r="Y136" i="7"/>
  <c r="Y78" i="7"/>
  <c r="Y132" i="7"/>
  <c r="Y36" i="7"/>
  <c r="Y14" i="7"/>
  <c r="Y12" i="7"/>
  <c r="Y165" i="7"/>
  <c r="Y34" i="7"/>
  <c r="Y138" i="7"/>
  <c r="Y41" i="7"/>
  <c r="Y30" i="7"/>
  <c r="Y28" i="7"/>
  <c r="Y160" i="7"/>
  <c r="Y151" i="7"/>
  <c r="Y158" i="7"/>
  <c r="Y140" i="7"/>
  <c r="Y155" i="7"/>
  <c r="Y144" i="7"/>
  <c r="Y38" i="7"/>
  <c r="Y33" i="7"/>
  <c r="Y31" i="7"/>
  <c r="Y17" i="7"/>
  <c r="Z5" i="7"/>
  <c r="Y107" i="7"/>
  <c r="Y100" i="7"/>
  <c r="Y99" i="7" s="1"/>
  <c r="Y32" i="7"/>
  <c r="Y20" i="7"/>
  <c r="Y13" i="7"/>
  <c r="Y202" i="7" s="1"/>
  <c r="Y37" i="7"/>
  <c r="Y104" i="7"/>
  <c r="Y103" i="7" s="1"/>
  <c r="Y79" i="7"/>
  <c r="Y35" i="7"/>
  <c r="Y39" i="7"/>
  <c r="Y24" i="7"/>
  <c r="Y29" i="7"/>
  <c r="Y40" i="7"/>
  <c r="Y27" i="7"/>
  <c r="Y11" i="7"/>
  <c r="Y130" i="7"/>
  <c r="Y16" i="7"/>
  <c r="Y82" i="7"/>
  <c r="Y6" i="7"/>
  <c r="Y18" i="7" s="1"/>
  <c r="X176" i="7"/>
  <c r="X134" i="7"/>
  <c r="U4" i="9"/>
  <c r="U3" i="9" s="1"/>
  <c r="X4" i="8"/>
  <c r="W5" i="8"/>
  <c r="X136" i="7"/>
  <c r="S144" i="7"/>
  <c r="S164" i="7"/>
  <c r="I76" i="7"/>
  <c r="I57" i="7"/>
  <c r="Y51" i="7"/>
  <c r="Y58" i="7" s="1"/>
  <c r="X170" i="7"/>
  <c r="M175" i="7"/>
  <c r="M155" i="7"/>
  <c r="M135" i="7"/>
  <c r="N33" i="7"/>
  <c r="O178" i="7"/>
  <c r="P179" i="7" s="1"/>
  <c r="O138" i="7"/>
  <c r="O158" i="7"/>
  <c r="P36" i="7"/>
  <c r="BD113" i="9"/>
  <c r="BD111" i="9"/>
  <c r="BD109" i="9"/>
  <c r="BD107" i="9"/>
  <c r="BD105" i="9"/>
  <c r="BD103" i="9"/>
  <c r="BD101" i="9"/>
  <c r="BD99" i="9"/>
  <c r="BD97" i="9"/>
  <c r="BD95" i="9"/>
  <c r="BD93" i="9"/>
  <c r="BD91" i="9"/>
  <c r="BD89" i="9"/>
  <c r="BD87" i="9"/>
  <c r="BD114" i="9"/>
  <c r="BD90" i="9"/>
  <c r="BD112" i="9"/>
  <c r="BD110" i="9"/>
  <c r="BD108" i="9"/>
  <c r="BD100" i="9"/>
  <c r="BD77" i="9"/>
  <c r="BD102" i="9"/>
  <c r="BD86" i="9"/>
  <c r="BD85" i="9"/>
  <c r="BD104" i="9"/>
  <c r="BD106" i="9"/>
  <c r="BD88" i="9"/>
  <c r="BD98" i="9"/>
  <c r="BD96" i="9"/>
  <c r="BD94" i="9"/>
  <c r="BD92" i="9"/>
  <c r="BD76" i="9"/>
  <c r="BD70" i="9"/>
  <c r="BD68" i="9"/>
  <c r="BD66" i="9"/>
  <c r="BD64" i="9"/>
  <c r="BD62" i="9"/>
  <c r="BD60" i="9"/>
  <c r="BD58" i="9"/>
  <c r="BD84" i="9"/>
  <c r="BD83" i="9"/>
  <c r="BD81" i="9"/>
  <c r="BD79" i="9"/>
  <c r="BD75" i="9"/>
  <c r="BD82" i="9"/>
  <c r="BD80" i="9"/>
  <c r="BD74" i="9"/>
  <c r="BD78" i="9"/>
  <c r="BD71" i="9"/>
  <c r="BD73" i="9"/>
  <c r="BD72" i="9"/>
  <c r="BD61" i="9"/>
  <c r="BD63" i="9"/>
  <c r="BD69" i="9"/>
  <c r="BD67" i="9"/>
  <c r="BD65" i="9"/>
  <c r="BD59" i="9"/>
  <c r="BD57" i="9"/>
  <c r="BD56" i="9"/>
  <c r="BD55" i="9"/>
  <c r="BE5" i="9"/>
  <c r="X151" i="7"/>
  <c r="K221" i="7"/>
  <c r="J223" i="7"/>
  <c r="X75" i="7"/>
  <c r="BC26" i="9" a="1"/>
  <c r="BC26" i="9" s="1"/>
  <c r="BC25" i="9" a="1"/>
  <c r="BC25" i="9" s="1"/>
  <c r="BC27" i="9" a="1"/>
  <c r="BC27" i="9" s="1"/>
  <c r="BC21" i="9" a="1"/>
  <c r="BC21" i="9" s="1"/>
  <c r="BC24" i="9" a="1"/>
  <c r="BC24" i="9" s="1"/>
  <c r="BC16" i="9" a="1"/>
  <c r="BC16" i="9" s="1"/>
  <c r="BC23" i="9" a="1"/>
  <c r="BC23" i="9" s="1"/>
  <c r="X172" i="7"/>
  <c r="X155" i="7"/>
  <c r="X131" i="7"/>
  <c r="K19" i="7"/>
  <c r="K20" i="7"/>
  <c r="Y195" i="7"/>
  <c r="Y196" i="7"/>
  <c r="Y44" i="7" l="1"/>
  <c r="Z51" i="7"/>
  <c r="Z58" i="7" s="1"/>
  <c r="BD26" i="9" a="1"/>
  <c r="BD26" i="9" s="1"/>
  <c r="BD27" i="9" a="1"/>
  <c r="BD27" i="9" s="1"/>
  <c r="BD24" i="9" a="1"/>
  <c r="BD24" i="9" s="1"/>
  <c r="BD25" i="9" a="1"/>
  <c r="BD25" i="9" s="1"/>
  <c r="BD21" i="9" a="1"/>
  <c r="BD21" i="9" s="1"/>
  <c r="BD23" i="9" a="1"/>
  <c r="BD23" i="9" s="1"/>
  <c r="BD16" i="9" a="1"/>
  <c r="BD16" i="9" s="1"/>
  <c r="Z19" i="7"/>
  <c r="Z197" i="7"/>
  <c r="AA193" i="7" s="1"/>
  <c r="Z181" i="7"/>
  <c r="Z179" i="7"/>
  <c r="Z177" i="7"/>
  <c r="Z175" i="7"/>
  <c r="Z173" i="7"/>
  <c r="Z171" i="7"/>
  <c r="Z166" i="7"/>
  <c r="Z164" i="7"/>
  <c r="Z162" i="7"/>
  <c r="Z160" i="7"/>
  <c r="Z158" i="7"/>
  <c r="Z159" i="7"/>
  <c r="Z78" i="7"/>
  <c r="Z176" i="7"/>
  <c r="Z157" i="7"/>
  <c r="Z180" i="7"/>
  <c r="Z174" i="7"/>
  <c r="Z106" i="7"/>
  <c r="Z104" i="7"/>
  <c r="Z100" i="7"/>
  <c r="Z99" i="7" s="1"/>
  <c r="Z93" i="7"/>
  <c r="Z161" i="7"/>
  <c r="Z156" i="7"/>
  <c r="Z154" i="7"/>
  <c r="Z152" i="7"/>
  <c r="Z150" i="7"/>
  <c r="Z145" i="7"/>
  <c r="Z163" i="7"/>
  <c r="Z142" i="7"/>
  <c r="Z139" i="7"/>
  <c r="Z134" i="7"/>
  <c r="Z131" i="7"/>
  <c r="Z68" i="7" a="1"/>
  <c r="Z68" i="7" s="1"/>
  <c r="Z40" i="7"/>
  <c r="Z38" i="7"/>
  <c r="Z36" i="7"/>
  <c r="Z34" i="7"/>
  <c r="Z172" i="7"/>
  <c r="Z153" i="7"/>
  <c r="Z146" i="7"/>
  <c r="Z183" i="7" s="1" a="1"/>
  <c r="Z183" i="7" s="1"/>
  <c r="Z81" i="7"/>
  <c r="Z178" i="7"/>
  <c r="Z140" i="7"/>
  <c r="Z137" i="7"/>
  <c r="Z132" i="7"/>
  <c r="Z79" i="7"/>
  <c r="Z105" i="7"/>
  <c r="Z165" i="7"/>
  <c r="Z143" i="7"/>
  <c r="Z138" i="7"/>
  <c r="Z41" i="7"/>
  <c r="Z30" i="7"/>
  <c r="Z28" i="7"/>
  <c r="Z151" i="7"/>
  <c r="Z107" i="7"/>
  <c r="Z50" i="7"/>
  <c r="Z59" i="7" s="1"/>
  <c r="Z76" i="7" s="1"/>
  <c r="Z39" i="7"/>
  <c r="Z32" i="7"/>
  <c r="Z24" i="7"/>
  <c r="Z20" i="7"/>
  <c r="Z133" i="7"/>
  <c r="Z135" i="7"/>
  <c r="Z155" i="7"/>
  <c r="Z144" i="7"/>
  <c r="Z170" i="7"/>
  <c r="Z141" i="7"/>
  <c r="Z136" i="7"/>
  <c r="Z14" i="7"/>
  <c r="Z12" i="7"/>
  <c r="Z37" i="7"/>
  <c r="AA5" i="7"/>
  <c r="Z130" i="7"/>
  <c r="Z82" i="7"/>
  <c r="Z29" i="7"/>
  <c r="Z27" i="7"/>
  <c r="Z66" i="7"/>
  <c r="Z64" i="7" s="1"/>
  <c r="Z17" i="7"/>
  <c r="Z13" i="7"/>
  <c r="Z202" i="7" s="1"/>
  <c r="Z11" i="7"/>
  <c r="AA19" i="7" s="1"/>
  <c r="Z35" i="7"/>
  <c r="Z31" i="7"/>
  <c r="Z33" i="7"/>
  <c r="Z16" i="7"/>
  <c r="Z6" i="7"/>
  <c r="Z18" i="7" s="1"/>
  <c r="K61" i="7"/>
  <c r="K75" i="7"/>
  <c r="K151" i="7"/>
  <c r="K171" i="7"/>
  <c r="K131" i="7"/>
  <c r="L29" i="7"/>
  <c r="R162" i="7"/>
  <c r="R142" i="7"/>
  <c r="S40" i="7"/>
  <c r="M174" i="7"/>
  <c r="M154" i="7"/>
  <c r="M134" i="7"/>
  <c r="M78" i="7"/>
  <c r="N32" i="7"/>
  <c r="Z196" i="7"/>
  <c r="Z195" i="7"/>
  <c r="Y57" i="7"/>
  <c r="Y55" i="7" s="1"/>
  <c r="Y75" i="7"/>
  <c r="Y74" i="7" s="1"/>
  <c r="Y72" i="7" s="1"/>
  <c r="J47" i="7"/>
  <c r="J50" i="7"/>
  <c r="Y4" i="8"/>
  <c r="X5" i="8"/>
  <c r="V4" i="9"/>
  <c r="V3" i="9" s="1"/>
  <c r="Y62" i="7"/>
  <c r="Y61" i="7" s="1"/>
  <c r="Y77" i="7" s="1"/>
  <c r="K21" i="7"/>
  <c r="BE113" i="9"/>
  <c r="BE111" i="9"/>
  <c r="BE109" i="9"/>
  <c r="BE107" i="9"/>
  <c r="BE105" i="9"/>
  <c r="BE103" i="9"/>
  <c r="BE101" i="9"/>
  <c r="BE99" i="9"/>
  <c r="BE97" i="9"/>
  <c r="BE95" i="9"/>
  <c r="BE93" i="9"/>
  <c r="BE91" i="9"/>
  <c r="BE89" i="9"/>
  <c r="BE114" i="9"/>
  <c r="BE90" i="9"/>
  <c r="BE112" i="9"/>
  <c r="BE110" i="9"/>
  <c r="BE108" i="9"/>
  <c r="BE77" i="9"/>
  <c r="BE75" i="9"/>
  <c r="BE73" i="9"/>
  <c r="BE102" i="9"/>
  <c r="BE86" i="9"/>
  <c r="BE85" i="9"/>
  <c r="BE84" i="9"/>
  <c r="BE83" i="9"/>
  <c r="BE81" i="9"/>
  <c r="BE79" i="9"/>
  <c r="BE104" i="9"/>
  <c r="BE106" i="9"/>
  <c r="BE88" i="9"/>
  <c r="BE98" i="9"/>
  <c r="BE96" i="9"/>
  <c r="BE94" i="9"/>
  <c r="BE92" i="9"/>
  <c r="BE100" i="9"/>
  <c r="BE87" i="9"/>
  <c r="BE70" i="9"/>
  <c r="BE68" i="9"/>
  <c r="BE66" i="9"/>
  <c r="BE64" i="9"/>
  <c r="BE62" i="9"/>
  <c r="BE60" i="9"/>
  <c r="BE58" i="9"/>
  <c r="BE82" i="9"/>
  <c r="BE80" i="9"/>
  <c r="BE74" i="9"/>
  <c r="BE78" i="9"/>
  <c r="BE72" i="9"/>
  <c r="BE76" i="9"/>
  <c r="BE61" i="9"/>
  <c r="BE71" i="9"/>
  <c r="BE63" i="9"/>
  <c r="BE69" i="9"/>
  <c r="BE56" i="9"/>
  <c r="BE55" i="9"/>
  <c r="BE67" i="9"/>
  <c r="BE65" i="9"/>
  <c r="BE59" i="9"/>
  <c r="BE57" i="9"/>
  <c r="BF5" i="9"/>
  <c r="I55" i="7"/>
  <c r="I82" i="7"/>
  <c r="I81" i="7"/>
  <c r="I74" i="7" s="1"/>
  <c r="I72" i="7" s="1"/>
  <c r="I71" i="7" s="1"/>
  <c r="Y21" i="7"/>
  <c r="P159" i="7"/>
  <c r="P139" i="7"/>
  <c r="Q37" i="7"/>
  <c r="N136" i="7"/>
  <c r="N176" i="7"/>
  <c r="N156" i="7"/>
  <c r="O34" i="7"/>
  <c r="Y45" i="7" a="1"/>
  <c r="Y45" i="7" s="1"/>
  <c r="Y47" i="7" s="1"/>
  <c r="J46" i="7"/>
  <c r="K209" i="7" s="1"/>
  <c r="K213" i="7" s="1"/>
  <c r="K222" i="7" l="1"/>
  <c r="K214" i="7"/>
  <c r="O157" i="7"/>
  <c r="O79" i="7"/>
  <c r="O177" i="7"/>
  <c r="O137" i="7"/>
  <c r="P35" i="7"/>
  <c r="BF114" i="9"/>
  <c r="BF113" i="9"/>
  <c r="BF111" i="9"/>
  <c r="BF109" i="9"/>
  <c r="BF107" i="9"/>
  <c r="BF105" i="9"/>
  <c r="BF103" i="9"/>
  <c r="BF101" i="9"/>
  <c r="BF99" i="9"/>
  <c r="BF97" i="9"/>
  <c r="BF95" i="9"/>
  <c r="BF93" i="9"/>
  <c r="BF91" i="9"/>
  <c r="BF90" i="9"/>
  <c r="BF85" i="9"/>
  <c r="BF83" i="9"/>
  <c r="BF81" i="9"/>
  <c r="BF79" i="9"/>
  <c r="BF112" i="9"/>
  <c r="BF110" i="9"/>
  <c r="BF108" i="9"/>
  <c r="BF102" i="9"/>
  <c r="BF86" i="9"/>
  <c r="BF84" i="9"/>
  <c r="BF104" i="9"/>
  <c r="BF87" i="9"/>
  <c r="BF82" i="9"/>
  <c r="BF80" i="9"/>
  <c r="BF106" i="9"/>
  <c r="BF89" i="9"/>
  <c r="BF88" i="9"/>
  <c r="BF98" i="9"/>
  <c r="BF96" i="9"/>
  <c r="BF94" i="9"/>
  <c r="BF92" i="9"/>
  <c r="BF100" i="9"/>
  <c r="BF77" i="9"/>
  <c r="BF75" i="9"/>
  <c r="BF74" i="9"/>
  <c r="BF78" i="9"/>
  <c r="BF73" i="9"/>
  <c r="BF72" i="9"/>
  <c r="BF76" i="9"/>
  <c r="BF70" i="9"/>
  <c r="BF68" i="9"/>
  <c r="BF66" i="9"/>
  <c r="BF64" i="9"/>
  <c r="BF71" i="9"/>
  <c r="BF63" i="9"/>
  <c r="BF69" i="9"/>
  <c r="BF62" i="9"/>
  <c r="BF60" i="9"/>
  <c r="BF56" i="9"/>
  <c r="BF55" i="9"/>
  <c r="BF67" i="9"/>
  <c r="BF65" i="9"/>
  <c r="BF61" i="9"/>
  <c r="BF58" i="9"/>
  <c r="BF57" i="9"/>
  <c r="BF59" i="9"/>
  <c r="BG5" i="9"/>
  <c r="AA51" i="7"/>
  <c r="AA58" i="7" s="1"/>
  <c r="Z44" i="7"/>
  <c r="N135" i="7"/>
  <c r="N175" i="7"/>
  <c r="N155" i="7"/>
  <c r="O33" i="7"/>
  <c r="S163" i="7"/>
  <c r="S143" i="7"/>
  <c r="T41" i="7"/>
  <c r="Z103" i="7"/>
  <c r="Q160" i="7"/>
  <c r="Q140" i="7"/>
  <c r="R38" i="7"/>
  <c r="Y71" i="7"/>
  <c r="Y189" i="7"/>
  <c r="Y188" i="7"/>
  <c r="Y187" i="7"/>
  <c r="W4" i="9"/>
  <c r="W3" i="9" s="1"/>
  <c r="Z4" i="8"/>
  <c r="Y5" i="8"/>
  <c r="L152" i="7"/>
  <c r="L172" i="7"/>
  <c r="L132" i="7"/>
  <c r="M30" i="7"/>
  <c r="Z57" i="7"/>
  <c r="Z75" i="7"/>
  <c r="AA21" i="7"/>
  <c r="AA176" i="7"/>
  <c r="AA166" i="7"/>
  <c r="AA157" i="7"/>
  <c r="AA197" i="7"/>
  <c r="AB193" i="7" s="1"/>
  <c r="AA180" i="7"/>
  <c r="AA177" i="7"/>
  <c r="AA174" i="7"/>
  <c r="AA164" i="7"/>
  <c r="AA172" i="7"/>
  <c r="AA162" i="7"/>
  <c r="AA155" i="7"/>
  <c r="AA153" i="7"/>
  <c r="AA151" i="7"/>
  <c r="AA146" i="7"/>
  <c r="AA183" i="7" s="1" a="1"/>
  <c r="AA183" i="7" s="1"/>
  <c r="AA144" i="7"/>
  <c r="AA142" i="7"/>
  <c r="AA140" i="7"/>
  <c r="AA138" i="7"/>
  <c r="AA136" i="7"/>
  <c r="AA134" i="7"/>
  <c r="AA132" i="7"/>
  <c r="AA130" i="7"/>
  <c r="AA82" i="7"/>
  <c r="AA179" i="7"/>
  <c r="AA171" i="7"/>
  <c r="AA159" i="7"/>
  <c r="AA173" i="7"/>
  <c r="AA156" i="7"/>
  <c r="AA152" i="7"/>
  <c r="AA145" i="7"/>
  <c r="AA81" i="7"/>
  <c r="AA66" i="7"/>
  <c r="AA64" i="7" s="1"/>
  <c r="AA178" i="7"/>
  <c r="AA137" i="7"/>
  <c r="AA106" i="7"/>
  <c r="AA93" i="7"/>
  <c r="AA79" i="7"/>
  <c r="AA165" i="7"/>
  <c r="AA158" i="7"/>
  <c r="AA175" i="7"/>
  <c r="AA181" i="7"/>
  <c r="AA163" i="7"/>
  <c r="AA139" i="7"/>
  <c r="AA131" i="7"/>
  <c r="AA143" i="7"/>
  <c r="AA78" i="7"/>
  <c r="AA68" i="7" a="1"/>
  <c r="AA68" i="7" s="1"/>
  <c r="AA41" i="7"/>
  <c r="AA34" i="7"/>
  <c r="AA30" i="7"/>
  <c r="AA28" i="7"/>
  <c r="AA150" i="7"/>
  <c r="AA107" i="7"/>
  <c r="AA50" i="7"/>
  <c r="AA59" i="7" s="1"/>
  <c r="AA76" i="7" s="1"/>
  <c r="AA39" i="7"/>
  <c r="AA32" i="7"/>
  <c r="AA24" i="7"/>
  <c r="AA20" i="7"/>
  <c r="AA160" i="7"/>
  <c r="AA133" i="7"/>
  <c r="AA100" i="7"/>
  <c r="AA99" i="7" s="1"/>
  <c r="AA37" i="7"/>
  <c r="AA135" i="7"/>
  <c r="AA161" i="7"/>
  <c r="AA154" i="7"/>
  <c r="AA170" i="7"/>
  <c r="AA141" i="7"/>
  <c r="AA105" i="7"/>
  <c r="AA36" i="7"/>
  <c r="AA104" i="7"/>
  <c r="AA29" i="7"/>
  <c r="AA40" i="7"/>
  <c r="AA33" i="7"/>
  <c r="AA17" i="7"/>
  <c r="AA14" i="7"/>
  <c r="AA31" i="7"/>
  <c r="AA13" i="7"/>
  <c r="AA202" i="7" s="1"/>
  <c r="AA27" i="7"/>
  <c r="AA12" i="7"/>
  <c r="AA35" i="7"/>
  <c r="AB5" i="7"/>
  <c r="AA16" i="7"/>
  <c r="AA38" i="7"/>
  <c r="AA11" i="7"/>
  <c r="AB19" i="7" s="1"/>
  <c r="AA6" i="7"/>
  <c r="AA18" i="7" s="1"/>
  <c r="AA62" i="7" s="1"/>
  <c r="Y46" i="7"/>
  <c r="Z209" i="7" s="1"/>
  <c r="Z213" i="7" s="1"/>
  <c r="BE26" i="9" a="1"/>
  <c r="BE26" i="9" s="1"/>
  <c r="BE27" i="9" a="1"/>
  <c r="BE27" i="9" s="1"/>
  <c r="BE24" i="9" a="1"/>
  <c r="BE24" i="9" s="1"/>
  <c r="BE23" i="9" a="1"/>
  <c r="BE23" i="9" s="1"/>
  <c r="BE25" i="9" a="1"/>
  <c r="BE25" i="9" s="1"/>
  <c r="BE16" i="9" a="1"/>
  <c r="BE16" i="9" s="1"/>
  <c r="BE21" i="9" a="1"/>
  <c r="BE21" i="9" s="1"/>
  <c r="AA195" i="7"/>
  <c r="AA196" i="7"/>
  <c r="K24" i="7"/>
  <c r="K27" i="7" s="1"/>
  <c r="K17" i="7"/>
  <c r="J59" i="7"/>
  <c r="K77" i="7"/>
  <c r="Z45" i="7" a="1"/>
  <c r="Z45" i="7" s="1"/>
  <c r="Z47" i="7" s="1"/>
  <c r="Z21" i="7"/>
  <c r="Y96" i="7"/>
  <c r="Y95" i="7" s="1"/>
  <c r="I189" i="7"/>
  <c r="I188" i="7"/>
  <c r="I187" i="7"/>
  <c r="Z62" i="7"/>
  <c r="Z61" i="7" s="1"/>
  <c r="Z77" i="7" s="1"/>
  <c r="Z222" i="7" l="1"/>
  <c r="Z214" i="7"/>
  <c r="AB51" i="7"/>
  <c r="AB58" i="7" s="1"/>
  <c r="AA44" i="7"/>
  <c r="L20" i="7"/>
  <c r="L19" i="7"/>
  <c r="AB195" i="7"/>
  <c r="AB196" i="7"/>
  <c r="R161" i="7"/>
  <c r="R141" i="7"/>
  <c r="S39" i="7"/>
  <c r="T164" i="7"/>
  <c r="T144" i="7"/>
  <c r="M173" i="7"/>
  <c r="M133" i="7"/>
  <c r="M153" i="7"/>
  <c r="N31" i="7"/>
  <c r="AA209" i="7"/>
  <c r="AA213" i="7" s="1"/>
  <c r="Z46" i="7"/>
  <c r="Z96" i="7"/>
  <c r="Z95" i="7" s="1"/>
  <c r="L51" i="7"/>
  <c r="L58" i="7" s="1"/>
  <c r="K44" i="7"/>
  <c r="K45" i="7" a="1"/>
  <c r="K45" i="7" s="1"/>
  <c r="K130" i="7"/>
  <c r="K145" i="7" s="1"/>
  <c r="K146" i="7" s="1"/>
  <c r="K183" i="7" s="1" a="1"/>
  <c r="K183" i="7" s="1"/>
  <c r="K170" i="7"/>
  <c r="K180" i="7" s="1"/>
  <c r="K181" i="7" s="1"/>
  <c r="K150" i="7"/>
  <c r="K165" i="7" s="1"/>
  <c r="K166" i="7" s="1"/>
  <c r="L28" i="7"/>
  <c r="L18" i="7"/>
  <c r="L62" i="7" s="1"/>
  <c r="AA75" i="7"/>
  <c r="AA57" i="7"/>
  <c r="AA55" i="7" s="1"/>
  <c r="BF24" i="9" a="1"/>
  <c r="BF24" i="9" s="1"/>
  <c r="BF16" i="9" a="1"/>
  <c r="BF16" i="9" s="1"/>
  <c r="BF23" i="9" a="1"/>
  <c r="BF23" i="9" s="1"/>
  <c r="BF25" i="9" a="1"/>
  <c r="BF25" i="9" s="1"/>
  <c r="BF26" i="9" a="1"/>
  <c r="BF26" i="9" s="1"/>
  <c r="BF27" i="9" a="1"/>
  <c r="BF27" i="9" s="1"/>
  <c r="BF21" i="9" a="1"/>
  <c r="BF21" i="9" s="1"/>
  <c r="L221" i="7"/>
  <c r="K223" i="7"/>
  <c r="AA103" i="7"/>
  <c r="BG114" i="9"/>
  <c r="BG112" i="9"/>
  <c r="BG110" i="9"/>
  <c r="BG108" i="9"/>
  <c r="BG106" i="9"/>
  <c r="BG104" i="9"/>
  <c r="BG102" i="9"/>
  <c r="BG100" i="9"/>
  <c r="BG98" i="9"/>
  <c r="BG96" i="9"/>
  <c r="BG94" i="9"/>
  <c r="BG92" i="9"/>
  <c r="BG90" i="9"/>
  <c r="BG113" i="9"/>
  <c r="BG111" i="9"/>
  <c r="BG109" i="9"/>
  <c r="BG85" i="9"/>
  <c r="BG84" i="9"/>
  <c r="BG105" i="9"/>
  <c r="BG87" i="9"/>
  <c r="BG83" i="9"/>
  <c r="BG82" i="9"/>
  <c r="BG81" i="9"/>
  <c r="BG80" i="9"/>
  <c r="BG79" i="9"/>
  <c r="BG78" i="9"/>
  <c r="BG76" i="9"/>
  <c r="BG74" i="9"/>
  <c r="BG72" i="9"/>
  <c r="BG99" i="9"/>
  <c r="BG97" i="9"/>
  <c r="BG95" i="9"/>
  <c r="BG107" i="9"/>
  <c r="BG101" i="9"/>
  <c r="BG103" i="9"/>
  <c r="BG86" i="9"/>
  <c r="BG89" i="9"/>
  <c r="BG75" i="9"/>
  <c r="BG71" i="9"/>
  <c r="BG69" i="9"/>
  <c r="BG67" i="9"/>
  <c r="BG65" i="9"/>
  <c r="BG63" i="9"/>
  <c r="BG61" i="9"/>
  <c r="BG59" i="9"/>
  <c r="BG57" i="9"/>
  <c r="BG88" i="9"/>
  <c r="BG73" i="9"/>
  <c r="BG93" i="9"/>
  <c r="BG77" i="9"/>
  <c r="BG91" i="9"/>
  <c r="BG68" i="9"/>
  <c r="BG66" i="9"/>
  <c r="BG62" i="9"/>
  <c r="BG60" i="9"/>
  <c r="BG56" i="9"/>
  <c r="BG55" i="9"/>
  <c r="BG70" i="9"/>
  <c r="BG64" i="9"/>
  <c r="BG58" i="9"/>
  <c r="BH5" i="9"/>
  <c r="AB180" i="7"/>
  <c r="AB178" i="7"/>
  <c r="AB197" i="7"/>
  <c r="AC193" i="7" s="1"/>
  <c r="AB177" i="7"/>
  <c r="AB174" i="7"/>
  <c r="AB164" i="7"/>
  <c r="AB106" i="7"/>
  <c r="P55" i="5" s="1"/>
  <c r="AB104" i="7"/>
  <c r="AB100" i="7"/>
  <c r="AB99" i="7" s="1"/>
  <c r="AB93" i="7"/>
  <c r="AB172" i="7"/>
  <c r="AB162" i="7"/>
  <c r="AB155" i="7"/>
  <c r="AB153" i="7"/>
  <c r="AB151" i="7"/>
  <c r="AB146" i="7"/>
  <c r="AB183" i="7" s="1" a="1"/>
  <c r="AB183" i="7" s="1"/>
  <c r="AB144" i="7"/>
  <c r="AB170" i="7"/>
  <c r="AB160" i="7"/>
  <c r="AB176" i="7"/>
  <c r="AB166" i="7"/>
  <c r="AB157" i="7"/>
  <c r="AB159" i="7"/>
  <c r="AB137" i="7"/>
  <c r="AB79" i="7"/>
  <c r="AB165" i="7"/>
  <c r="AB158" i="7"/>
  <c r="AB140" i="7"/>
  <c r="AB132" i="7"/>
  <c r="AB175" i="7"/>
  <c r="AB143" i="7"/>
  <c r="AB135" i="7"/>
  <c r="AB82" i="7"/>
  <c r="AB179" i="7"/>
  <c r="AB173" i="7"/>
  <c r="AB156" i="7"/>
  <c r="AB152" i="7"/>
  <c r="AB145" i="7"/>
  <c r="AB142" i="7"/>
  <c r="AB134" i="7"/>
  <c r="AB81" i="7"/>
  <c r="AB66" i="7"/>
  <c r="AB64" i="7" s="1"/>
  <c r="AB150" i="7"/>
  <c r="AB138" i="7"/>
  <c r="AB107" i="7"/>
  <c r="P56" i="5" s="1"/>
  <c r="AB50" i="7"/>
  <c r="AB59" i="7" s="1"/>
  <c r="AB76" i="7" s="1"/>
  <c r="AB39" i="7"/>
  <c r="AB32" i="7"/>
  <c r="AB24" i="7"/>
  <c r="AB20" i="7"/>
  <c r="AB171" i="7"/>
  <c r="AB133" i="7"/>
  <c r="AB37" i="7"/>
  <c r="AB16" i="7"/>
  <c r="AB13" i="7"/>
  <c r="AB202" i="7" s="1"/>
  <c r="AB35" i="7"/>
  <c r="AB163" i="7"/>
  <c r="AB139" i="7"/>
  <c r="AB161" i="7"/>
  <c r="AB154" i="7"/>
  <c r="AB181" i="7"/>
  <c r="AB141" i="7"/>
  <c r="AB136" i="7"/>
  <c r="AB131" i="7"/>
  <c r="AB78" i="7"/>
  <c r="AB41" i="7"/>
  <c r="AB34" i="7"/>
  <c r="AB30" i="7"/>
  <c r="AB28" i="7"/>
  <c r="AB29" i="7"/>
  <c r="AB130" i="7"/>
  <c r="AB40" i="7"/>
  <c r="AB33" i="7"/>
  <c r="AB17" i="7"/>
  <c r="AB14" i="7"/>
  <c r="AB11" i="7"/>
  <c r="AC19" i="7" s="1"/>
  <c r="AB38" i="7"/>
  <c r="AB105" i="7"/>
  <c r="P54" i="5" s="1"/>
  <c r="AB27" i="7"/>
  <c r="AB12" i="7"/>
  <c r="AB68" i="7" a="1"/>
  <c r="AB68" i="7" s="1"/>
  <c r="AC5" i="7"/>
  <c r="AB31" i="7"/>
  <c r="AB36" i="7"/>
  <c r="AB6" i="7"/>
  <c r="AB18" i="7" s="1"/>
  <c r="AA45" i="7" a="1"/>
  <c r="AA45" i="7" s="1"/>
  <c r="AA47" i="7" s="1"/>
  <c r="AA61" i="7"/>
  <c r="AA77" i="7" s="1"/>
  <c r="Z74" i="7"/>
  <c r="Z72" i="7" s="1"/>
  <c r="Z71" i="7" s="1"/>
  <c r="P138" i="7"/>
  <c r="P158" i="7"/>
  <c r="P178" i="7"/>
  <c r="Q179" i="7" s="1"/>
  <c r="Q36" i="7"/>
  <c r="AB21" i="7"/>
  <c r="Z55" i="7"/>
  <c r="O176" i="7"/>
  <c r="O136" i="7"/>
  <c r="O156" i="7"/>
  <c r="P34" i="7"/>
  <c r="J76" i="7"/>
  <c r="J57" i="7"/>
  <c r="Z5" i="8"/>
  <c r="AA4" i="8"/>
  <c r="X4" i="9"/>
  <c r="X3" i="9" s="1"/>
  <c r="Q159" i="7" l="1"/>
  <c r="Q139" i="7"/>
  <c r="R37" i="7"/>
  <c r="Y4" i="9"/>
  <c r="Y3" i="9" s="1"/>
  <c r="AA5" i="8"/>
  <c r="AB4" i="8"/>
  <c r="AC51" i="7"/>
  <c r="AC58" i="7" s="1"/>
  <c r="AB44" i="7"/>
  <c r="P51" i="5"/>
  <c r="AA74" i="7"/>
  <c r="AA72" i="7" s="1"/>
  <c r="L21" i="7"/>
  <c r="AB103" i="7"/>
  <c r="P53" i="5"/>
  <c r="BH114" i="9"/>
  <c r="BH112" i="9"/>
  <c r="BH110" i="9"/>
  <c r="BH108" i="9"/>
  <c r="BH106" i="9"/>
  <c r="BH104" i="9"/>
  <c r="BH102" i="9"/>
  <c r="BH100" i="9"/>
  <c r="BH98" i="9"/>
  <c r="BH96" i="9"/>
  <c r="BH94" i="9"/>
  <c r="BH92" i="9"/>
  <c r="BH90" i="9"/>
  <c r="BH88" i="9"/>
  <c r="BH113" i="9"/>
  <c r="BH111" i="9"/>
  <c r="BH109" i="9"/>
  <c r="BH107" i="9"/>
  <c r="BH105" i="9"/>
  <c r="BH87" i="9"/>
  <c r="BH83" i="9"/>
  <c r="BH82" i="9"/>
  <c r="BH81" i="9"/>
  <c r="BH80" i="9"/>
  <c r="BH79" i="9"/>
  <c r="BH78" i="9"/>
  <c r="BH99" i="9"/>
  <c r="BH97" i="9"/>
  <c r="BH95" i="9"/>
  <c r="BH93" i="9"/>
  <c r="BH91" i="9"/>
  <c r="BH89" i="9"/>
  <c r="BH101" i="9"/>
  <c r="BH103" i="9"/>
  <c r="BH85" i="9"/>
  <c r="BH84" i="9"/>
  <c r="BH75" i="9"/>
  <c r="BH74" i="9"/>
  <c r="BH71" i="9"/>
  <c r="BH69" i="9"/>
  <c r="BH67" i="9"/>
  <c r="BH65" i="9"/>
  <c r="BH63" i="9"/>
  <c r="BH61" i="9"/>
  <c r="BH59" i="9"/>
  <c r="BH86" i="9"/>
  <c r="BH73" i="9"/>
  <c r="BH72" i="9"/>
  <c r="BH77" i="9"/>
  <c r="BH76" i="9"/>
  <c r="BH57" i="9"/>
  <c r="BH70" i="9"/>
  <c r="BH68" i="9"/>
  <c r="BH66" i="9"/>
  <c r="BH62" i="9"/>
  <c r="BH60" i="9"/>
  <c r="BH56" i="9"/>
  <c r="BH55" i="9"/>
  <c r="BH64" i="9"/>
  <c r="BH58" i="9"/>
  <c r="BI5" i="9"/>
  <c r="P157" i="7"/>
  <c r="P177" i="7"/>
  <c r="P137" i="7"/>
  <c r="P79" i="7"/>
  <c r="Q35" i="7"/>
  <c r="AB62" i="7"/>
  <c r="AB61" i="7" s="1"/>
  <c r="AB77" i="7" s="1"/>
  <c r="K47" i="7"/>
  <c r="K50" i="7"/>
  <c r="N78" i="7"/>
  <c r="N154" i="7"/>
  <c r="N134" i="7"/>
  <c r="N174" i="7"/>
  <c r="O32" i="7"/>
  <c r="K46" i="7"/>
  <c r="L209" i="7" s="1"/>
  <c r="L213" i="7" s="1"/>
  <c r="S162" i="7"/>
  <c r="S142" i="7"/>
  <c r="T40" i="7"/>
  <c r="AA46" i="7"/>
  <c r="AB209" i="7" s="1"/>
  <c r="AB213" i="7" s="1"/>
  <c r="AB75" i="7"/>
  <c r="AB74" i="7" s="1"/>
  <c r="AB72" i="7" s="1"/>
  <c r="AB57" i="7"/>
  <c r="AB55" i="7" s="1"/>
  <c r="L75" i="7"/>
  <c r="AC180" i="7"/>
  <c r="AC172" i="7"/>
  <c r="AC162" i="7"/>
  <c r="AC155" i="7"/>
  <c r="AC153" i="7"/>
  <c r="AC151" i="7"/>
  <c r="AC146" i="7"/>
  <c r="AC183" i="7" s="1" a="1"/>
  <c r="AC183" i="7" s="1"/>
  <c r="AC144" i="7"/>
  <c r="AC142" i="7"/>
  <c r="AC140" i="7"/>
  <c r="AC138" i="7"/>
  <c r="AC136" i="7"/>
  <c r="AC134" i="7"/>
  <c r="AC132" i="7"/>
  <c r="AC130" i="7"/>
  <c r="AC82" i="7"/>
  <c r="AC170" i="7"/>
  <c r="AC160" i="7"/>
  <c r="AC178" i="7"/>
  <c r="AC165" i="7"/>
  <c r="AC158" i="7"/>
  <c r="AC197" i="7"/>
  <c r="AD193" i="7" s="1"/>
  <c r="AC177" i="7"/>
  <c r="AC174" i="7"/>
  <c r="AC164" i="7"/>
  <c r="AC176" i="7"/>
  <c r="AC166" i="7"/>
  <c r="AC106" i="7"/>
  <c r="AC93" i="7"/>
  <c r="AC175" i="7"/>
  <c r="AC143" i="7"/>
  <c r="AC135" i="7"/>
  <c r="AC161" i="7"/>
  <c r="AC154" i="7"/>
  <c r="AC150" i="7"/>
  <c r="AC107" i="7"/>
  <c r="AC104" i="7"/>
  <c r="AC68" i="7" a="1"/>
  <c r="AC68" i="7" s="1"/>
  <c r="AC179" i="7"/>
  <c r="AC181" i="7"/>
  <c r="AC159" i="7"/>
  <c r="AC137" i="7"/>
  <c r="AC79" i="7"/>
  <c r="AC171" i="7"/>
  <c r="AC133" i="7"/>
  <c r="AC37" i="7"/>
  <c r="AC16" i="7"/>
  <c r="AC13" i="7"/>
  <c r="AC202" i="7" s="1"/>
  <c r="AC157" i="7"/>
  <c r="AC100" i="7"/>
  <c r="AC99" i="7" s="1"/>
  <c r="AC35" i="7"/>
  <c r="AC11" i="7"/>
  <c r="AC163" i="7"/>
  <c r="AC139" i="7"/>
  <c r="AC66" i="7"/>
  <c r="AC64" i="7" s="1"/>
  <c r="AC29" i="7"/>
  <c r="AC27" i="7"/>
  <c r="AC152" i="7"/>
  <c r="AC141" i="7"/>
  <c r="AC131" i="7"/>
  <c r="AC173" i="7"/>
  <c r="AC156" i="7"/>
  <c r="AC145" i="7"/>
  <c r="AC50" i="7"/>
  <c r="AC39" i="7"/>
  <c r="AC32" i="7"/>
  <c r="AC24" i="7"/>
  <c r="AC20" i="7"/>
  <c r="AC21" i="7" s="1"/>
  <c r="AC40" i="7"/>
  <c r="AC33" i="7"/>
  <c r="AC45" i="7" s="1" a="1"/>
  <c r="AC45" i="7" s="1"/>
  <c r="AC17" i="7"/>
  <c r="AC14" i="7"/>
  <c r="AC36" i="7"/>
  <c r="AC105" i="7"/>
  <c r="AC30" i="7"/>
  <c r="AD5" i="7"/>
  <c r="AC78" i="7"/>
  <c r="AC34" i="7"/>
  <c r="AC28" i="7"/>
  <c r="AC31" i="7"/>
  <c r="AC81" i="7"/>
  <c r="AC38" i="7"/>
  <c r="AC41" i="7"/>
  <c r="AC12" i="7"/>
  <c r="AC6" i="7"/>
  <c r="AC18" i="7" s="1"/>
  <c r="AC62" i="7" s="1"/>
  <c r="BG25" i="9" a="1"/>
  <c r="BG25" i="9" s="1"/>
  <c r="BG23" i="9" a="1"/>
  <c r="BG23" i="9" s="1"/>
  <c r="BG21" i="9" a="1"/>
  <c r="BG21" i="9" s="1"/>
  <c r="BG26" i="9" a="1"/>
  <c r="BG26" i="9" s="1"/>
  <c r="BG27" i="9" a="1"/>
  <c r="BG27" i="9" s="1"/>
  <c r="BG24" i="9" a="1"/>
  <c r="BG24" i="9" s="1"/>
  <c r="BG16" i="9" a="1"/>
  <c r="BG16" i="9" s="1"/>
  <c r="L171" i="7"/>
  <c r="L151" i="7"/>
  <c r="L131" i="7"/>
  <c r="M29" i="7"/>
  <c r="AA96" i="7"/>
  <c r="AA95" i="7" s="1"/>
  <c r="J55" i="7"/>
  <c r="J82" i="7"/>
  <c r="J81" i="7"/>
  <c r="J74" i="7" s="1"/>
  <c r="J72" i="7" s="1"/>
  <c r="J71" i="7" s="1"/>
  <c r="Z188" i="7"/>
  <c r="Z189" i="7"/>
  <c r="Z187" i="7"/>
  <c r="AB45" i="7" a="1"/>
  <c r="AB45" i="7" s="1"/>
  <c r="AB47" i="7" s="1"/>
  <c r="AC196" i="7"/>
  <c r="AC195" i="7"/>
  <c r="L66" i="7"/>
  <c r="L64" i="7" s="1"/>
  <c r="AA222" i="7"/>
  <c r="AA214" i="7"/>
  <c r="AA221" i="7"/>
  <c r="Z223" i="7"/>
  <c r="L214" i="7" l="1"/>
  <c r="L222" i="7"/>
  <c r="AB214" i="7"/>
  <c r="AB222" i="7"/>
  <c r="AD180" i="7"/>
  <c r="AD178" i="7"/>
  <c r="AD176" i="7"/>
  <c r="AD174" i="7"/>
  <c r="AD172" i="7"/>
  <c r="AD170" i="7"/>
  <c r="AD165" i="7"/>
  <c r="AD163" i="7"/>
  <c r="AD161" i="7"/>
  <c r="AD159" i="7"/>
  <c r="AD157" i="7"/>
  <c r="AD160" i="7"/>
  <c r="AD79" i="7"/>
  <c r="AD158" i="7"/>
  <c r="AD181" i="7"/>
  <c r="AD175" i="7"/>
  <c r="AD107" i="7"/>
  <c r="AD105" i="7"/>
  <c r="AD162" i="7"/>
  <c r="AD155" i="7"/>
  <c r="AD153" i="7"/>
  <c r="AD151" i="7"/>
  <c r="AD146" i="7"/>
  <c r="AD183" i="7" s="1" a="1"/>
  <c r="AD183" i="7" s="1"/>
  <c r="AD144" i="7"/>
  <c r="AD177" i="7"/>
  <c r="AD143" i="7"/>
  <c r="AD140" i="7"/>
  <c r="AD135" i="7"/>
  <c r="AD132" i="7"/>
  <c r="AD68" i="7" a="1"/>
  <c r="AD68" i="7" s="1"/>
  <c r="AD41" i="7"/>
  <c r="AD39" i="7"/>
  <c r="AD37" i="7"/>
  <c r="AD35" i="7"/>
  <c r="AD154" i="7"/>
  <c r="AD150" i="7"/>
  <c r="AD104" i="7"/>
  <c r="AD82" i="7"/>
  <c r="AD179" i="7"/>
  <c r="AD171" i="7"/>
  <c r="AD141" i="7"/>
  <c r="AD138" i="7"/>
  <c r="AD133" i="7"/>
  <c r="AD130" i="7"/>
  <c r="AD197" i="7"/>
  <c r="AE193" i="7" s="1"/>
  <c r="AD166" i="7"/>
  <c r="AD106" i="7"/>
  <c r="AD93" i="7"/>
  <c r="AD100" i="7"/>
  <c r="AD99" i="7" s="1"/>
  <c r="AD11" i="7"/>
  <c r="AD139" i="7"/>
  <c r="AD66" i="7"/>
  <c r="AD64" i="7" s="1"/>
  <c r="AD29" i="7"/>
  <c r="AD27" i="7"/>
  <c r="AD45" i="7" s="1" a="1"/>
  <c r="AD45" i="7" s="1"/>
  <c r="AD152" i="7"/>
  <c r="AD40" i="7"/>
  <c r="AD33" i="7"/>
  <c r="AD31" i="7"/>
  <c r="AD17" i="7"/>
  <c r="AD134" i="7"/>
  <c r="AD164" i="7"/>
  <c r="AD136" i="7"/>
  <c r="AD131" i="7"/>
  <c r="AD173" i="7"/>
  <c r="AD156" i="7"/>
  <c r="AD145" i="7"/>
  <c r="AD142" i="7"/>
  <c r="AD137" i="7"/>
  <c r="AD16" i="7"/>
  <c r="AD13" i="7"/>
  <c r="AD202" i="7" s="1"/>
  <c r="AD36" i="7"/>
  <c r="AD30" i="7"/>
  <c r="AD12" i="7"/>
  <c r="AD78" i="7"/>
  <c r="AD34" i="7"/>
  <c r="AD28" i="7"/>
  <c r="AD81" i="7"/>
  <c r="AD38" i="7"/>
  <c r="AD50" i="7"/>
  <c r="AD59" i="7" s="1"/>
  <c r="AD76" i="7" s="1"/>
  <c r="AD32" i="7"/>
  <c r="AD20" i="7"/>
  <c r="AD24" i="7"/>
  <c r="AE5" i="7"/>
  <c r="AD14" i="7"/>
  <c r="AD6" i="7"/>
  <c r="AD18" i="7" s="1"/>
  <c r="AD62" i="7" s="1"/>
  <c r="AD61" i="7" s="1"/>
  <c r="AD77" i="7" s="1"/>
  <c r="AC103" i="7"/>
  <c r="BH27" i="9" a="1"/>
  <c r="BH27" i="9" s="1"/>
  <c r="BH25" i="9" a="1"/>
  <c r="BH25" i="9" s="1"/>
  <c r="BH26" i="9" a="1"/>
  <c r="BH26" i="9" s="1"/>
  <c r="BH24" i="9" a="1"/>
  <c r="BH24" i="9" s="1"/>
  <c r="BH21" i="9" a="1"/>
  <c r="BH21" i="9" s="1"/>
  <c r="BH23" i="9" a="1"/>
  <c r="BH23" i="9" s="1"/>
  <c r="BH16" i="9" a="1"/>
  <c r="BH16" i="9" s="1"/>
  <c r="AC61" i="7"/>
  <c r="AD19" i="7"/>
  <c r="AD21" i="7" s="1"/>
  <c r="M172" i="7"/>
  <c r="M132" i="7"/>
  <c r="M152" i="7"/>
  <c r="N30" i="7"/>
  <c r="AC59" i="7"/>
  <c r="AC44" i="7"/>
  <c r="AD51" i="7"/>
  <c r="AD58" i="7" s="1"/>
  <c r="J188" i="7"/>
  <c r="J189" i="7"/>
  <c r="J187" i="7"/>
  <c r="T143" i="7"/>
  <c r="T163" i="7"/>
  <c r="U41" i="7"/>
  <c r="L61" i="7"/>
  <c r="P52" i="5"/>
  <c r="R140" i="7"/>
  <c r="R160" i="7"/>
  <c r="S38" i="7"/>
  <c r="AB189" i="7"/>
  <c r="K59" i="7"/>
  <c r="AB221" i="7"/>
  <c r="AA223" i="7"/>
  <c r="AB46" i="7"/>
  <c r="AC209" i="7" s="1"/>
  <c r="AC213" i="7" s="1"/>
  <c r="AB96" i="7"/>
  <c r="AB95" i="7" s="1"/>
  <c r="AD195" i="7"/>
  <c r="AD196" i="7"/>
  <c r="BI114" i="9"/>
  <c r="BI112" i="9"/>
  <c r="BI110" i="9"/>
  <c r="BI108" i="9"/>
  <c r="BI106" i="9"/>
  <c r="BI104" i="9"/>
  <c r="BI102" i="9"/>
  <c r="BI100" i="9"/>
  <c r="BI98" i="9"/>
  <c r="BI96" i="9"/>
  <c r="BI94" i="9"/>
  <c r="BI92" i="9"/>
  <c r="BI90" i="9"/>
  <c r="BI113" i="9"/>
  <c r="BI88" i="9"/>
  <c r="BI87" i="9"/>
  <c r="BI89" i="9"/>
  <c r="BI111" i="9"/>
  <c r="BI109" i="9"/>
  <c r="BI78" i="9"/>
  <c r="BI76" i="9"/>
  <c r="BI74" i="9"/>
  <c r="BI72" i="9"/>
  <c r="BI99" i="9"/>
  <c r="BI97" i="9"/>
  <c r="BI95" i="9"/>
  <c r="BI93" i="9"/>
  <c r="BI91" i="9"/>
  <c r="BI101" i="9"/>
  <c r="BI107" i="9"/>
  <c r="BI103" i="9"/>
  <c r="BI105" i="9"/>
  <c r="BI83" i="9"/>
  <c r="BI82" i="9"/>
  <c r="BI81" i="9"/>
  <c r="BI80" i="9"/>
  <c r="BI79" i="9"/>
  <c r="BI71" i="9"/>
  <c r="BI69" i="9"/>
  <c r="BI67" i="9"/>
  <c r="BI65" i="9"/>
  <c r="BI63" i="9"/>
  <c r="BI61" i="9"/>
  <c r="BI59" i="9"/>
  <c r="BI86" i="9"/>
  <c r="BI84" i="9"/>
  <c r="BI73" i="9"/>
  <c r="BI77" i="9"/>
  <c r="BI85" i="9"/>
  <c r="BI75" i="9"/>
  <c r="BI57" i="9"/>
  <c r="BI70" i="9"/>
  <c r="BI64" i="9"/>
  <c r="BI68" i="9"/>
  <c r="BI66" i="9"/>
  <c r="BI60" i="9"/>
  <c r="BI56" i="9"/>
  <c r="BI62" i="9"/>
  <c r="BI58" i="9"/>
  <c r="BI55" i="9"/>
  <c r="L24" i="7"/>
  <c r="L27" i="7" s="1"/>
  <c r="L17" i="7"/>
  <c r="AC57" i="7"/>
  <c r="AC75" i="7"/>
  <c r="O135" i="7"/>
  <c r="O175" i="7"/>
  <c r="O155" i="7"/>
  <c r="P33" i="7"/>
  <c r="Q178" i="7"/>
  <c r="R179" i="7" s="1"/>
  <c r="Q138" i="7"/>
  <c r="Q158" i="7"/>
  <c r="R36" i="7"/>
  <c r="AA71" i="7"/>
  <c r="AB71" i="7"/>
  <c r="AB187" i="7" s="1"/>
  <c r="AB5" i="8"/>
  <c r="Z4" i="9"/>
  <c r="Z3" i="9" s="1"/>
  <c r="AC4" i="8"/>
  <c r="AC222" i="7" l="1"/>
  <c r="AC214" i="7"/>
  <c r="AD47" i="7"/>
  <c r="U164" i="7"/>
  <c r="U144" i="7"/>
  <c r="N153" i="7"/>
  <c r="N173" i="7"/>
  <c r="N133" i="7"/>
  <c r="O31" i="7"/>
  <c r="AC77" i="7"/>
  <c r="AC55" i="7"/>
  <c r="P21" i="5"/>
  <c r="AA188" i="7"/>
  <c r="AA187" i="7"/>
  <c r="AA189" i="7"/>
  <c r="AD44" i="7"/>
  <c r="AE51" i="7"/>
  <c r="AE58" i="7" s="1"/>
  <c r="AC221" i="7"/>
  <c r="AB223" i="7"/>
  <c r="P156" i="7"/>
  <c r="P136" i="7"/>
  <c r="P176" i="7"/>
  <c r="Q34" i="7"/>
  <c r="AC46" i="7"/>
  <c r="AE170" i="7"/>
  <c r="AE158" i="7"/>
  <c r="AE181" i="7"/>
  <c r="AE178" i="7"/>
  <c r="AE175" i="7"/>
  <c r="AE165" i="7"/>
  <c r="AE173" i="7"/>
  <c r="AE163" i="7"/>
  <c r="AE156" i="7"/>
  <c r="AE154" i="7"/>
  <c r="AE152" i="7"/>
  <c r="AE150" i="7"/>
  <c r="AE145" i="7"/>
  <c r="AE143" i="7"/>
  <c r="AE141" i="7"/>
  <c r="AE139" i="7"/>
  <c r="AE137" i="7"/>
  <c r="AE135" i="7"/>
  <c r="AE133" i="7"/>
  <c r="AE131" i="7"/>
  <c r="AE81" i="7"/>
  <c r="AE180" i="7"/>
  <c r="AE172" i="7"/>
  <c r="AE160" i="7"/>
  <c r="AE162" i="7"/>
  <c r="AE153" i="7"/>
  <c r="AE146" i="7"/>
  <c r="AE183" i="7" s="1" a="1"/>
  <c r="AE183" i="7" s="1"/>
  <c r="AE104" i="7"/>
  <c r="AE82" i="7"/>
  <c r="AE179" i="7"/>
  <c r="AE171" i="7"/>
  <c r="AE161" i="7"/>
  <c r="AE138" i="7"/>
  <c r="AE130" i="7"/>
  <c r="AE107" i="7"/>
  <c r="AE100" i="7"/>
  <c r="AE99" i="7" s="1"/>
  <c r="AE78" i="7"/>
  <c r="AE197" i="7"/>
  <c r="AF193" i="7" s="1"/>
  <c r="AE174" i="7"/>
  <c r="AE177" i="7"/>
  <c r="AE176" i="7"/>
  <c r="AE140" i="7"/>
  <c r="AE132" i="7"/>
  <c r="AE157" i="7"/>
  <c r="AE66" i="7"/>
  <c r="AE64" i="7" s="1"/>
  <c r="AE35" i="7"/>
  <c r="AE29" i="7"/>
  <c r="AE45" i="7" s="1" a="1"/>
  <c r="AE45" i="7" s="1"/>
  <c r="AE27" i="7"/>
  <c r="AE151" i="7"/>
  <c r="AE40" i="7"/>
  <c r="AE33" i="7"/>
  <c r="AE31" i="7"/>
  <c r="AE17" i="7"/>
  <c r="AF5" i="7"/>
  <c r="AE134" i="7"/>
  <c r="AE38" i="7"/>
  <c r="AE166" i="7"/>
  <c r="AE164" i="7"/>
  <c r="AE136" i="7"/>
  <c r="AE155" i="7"/>
  <c r="AE144" i="7"/>
  <c r="AE142" i="7"/>
  <c r="AE159" i="7"/>
  <c r="AE106" i="7"/>
  <c r="AE37" i="7"/>
  <c r="AE11" i="7"/>
  <c r="AE68" i="7" a="1"/>
  <c r="AE68" i="7" s="1"/>
  <c r="AE36" i="7"/>
  <c r="AE79" i="7"/>
  <c r="AE30" i="7"/>
  <c r="AE12" i="7"/>
  <c r="AE24" i="7"/>
  <c r="AE16" i="7"/>
  <c r="AE50" i="7"/>
  <c r="AE41" i="7"/>
  <c r="AE32" i="7"/>
  <c r="AE20" i="7"/>
  <c r="AE14" i="7"/>
  <c r="AE34" i="7"/>
  <c r="AE28" i="7"/>
  <c r="AE13" i="7"/>
  <c r="AE202" i="7" s="1"/>
  <c r="AE93" i="7"/>
  <c r="AE105" i="7"/>
  <c r="AE39" i="7"/>
  <c r="AE6" i="7"/>
  <c r="AE18" i="7" s="1"/>
  <c r="AE62" i="7" s="1"/>
  <c r="AE196" i="7"/>
  <c r="AE195" i="7"/>
  <c r="AD103" i="7"/>
  <c r="AD75" i="7"/>
  <c r="AD74" i="7" s="1"/>
  <c r="AD72" i="7" s="1"/>
  <c r="AD57" i="7"/>
  <c r="AD55" i="7" s="1"/>
  <c r="S141" i="7"/>
  <c r="S161" i="7"/>
  <c r="T39" i="7"/>
  <c r="AC96" i="7"/>
  <c r="M20" i="7"/>
  <c r="M19" i="7"/>
  <c r="M51" i="7"/>
  <c r="M58" i="7" s="1"/>
  <c r="L44" i="7"/>
  <c r="L170" i="7"/>
  <c r="L180" i="7" s="1"/>
  <c r="L181" i="7" s="1"/>
  <c r="L150" i="7"/>
  <c r="L165" i="7" s="1"/>
  <c r="L166" i="7" s="1"/>
  <c r="L130" i="7"/>
  <c r="L145" i="7" s="1"/>
  <c r="L146" i="7" s="1"/>
  <c r="L183" i="7" s="1" a="1"/>
  <c r="L183" i="7" s="1"/>
  <c r="L45" i="7" a="1"/>
  <c r="L45" i="7" s="1"/>
  <c r="M66" i="7"/>
  <c r="M64" i="7" s="1"/>
  <c r="M28" i="7"/>
  <c r="M18" i="7"/>
  <c r="M62" i="7" s="1"/>
  <c r="L77" i="7"/>
  <c r="K76" i="7"/>
  <c r="K57" i="7"/>
  <c r="AC76" i="7"/>
  <c r="AC47" i="7"/>
  <c r="AD209" i="7" s="1"/>
  <c r="AD213" i="7" s="1"/>
  <c r="AB188" i="7"/>
  <c r="AE19" i="7"/>
  <c r="L223" i="7"/>
  <c r="M221" i="7"/>
  <c r="BI27" i="9" a="1"/>
  <c r="BI27" i="9" s="1"/>
  <c r="BI25" i="9" a="1"/>
  <c r="BI25" i="9" s="1"/>
  <c r="BI26" i="9" a="1"/>
  <c r="BI26" i="9" s="1"/>
  <c r="BI21" i="9" a="1"/>
  <c r="BI21" i="9" s="1"/>
  <c r="BI24" i="9" a="1"/>
  <c r="BI24" i="9" s="1"/>
  <c r="BI23" i="9" a="1"/>
  <c r="BI23" i="9" s="1"/>
  <c r="BI16" i="9" a="1"/>
  <c r="BI16" i="9" s="1"/>
  <c r="AA4" i="9"/>
  <c r="AA3" i="9" s="1"/>
  <c r="AC5" i="8"/>
  <c r="AD4" i="8"/>
  <c r="R139" i="7"/>
  <c r="R159" i="7"/>
  <c r="S37" i="7"/>
  <c r="AC74" i="7"/>
  <c r="AD214" i="7" l="1"/>
  <c r="AD222" i="7"/>
  <c r="AE96" i="7"/>
  <c r="AE95" i="7" s="1"/>
  <c r="AE47" i="7"/>
  <c r="S160" i="7"/>
  <c r="S140" i="7"/>
  <c r="T38" i="7"/>
  <c r="L46" i="7"/>
  <c r="M209" i="7" s="1"/>
  <c r="M213" i="7" s="1"/>
  <c r="M61" i="7"/>
  <c r="M75" i="7"/>
  <c r="K55" i="7"/>
  <c r="K82" i="7"/>
  <c r="K81" i="7"/>
  <c r="K74" i="7" s="1"/>
  <c r="K72" i="7" s="1"/>
  <c r="K71" i="7" s="1"/>
  <c r="M131" i="7"/>
  <c r="M171" i="7"/>
  <c r="M151" i="7"/>
  <c r="N29" i="7"/>
  <c r="M21" i="7"/>
  <c r="AF51" i="7"/>
  <c r="AF58" i="7" s="1"/>
  <c r="AE44" i="7"/>
  <c r="T162" i="7"/>
  <c r="T142" i="7"/>
  <c r="U40" i="7"/>
  <c r="AE61" i="7"/>
  <c r="O134" i="7"/>
  <c r="O154" i="7"/>
  <c r="O174" i="7"/>
  <c r="O78" i="7"/>
  <c r="P32" i="7"/>
  <c r="AC72" i="7"/>
  <c r="AC71" i="7" s="1"/>
  <c r="AC188" i="7" s="1"/>
  <c r="AF197" i="7"/>
  <c r="AG193" i="7" s="1"/>
  <c r="AF181" i="7"/>
  <c r="AF179" i="7"/>
  <c r="AF177" i="7"/>
  <c r="AF178" i="7"/>
  <c r="AF175" i="7"/>
  <c r="AF165" i="7"/>
  <c r="AF107" i="7"/>
  <c r="AF105" i="7"/>
  <c r="AF173" i="7"/>
  <c r="AF163" i="7"/>
  <c r="AF156" i="7"/>
  <c r="AF154" i="7"/>
  <c r="AF152" i="7"/>
  <c r="AF150" i="7"/>
  <c r="AF145" i="7"/>
  <c r="AF171" i="7"/>
  <c r="AF161" i="7"/>
  <c r="AF170" i="7"/>
  <c r="AF158" i="7"/>
  <c r="AF172" i="7"/>
  <c r="AF138" i="7"/>
  <c r="AF130" i="7"/>
  <c r="AF141" i="7"/>
  <c r="AF133" i="7"/>
  <c r="AF100" i="7"/>
  <c r="AF99" i="7" s="1"/>
  <c r="AF78" i="7"/>
  <c r="AF164" i="7"/>
  <c r="AF157" i="7"/>
  <c r="AF136" i="7"/>
  <c r="AF180" i="7"/>
  <c r="AF162" i="7"/>
  <c r="AF153" i="7"/>
  <c r="AF146" i="7"/>
  <c r="AF183" i="7" s="1" a="1"/>
  <c r="AF183" i="7" s="1"/>
  <c r="AF143" i="7"/>
  <c r="AF135" i="7"/>
  <c r="AF104" i="7"/>
  <c r="AF82" i="7"/>
  <c r="AF151" i="7"/>
  <c r="AF139" i="7"/>
  <c r="AF40" i="7"/>
  <c r="AF33" i="7"/>
  <c r="AF31" i="7"/>
  <c r="AF17" i="7"/>
  <c r="AG5" i="7"/>
  <c r="AF160" i="7"/>
  <c r="AF134" i="7"/>
  <c r="AF68" i="7" a="1"/>
  <c r="AF68" i="7" s="1"/>
  <c r="AF38" i="7"/>
  <c r="AF14" i="7"/>
  <c r="AF12" i="7"/>
  <c r="AF174" i="7"/>
  <c r="AF166" i="7"/>
  <c r="AF93" i="7"/>
  <c r="AF81" i="7"/>
  <c r="AF36" i="7"/>
  <c r="AF176" i="7"/>
  <c r="AF140" i="7"/>
  <c r="AF155" i="7"/>
  <c r="AF144" i="7"/>
  <c r="AF131" i="7"/>
  <c r="AF142" i="7"/>
  <c r="AF159" i="7"/>
  <c r="AF137" i="7"/>
  <c r="AF132" i="7"/>
  <c r="AF66" i="7"/>
  <c r="AF64" i="7" s="1"/>
  <c r="AF35" i="7"/>
  <c r="AF29" i="7"/>
  <c r="AF27" i="7"/>
  <c r="AF79" i="7"/>
  <c r="AF30" i="7"/>
  <c r="AF45" i="7" s="1" a="1"/>
  <c r="AF45" i="7" s="1"/>
  <c r="AF11" i="7"/>
  <c r="AG19" i="7" s="1"/>
  <c r="AF24" i="7"/>
  <c r="AF16" i="7"/>
  <c r="AF39" i="7"/>
  <c r="AF34" i="7"/>
  <c r="AF28" i="7"/>
  <c r="AF13" i="7"/>
  <c r="AF202" i="7" s="1"/>
  <c r="AF106" i="7"/>
  <c r="AF20" i="7"/>
  <c r="AF37" i="7"/>
  <c r="AF50" i="7"/>
  <c r="AF59" i="7" s="1"/>
  <c r="AF76" i="7" s="1"/>
  <c r="AF41" i="7"/>
  <c r="AF32" i="7"/>
  <c r="AF6" i="7"/>
  <c r="AF18" i="7" s="1"/>
  <c r="AF62" i="7" s="1"/>
  <c r="AF61" i="7" s="1"/>
  <c r="AF77" i="7" s="1"/>
  <c r="AF196" i="7"/>
  <c r="AF195" i="7"/>
  <c r="AC95" i="7"/>
  <c r="AE75" i="7"/>
  <c r="AE57" i="7"/>
  <c r="AC187" i="7"/>
  <c r="AC189" i="7"/>
  <c r="L47" i="7"/>
  <c r="L50" i="7"/>
  <c r="AE59" i="7"/>
  <c r="AE103" i="7"/>
  <c r="AD46" i="7"/>
  <c r="AE209" i="7" s="1"/>
  <c r="AE213" i="7" s="1"/>
  <c r="AD96" i="7"/>
  <c r="AD95" i="7" s="1"/>
  <c r="AD71" i="7" s="1"/>
  <c r="AE4" i="8"/>
  <c r="AB4" i="9"/>
  <c r="AB3" i="9" s="1"/>
  <c r="AD5" i="8"/>
  <c r="AE21" i="7"/>
  <c r="AF19" i="7"/>
  <c r="Q177" i="7"/>
  <c r="Q137" i="7"/>
  <c r="Q157" i="7"/>
  <c r="Q79" i="7"/>
  <c r="R35" i="7"/>
  <c r="AC223" i="7"/>
  <c r="AD221" i="7"/>
  <c r="AD189" i="7" l="1"/>
  <c r="AD187" i="7"/>
  <c r="AD188" i="7"/>
  <c r="M222" i="7"/>
  <c r="M214" i="7"/>
  <c r="AE214" i="7"/>
  <c r="AE222" i="7"/>
  <c r="AF96" i="7"/>
  <c r="AF95" i="7" s="1"/>
  <c r="AG196" i="7"/>
  <c r="AG195" i="7"/>
  <c r="M77" i="7"/>
  <c r="AE221" i="7"/>
  <c r="AD223" i="7"/>
  <c r="AE77" i="7"/>
  <c r="AE55" i="7"/>
  <c r="U143" i="7"/>
  <c r="U163" i="7"/>
  <c r="V41" i="7"/>
  <c r="N152" i="7"/>
  <c r="N132" i="7"/>
  <c r="N172" i="7"/>
  <c r="O30" i="7"/>
  <c r="K189" i="7"/>
  <c r="K188" i="7"/>
  <c r="K187" i="7"/>
  <c r="AF209" i="7"/>
  <c r="AF213" i="7" s="1"/>
  <c r="AE46" i="7"/>
  <c r="T141" i="7"/>
  <c r="T161" i="7"/>
  <c r="U39" i="7"/>
  <c r="L59" i="7"/>
  <c r="AG51" i="7"/>
  <c r="AG58" i="7" s="1"/>
  <c r="AF44" i="7"/>
  <c r="AF47" i="7" s="1"/>
  <c r="AE76" i="7"/>
  <c r="AE74" i="7" s="1"/>
  <c r="AF21" i="7"/>
  <c r="P155" i="7"/>
  <c r="P135" i="7"/>
  <c r="P175" i="7"/>
  <c r="Q33" i="7"/>
  <c r="AF75" i="7"/>
  <c r="AF74" i="7" s="1"/>
  <c r="AF72" i="7" s="1"/>
  <c r="AF57" i="7"/>
  <c r="AF55" i="7" s="1"/>
  <c r="AG181" i="7"/>
  <c r="AG173" i="7"/>
  <c r="AG163" i="7"/>
  <c r="AG156" i="7"/>
  <c r="AG154" i="7"/>
  <c r="AG152" i="7"/>
  <c r="AG150" i="7"/>
  <c r="AG145" i="7"/>
  <c r="AG143" i="7"/>
  <c r="AG141" i="7"/>
  <c r="AG139" i="7"/>
  <c r="AG137" i="7"/>
  <c r="AG135" i="7"/>
  <c r="AG133" i="7"/>
  <c r="AG131" i="7"/>
  <c r="AG81" i="7"/>
  <c r="AG171" i="7"/>
  <c r="AG161" i="7"/>
  <c r="AG179" i="7"/>
  <c r="AG166" i="7"/>
  <c r="AG159" i="7"/>
  <c r="AG178" i="7"/>
  <c r="AG175" i="7"/>
  <c r="AG165" i="7"/>
  <c r="AG158" i="7"/>
  <c r="AG107" i="7"/>
  <c r="AG100" i="7"/>
  <c r="AG99" i="7" s="1"/>
  <c r="AG78" i="7"/>
  <c r="AG50" i="7"/>
  <c r="AG164" i="7"/>
  <c r="AG157" i="7"/>
  <c r="AG136" i="7"/>
  <c r="AG197" i="7"/>
  <c r="AH193" i="7" s="1"/>
  <c r="AG174" i="7"/>
  <c r="AG155" i="7"/>
  <c r="AG151" i="7"/>
  <c r="AG144" i="7"/>
  <c r="AG105" i="7"/>
  <c r="AG68" i="7" a="1"/>
  <c r="AG68" i="7" s="1"/>
  <c r="AG66" i="7"/>
  <c r="AG64" i="7" s="1"/>
  <c r="AG180" i="7"/>
  <c r="AG176" i="7"/>
  <c r="AG172" i="7"/>
  <c r="AG138" i="7"/>
  <c r="AG130" i="7"/>
  <c r="AG177" i="7"/>
  <c r="AG160" i="7"/>
  <c r="AG134" i="7"/>
  <c r="AG38" i="7"/>
  <c r="AG14" i="7"/>
  <c r="AG12" i="7"/>
  <c r="AG93" i="7"/>
  <c r="AG36" i="7"/>
  <c r="AG140" i="7"/>
  <c r="AG79" i="7"/>
  <c r="AG34" i="7"/>
  <c r="AG30" i="7"/>
  <c r="AG28" i="7"/>
  <c r="AG153" i="7"/>
  <c r="AG142" i="7"/>
  <c r="AG170" i="7"/>
  <c r="AG132" i="7"/>
  <c r="AG162" i="7"/>
  <c r="AG146" i="7"/>
  <c r="AG183" i="7" s="1" a="1"/>
  <c r="AG183" i="7" s="1"/>
  <c r="AG40" i="7"/>
  <c r="AG33" i="7"/>
  <c r="AG31" i="7"/>
  <c r="AG17" i="7"/>
  <c r="AH5" i="7"/>
  <c r="AG104" i="7"/>
  <c r="AG24" i="7"/>
  <c r="AG16" i="7"/>
  <c r="AG82" i="7"/>
  <c r="AG39" i="7"/>
  <c r="AG106" i="7"/>
  <c r="AG37" i="7"/>
  <c r="AG6" i="7"/>
  <c r="AG18" i="7" s="1"/>
  <c r="AG62" i="7" s="1"/>
  <c r="AG61" i="7" s="1"/>
  <c r="AG77" i="7" s="1"/>
  <c r="AG29" i="7"/>
  <c r="AG11" i="7"/>
  <c r="AG32" i="7"/>
  <c r="AG20" i="7"/>
  <c r="AG21" i="7" s="1"/>
  <c r="AG41" i="7"/>
  <c r="AG27" i="7"/>
  <c r="AG13" i="7"/>
  <c r="AG202" i="7" s="1"/>
  <c r="AG35" i="7"/>
  <c r="AF103" i="7"/>
  <c r="R138" i="7"/>
  <c r="R178" i="7"/>
  <c r="S179" i="7" s="1"/>
  <c r="R158" i="7"/>
  <c r="S36" i="7"/>
  <c r="AE5" i="8"/>
  <c r="AC4" i="9"/>
  <c r="AC3" i="9" s="1"/>
  <c r="AF4" i="8"/>
  <c r="M24" i="7"/>
  <c r="M27" i="7" s="1"/>
  <c r="M17" i="7"/>
  <c r="AE72" i="7" l="1"/>
  <c r="AE71" i="7" s="1"/>
  <c r="AG75" i="7"/>
  <c r="AE223" i="7"/>
  <c r="AF221" i="7"/>
  <c r="AG4" i="8"/>
  <c r="AF5" i="8"/>
  <c r="AD4" i="9"/>
  <c r="AD3" i="9" s="1"/>
  <c r="AH19" i="7"/>
  <c r="AH195" i="7"/>
  <c r="AH196" i="7"/>
  <c r="AG103" i="7"/>
  <c r="Q136" i="7"/>
  <c r="Q176" i="7"/>
  <c r="Q156" i="7"/>
  <c r="R34" i="7"/>
  <c r="AH197" i="7"/>
  <c r="AI193" i="7" s="1"/>
  <c r="AH181" i="7"/>
  <c r="AH179" i="7"/>
  <c r="AH177" i="7"/>
  <c r="AH175" i="7"/>
  <c r="AH173" i="7"/>
  <c r="AH171" i="7"/>
  <c r="AH166" i="7"/>
  <c r="AH164" i="7"/>
  <c r="AH162" i="7"/>
  <c r="AH160" i="7"/>
  <c r="AH158" i="7"/>
  <c r="AH161" i="7"/>
  <c r="AH78" i="7"/>
  <c r="AH159" i="7"/>
  <c r="AH176" i="7"/>
  <c r="AH157" i="7"/>
  <c r="AH106" i="7"/>
  <c r="AH104" i="7"/>
  <c r="AH100" i="7"/>
  <c r="AH99" i="7" s="1"/>
  <c r="AH93" i="7"/>
  <c r="AH163" i="7"/>
  <c r="AH156" i="7"/>
  <c r="AH154" i="7"/>
  <c r="AH152" i="7"/>
  <c r="AH150" i="7"/>
  <c r="AH145" i="7"/>
  <c r="AH178" i="7"/>
  <c r="AH165" i="7"/>
  <c r="AH141" i="7"/>
  <c r="AH136" i="7"/>
  <c r="AH133" i="7"/>
  <c r="AH68" i="7" a="1"/>
  <c r="AH68" i="7" s="1"/>
  <c r="AH40" i="7"/>
  <c r="AH38" i="7"/>
  <c r="AH36" i="7"/>
  <c r="AH34" i="7"/>
  <c r="AH174" i="7"/>
  <c r="AH155" i="7"/>
  <c r="AH151" i="7"/>
  <c r="AH144" i="7"/>
  <c r="AH105" i="7"/>
  <c r="AH180" i="7"/>
  <c r="AH142" i="7"/>
  <c r="AH139" i="7"/>
  <c r="AH134" i="7"/>
  <c r="AH131" i="7"/>
  <c r="AH107" i="7"/>
  <c r="AH140" i="7"/>
  <c r="AH81" i="7"/>
  <c r="AH79" i="7"/>
  <c r="AH30" i="7"/>
  <c r="AH28" i="7"/>
  <c r="AH153" i="7"/>
  <c r="AH41" i="7"/>
  <c r="AH32" i="7"/>
  <c r="AH24" i="7"/>
  <c r="AH20" i="7"/>
  <c r="AH172" i="7"/>
  <c r="AH135" i="7"/>
  <c r="AH170" i="7"/>
  <c r="AH137" i="7"/>
  <c r="AH132" i="7"/>
  <c r="AH146" i="7"/>
  <c r="AH183" i="7" s="1" a="1"/>
  <c r="AH183" i="7" s="1"/>
  <c r="AH143" i="7"/>
  <c r="AH138" i="7"/>
  <c r="AH14" i="7"/>
  <c r="AH12" i="7"/>
  <c r="AH130" i="7"/>
  <c r="AH82" i="7"/>
  <c r="AH39" i="7"/>
  <c r="AH35" i="7"/>
  <c r="AH27" i="7"/>
  <c r="AH45" i="7" s="1" a="1"/>
  <c r="AH45" i="7" s="1"/>
  <c r="AH13" i="7"/>
  <c r="AH202" i="7" s="1"/>
  <c r="AH29" i="7"/>
  <c r="AH37" i="7"/>
  <c r="AH11" i="7"/>
  <c r="AH17" i="7"/>
  <c r="AH16" i="7"/>
  <c r="AI5" i="7"/>
  <c r="AH31" i="7"/>
  <c r="AH50" i="7"/>
  <c r="AH59" i="7" s="1"/>
  <c r="AH76" i="7" s="1"/>
  <c r="AH33" i="7"/>
  <c r="AH66" i="7"/>
  <c r="AH64" i="7" s="1"/>
  <c r="AH6" i="7"/>
  <c r="AH18" i="7" s="1"/>
  <c r="M223" i="7"/>
  <c r="N221" i="7"/>
  <c r="AF222" i="7"/>
  <c r="AF214" i="7"/>
  <c r="L76" i="7"/>
  <c r="L57" i="7"/>
  <c r="O133" i="7"/>
  <c r="O173" i="7"/>
  <c r="O153" i="7"/>
  <c r="P31" i="7"/>
  <c r="V144" i="7"/>
  <c r="V164" i="7"/>
  <c r="S159" i="7"/>
  <c r="S139" i="7"/>
  <c r="T37" i="7"/>
  <c r="AF188" i="7"/>
  <c r="N19" i="7"/>
  <c r="N20" i="7"/>
  <c r="AF71" i="7"/>
  <c r="AF187" i="7" s="1"/>
  <c r="U142" i="7"/>
  <c r="U162" i="7"/>
  <c r="V40" i="7"/>
  <c r="AG44" i="7"/>
  <c r="AH51" i="7"/>
  <c r="AH58" i="7" s="1"/>
  <c r="AG59" i="7"/>
  <c r="AG57" i="7" s="1"/>
  <c r="N51" i="7"/>
  <c r="N58" i="7" s="1"/>
  <c r="M44" i="7"/>
  <c r="M130" i="7"/>
  <c r="M145" i="7" s="1"/>
  <c r="M146" i="7" s="1"/>
  <c r="M183" i="7" s="1" a="1"/>
  <c r="M183" i="7" s="1"/>
  <c r="M150" i="7"/>
  <c r="M165" i="7" s="1"/>
  <c r="M166" i="7" s="1"/>
  <c r="M45" i="7" a="1"/>
  <c r="M45" i="7" s="1"/>
  <c r="M170" i="7"/>
  <c r="M180" i="7" s="1"/>
  <c r="M181" i="7" s="1"/>
  <c r="N28" i="7"/>
  <c r="N18" i="7"/>
  <c r="N62" i="7" s="1"/>
  <c r="N66" i="7"/>
  <c r="N64" i="7" s="1"/>
  <c r="AG45" i="7" a="1"/>
  <c r="AG45" i="7" s="1"/>
  <c r="AG47" i="7" s="1"/>
  <c r="AF46" i="7"/>
  <c r="AG209" i="7" s="1"/>
  <c r="AG213" i="7" s="1"/>
  <c r="AE189" i="7"/>
  <c r="AE187" i="7"/>
  <c r="AE188" i="7"/>
  <c r="AG222" i="7" l="1"/>
  <c r="AG214" i="7"/>
  <c r="AG55" i="7"/>
  <c r="M46" i="7"/>
  <c r="T140" i="7"/>
  <c r="T160" i="7"/>
  <c r="U38" i="7"/>
  <c r="AI195" i="7"/>
  <c r="AI196" i="7"/>
  <c r="AF189" i="7"/>
  <c r="AH62" i="7"/>
  <c r="AI19" i="7"/>
  <c r="R157" i="7"/>
  <c r="R137" i="7"/>
  <c r="R177" i="7"/>
  <c r="R79" i="7"/>
  <c r="S35" i="7"/>
  <c r="N75" i="7"/>
  <c r="V163" i="7"/>
  <c r="V143" i="7"/>
  <c r="W41" i="7"/>
  <c r="L55" i="7"/>
  <c r="L82" i="7"/>
  <c r="L74" i="7" s="1"/>
  <c r="L72" i="7" s="1"/>
  <c r="L71" i="7" s="1"/>
  <c r="L81" i="7"/>
  <c r="AH21" i="7"/>
  <c r="N61" i="7"/>
  <c r="AG76" i="7"/>
  <c r="AG74" i="7" s="1"/>
  <c r="AH57" i="7"/>
  <c r="AH75" i="7"/>
  <c r="P154" i="7"/>
  <c r="P174" i="7"/>
  <c r="P134" i="7"/>
  <c r="P78" i="7"/>
  <c r="Q32" i="7"/>
  <c r="AI51" i="7"/>
  <c r="AI58" i="7" s="1"/>
  <c r="AH44" i="7"/>
  <c r="AH103" i="7"/>
  <c r="N171" i="7"/>
  <c r="N131" i="7"/>
  <c r="N151" i="7"/>
  <c r="O29" i="7"/>
  <c r="M47" i="7"/>
  <c r="N209" i="7" s="1"/>
  <c r="N213" i="7" s="1"/>
  <c r="M50" i="7"/>
  <c r="AH209" i="7"/>
  <c r="AH213" i="7" s="1"/>
  <c r="AG46" i="7"/>
  <c r="AG96" i="7"/>
  <c r="N21" i="7"/>
  <c r="AG221" i="7"/>
  <c r="AF223" i="7"/>
  <c r="AI171" i="7"/>
  <c r="AI159" i="7"/>
  <c r="AI179" i="7"/>
  <c r="AI176" i="7"/>
  <c r="AI166" i="7"/>
  <c r="AI157" i="7"/>
  <c r="AI174" i="7"/>
  <c r="AI164" i="7"/>
  <c r="AI155" i="7"/>
  <c r="AI153" i="7"/>
  <c r="AI151" i="7"/>
  <c r="AI146" i="7"/>
  <c r="AI183" i="7" s="1" a="1"/>
  <c r="AI183" i="7" s="1"/>
  <c r="AI144" i="7"/>
  <c r="AI142" i="7"/>
  <c r="AI140" i="7"/>
  <c r="AI138" i="7"/>
  <c r="AI136" i="7"/>
  <c r="AI134" i="7"/>
  <c r="AI132" i="7"/>
  <c r="AI130" i="7"/>
  <c r="AI82" i="7"/>
  <c r="AI181" i="7"/>
  <c r="AI173" i="7"/>
  <c r="AI161" i="7"/>
  <c r="AI175" i="7"/>
  <c r="AI154" i="7"/>
  <c r="AI150" i="7"/>
  <c r="AI105" i="7"/>
  <c r="AI66" i="7"/>
  <c r="AI64" i="7" s="1"/>
  <c r="AI197" i="7"/>
  <c r="AJ193" i="7" s="1"/>
  <c r="AI180" i="7"/>
  <c r="AI139" i="7"/>
  <c r="AI131" i="7"/>
  <c r="AI170" i="7"/>
  <c r="AI160" i="7"/>
  <c r="AI81" i="7"/>
  <c r="AI79" i="7"/>
  <c r="AI177" i="7"/>
  <c r="AI178" i="7"/>
  <c r="AI165" i="7"/>
  <c r="AI158" i="7"/>
  <c r="AI141" i="7"/>
  <c r="AI133" i="7"/>
  <c r="AI100" i="7"/>
  <c r="AI99" i="7" s="1"/>
  <c r="AI78" i="7"/>
  <c r="AI93" i="7"/>
  <c r="AI36" i="7"/>
  <c r="AI30" i="7"/>
  <c r="AI28" i="7"/>
  <c r="AI163" i="7"/>
  <c r="AI152" i="7"/>
  <c r="AI41" i="7"/>
  <c r="AI34" i="7"/>
  <c r="AI32" i="7"/>
  <c r="AI24" i="7"/>
  <c r="AI20" i="7"/>
  <c r="AI172" i="7"/>
  <c r="AI135" i="7"/>
  <c r="AI104" i="7"/>
  <c r="AI50" i="7"/>
  <c r="AI39" i="7"/>
  <c r="AI137" i="7"/>
  <c r="AI156" i="7"/>
  <c r="AI145" i="7"/>
  <c r="AI162" i="7"/>
  <c r="AI143" i="7"/>
  <c r="AI107" i="7"/>
  <c r="AI38" i="7"/>
  <c r="AI12" i="7"/>
  <c r="AI106" i="7"/>
  <c r="AI35" i="7"/>
  <c r="AI27" i="7"/>
  <c r="AI13" i="7"/>
  <c r="AI202" i="7" s="1"/>
  <c r="AI31" i="7"/>
  <c r="AI33" i="7"/>
  <c r="AI17" i="7"/>
  <c r="AI16" i="7"/>
  <c r="AI37" i="7"/>
  <c r="AI11" i="7"/>
  <c r="AI29" i="7"/>
  <c r="AJ5" i="7"/>
  <c r="AI68" i="7" a="1"/>
  <c r="AI68" i="7" s="1"/>
  <c r="AI40" i="7"/>
  <c r="AI14" i="7"/>
  <c r="AI6" i="7"/>
  <c r="AI18" i="7" s="1"/>
  <c r="AI62" i="7" s="1"/>
  <c r="AI61" i="7" s="1"/>
  <c r="AI77" i="7" s="1"/>
  <c r="AE4" i="9"/>
  <c r="AE3" i="9" s="1"/>
  <c r="AH4" i="8"/>
  <c r="AG5" i="8"/>
  <c r="N214" i="7" l="1"/>
  <c r="N222" i="7"/>
  <c r="AG72" i="7"/>
  <c r="AG71" i="7" s="1"/>
  <c r="AG187" i="7" s="1"/>
  <c r="L189" i="7"/>
  <c r="L187" i="7"/>
  <c r="L188" i="7"/>
  <c r="AJ51" i="7"/>
  <c r="AJ58" i="7" s="1"/>
  <c r="AI44" i="7"/>
  <c r="M59" i="7"/>
  <c r="AJ19" i="7"/>
  <c r="AJ21" i="7" s="1"/>
  <c r="W144" i="7"/>
  <c r="W164" i="7"/>
  <c r="AI209" i="7"/>
  <c r="AI213" i="7" s="1"/>
  <c r="AH46" i="7"/>
  <c r="U141" i="7"/>
  <c r="U161" i="7"/>
  <c r="V39" i="7"/>
  <c r="N77" i="7"/>
  <c r="AI21" i="7"/>
  <c r="AI45" i="7" a="1"/>
  <c r="AI45" i="7" s="1"/>
  <c r="AI47" i="7" s="1"/>
  <c r="AJ195" i="7"/>
  <c r="AJ196" i="7"/>
  <c r="N24" i="7"/>
  <c r="N27" i="7" s="1"/>
  <c r="N17" i="7"/>
  <c r="O132" i="7"/>
  <c r="O152" i="7"/>
  <c r="O172" i="7"/>
  <c r="P30" i="7"/>
  <c r="AH55" i="7"/>
  <c r="AH61" i="7"/>
  <c r="AH47" i="7"/>
  <c r="AI59" i="7"/>
  <c r="AG95" i="7"/>
  <c r="Q175" i="7"/>
  <c r="Q155" i="7"/>
  <c r="Q135" i="7"/>
  <c r="R33" i="7"/>
  <c r="AH96" i="7"/>
  <c r="AH95" i="7" s="1"/>
  <c r="AI57" i="7"/>
  <c r="AI55" i="7" s="1"/>
  <c r="AI75" i="7"/>
  <c r="AI103" i="7"/>
  <c r="S178" i="7"/>
  <c r="T179" i="7" s="1"/>
  <c r="S138" i="7"/>
  <c r="S158" i="7"/>
  <c r="T36" i="7"/>
  <c r="AH5" i="8"/>
  <c r="AF4" i="9"/>
  <c r="AF3" i="9" s="1"/>
  <c r="AI4" i="8"/>
  <c r="AJ180" i="7"/>
  <c r="AJ178" i="7"/>
  <c r="AJ197" i="7"/>
  <c r="AK193" i="7" s="1"/>
  <c r="AJ179" i="7"/>
  <c r="AJ176" i="7"/>
  <c r="AJ166" i="7"/>
  <c r="AJ157" i="7"/>
  <c r="AJ106" i="7"/>
  <c r="AJ104" i="7"/>
  <c r="AJ100" i="7"/>
  <c r="AJ99" i="7" s="1"/>
  <c r="AJ93" i="7"/>
  <c r="AJ174" i="7"/>
  <c r="AJ164" i="7"/>
  <c r="AJ155" i="7"/>
  <c r="AJ153" i="7"/>
  <c r="AJ151" i="7"/>
  <c r="AJ146" i="7"/>
  <c r="AJ183" i="7" s="1" a="1"/>
  <c r="AJ183" i="7" s="1"/>
  <c r="AJ144" i="7"/>
  <c r="AJ177" i="7"/>
  <c r="AJ172" i="7"/>
  <c r="AJ162" i="7"/>
  <c r="AJ171" i="7"/>
  <c r="AJ159" i="7"/>
  <c r="AJ161" i="7"/>
  <c r="AJ139" i="7"/>
  <c r="AJ131" i="7"/>
  <c r="AJ170" i="7"/>
  <c r="AJ160" i="7"/>
  <c r="AJ142" i="7"/>
  <c r="AJ134" i="7"/>
  <c r="AJ81" i="7"/>
  <c r="AJ79" i="7"/>
  <c r="AJ137" i="7"/>
  <c r="AJ181" i="7"/>
  <c r="AJ175" i="7"/>
  <c r="AJ154" i="7"/>
  <c r="AJ150" i="7"/>
  <c r="AJ136" i="7"/>
  <c r="AJ105" i="7"/>
  <c r="AJ66" i="7"/>
  <c r="AJ64" i="7" s="1"/>
  <c r="AJ163" i="7"/>
  <c r="AJ152" i="7"/>
  <c r="AJ140" i="7"/>
  <c r="AJ41" i="7"/>
  <c r="AJ34" i="7"/>
  <c r="AJ32" i="7"/>
  <c r="AJ24" i="7"/>
  <c r="AJ20" i="7"/>
  <c r="AJ135" i="7"/>
  <c r="AJ50" i="7"/>
  <c r="AJ59" i="7" s="1"/>
  <c r="AJ76" i="7" s="1"/>
  <c r="AJ39" i="7"/>
  <c r="AJ16" i="7"/>
  <c r="AJ13" i="7"/>
  <c r="AJ202" i="7" s="1"/>
  <c r="AJ130" i="7"/>
  <c r="AJ82" i="7"/>
  <c r="AJ37" i="7"/>
  <c r="AJ158" i="7"/>
  <c r="AJ141" i="7"/>
  <c r="AJ156" i="7"/>
  <c r="AJ145" i="7"/>
  <c r="AJ132" i="7"/>
  <c r="AJ173" i="7"/>
  <c r="AJ143" i="7"/>
  <c r="AJ138" i="7"/>
  <c r="AJ165" i="7"/>
  <c r="AJ133" i="7"/>
  <c r="AJ36" i="7"/>
  <c r="AJ30" i="7"/>
  <c r="AJ28" i="7"/>
  <c r="AJ35" i="7"/>
  <c r="AJ27" i="7"/>
  <c r="AJ31" i="7"/>
  <c r="AK5" i="7"/>
  <c r="AJ40" i="7"/>
  <c r="AJ29" i="7"/>
  <c r="AJ78" i="7"/>
  <c r="AJ68" i="7" a="1"/>
  <c r="AJ68" i="7" s="1"/>
  <c r="AJ17" i="7"/>
  <c r="AJ38" i="7"/>
  <c r="AJ14" i="7"/>
  <c r="AJ12" i="7"/>
  <c r="AJ107" i="7"/>
  <c r="AJ33" i="7"/>
  <c r="AJ11" i="7"/>
  <c r="AK19" i="7" s="1"/>
  <c r="AJ6" i="7"/>
  <c r="AJ18" i="7" s="1"/>
  <c r="AJ62" i="7" s="1"/>
  <c r="AJ61" i="7" s="1"/>
  <c r="AJ77" i="7" s="1"/>
  <c r="AH222" i="7"/>
  <c r="AH214" i="7"/>
  <c r="AH221" i="7"/>
  <c r="AG223" i="7"/>
  <c r="T159" i="7" l="1"/>
  <c r="T139" i="7"/>
  <c r="U37" i="7"/>
  <c r="AK51" i="7"/>
  <c r="AK58" i="7" s="1"/>
  <c r="AJ44" i="7"/>
  <c r="AJ103" i="7"/>
  <c r="O51" i="7"/>
  <c r="O58" i="7" s="1"/>
  <c r="N44" i="7"/>
  <c r="N150" i="7"/>
  <c r="N165" i="7" s="1"/>
  <c r="N166" i="7" s="1"/>
  <c r="N130" i="7"/>
  <c r="N145" i="7" s="1"/>
  <c r="N146" i="7" s="1"/>
  <c r="N183" i="7" s="1" a="1"/>
  <c r="N183" i="7" s="1"/>
  <c r="N170" i="7"/>
  <c r="N180" i="7" s="1"/>
  <c r="N181" i="7" s="1"/>
  <c r="N45" i="7" a="1"/>
  <c r="N45" i="7" s="1"/>
  <c r="O28" i="7"/>
  <c r="O18" i="7"/>
  <c r="O62" i="7" s="1"/>
  <c r="AI222" i="7"/>
  <c r="AI214" i="7"/>
  <c r="AI221" i="7"/>
  <c r="AH223" i="7"/>
  <c r="AG4" i="9"/>
  <c r="AG3" i="9" s="1"/>
  <c r="AJ4" i="8"/>
  <c r="AI5" i="8"/>
  <c r="AH77" i="7"/>
  <c r="AH74" i="7" s="1"/>
  <c r="P173" i="7"/>
  <c r="P153" i="7"/>
  <c r="P133" i="7"/>
  <c r="Q31" i="7"/>
  <c r="V162" i="7"/>
  <c r="V142" i="7"/>
  <c r="W40" i="7"/>
  <c r="M76" i="7"/>
  <c r="M57" i="7"/>
  <c r="O221" i="7"/>
  <c r="N223" i="7"/>
  <c r="AK21" i="7"/>
  <c r="AI46" i="7"/>
  <c r="AJ209" i="7" s="1"/>
  <c r="AJ213" i="7" s="1"/>
  <c r="AI96" i="7"/>
  <c r="AI95" i="7" s="1"/>
  <c r="R176" i="7"/>
  <c r="R136" i="7"/>
  <c r="R156" i="7"/>
  <c r="S34" i="7"/>
  <c r="AJ45" i="7" a="1"/>
  <c r="AJ45" i="7" s="1"/>
  <c r="AK174" i="7"/>
  <c r="AK164" i="7"/>
  <c r="AK155" i="7"/>
  <c r="AK153" i="7"/>
  <c r="AK151" i="7"/>
  <c r="AK146" i="7"/>
  <c r="AK183" i="7" s="1" a="1"/>
  <c r="AK183" i="7" s="1"/>
  <c r="AK144" i="7"/>
  <c r="AK142" i="7"/>
  <c r="AK140" i="7"/>
  <c r="AK138" i="7"/>
  <c r="AK136" i="7"/>
  <c r="AK134" i="7"/>
  <c r="AK132" i="7"/>
  <c r="AK130" i="7"/>
  <c r="AK82" i="7"/>
  <c r="AK177" i="7"/>
  <c r="AK172" i="7"/>
  <c r="AK162" i="7"/>
  <c r="AK197" i="7"/>
  <c r="AL193" i="7" s="1"/>
  <c r="AK180" i="7"/>
  <c r="AK170" i="7"/>
  <c r="AK160" i="7"/>
  <c r="AK179" i="7"/>
  <c r="AK176" i="7"/>
  <c r="AK166" i="7"/>
  <c r="AK157" i="7"/>
  <c r="AK171" i="7"/>
  <c r="AK81" i="7"/>
  <c r="AK79" i="7"/>
  <c r="AK137" i="7"/>
  <c r="AK163" i="7"/>
  <c r="AK156" i="7"/>
  <c r="AK152" i="7"/>
  <c r="AK145" i="7"/>
  <c r="AK106" i="7"/>
  <c r="AK93" i="7"/>
  <c r="AK68" i="7" a="1"/>
  <c r="AK68" i="7" s="1"/>
  <c r="AK181" i="7"/>
  <c r="AK161" i="7"/>
  <c r="AK139" i="7"/>
  <c r="AK131" i="7"/>
  <c r="AK135" i="7"/>
  <c r="AK50" i="7"/>
  <c r="AK59" i="7" s="1"/>
  <c r="AK76" i="7" s="1"/>
  <c r="AK39" i="7"/>
  <c r="AK16" i="7"/>
  <c r="AK13" i="7"/>
  <c r="AK202" i="7" s="1"/>
  <c r="AK104" i="7"/>
  <c r="AK37" i="7"/>
  <c r="AK11" i="7"/>
  <c r="AK158" i="7"/>
  <c r="AK141" i="7"/>
  <c r="AK35" i="7"/>
  <c r="AK29" i="7"/>
  <c r="AK27" i="7"/>
  <c r="AK154" i="7"/>
  <c r="AK173" i="7"/>
  <c r="AK143" i="7"/>
  <c r="AK178" i="7"/>
  <c r="AK159" i="7"/>
  <c r="AK175" i="7"/>
  <c r="AK165" i="7"/>
  <c r="AK133" i="7"/>
  <c r="AK150" i="7"/>
  <c r="AK100" i="7"/>
  <c r="AK99" i="7" s="1"/>
  <c r="AK41" i="7"/>
  <c r="AK34" i="7"/>
  <c r="AK32" i="7"/>
  <c r="AK24" i="7"/>
  <c r="AK20" i="7"/>
  <c r="AK31" i="7"/>
  <c r="AL5" i="7"/>
  <c r="AK66" i="7"/>
  <c r="AK64" i="7" s="1"/>
  <c r="AK38" i="7"/>
  <c r="AK107" i="7"/>
  <c r="AK78" i="7"/>
  <c r="AK17" i="7"/>
  <c r="AK14" i="7"/>
  <c r="AK40" i="7"/>
  <c r="AK30" i="7"/>
  <c r="AK33" i="7"/>
  <c r="AK12" i="7"/>
  <c r="AK105" i="7"/>
  <c r="AK36" i="7"/>
  <c r="AK28" i="7"/>
  <c r="AK6" i="7"/>
  <c r="AK18" i="7" s="1"/>
  <c r="AK62" i="7" s="1"/>
  <c r="AK195" i="7"/>
  <c r="AK196" i="7"/>
  <c r="AG188" i="7"/>
  <c r="AJ75" i="7"/>
  <c r="AJ74" i="7" s="1"/>
  <c r="AJ72" i="7" s="1"/>
  <c r="AJ57" i="7"/>
  <c r="AJ55" i="7" s="1"/>
  <c r="AG189" i="7"/>
  <c r="AI76" i="7"/>
  <c r="AI74" i="7" s="1"/>
  <c r="AI72" i="7" s="1"/>
  <c r="AI71" i="7" s="1"/>
  <c r="O19" i="7"/>
  <c r="O20" i="7"/>
  <c r="AI188" i="7" l="1"/>
  <c r="AI187" i="7"/>
  <c r="AI189" i="7"/>
  <c r="AJ214" i="7"/>
  <c r="AJ222" i="7"/>
  <c r="AL180" i="7"/>
  <c r="AL178" i="7"/>
  <c r="AL176" i="7"/>
  <c r="AL174" i="7"/>
  <c r="AL172" i="7"/>
  <c r="AL170" i="7"/>
  <c r="AL165" i="7"/>
  <c r="AL163" i="7"/>
  <c r="AL161" i="7"/>
  <c r="AL159" i="7"/>
  <c r="AL157" i="7"/>
  <c r="AL177" i="7"/>
  <c r="AL162" i="7"/>
  <c r="AL79" i="7"/>
  <c r="AL197" i="7"/>
  <c r="AM193" i="7" s="1"/>
  <c r="AL160" i="7"/>
  <c r="AL158" i="7"/>
  <c r="AL107" i="7"/>
  <c r="AL105" i="7"/>
  <c r="AL164" i="7"/>
  <c r="AL155" i="7"/>
  <c r="AL153" i="7"/>
  <c r="AL151" i="7"/>
  <c r="AL146" i="7"/>
  <c r="AL183" i="7" s="1" a="1"/>
  <c r="AL183" i="7" s="1"/>
  <c r="AL144" i="7"/>
  <c r="AL179" i="7"/>
  <c r="AL142" i="7"/>
  <c r="AL137" i="7"/>
  <c r="AL134" i="7"/>
  <c r="AL68" i="7" a="1"/>
  <c r="AL68" i="7" s="1"/>
  <c r="AL41" i="7"/>
  <c r="AL39" i="7"/>
  <c r="AL37" i="7"/>
  <c r="AL35" i="7"/>
  <c r="AL33" i="7"/>
  <c r="AL156" i="7"/>
  <c r="AL152" i="7"/>
  <c r="AL145" i="7"/>
  <c r="AL106" i="7"/>
  <c r="AL93" i="7"/>
  <c r="AL181" i="7"/>
  <c r="AL173" i="7"/>
  <c r="AL143" i="7"/>
  <c r="AL140" i="7"/>
  <c r="AL135" i="7"/>
  <c r="AL132" i="7"/>
  <c r="AL175" i="7"/>
  <c r="AL171" i="7"/>
  <c r="AL81" i="7"/>
  <c r="AL104" i="7"/>
  <c r="AL11" i="7"/>
  <c r="AL166" i="7"/>
  <c r="AL141" i="7"/>
  <c r="AL130" i="7"/>
  <c r="AL82" i="7"/>
  <c r="AL29" i="7"/>
  <c r="AL27" i="7"/>
  <c r="AL154" i="7"/>
  <c r="AL78" i="7"/>
  <c r="AL31" i="7"/>
  <c r="AL17" i="7"/>
  <c r="AL136" i="7"/>
  <c r="AL131" i="7"/>
  <c r="AL138" i="7"/>
  <c r="AL133" i="7"/>
  <c r="AL150" i="7"/>
  <c r="AL139" i="7"/>
  <c r="AL50" i="7"/>
  <c r="AL59" i="7" s="1"/>
  <c r="AL76" i="7" s="1"/>
  <c r="AL16" i="7"/>
  <c r="AL13" i="7"/>
  <c r="AL202" i="7" s="1"/>
  <c r="AL66" i="7"/>
  <c r="AL64" i="7" s="1"/>
  <c r="AL38" i="7"/>
  <c r="AL28" i="7"/>
  <c r="AL14" i="7"/>
  <c r="AL36" i="7"/>
  <c r="AL30" i="7"/>
  <c r="AL100" i="7"/>
  <c r="AL99" i="7" s="1"/>
  <c r="AL40" i="7"/>
  <c r="AM5" i="7"/>
  <c r="AL32" i="7"/>
  <c r="AL20" i="7"/>
  <c r="AL12" i="7"/>
  <c r="AL6" i="7"/>
  <c r="AL18" i="7" s="1"/>
  <c r="AL62" i="7" s="1"/>
  <c r="AL24" i="7"/>
  <c r="AL34" i="7"/>
  <c r="AK103" i="7"/>
  <c r="Q78" i="7"/>
  <c r="Q154" i="7"/>
  <c r="Q174" i="7"/>
  <c r="Q134" i="7"/>
  <c r="R32" i="7"/>
  <c r="N47" i="7"/>
  <c r="N50" i="7"/>
  <c r="AK44" i="7"/>
  <c r="AL51" i="7"/>
  <c r="AL58" i="7" s="1"/>
  <c r="AK61" i="7"/>
  <c r="AJ47" i="7"/>
  <c r="S137" i="7"/>
  <c r="S79" i="7"/>
  <c r="S157" i="7"/>
  <c r="S177" i="7"/>
  <c r="T35" i="7"/>
  <c r="AH72" i="7"/>
  <c r="AH71" i="7" s="1"/>
  <c r="AK209" i="7"/>
  <c r="AK213" i="7" s="1"/>
  <c r="AJ46" i="7"/>
  <c r="M55" i="7"/>
  <c r="M81" i="7"/>
  <c r="M82" i="7"/>
  <c r="AJ221" i="7"/>
  <c r="AI223" i="7"/>
  <c r="N46" i="7"/>
  <c r="O209" i="7" s="1"/>
  <c r="O213" i="7" s="1"/>
  <c r="AK57" i="7"/>
  <c r="AK55" i="7" s="1"/>
  <c r="AK75" i="7"/>
  <c r="U160" i="7"/>
  <c r="U140" i="7"/>
  <c r="V38" i="7"/>
  <c r="M74" i="7"/>
  <c r="M72" i="7" s="1"/>
  <c r="M71" i="7" s="1"/>
  <c r="W163" i="7"/>
  <c r="W143" i="7"/>
  <c r="X41" i="7"/>
  <c r="O75" i="7"/>
  <c r="AL19" i="7"/>
  <c r="AL21" i="7" s="1"/>
  <c r="AL195" i="7"/>
  <c r="AL196" i="7"/>
  <c r="AJ5" i="8"/>
  <c r="AH4" i="9"/>
  <c r="AH3" i="9" s="1"/>
  <c r="AK4" i="8"/>
  <c r="O66" i="7"/>
  <c r="O64" i="7" s="1"/>
  <c r="AK45" i="7" a="1"/>
  <c r="AK45" i="7" s="1"/>
  <c r="AK47" i="7" s="1"/>
  <c r="O21" i="7"/>
  <c r="O131" i="7"/>
  <c r="O171" i="7"/>
  <c r="O151" i="7"/>
  <c r="P29" i="7"/>
  <c r="AJ96" i="7"/>
  <c r="AJ95" i="7" s="1"/>
  <c r="AJ71" i="7" s="1"/>
  <c r="O222" i="7" l="1"/>
  <c r="O214" i="7"/>
  <c r="AJ187" i="7"/>
  <c r="AJ188" i="7"/>
  <c r="AJ189" i="7"/>
  <c r="O61" i="7"/>
  <c r="M189" i="7"/>
  <c r="M187" i="7"/>
  <c r="M188" i="7"/>
  <c r="AL44" i="7"/>
  <c r="AL96" i="7" s="1"/>
  <c r="AL95" i="7" s="1"/>
  <c r="AM51" i="7"/>
  <c r="AM58" i="7" s="1"/>
  <c r="AI4" i="9"/>
  <c r="AI3" i="9" s="1"/>
  <c r="AL4" i="8"/>
  <c r="AK5" i="8"/>
  <c r="T138" i="7"/>
  <c r="T178" i="7"/>
  <c r="U179" i="7" s="1"/>
  <c r="T158" i="7"/>
  <c r="U36" i="7"/>
  <c r="AL75" i="7"/>
  <c r="AL57" i="7"/>
  <c r="AL55" i="7" s="1"/>
  <c r="AH188" i="7"/>
  <c r="AH187" i="7"/>
  <c r="AH189" i="7"/>
  <c r="O24" i="7"/>
  <c r="O27" i="7" s="1"/>
  <c r="O17" i="7"/>
  <c r="AK222" i="7"/>
  <c r="AK214" i="7"/>
  <c r="AK46" i="7"/>
  <c r="AL209" i="7" s="1"/>
  <c r="AL213" i="7" s="1"/>
  <c r="AM197" i="7"/>
  <c r="AN193" i="7" s="1"/>
  <c r="AM172" i="7"/>
  <c r="AM160" i="7"/>
  <c r="AM180" i="7"/>
  <c r="AM170" i="7"/>
  <c r="AM158" i="7"/>
  <c r="AM175" i="7"/>
  <c r="AM165" i="7"/>
  <c r="AM156" i="7"/>
  <c r="AM154" i="7"/>
  <c r="AM152" i="7"/>
  <c r="AM150" i="7"/>
  <c r="AM145" i="7"/>
  <c r="AM143" i="7"/>
  <c r="AM141" i="7"/>
  <c r="AM139" i="7"/>
  <c r="AM137" i="7"/>
  <c r="AM135" i="7"/>
  <c r="AM133" i="7"/>
  <c r="AM131" i="7"/>
  <c r="AM81" i="7"/>
  <c r="AM177" i="7"/>
  <c r="AM174" i="7"/>
  <c r="AM162" i="7"/>
  <c r="AM164" i="7"/>
  <c r="AM157" i="7"/>
  <c r="AM155" i="7"/>
  <c r="AM151" i="7"/>
  <c r="AM144" i="7"/>
  <c r="AM106" i="7"/>
  <c r="AM93" i="7"/>
  <c r="AM181" i="7"/>
  <c r="AM173" i="7"/>
  <c r="AM163" i="7"/>
  <c r="AM140" i="7"/>
  <c r="AM132" i="7"/>
  <c r="AM104" i="7"/>
  <c r="AM82" i="7"/>
  <c r="AM176" i="7"/>
  <c r="AM178" i="7"/>
  <c r="AM179" i="7"/>
  <c r="AM142" i="7"/>
  <c r="AM134" i="7"/>
  <c r="AM79" i="7"/>
  <c r="AM166" i="7"/>
  <c r="AM130" i="7"/>
  <c r="AM37" i="7"/>
  <c r="AM29" i="7"/>
  <c r="AM27" i="7"/>
  <c r="AM153" i="7"/>
  <c r="AM78" i="7"/>
  <c r="AM68" i="7" a="1"/>
  <c r="AM68" i="7" s="1"/>
  <c r="AM35" i="7"/>
  <c r="AM31" i="7"/>
  <c r="AM17" i="7"/>
  <c r="AN5" i="7"/>
  <c r="AM136" i="7"/>
  <c r="AM105" i="7"/>
  <c r="AM40" i="7"/>
  <c r="AM33" i="7"/>
  <c r="AM161" i="7"/>
  <c r="AM159" i="7"/>
  <c r="AM138" i="7"/>
  <c r="AM146" i="7"/>
  <c r="AM183" i="7" s="1" a="1"/>
  <c r="AM183" i="7" s="1"/>
  <c r="AM171" i="7"/>
  <c r="AM39" i="7"/>
  <c r="AM11" i="7"/>
  <c r="AN19" i="7" s="1"/>
  <c r="AM66" i="7"/>
  <c r="AM64" i="7" s="1"/>
  <c r="AM38" i="7"/>
  <c r="AM13" i="7"/>
  <c r="AM202" i="7" s="1"/>
  <c r="AM28" i="7"/>
  <c r="AM14" i="7"/>
  <c r="AM34" i="7"/>
  <c r="AM32" i="7"/>
  <c r="AM20" i="7"/>
  <c r="AM100" i="7"/>
  <c r="AM99" i="7" s="1"/>
  <c r="AM24" i="7"/>
  <c r="AM50" i="7"/>
  <c r="AM59" i="7" s="1"/>
  <c r="AM76" i="7" s="1"/>
  <c r="AM30" i="7"/>
  <c r="AM16" i="7"/>
  <c r="AM41" i="7"/>
  <c r="AM12" i="7"/>
  <c r="AM6" i="7"/>
  <c r="AM18" i="7" s="1"/>
  <c r="AM62" i="7" s="1"/>
  <c r="AM61" i="7" s="1"/>
  <c r="AM77" i="7" s="1"/>
  <c r="AM107" i="7"/>
  <c r="AM36" i="7"/>
  <c r="AJ223" i="7"/>
  <c r="AK221" i="7"/>
  <c r="N59" i="7"/>
  <c r="AM195" i="7"/>
  <c r="AM196" i="7"/>
  <c r="AK96" i="7"/>
  <c r="AK95" i="7" s="1"/>
  <c r="P132" i="7"/>
  <c r="P152" i="7"/>
  <c r="P172" i="7"/>
  <c r="Q30" i="7"/>
  <c r="R135" i="7"/>
  <c r="R155" i="7"/>
  <c r="R175" i="7"/>
  <c r="S33" i="7"/>
  <c r="AL61" i="7"/>
  <c r="AL77" i="7" s="1"/>
  <c r="X144" i="7"/>
  <c r="X164" i="7"/>
  <c r="AM19" i="7"/>
  <c r="V141" i="7"/>
  <c r="V161" i="7"/>
  <c r="W39" i="7"/>
  <c r="AK77" i="7"/>
  <c r="AK74" i="7" s="1"/>
  <c r="AL45" i="7" a="1"/>
  <c r="AL45" i="7" s="1"/>
  <c r="AL103" i="7"/>
  <c r="AK72" i="7" l="1"/>
  <c r="AK71" i="7" s="1"/>
  <c r="AL222" i="7"/>
  <c r="AL214" i="7"/>
  <c r="Q173" i="7"/>
  <c r="Q133" i="7"/>
  <c r="Q153" i="7"/>
  <c r="R31" i="7"/>
  <c r="AM21" i="7"/>
  <c r="AM103" i="7"/>
  <c r="AK223" i="7"/>
  <c r="AL221" i="7"/>
  <c r="AL74" i="7"/>
  <c r="AL72" i="7" s="1"/>
  <c r="AL71" i="7" s="1"/>
  <c r="AL189" i="7" s="1"/>
  <c r="AM75" i="7"/>
  <c r="AM74" i="7" s="1"/>
  <c r="AM72" i="7" s="1"/>
  <c r="AM57" i="7"/>
  <c r="AM55" i="7" s="1"/>
  <c r="P19" i="7"/>
  <c r="P20" i="7"/>
  <c r="O77" i="7"/>
  <c r="AN21" i="7"/>
  <c r="AM209" i="7"/>
  <c r="AM213" i="7" s="1"/>
  <c r="AL46" i="7"/>
  <c r="AL47" i="7"/>
  <c r="W142" i="7"/>
  <c r="W162" i="7"/>
  <c r="X40" i="7"/>
  <c r="AN197" i="7"/>
  <c r="AO193" i="7" s="1"/>
  <c r="AN181" i="7"/>
  <c r="AN179" i="7"/>
  <c r="AN177" i="7"/>
  <c r="AN180" i="7"/>
  <c r="AN170" i="7"/>
  <c r="AN158" i="7"/>
  <c r="AN107" i="7"/>
  <c r="Q56" i="5" s="1"/>
  <c r="AN105" i="7"/>
  <c r="Q54" i="5" s="1"/>
  <c r="AN175" i="7"/>
  <c r="AN165" i="7"/>
  <c r="AN156" i="7"/>
  <c r="AN154" i="7"/>
  <c r="AN152" i="7"/>
  <c r="AN150" i="7"/>
  <c r="AN145" i="7"/>
  <c r="AN178" i="7"/>
  <c r="AN173" i="7"/>
  <c r="AN163" i="7"/>
  <c r="AN172" i="7"/>
  <c r="AN160" i="7"/>
  <c r="AN174" i="7"/>
  <c r="AN140" i="7"/>
  <c r="AN132" i="7"/>
  <c r="AN143" i="7"/>
  <c r="AN135" i="7"/>
  <c r="AN104" i="7"/>
  <c r="AN82" i="7"/>
  <c r="AN166" i="7"/>
  <c r="AN159" i="7"/>
  <c r="AN138" i="7"/>
  <c r="AN130" i="7"/>
  <c r="AN78" i="7"/>
  <c r="AN176" i="7"/>
  <c r="AN164" i="7"/>
  <c r="AN157" i="7"/>
  <c r="AN155" i="7"/>
  <c r="AN151" i="7"/>
  <c r="AN144" i="7"/>
  <c r="AN137" i="7"/>
  <c r="AN106" i="7"/>
  <c r="Q55" i="5" s="1"/>
  <c r="AN93" i="7"/>
  <c r="AN153" i="7"/>
  <c r="AN141" i="7"/>
  <c r="AN81" i="7"/>
  <c r="AN79" i="7"/>
  <c r="AN35" i="7"/>
  <c r="AN31" i="7"/>
  <c r="AN17" i="7"/>
  <c r="AO5" i="7"/>
  <c r="AN136" i="7"/>
  <c r="AN40" i="7"/>
  <c r="AN33" i="7"/>
  <c r="AN14" i="7"/>
  <c r="AN12" i="7"/>
  <c r="AN161" i="7"/>
  <c r="AN131" i="7"/>
  <c r="AN66" i="7"/>
  <c r="AN64" i="7" s="1"/>
  <c r="Q37" i="5" s="1"/>
  <c r="AN38" i="7"/>
  <c r="AN142" i="7"/>
  <c r="AN146" i="7"/>
  <c r="AN183" i="7" s="1" a="1"/>
  <c r="AN183" i="7" s="1"/>
  <c r="Q39" i="5" s="1"/>
  <c r="Q16" i="5" s="1"/>
  <c r="AN133" i="7"/>
  <c r="AN162" i="7"/>
  <c r="AN171" i="7"/>
  <c r="AN139" i="7"/>
  <c r="AN134" i="7"/>
  <c r="AN68" i="7" a="1"/>
  <c r="AN68" i="7" s="1"/>
  <c r="Q38" i="5" s="1"/>
  <c r="Q15" i="5" s="1"/>
  <c r="AN37" i="7"/>
  <c r="AN29" i="7"/>
  <c r="AN27" i="7"/>
  <c r="AN45" i="7" s="1" a="1"/>
  <c r="AN45" i="7" s="1"/>
  <c r="AN28" i="7"/>
  <c r="AN34" i="7"/>
  <c r="AN32" i="7"/>
  <c r="AN20" i="7"/>
  <c r="AN50" i="7"/>
  <c r="AN41" i="7"/>
  <c r="AN30" i="7"/>
  <c r="AN16" i="7"/>
  <c r="AN24" i="7"/>
  <c r="AN36" i="7"/>
  <c r="AN13" i="7"/>
  <c r="AN202" i="7" s="1"/>
  <c r="AN11" i="7"/>
  <c r="AN39" i="7"/>
  <c r="AN100" i="7"/>
  <c r="AN99" i="7" s="1"/>
  <c r="Q51" i="5" s="1"/>
  <c r="AN6" i="7"/>
  <c r="AN18" i="7" s="1"/>
  <c r="AN62" i="7" s="1"/>
  <c r="N76" i="7"/>
  <c r="N57" i="7"/>
  <c r="O44" i="7"/>
  <c r="P51" i="7"/>
  <c r="P58" i="7" s="1"/>
  <c r="O170" i="7"/>
  <c r="O180" i="7" s="1"/>
  <c r="O181" i="7" s="1"/>
  <c r="O130" i="7"/>
  <c r="O145" i="7" s="1"/>
  <c r="O146" i="7" s="1"/>
  <c r="O183" i="7" s="1" a="1"/>
  <c r="O183" i="7" s="1"/>
  <c r="O45" i="7" a="1"/>
  <c r="O45" i="7" s="1"/>
  <c r="O150" i="7"/>
  <c r="O165" i="7" s="1"/>
  <c r="O166" i="7" s="1"/>
  <c r="P28" i="7"/>
  <c r="P18" i="7"/>
  <c r="P62" i="7" s="1"/>
  <c r="AM4" i="8"/>
  <c r="AL5" i="8"/>
  <c r="AJ4" i="9"/>
  <c r="AJ3" i="9" s="1"/>
  <c r="AM44" i="7"/>
  <c r="AN51" i="7"/>
  <c r="AN58" i="7" s="1"/>
  <c r="AN196" i="7"/>
  <c r="AN195" i="7"/>
  <c r="S156" i="7"/>
  <c r="S136" i="7"/>
  <c r="S176" i="7"/>
  <c r="T34" i="7"/>
  <c r="AM45" i="7" a="1"/>
  <c r="AM45" i="7" s="1"/>
  <c r="AM47" i="7" s="1"/>
  <c r="U139" i="7"/>
  <c r="U159" i="7"/>
  <c r="V37" i="7"/>
  <c r="O223" i="7"/>
  <c r="P221" i="7"/>
  <c r="AK4" i="9" l="1"/>
  <c r="AK3" i="9" s="1"/>
  <c r="AN4" i="8"/>
  <c r="AM5" i="8"/>
  <c r="O47" i="7"/>
  <c r="O50" i="7"/>
  <c r="AO175" i="7"/>
  <c r="AO165" i="7"/>
  <c r="AO156" i="7"/>
  <c r="AO154" i="7"/>
  <c r="AO152" i="7"/>
  <c r="AO150" i="7"/>
  <c r="AO145" i="7"/>
  <c r="AO143" i="7"/>
  <c r="AO141" i="7"/>
  <c r="AO139" i="7"/>
  <c r="AO137" i="7"/>
  <c r="AO135" i="7"/>
  <c r="AO133" i="7"/>
  <c r="AO131" i="7"/>
  <c r="AO81" i="7"/>
  <c r="AO178" i="7"/>
  <c r="AO173" i="7"/>
  <c r="AO163" i="7"/>
  <c r="AO181" i="7"/>
  <c r="AO171" i="7"/>
  <c r="AO161" i="7"/>
  <c r="AO197" i="7"/>
  <c r="AP193" i="7" s="1"/>
  <c r="AO180" i="7"/>
  <c r="AO170" i="7"/>
  <c r="AO158" i="7"/>
  <c r="AO160" i="7"/>
  <c r="AO104" i="7"/>
  <c r="AO82" i="7"/>
  <c r="AO50" i="7"/>
  <c r="AO166" i="7"/>
  <c r="AO159" i="7"/>
  <c r="AO138" i="7"/>
  <c r="AO130" i="7"/>
  <c r="AO78" i="7"/>
  <c r="AO176" i="7"/>
  <c r="AO153" i="7"/>
  <c r="AO146" i="7"/>
  <c r="AO183" i="7" s="1" a="1"/>
  <c r="AO183" i="7" s="1"/>
  <c r="AO107" i="7"/>
  <c r="AO100" i="7"/>
  <c r="AO99" i="7" s="1"/>
  <c r="AO68" i="7" a="1"/>
  <c r="AO68" i="7" s="1"/>
  <c r="AO66" i="7"/>
  <c r="AO64" i="7" s="1"/>
  <c r="AO177" i="7"/>
  <c r="AO174" i="7"/>
  <c r="AO140" i="7"/>
  <c r="AO132" i="7"/>
  <c r="AO136" i="7"/>
  <c r="AO40" i="7"/>
  <c r="AO33" i="7"/>
  <c r="AO45" i="7" s="1" a="1"/>
  <c r="AO45" i="7" s="1"/>
  <c r="AO14" i="7"/>
  <c r="AO12" i="7"/>
  <c r="AO172" i="7"/>
  <c r="AO105" i="7"/>
  <c r="AO38" i="7"/>
  <c r="AO179" i="7"/>
  <c r="AO142" i="7"/>
  <c r="AO36" i="7"/>
  <c r="AO30" i="7"/>
  <c r="AO28" i="7"/>
  <c r="AO164" i="7"/>
  <c r="AO155" i="7"/>
  <c r="AO144" i="7"/>
  <c r="AO162" i="7"/>
  <c r="AO134" i="7"/>
  <c r="AO157" i="7"/>
  <c r="AO151" i="7"/>
  <c r="AO93" i="7"/>
  <c r="AO79" i="7"/>
  <c r="AO35" i="7"/>
  <c r="AO31" i="7"/>
  <c r="AO17" i="7"/>
  <c r="AP5" i="7"/>
  <c r="AO106" i="7"/>
  <c r="AO34" i="7"/>
  <c r="AO32" i="7"/>
  <c r="AO20" i="7"/>
  <c r="AO41" i="7"/>
  <c r="AO39" i="7"/>
  <c r="AO13" i="7"/>
  <c r="AO202" i="7" s="1"/>
  <c r="AO24" i="7"/>
  <c r="AO27" i="7"/>
  <c r="AO37" i="7"/>
  <c r="AO29" i="7"/>
  <c r="AO16" i="7"/>
  <c r="AO11" i="7"/>
  <c r="AP19" i="7" s="1"/>
  <c r="AO6" i="7"/>
  <c r="AO18" i="7" s="1"/>
  <c r="AM71" i="7"/>
  <c r="AM189" i="7" s="1"/>
  <c r="AL188" i="7"/>
  <c r="AL187" i="7"/>
  <c r="N55" i="7"/>
  <c r="N82" i="7"/>
  <c r="N81" i="7"/>
  <c r="N74" i="7" s="1"/>
  <c r="N72" i="7" s="1"/>
  <c r="N71" i="7" s="1"/>
  <c r="AO196" i="7"/>
  <c r="AO195" i="7"/>
  <c r="AM214" i="7"/>
  <c r="AM222" i="7"/>
  <c r="O35" i="5"/>
  <c r="AL223" i="7"/>
  <c r="AM221" i="7"/>
  <c r="AN209" i="7"/>
  <c r="AN213" i="7" s="1"/>
  <c r="AM46" i="7"/>
  <c r="AM96" i="7"/>
  <c r="AM95" i="7" s="1"/>
  <c r="P66" i="7"/>
  <c r="P64" i="7" s="1"/>
  <c r="T157" i="7"/>
  <c r="T137" i="7"/>
  <c r="T177" i="7"/>
  <c r="T79" i="7"/>
  <c r="U35" i="7"/>
  <c r="P171" i="7"/>
  <c r="P131" i="7"/>
  <c r="P151" i="7"/>
  <c r="Q29" i="7"/>
  <c r="AN59" i="7"/>
  <c r="Q29" i="5"/>
  <c r="Q11" i="5" s="1"/>
  <c r="X163" i="7"/>
  <c r="X143" i="7"/>
  <c r="P75" i="7"/>
  <c r="O32" i="5"/>
  <c r="AO51" i="7"/>
  <c r="AO58" i="7" s="1"/>
  <c r="AN44" i="7"/>
  <c r="AN75" i="7"/>
  <c r="AN57" i="7"/>
  <c r="Q32" i="5"/>
  <c r="O46" i="7"/>
  <c r="P209" i="7" s="1"/>
  <c r="P213" i="7" s="1"/>
  <c r="AN61" i="7"/>
  <c r="Q35" i="5"/>
  <c r="V160" i="7"/>
  <c r="V140" i="7"/>
  <c r="W38" i="7"/>
  <c r="P21" i="7"/>
  <c r="AO19" i="7"/>
  <c r="AN103" i="7"/>
  <c r="Q53" i="5"/>
  <c r="AM187" i="7"/>
  <c r="AM188" i="7"/>
  <c r="R154" i="7"/>
  <c r="R78" i="7"/>
  <c r="R134" i="7"/>
  <c r="R174" i="7"/>
  <c r="S32" i="7"/>
  <c r="AK187" i="7"/>
  <c r="AK188" i="7"/>
  <c r="AK189" i="7"/>
  <c r="P222" i="7" l="1"/>
  <c r="P214" i="7"/>
  <c r="Q172" i="7"/>
  <c r="Q152" i="7"/>
  <c r="Q132" i="7"/>
  <c r="R30" i="7"/>
  <c r="AN214" i="7"/>
  <c r="AN222" i="7"/>
  <c r="AM223" i="7"/>
  <c r="AN221" i="7"/>
  <c r="AP197" i="7"/>
  <c r="AQ193" i="7" s="1"/>
  <c r="AP181" i="7"/>
  <c r="AP179" i="7"/>
  <c r="AP177" i="7"/>
  <c r="AP175" i="7"/>
  <c r="AP173" i="7"/>
  <c r="AP171" i="7"/>
  <c r="AP166" i="7"/>
  <c r="AP164" i="7"/>
  <c r="AP162" i="7"/>
  <c r="AP160" i="7"/>
  <c r="AP158" i="7"/>
  <c r="AP156" i="7"/>
  <c r="AP178" i="7"/>
  <c r="AP163" i="7"/>
  <c r="AP78" i="7"/>
  <c r="AP161" i="7"/>
  <c r="AP159" i="7"/>
  <c r="AP106" i="7"/>
  <c r="AP104" i="7"/>
  <c r="AP100" i="7"/>
  <c r="AP99" i="7" s="1"/>
  <c r="AP93" i="7"/>
  <c r="AP165" i="7"/>
  <c r="AP154" i="7"/>
  <c r="AP152" i="7"/>
  <c r="AP150" i="7"/>
  <c r="AP145" i="7"/>
  <c r="AP180" i="7"/>
  <c r="AP170" i="7"/>
  <c r="AP143" i="7"/>
  <c r="AP138" i="7"/>
  <c r="AP135" i="7"/>
  <c r="AP130" i="7"/>
  <c r="AP68" i="7" a="1"/>
  <c r="AP68" i="7" s="1"/>
  <c r="AP40" i="7"/>
  <c r="AP38" i="7"/>
  <c r="AP36" i="7"/>
  <c r="AP34" i="7"/>
  <c r="AP176" i="7"/>
  <c r="AP153" i="7"/>
  <c r="AP146" i="7"/>
  <c r="AP183" i="7" s="1" a="1"/>
  <c r="AP183" i="7" s="1"/>
  <c r="AP107" i="7"/>
  <c r="AP141" i="7"/>
  <c r="AP136" i="7"/>
  <c r="AP133" i="7"/>
  <c r="AP82" i="7"/>
  <c r="AP172" i="7"/>
  <c r="AP105" i="7"/>
  <c r="AP174" i="7"/>
  <c r="AP142" i="7"/>
  <c r="AP131" i="7"/>
  <c r="AP66" i="7"/>
  <c r="AP64" i="7" s="1"/>
  <c r="AP30" i="7"/>
  <c r="AP28" i="7"/>
  <c r="AP155" i="7"/>
  <c r="AP144" i="7"/>
  <c r="AP32" i="7"/>
  <c r="AP24" i="7"/>
  <c r="AP20" i="7"/>
  <c r="AP137" i="7"/>
  <c r="AP132" i="7"/>
  <c r="AP139" i="7"/>
  <c r="AP134" i="7"/>
  <c r="AP157" i="7"/>
  <c r="AP151" i="7"/>
  <c r="AP140" i="7"/>
  <c r="AP81" i="7"/>
  <c r="AP33" i="7"/>
  <c r="AP14" i="7"/>
  <c r="AP12" i="7"/>
  <c r="AP41" i="7"/>
  <c r="AP50" i="7"/>
  <c r="AP59" i="7" s="1"/>
  <c r="AP76" i="7" s="1"/>
  <c r="AP11" i="7"/>
  <c r="AP37" i="7"/>
  <c r="AP29" i="7"/>
  <c r="AP16" i="7"/>
  <c r="AP27" i="7"/>
  <c r="AP13" i="7"/>
  <c r="AP202" i="7" s="1"/>
  <c r="AP79" i="7"/>
  <c r="AP35" i="7"/>
  <c r="AP31" i="7"/>
  <c r="AP39" i="7"/>
  <c r="AP17" i="7"/>
  <c r="AQ5" i="7"/>
  <c r="AP6" i="7"/>
  <c r="AP18" i="7" s="1"/>
  <c r="AP62" i="7" s="1"/>
  <c r="AP61" i="7" s="1"/>
  <c r="AP77" i="7" s="1"/>
  <c r="AO21" i="7"/>
  <c r="O59" i="7"/>
  <c r="P24" i="7"/>
  <c r="P27" i="7" s="1"/>
  <c r="P17" i="7"/>
  <c r="AN77" i="7"/>
  <c r="Q34" i="5"/>
  <c r="Q14" i="5" s="1"/>
  <c r="AO62" i="7"/>
  <c r="AP196" i="7"/>
  <c r="AP195" i="7"/>
  <c r="N189" i="7"/>
  <c r="N187" i="7"/>
  <c r="N188" i="7"/>
  <c r="AP21" i="7"/>
  <c r="AN74" i="7"/>
  <c r="AO209" i="7"/>
  <c r="AO213" i="7" s="1"/>
  <c r="AN46" i="7"/>
  <c r="AN96" i="7"/>
  <c r="O37" i="5"/>
  <c r="W141" i="7"/>
  <c r="W161" i="7"/>
  <c r="X39" i="7"/>
  <c r="AO75" i="7"/>
  <c r="AO103" i="7"/>
  <c r="AN55" i="7"/>
  <c r="Q31" i="5"/>
  <c r="Q13" i="5" s="1"/>
  <c r="Q12" i="5" s="1"/>
  <c r="AN76" i="7"/>
  <c r="Q33" i="5"/>
  <c r="AO59" i="7"/>
  <c r="AO4" i="8"/>
  <c r="AL4" i="9"/>
  <c r="AL3" i="9" s="1"/>
  <c r="AN5" i="8"/>
  <c r="S175" i="7"/>
  <c r="S155" i="7"/>
  <c r="S135" i="7"/>
  <c r="T33" i="7"/>
  <c r="Q52" i="5"/>
  <c r="U138" i="7"/>
  <c r="U158" i="7"/>
  <c r="U178" i="7"/>
  <c r="V179" i="7" s="1"/>
  <c r="V36" i="7"/>
  <c r="P61" i="7"/>
  <c r="AO44" i="7"/>
  <c r="AP51" i="7"/>
  <c r="AP58" i="7" s="1"/>
  <c r="AN47" i="7"/>
  <c r="AO76" i="7" l="1"/>
  <c r="AN72" i="7"/>
  <c r="Q43" i="5"/>
  <c r="Q41" i="5" s="1"/>
  <c r="AQ51" i="7"/>
  <c r="AQ58" i="7" s="1"/>
  <c r="AP44" i="7"/>
  <c r="Q21" i="5"/>
  <c r="AO61" i="7"/>
  <c r="O76" i="7"/>
  <c r="O57" i="7"/>
  <c r="AQ19" i="7"/>
  <c r="AQ21" i="7" s="1"/>
  <c r="AO5" i="8"/>
  <c r="AP4" i="8"/>
  <c r="AM4" i="9"/>
  <c r="AM3" i="9" s="1"/>
  <c r="Q30" i="5"/>
  <c r="AN95" i="7"/>
  <c r="Q49" i="5"/>
  <c r="Q48" i="5" s="1"/>
  <c r="Q20" i="5" s="1"/>
  <c r="R133" i="7"/>
  <c r="R173" i="7"/>
  <c r="R153" i="7"/>
  <c r="S31" i="7"/>
  <c r="V159" i="7"/>
  <c r="V139" i="7"/>
  <c r="W37" i="7"/>
  <c r="X162" i="7"/>
  <c r="X142" i="7"/>
  <c r="AQ196" i="7"/>
  <c r="AQ195" i="7"/>
  <c r="T156" i="7"/>
  <c r="T136" i="7"/>
  <c r="T176" i="7"/>
  <c r="U34" i="7"/>
  <c r="Q20" i="7"/>
  <c r="Q19" i="7"/>
  <c r="Q21" i="7" s="1"/>
  <c r="P44" i="7"/>
  <c r="Q51" i="7"/>
  <c r="Q58" i="7" s="1"/>
  <c r="P170" i="7"/>
  <c r="P180" i="7" s="1"/>
  <c r="P181" i="7" s="1"/>
  <c r="P45" i="7" a="1"/>
  <c r="P45" i="7" s="1"/>
  <c r="P130" i="7"/>
  <c r="P145" i="7" s="1"/>
  <c r="P146" i="7" s="1"/>
  <c r="P183" i="7" s="1" a="1"/>
  <c r="P183" i="7" s="1"/>
  <c r="O39" i="5" s="1"/>
  <c r="P150" i="7"/>
  <c r="P165" i="7" s="1"/>
  <c r="P166" i="7" s="1"/>
  <c r="Q28" i="7"/>
  <c r="Q66" i="7"/>
  <c r="Q64" i="7" s="1"/>
  <c r="Q18" i="7"/>
  <c r="Q62" i="7" s="1"/>
  <c r="AO46" i="7"/>
  <c r="AP209" i="7" s="1"/>
  <c r="AP213" i="7" s="1"/>
  <c r="AO96" i="7"/>
  <c r="AQ173" i="7"/>
  <c r="AQ161" i="7"/>
  <c r="AQ181" i="7"/>
  <c r="AQ171" i="7"/>
  <c r="AQ159" i="7"/>
  <c r="AQ176" i="7"/>
  <c r="AQ166" i="7"/>
  <c r="AQ157" i="7"/>
  <c r="AQ155" i="7"/>
  <c r="AQ153" i="7"/>
  <c r="AQ151" i="7"/>
  <c r="AQ146" i="7"/>
  <c r="AQ183" i="7" s="1" a="1"/>
  <c r="AQ183" i="7" s="1"/>
  <c r="AQ144" i="7"/>
  <c r="AQ142" i="7"/>
  <c r="AQ140" i="7"/>
  <c r="AQ138" i="7"/>
  <c r="AQ136" i="7"/>
  <c r="AQ134" i="7"/>
  <c r="AQ132" i="7"/>
  <c r="AQ130" i="7"/>
  <c r="AQ82" i="7"/>
  <c r="AQ178" i="7"/>
  <c r="AQ175" i="7"/>
  <c r="AQ163" i="7"/>
  <c r="AQ156" i="7"/>
  <c r="AQ197" i="7"/>
  <c r="AR193" i="7" s="1"/>
  <c r="AQ152" i="7"/>
  <c r="AQ145" i="7"/>
  <c r="AQ107" i="7"/>
  <c r="AQ78" i="7"/>
  <c r="AQ66" i="7"/>
  <c r="AQ64" i="7" s="1"/>
  <c r="AQ141" i="7"/>
  <c r="AQ133" i="7"/>
  <c r="AQ100" i="7"/>
  <c r="AQ99" i="7" s="1"/>
  <c r="AQ172" i="7"/>
  <c r="AQ162" i="7"/>
  <c r="AQ105" i="7"/>
  <c r="AQ177" i="7"/>
  <c r="AQ179" i="7"/>
  <c r="AQ174" i="7"/>
  <c r="AQ180" i="7"/>
  <c r="AQ170" i="7"/>
  <c r="AQ160" i="7"/>
  <c r="AQ143" i="7"/>
  <c r="AQ135" i="7"/>
  <c r="AQ104" i="7"/>
  <c r="AQ131" i="7"/>
  <c r="AQ38" i="7"/>
  <c r="AQ30" i="7"/>
  <c r="AQ28" i="7"/>
  <c r="AQ158" i="7"/>
  <c r="AQ154" i="7"/>
  <c r="AQ36" i="7"/>
  <c r="AQ32" i="7"/>
  <c r="AQ24" i="7"/>
  <c r="AQ20" i="7"/>
  <c r="AQ164" i="7"/>
  <c r="AQ137" i="7"/>
  <c r="AQ106" i="7"/>
  <c r="AQ41" i="7"/>
  <c r="AQ34" i="7"/>
  <c r="AQ139" i="7"/>
  <c r="AQ165" i="7"/>
  <c r="AQ150" i="7"/>
  <c r="AQ40" i="7"/>
  <c r="AQ50" i="7"/>
  <c r="AQ59" i="7" s="1"/>
  <c r="AQ76" i="7" s="1"/>
  <c r="AQ14" i="7"/>
  <c r="AQ11" i="7"/>
  <c r="AQ68" i="7" a="1"/>
  <c r="AQ68" i="7" s="1"/>
  <c r="AQ37" i="7"/>
  <c r="AQ29" i="7"/>
  <c r="AQ16" i="7"/>
  <c r="AQ17" i="7"/>
  <c r="AQ79" i="7"/>
  <c r="AQ35" i="7"/>
  <c r="AQ31" i="7"/>
  <c r="AQ33" i="7"/>
  <c r="AQ12" i="7"/>
  <c r="AQ13" i="7"/>
  <c r="AQ202" i="7" s="1"/>
  <c r="AQ27" i="7"/>
  <c r="AR5" i="7"/>
  <c r="AQ81" i="7"/>
  <c r="AQ39" i="7"/>
  <c r="AQ93" i="7"/>
  <c r="AQ6" i="7"/>
  <c r="AQ18" i="7" s="1"/>
  <c r="AO221" i="7"/>
  <c r="AN223" i="7"/>
  <c r="P77" i="7"/>
  <c r="O34" i="5"/>
  <c r="AO57" i="7"/>
  <c r="AP45" i="7" a="1"/>
  <c r="AP45" i="7" s="1"/>
  <c r="AP47" i="7" s="1"/>
  <c r="Q221" i="7"/>
  <c r="P223" i="7"/>
  <c r="AO214" i="7"/>
  <c r="AO222" i="7"/>
  <c r="AP75" i="7"/>
  <c r="AP74" i="7" s="1"/>
  <c r="AP72" i="7" s="1"/>
  <c r="AP57" i="7"/>
  <c r="AP55" i="7" s="1"/>
  <c r="AP103" i="7"/>
  <c r="AO47" i="7"/>
  <c r="AP222" i="7" l="1"/>
  <c r="AP214" i="7"/>
  <c r="Q61" i="7"/>
  <c r="P35" i="5"/>
  <c r="AQ62" i="7"/>
  <c r="AO77" i="7"/>
  <c r="AO74" i="7" s="1"/>
  <c r="AN71" i="7"/>
  <c r="AO223" i="7"/>
  <c r="AP221" i="7"/>
  <c r="P46" i="7"/>
  <c r="Q209" i="7" s="1"/>
  <c r="Q213" i="7" s="1"/>
  <c r="AR180" i="7"/>
  <c r="AR178" i="7"/>
  <c r="AR181" i="7"/>
  <c r="AR171" i="7"/>
  <c r="AR159" i="7"/>
  <c r="AR106" i="7"/>
  <c r="AR104" i="7"/>
  <c r="AR100" i="7"/>
  <c r="AR99" i="7" s="1"/>
  <c r="AR93" i="7"/>
  <c r="AR176" i="7"/>
  <c r="AR166" i="7"/>
  <c r="AR157" i="7"/>
  <c r="AR155" i="7"/>
  <c r="AR153" i="7"/>
  <c r="AR151" i="7"/>
  <c r="AR146" i="7"/>
  <c r="AR183" i="7" s="1" a="1"/>
  <c r="AR183" i="7" s="1"/>
  <c r="AR144" i="7"/>
  <c r="AR179" i="7"/>
  <c r="AR174" i="7"/>
  <c r="AR164" i="7"/>
  <c r="AR173" i="7"/>
  <c r="AR161" i="7"/>
  <c r="AR163" i="7"/>
  <c r="AR156" i="7"/>
  <c r="AR141" i="7"/>
  <c r="AR133" i="7"/>
  <c r="AR172" i="7"/>
  <c r="AR162" i="7"/>
  <c r="AR136" i="7"/>
  <c r="AR105" i="7"/>
  <c r="AR177" i="7"/>
  <c r="AR139" i="7"/>
  <c r="AR131" i="7"/>
  <c r="AR79" i="7"/>
  <c r="AR175" i="7"/>
  <c r="AR197" i="7"/>
  <c r="AS193" i="7" s="1"/>
  <c r="AR152" i="7"/>
  <c r="AR145" i="7"/>
  <c r="AR138" i="7"/>
  <c r="AR130" i="7"/>
  <c r="AR107" i="7"/>
  <c r="AR78" i="7"/>
  <c r="AR66" i="7"/>
  <c r="AR64" i="7" s="1"/>
  <c r="AR158" i="7"/>
  <c r="AR154" i="7"/>
  <c r="AR142" i="7"/>
  <c r="AR82" i="7"/>
  <c r="AR36" i="7"/>
  <c r="AR32" i="7"/>
  <c r="AR24" i="7"/>
  <c r="AR20" i="7"/>
  <c r="AR137" i="7"/>
  <c r="AR41" i="7"/>
  <c r="AR34" i="7"/>
  <c r="AR16" i="7"/>
  <c r="AR13" i="7"/>
  <c r="AR202" i="7" s="1"/>
  <c r="AR132" i="7"/>
  <c r="AR68" i="7" a="1"/>
  <c r="AR68" i="7" s="1"/>
  <c r="AR50" i="7"/>
  <c r="AR59" i="7" s="1"/>
  <c r="AR76" i="7" s="1"/>
  <c r="AR39" i="7"/>
  <c r="AR170" i="7"/>
  <c r="AR143" i="7"/>
  <c r="AR165" i="7"/>
  <c r="AR150" i="7"/>
  <c r="AR134" i="7"/>
  <c r="AR140" i="7"/>
  <c r="AR160" i="7"/>
  <c r="AR135" i="7"/>
  <c r="AR38" i="7"/>
  <c r="AR30" i="7"/>
  <c r="AR28" i="7"/>
  <c r="AR45" i="7" s="1" a="1"/>
  <c r="AR45" i="7" s="1"/>
  <c r="AR37" i="7"/>
  <c r="AR29" i="7"/>
  <c r="AR17" i="7"/>
  <c r="AR81" i="7"/>
  <c r="AR33" i="7"/>
  <c r="AR12" i="7"/>
  <c r="AR35" i="7"/>
  <c r="AR31" i="7"/>
  <c r="AR14" i="7"/>
  <c r="AR27" i="7"/>
  <c r="AR40" i="7"/>
  <c r="AR11" i="7"/>
  <c r="AS19" i="7" s="1"/>
  <c r="AS5" i="7"/>
  <c r="AR6" i="7"/>
  <c r="AR18" i="7" s="1"/>
  <c r="AR62" i="7" s="1"/>
  <c r="P47" i="7"/>
  <c r="P50" i="7"/>
  <c r="U79" i="7"/>
  <c r="U177" i="7"/>
  <c r="U137" i="7"/>
  <c r="U157" i="7"/>
  <c r="V35" i="7"/>
  <c r="Q40" i="5"/>
  <c r="Q18" i="5"/>
  <c r="Q17" i="5" s="1"/>
  <c r="Q22" i="5" s="1"/>
  <c r="Q23" i="5" s="1"/>
  <c r="AQ103" i="7"/>
  <c r="AP71" i="7"/>
  <c r="AP188" i="7" s="1"/>
  <c r="AO55" i="7"/>
  <c r="AR19" i="7"/>
  <c r="AR21" i="7" s="1"/>
  <c r="Q75" i="7"/>
  <c r="W160" i="7"/>
  <c r="W140" i="7"/>
  <c r="X38" i="7"/>
  <c r="AP5" i="8"/>
  <c r="AQ4" i="8"/>
  <c r="AN4" i="9"/>
  <c r="AN3" i="9" s="1"/>
  <c r="O14" i="5"/>
  <c r="Q24" i="7"/>
  <c r="Q27" i="7" s="1"/>
  <c r="AR51" i="7"/>
  <c r="AR58" i="7" s="1"/>
  <c r="AQ44" i="7"/>
  <c r="AQ45" i="7" a="1"/>
  <c r="AQ45" i="7" s="1"/>
  <c r="AR195" i="7"/>
  <c r="AR196" i="7"/>
  <c r="Q151" i="7"/>
  <c r="Q131" i="7"/>
  <c r="Q171" i="7"/>
  <c r="R29" i="7"/>
  <c r="Q17" i="7"/>
  <c r="O55" i="7"/>
  <c r="O82" i="7"/>
  <c r="O81" i="7"/>
  <c r="AP46" i="7"/>
  <c r="AQ209" i="7" s="1"/>
  <c r="AQ213" i="7" s="1"/>
  <c r="AP96" i="7"/>
  <c r="AP95" i="7" s="1"/>
  <c r="AO95" i="7"/>
  <c r="O16" i="5"/>
  <c r="S154" i="7"/>
  <c r="S174" i="7"/>
  <c r="S134" i="7"/>
  <c r="S78" i="7"/>
  <c r="T32" i="7"/>
  <c r="O74" i="7"/>
  <c r="O72" i="7" s="1"/>
  <c r="O71" i="7" s="1"/>
  <c r="AQ57" i="7"/>
  <c r="AQ75" i="7"/>
  <c r="AO72" i="7" l="1"/>
  <c r="AO71" i="7" s="1"/>
  <c r="Q214" i="7"/>
  <c r="Q222" i="7"/>
  <c r="Q44" i="7"/>
  <c r="R51" i="7"/>
  <c r="R58" i="7" s="1"/>
  <c r="Q170" i="7"/>
  <c r="Q180" i="7" s="1"/>
  <c r="Q181" i="7" s="1"/>
  <c r="Q150" i="7"/>
  <c r="Q165" i="7" s="1"/>
  <c r="Q166" i="7" s="1"/>
  <c r="Q45" i="7" a="1"/>
  <c r="Q45" i="7" s="1"/>
  <c r="Q130" i="7"/>
  <c r="Q145" i="7" s="1"/>
  <c r="Q146" i="7" s="1"/>
  <c r="Q183" i="7" s="1" a="1"/>
  <c r="Q183" i="7" s="1"/>
  <c r="R28" i="7"/>
  <c r="R66" i="7"/>
  <c r="R64" i="7" s="1"/>
  <c r="AQ222" i="7"/>
  <c r="AQ214" i="7"/>
  <c r="AR57" i="7"/>
  <c r="AR75" i="7"/>
  <c r="AR74" i="7" s="1"/>
  <c r="AR72" i="7" s="1"/>
  <c r="AN189" i="7"/>
  <c r="Q57" i="5" s="1"/>
  <c r="AN187" i="7"/>
  <c r="AN188" i="7"/>
  <c r="X161" i="7"/>
  <c r="X141" i="7"/>
  <c r="AO189" i="7"/>
  <c r="AO188" i="7"/>
  <c r="AO187" i="7"/>
  <c r="V178" i="7"/>
  <c r="W179" i="7" s="1"/>
  <c r="V138" i="7"/>
  <c r="V158" i="7"/>
  <c r="W36" i="7"/>
  <c r="AR61" i="7"/>
  <c r="AR77" i="7" s="1"/>
  <c r="AR103" i="7"/>
  <c r="AS176" i="7"/>
  <c r="AS166" i="7"/>
  <c r="AS157" i="7"/>
  <c r="AS155" i="7"/>
  <c r="AS153" i="7"/>
  <c r="AS151" i="7"/>
  <c r="AS146" i="7"/>
  <c r="AS183" i="7" s="1" a="1"/>
  <c r="AS183" i="7" s="1"/>
  <c r="AS144" i="7"/>
  <c r="AS142" i="7"/>
  <c r="AS140" i="7"/>
  <c r="AS138" i="7"/>
  <c r="AS136" i="7"/>
  <c r="AS134" i="7"/>
  <c r="AS132" i="7"/>
  <c r="AS130" i="7"/>
  <c r="AS82" i="7"/>
  <c r="AS179" i="7"/>
  <c r="AS174" i="7"/>
  <c r="AS164" i="7"/>
  <c r="AS172" i="7"/>
  <c r="AS162" i="7"/>
  <c r="AS181" i="7"/>
  <c r="AS171" i="7"/>
  <c r="AS159" i="7"/>
  <c r="AS173" i="7"/>
  <c r="AS105" i="7"/>
  <c r="AS100" i="7"/>
  <c r="AS99" i="7" s="1"/>
  <c r="AS177" i="7"/>
  <c r="AS139" i="7"/>
  <c r="AS131" i="7"/>
  <c r="AS79" i="7"/>
  <c r="AS165" i="7"/>
  <c r="AS158" i="7"/>
  <c r="AS154" i="7"/>
  <c r="AS150" i="7"/>
  <c r="AS81" i="7"/>
  <c r="AS68" i="7" a="1"/>
  <c r="AS68" i="7" s="1"/>
  <c r="AS175" i="7"/>
  <c r="AS178" i="7"/>
  <c r="AS163" i="7"/>
  <c r="AS156" i="7"/>
  <c r="AS141" i="7"/>
  <c r="AS133" i="7"/>
  <c r="AS137" i="7"/>
  <c r="AS78" i="7"/>
  <c r="AS66" i="7"/>
  <c r="AS64" i="7" s="1"/>
  <c r="AS41" i="7"/>
  <c r="AS34" i="7"/>
  <c r="AS16" i="7"/>
  <c r="AS13" i="7"/>
  <c r="AS202" i="7" s="1"/>
  <c r="AS161" i="7"/>
  <c r="AS106" i="7"/>
  <c r="AS50" i="7"/>
  <c r="AS39" i="7"/>
  <c r="AS11" i="7"/>
  <c r="AT19" i="7" s="1"/>
  <c r="AS170" i="7"/>
  <c r="AS143" i="7"/>
  <c r="AS37" i="7"/>
  <c r="AS29" i="7"/>
  <c r="AS27" i="7"/>
  <c r="AS145" i="7"/>
  <c r="AS197" i="7"/>
  <c r="AT193" i="7" s="1"/>
  <c r="AS160" i="7"/>
  <c r="AS135" i="7"/>
  <c r="AS180" i="7"/>
  <c r="AS152" i="7"/>
  <c r="AS104" i="7"/>
  <c r="AS36" i="7"/>
  <c r="AS32" i="7"/>
  <c r="AS24" i="7"/>
  <c r="AS20" i="7"/>
  <c r="AS21" i="7" s="1"/>
  <c r="AS17" i="7"/>
  <c r="AS33" i="7"/>
  <c r="AS12" i="7"/>
  <c r="AS93" i="7"/>
  <c r="AS40" i="7"/>
  <c r="AS14" i="7"/>
  <c r="AS35" i="7"/>
  <c r="AS31" i="7"/>
  <c r="AS107" i="7"/>
  <c r="AS38" i="7"/>
  <c r="AS28" i="7"/>
  <c r="AS30" i="7"/>
  <c r="AT5" i="7"/>
  <c r="AS6" i="7"/>
  <c r="AS18" i="7" s="1"/>
  <c r="AS62" i="7" s="1"/>
  <c r="AS61" i="7" s="1"/>
  <c r="AS77" i="7" s="1"/>
  <c r="AS196" i="7"/>
  <c r="AS195" i="7"/>
  <c r="AP189" i="7"/>
  <c r="AP187" i="7"/>
  <c r="Q77" i="7"/>
  <c r="T155" i="7"/>
  <c r="T175" i="7"/>
  <c r="T135" i="7"/>
  <c r="U33" i="7"/>
  <c r="AQ47" i="7"/>
  <c r="AS51" i="7"/>
  <c r="AS58" i="7" s="1"/>
  <c r="AR44" i="7"/>
  <c r="O188" i="7"/>
  <c r="O189" i="7"/>
  <c r="O187" i="7"/>
  <c r="R19" i="7"/>
  <c r="R20" i="7"/>
  <c r="R132" i="7"/>
  <c r="R172" i="7"/>
  <c r="R152" i="7"/>
  <c r="S30" i="7"/>
  <c r="AR209" i="7"/>
  <c r="AR213" i="7" s="1"/>
  <c r="AQ46" i="7"/>
  <c r="AQ96" i="7"/>
  <c r="AO4" i="9"/>
  <c r="AO3" i="9" s="1"/>
  <c r="AR4" i="8"/>
  <c r="AQ5" i="8"/>
  <c r="P59" i="7"/>
  <c r="O29" i="5"/>
  <c r="O11" i="5" s="1"/>
  <c r="AQ61" i="7"/>
  <c r="AQ55" i="7" s="1"/>
  <c r="AQ221" i="7"/>
  <c r="AP223" i="7"/>
  <c r="AR221" i="7" l="1"/>
  <c r="AQ223" i="7"/>
  <c r="AT195" i="7"/>
  <c r="AT196" i="7"/>
  <c r="R61" i="7"/>
  <c r="P37" i="5"/>
  <c r="AR46" i="7"/>
  <c r="AR96" i="7"/>
  <c r="AR95" i="7" s="1"/>
  <c r="AR71" i="7" s="1"/>
  <c r="AQ95" i="7"/>
  <c r="AS75" i="7"/>
  <c r="AR55" i="7"/>
  <c r="R171" i="7"/>
  <c r="R180" i="7" s="1"/>
  <c r="R181" i="7" s="1"/>
  <c r="R131" i="7"/>
  <c r="R145" i="7" s="1"/>
  <c r="R146" i="7" s="1"/>
  <c r="R183" i="7" s="1" a="1"/>
  <c r="R183" i="7" s="1"/>
  <c r="R151" i="7"/>
  <c r="R165" i="7" s="1"/>
  <c r="R166" i="7" s="1"/>
  <c r="S29" i="7"/>
  <c r="S51" i="7"/>
  <c r="S58" i="7" s="1"/>
  <c r="R44" i="7"/>
  <c r="R45" i="7" a="1"/>
  <c r="R45" i="7" s="1"/>
  <c r="R221" i="7"/>
  <c r="Q223" i="7"/>
  <c r="R21" i="7"/>
  <c r="AT180" i="7"/>
  <c r="AT178" i="7"/>
  <c r="AT176" i="7"/>
  <c r="AT174" i="7"/>
  <c r="AT172" i="7"/>
  <c r="AT170" i="7"/>
  <c r="AT165" i="7"/>
  <c r="AT163" i="7"/>
  <c r="AT161" i="7"/>
  <c r="AT159" i="7"/>
  <c r="AT157" i="7"/>
  <c r="AT197" i="7"/>
  <c r="AU193" i="7" s="1"/>
  <c r="AT179" i="7"/>
  <c r="AT164" i="7"/>
  <c r="AT79" i="7"/>
  <c r="AT162" i="7"/>
  <c r="AT177" i="7"/>
  <c r="AT160" i="7"/>
  <c r="AT107" i="7"/>
  <c r="AT105" i="7"/>
  <c r="AT166" i="7"/>
  <c r="AT155" i="7"/>
  <c r="AT153" i="7"/>
  <c r="AT151" i="7"/>
  <c r="AT146" i="7"/>
  <c r="AT183" i="7" s="1" a="1"/>
  <c r="AT183" i="7" s="1"/>
  <c r="AT144" i="7"/>
  <c r="AT181" i="7"/>
  <c r="AT139" i="7"/>
  <c r="AT136" i="7"/>
  <c r="AT131" i="7"/>
  <c r="AT68" i="7" a="1"/>
  <c r="AT68" i="7" s="1"/>
  <c r="AT41" i="7"/>
  <c r="AT39" i="7"/>
  <c r="AT37" i="7"/>
  <c r="AT35" i="7"/>
  <c r="AT45" i="7" s="1" a="1"/>
  <c r="AT45" i="7" s="1"/>
  <c r="AT33" i="7"/>
  <c r="AT158" i="7"/>
  <c r="AT154" i="7"/>
  <c r="AT150" i="7"/>
  <c r="AT81" i="7"/>
  <c r="AT175" i="7"/>
  <c r="AT142" i="7"/>
  <c r="AT137" i="7"/>
  <c r="AT134" i="7"/>
  <c r="AT173" i="7"/>
  <c r="AT100" i="7"/>
  <c r="AT99" i="7" s="1"/>
  <c r="AT106" i="7"/>
  <c r="AT50" i="7"/>
  <c r="AT59" i="7" s="1"/>
  <c r="AT76" i="7" s="1"/>
  <c r="AT11" i="7"/>
  <c r="AU19" i="7" s="1"/>
  <c r="AT143" i="7"/>
  <c r="AT132" i="7"/>
  <c r="AT29" i="7"/>
  <c r="AT27" i="7"/>
  <c r="AT145" i="7"/>
  <c r="AT31" i="7"/>
  <c r="AT17" i="7"/>
  <c r="AT156" i="7"/>
  <c r="AT138" i="7"/>
  <c r="AT133" i="7"/>
  <c r="AT171" i="7"/>
  <c r="AT140" i="7"/>
  <c r="AT135" i="7"/>
  <c r="AT152" i="7"/>
  <c r="AT141" i="7"/>
  <c r="AT130" i="7"/>
  <c r="AT82" i="7"/>
  <c r="AT78" i="7"/>
  <c r="AT66" i="7"/>
  <c r="AT64" i="7" s="1"/>
  <c r="AT34" i="7"/>
  <c r="AT16" i="7"/>
  <c r="AT13" i="7"/>
  <c r="AT202" i="7" s="1"/>
  <c r="AT12" i="7"/>
  <c r="AT93" i="7"/>
  <c r="AT40" i="7"/>
  <c r="AT30" i="7"/>
  <c r="AT38" i="7"/>
  <c r="AT28" i="7"/>
  <c r="AT14" i="7"/>
  <c r="AT32" i="7"/>
  <c r="AT20" i="7"/>
  <c r="AT21" i="7" s="1"/>
  <c r="AT24" i="7"/>
  <c r="AU5" i="7"/>
  <c r="AT36" i="7"/>
  <c r="AT104" i="7"/>
  <c r="AT6" i="7"/>
  <c r="AT18" i="7" s="1"/>
  <c r="AS44" i="7"/>
  <c r="AT51" i="7"/>
  <c r="AT58" i="7" s="1"/>
  <c r="AS59" i="7"/>
  <c r="W139" i="7"/>
  <c r="W159" i="7"/>
  <c r="X37" i="7"/>
  <c r="AR5" i="8"/>
  <c r="AP4" i="9"/>
  <c r="AP3" i="9" s="1"/>
  <c r="AS4" i="8"/>
  <c r="R209" i="7"/>
  <c r="R213" i="7" s="1"/>
  <c r="Q46" i="7"/>
  <c r="AQ77" i="7"/>
  <c r="AQ74" i="7" s="1"/>
  <c r="AR214" i="7"/>
  <c r="AR222" i="7"/>
  <c r="AS103" i="7"/>
  <c r="AR47" i="7"/>
  <c r="AS209" i="7" s="1"/>
  <c r="AS213" i="7" s="1"/>
  <c r="Q47" i="7"/>
  <c r="R50" i="7"/>
  <c r="R59" i="7" s="1"/>
  <c r="R76" i="7" s="1"/>
  <c r="Q50" i="7"/>
  <c r="S173" i="7"/>
  <c r="S133" i="7"/>
  <c r="S153" i="7"/>
  <c r="T31" i="7"/>
  <c r="AS45" i="7" a="1"/>
  <c r="AS45" i="7" s="1"/>
  <c r="AS47" i="7" s="1"/>
  <c r="P76" i="7"/>
  <c r="O33" i="5"/>
  <c r="P57" i="7"/>
  <c r="U136" i="7"/>
  <c r="U176" i="7"/>
  <c r="U156" i="7"/>
  <c r="V34" i="7"/>
  <c r="R75" i="7"/>
  <c r="R57" i="7"/>
  <c r="AS222" i="7" l="1"/>
  <c r="AS214" i="7"/>
  <c r="V79" i="7"/>
  <c r="V177" i="7"/>
  <c r="V157" i="7"/>
  <c r="V137" i="7"/>
  <c r="W35" i="7"/>
  <c r="AQ4" i="9"/>
  <c r="AQ3" i="9" s="1"/>
  <c r="AT4" i="8"/>
  <c r="AS5" i="8"/>
  <c r="AT75" i="7"/>
  <c r="AT57" i="7"/>
  <c r="R55" i="7"/>
  <c r="R81" i="7"/>
  <c r="R82" i="7"/>
  <c r="AQ72" i="7"/>
  <c r="AQ71" i="7" s="1"/>
  <c r="R222" i="7"/>
  <c r="R214" i="7"/>
  <c r="AS76" i="7"/>
  <c r="S75" i="7"/>
  <c r="AR223" i="7"/>
  <c r="AS221" i="7"/>
  <c r="AS46" i="7"/>
  <c r="AT209" i="7" s="1"/>
  <c r="AT213" i="7" s="1"/>
  <c r="AU174" i="7"/>
  <c r="AU162" i="7"/>
  <c r="AU177" i="7"/>
  <c r="AU172" i="7"/>
  <c r="AU160" i="7"/>
  <c r="AU170" i="7"/>
  <c r="AU158" i="7"/>
  <c r="AU154" i="7"/>
  <c r="AU152" i="7"/>
  <c r="AU150" i="7"/>
  <c r="AU145" i="7"/>
  <c r="AU143" i="7"/>
  <c r="AU141" i="7"/>
  <c r="AU139" i="7"/>
  <c r="AU137" i="7"/>
  <c r="AU135" i="7"/>
  <c r="AU133" i="7"/>
  <c r="AU131" i="7"/>
  <c r="AU81" i="7"/>
  <c r="AU179" i="7"/>
  <c r="AU176" i="7"/>
  <c r="AU164" i="7"/>
  <c r="AU157" i="7"/>
  <c r="AU166" i="7"/>
  <c r="AU159" i="7"/>
  <c r="AU153" i="7"/>
  <c r="AU146" i="7"/>
  <c r="AU183" i="7" s="1" a="1"/>
  <c r="AU183" i="7" s="1"/>
  <c r="AU79" i="7"/>
  <c r="AU175" i="7"/>
  <c r="AU165" i="7"/>
  <c r="AU142" i="7"/>
  <c r="AU134" i="7"/>
  <c r="AU106" i="7"/>
  <c r="AU93" i="7"/>
  <c r="AU178" i="7"/>
  <c r="AU197" i="7"/>
  <c r="AV193" i="7" s="1"/>
  <c r="AU180" i="7"/>
  <c r="AU181" i="7"/>
  <c r="AU136" i="7"/>
  <c r="AU105" i="7"/>
  <c r="AU161" i="7"/>
  <c r="AU132" i="7"/>
  <c r="AU39" i="7"/>
  <c r="AU29" i="7"/>
  <c r="AU27" i="7"/>
  <c r="AU155" i="7"/>
  <c r="AU144" i="7"/>
  <c r="AU37" i="7"/>
  <c r="AU31" i="7"/>
  <c r="AU17" i="7"/>
  <c r="AV5" i="7"/>
  <c r="AU156" i="7"/>
  <c r="AU138" i="7"/>
  <c r="AU107" i="7"/>
  <c r="AU35" i="7"/>
  <c r="AU173" i="7"/>
  <c r="AU171" i="7"/>
  <c r="AU140" i="7"/>
  <c r="AU151" i="7"/>
  <c r="AU163" i="7"/>
  <c r="AU68" i="7" a="1"/>
  <c r="AU68" i="7" s="1"/>
  <c r="AU50" i="7"/>
  <c r="AU41" i="7"/>
  <c r="AU11" i="7"/>
  <c r="AU40" i="7"/>
  <c r="AU33" i="7"/>
  <c r="AU16" i="7"/>
  <c r="AU30" i="7"/>
  <c r="AU36" i="7"/>
  <c r="AU24" i="7"/>
  <c r="AU104" i="7"/>
  <c r="AU32" i="7"/>
  <c r="AU20" i="7"/>
  <c r="AU21" i="7" s="1"/>
  <c r="AU14" i="7"/>
  <c r="AU38" i="7"/>
  <c r="AU12" i="7"/>
  <c r="AU13" i="7"/>
  <c r="AU202" i="7" s="1"/>
  <c r="AU130" i="7"/>
  <c r="AU28" i="7"/>
  <c r="AU100" i="7"/>
  <c r="AU99" i="7" s="1"/>
  <c r="AU82" i="7"/>
  <c r="AU66" i="7"/>
  <c r="AU64" i="7" s="1"/>
  <c r="AU45" i="7" a="1"/>
  <c r="AU45" i="7" s="1"/>
  <c r="AU34" i="7"/>
  <c r="AU78" i="7"/>
  <c r="AU6" i="7"/>
  <c r="AU18" i="7" s="1"/>
  <c r="AU196" i="7"/>
  <c r="AU195" i="7"/>
  <c r="R47" i="7"/>
  <c r="AR189" i="7"/>
  <c r="AR187" i="7"/>
  <c r="AR188" i="7"/>
  <c r="S209" i="7"/>
  <c r="S213" i="7" s="1"/>
  <c r="R46" i="7"/>
  <c r="AT62" i="7"/>
  <c r="AT44" i="7"/>
  <c r="AT96" i="7" s="1"/>
  <c r="AU51" i="7"/>
  <c r="AU58" i="7" s="1"/>
  <c r="T174" i="7"/>
  <c r="T78" i="7"/>
  <c r="T154" i="7"/>
  <c r="T134" i="7"/>
  <c r="U32" i="7"/>
  <c r="S172" i="7"/>
  <c r="S180" i="7" s="1"/>
  <c r="S181" i="7" s="1"/>
  <c r="S152" i="7"/>
  <c r="S165" i="7" s="1"/>
  <c r="S166" i="7" s="1"/>
  <c r="S132" i="7"/>
  <c r="S145" i="7" s="1"/>
  <c r="S146" i="7" s="1"/>
  <c r="S183" i="7" s="1" a="1"/>
  <c r="S183" i="7" s="1"/>
  <c r="T30" i="7"/>
  <c r="S45" i="7" a="1"/>
  <c r="S45" i="7" s="1"/>
  <c r="S44" i="7"/>
  <c r="AS74" i="7"/>
  <c r="AS72" i="7" s="1"/>
  <c r="R24" i="7"/>
  <c r="R17" i="7"/>
  <c r="S19" i="7" s="1"/>
  <c r="S21" i="7" s="1"/>
  <c r="AS57" i="7"/>
  <c r="R77" i="7"/>
  <c r="R74" i="7" s="1"/>
  <c r="R72" i="7" s="1"/>
  <c r="R71" i="7" s="1"/>
  <c r="P34" i="5"/>
  <c r="P55" i="7"/>
  <c r="P81" i="7"/>
  <c r="P74" i="7" s="1"/>
  <c r="P72" i="7" s="1"/>
  <c r="P71" i="7" s="1"/>
  <c r="P82" i="7"/>
  <c r="O31" i="5"/>
  <c r="P32" i="5"/>
  <c r="Q59" i="7"/>
  <c r="X160" i="7"/>
  <c r="X140" i="7"/>
  <c r="AT103" i="7"/>
  <c r="AS96" i="7"/>
  <c r="AS95" i="7" s="1"/>
  <c r="AT214" i="7" l="1"/>
  <c r="AT222" i="7"/>
  <c r="AT95" i="7"/>
  <c r="Q76" i="7"/>
  <c r="Q57" i="7"/>
  <c r="AU47" i="7"/>
  <c r="S46" i="7"/>
  <c r="T209" i="7" s="1"/>
  <c r="T213" i="7" s="1"/>
  <c r="S96" i="7"/>
  <c r="S222" i="7"/>
  <c r="S214" i="7"/>
  <c r="AU62" i="7"/>
  <c r="AU61" i="7" s="1"/>
  <c r="AU77" i="7" s="1"/>
  <c r="AU59" i="7"/>
  <c r="P188" i="7"/>
  <c r="P189" i="7"/>
  <c r="P187" i="7"/>
  <c r="O30" i="5"/>
  <c r="S47" i="7"/>
  <c r="T50" i="7"/>
  <c r="T59" i="7" s="1"/>
  <c r="AU44" i="7"/>
  <c r="AV51" i="7"/>
  <c r="AV58" i="7" s="1"/>
  <c r="S221" i="7"/>
  <c r="R223" i="7"/>
  <c r="AT55" i="7"/>
  <c r="P14" i="5"/>
  <c r="T153" i="7"/>
  <c r="T165" i="7" s="1"/>
  <c r="T166" i="7" s="1"/>
  <c r="T173" i="7"/>
  <c r="T180" i="7" s="1"/>
  <c r="T181" i="7" s="1"/>
  <c r="T133" i="7"/>
  <c r="T145" i="7" s="1"/>
  <c r="T146" i="7" s="1"/>
  <c r="T183" i="7" s="1" a="1"/>
  <c r="T183" i="7" s="1"/>
  <c r="U31" i="7"/>
  <c r="T45" i="7" a="1"/>
  <c r="T45" i="7" s="1"/>
  <c r="T44" i="7"/>
  <c r="AV196" i="7"/>
  <c r="AV195" i="7"/>
  <c r="AQ188" i="7"/>
  <c r="AQ189" i="7"/>
  <c r="AQ187" i="7"/>
  <c r="S50" i="7"/>
  <c r="AU4" i="8"/>
  <c r="AT5" i="8"/>
  <c r="AR4" i="9"/>
  <c r="AR3" i="9" s="1"/>
  <c r="AS223" i="7"/>
  <c r="AT221" i="7"/>
  <c r="AS55" i="7"/>
  <c r="AU75" i="7"/>
  <c r="AU57" i="7"/>
  <c r="O13" i="5"/>
  <c r="O12" i="5" s="1"/>
  <c r="U155" i="7"/>
  <c r="U175" i="7"/>
  <c r="U135" i="7"/>
  <c r="V33" i="7"/>
  <c r="AT61" i="7"/>
  <c r="AV19" i="7"/>
  <c r="AV21" i="7" s="1"/>
  <c r="AV197" i="7"/>
  <c r="AW193" i="7" s="1"/>
  <c r="AV181" i="7"/>
  <c r="AV179" i="7"/>
  <c r="AV177" i="7"/>
  <c r="AV172" i="7"/>
  <c r="AV160" i="7"/>
  <c r="AV107" i="7"/>
  <c r="AV105" i="7"/>
  <c r="AV170" i="7"/>
  <c r="AV158" i="7"/>
  <c r="AV154" i="7"/>
  <c r="AV152" i="7"/>
  <c r="AV150" i="7"/>
  <c r="AV145" i="7"/>
  <c r="AV180" i="7"/>
  <c r="AV175" i="7"/>
  <c r="AV165" i="7"/>
  <c r="AV156" i="7"/>
  <c r="AV174" i="7"/>
  <c r="AV162" i="7"/>
  <c r="AV176" i="7"/>
  <c r="AV142" i="7"/>
  <c r="AV134" i="7"/>
  <c r="AV81" i="7"/>
  <c r="AV137" i="7"/>
  <c r="AV106" i="7"/>
  <c r="AV93" i="7"/>
  <c r="AV178" i="7"/>
  <c r="AV171" i="7"/>
  <c r="AV161" i="7"/>
  <c r="AV140" i="7"/>
  <c r="AV132" i="7"/>
  <c r="AV166" i="7"/>
  <c r="AV159" i="7"/>
  <c r="AV153" i="7"/>
  <c r="AV146" i="7"/>
  <c r="AV183" i="7" s="1" a="1"/>
  <c r="AV183" i="7" s="1"/>
  <c r="AV139" i="7"/>
  <c r="AV131" i="7"/>
  <c r="AV79" i="7"/>
  <c r="AV155" i="7"/>
  <c r="AV144" i="7"/>
  <c r="AV143" i="7"/>
  <c r="AV37" i="7"/>
  <c r="AV31" i="7"/>
  <c r="AV17" i="7"/>
  <c r="AW5" i="7"/>
  <c r="AV164" i="7"/>
  <c r="AV138" i="7"/>
  <c r="AV35" i="7"/>
  <c r="AV14" i="7"/>
  <c r="AV12" i="7"/>
  <c r="AV173" i="7"/>
  <c r="AV133" i="7"/>
  <c r="AV100" i="7"/>
  <c r="AV99" i="7" s="1"/>
  <c r="AV40" i="7"/>
  <c r="AV33" i="7"/>
  <c r="AV151" i="7"/>
  <c r="AV135" i="7"/>
  <c r="AV157" i="7"/>
  <c r="AV163" i="7"/>
  <c r="AV141" i="7"/>
  <c r="AV136" i="7"/>
  <c r="AV39" i="7"/>
  <c r="AV45" i="7" s="1" a="1"/>
  <c r="AV45" i="7" s="1"/>
  <c r="AV29" i="7"/>
  <c r="AV27" i="7"/>
  <c r="AV36" i="7"/>
  <c r="AV24" i="7"/>
  <c r="AV78" i="7"/>
  <c r="AV13" i="7"/>
  <c r="AV202" i="7" s="1"/>
  <c r="AV130" i="7"/>
  <c r="AV82" i="7"/>
  <c r="AV68" i="7" a="1"/>
  <c r="AV68" i="7" s="1"/>
  <c r="AV66" i="7"/>
  <c r="AV64" i="7" s="1"/>
  <c r="AV34" i="7"/>
  <c r="AV38" i="7"/>
  <c r="AV32" i="7"/>
  <c r="AV20" i="7"/>
  <c r="AV50" i="7"/>
  <c r="AV59" i="7" s="1"/>
  <c r="AV76" i="7" s="1"/>
  <c r="AV41" i="7"/>
  <c r="AV11" i="7"/>
  <c r="AV28" i="7"/>
  <c r="AV104" i="7"/>
  <c r="AV16" i="7"/>
  <c r="AV6" i="7"/>
  <c r="AV18" i="7" s="1"/>
  <c r="AV62" i="7" s="1"/>
  <c r="AU209" i="7"/>
  <c r="AU213" i="7" s="1"/>
  <c r="AT46" i="7"/>
  <c r="AS71" i="7"/>
  <c r="AU103" i="7"/>
  <c r="R188" i="7"/>
  <c r="R189" i="7"/>
  <c r="R187" i="7"/>
  <c r="W178" i="7"/>
  <c r="X179" i="7" s="1"/>
  <c r="W158" i="7"/>
  <c r="W138" i="7"/>
  <c r="X36" i="7"/>
  <c r="AT47" i="7"/>
  <c r="T214" i="7" l="1"/>
  <c r="T222" i="7"/>
  <c r="AV47" i="7"/>
  <c r="AV44" i="7"/>
  <c r="AW51" i="7"/>
  <c r="AW58" i="7" s="1"/>
  <c r="AS188" i="7"/>
  <c r="AS187" i="7"/>
  <c r="AS189" i="7"/>
  <c r="AW177" i="7"/>
  <c r="AW170" i="7"/>
  <c r="AW158" i="7"/>
  <c r="AW154" i="7"/>
  <c r="AW152" i="7"/>
  <c r="AW150" i="7"/>
  <c r="AW145" i="7"/>
  <c r="AW143" i="7"/>
  <c r="AW141" i="7"/>
  <c r="AW139" i="7"/>
  <c r="AW137" i="7"/>
  <c r="AW135" i="7"/>
  <c r="AW133" i="7"/>
  <c r="AW131" i="7"/>
  <c r="AW81" i="7"/>
  <c r="AW180" i="7"/>
  <c r="AW175" i="7"/>
  <c r="AW165" i="7"/>
  <c r="AW156" i="7"/>
  <c r="AW197" i="7"/>
  <c r="AX193" i="7" s="1"/>
  <c r="AW173" i="7"/>
  <c r="AW163" i="7"/>
  <c r="AW172" i="7"/>
  <c r="AW160" i="7"/>
  <c r="AW162" i="7"/>
  <c r="AW106" i="7"/>
  <c r="AW93" i="7"/>
  <c r="AW50" i="7"/>
  <c r="AW59" i="7" s="1"/>
  <c r="AW76" i="7" s="1"/>
  <c r="AW178" i="7"/>
  <c r="AW171" i="7"/>
  <c r="AW161" i="7"/>
  <c r="AW140" i="7"/>
  <c r="AW132" i="7"/>
  <c r="AW155" i="7"/>
  <c r="AW151" i="7"/>
  <c r="AW144" i="7"/>
  <c r="AW104" i="7"/>
  <c r="AW82" i="7"/>
  <c r="AW78" i="7"/>
  <c r="AW68" i="7" a="1"/>
  <c r="AW68" i="7" s="1"/>
  <c r="AW66" i="7"/>
  <c r="AW64" i="7" s="1"/>
  <c r="AW179" i="7"/>
  <c r="AW174" i="7"/>
  <c r="AW176" i="7"/>
  <c r="AW142" i="7"/>
  <c r="AW134" i="7"/>
  <c r="AW164" i="7"/>
  <c r="AW138" i="7"/>
  <c r="AW35" i="7"/>
  <c r="AW14" i="7"/>
  <c r="AW12" i="7"/>
  <c r="AW107" i="7"/>
  <c r="AW100" i="7"/>
  <c r="AW99" i="7" s="1"/>
  <c r="AW40" i="7"/>
  <c r="AW33" i="7"/>
  <c r="AW38" i="7"/>
  <c r="AW28" i="7"/>
  <c r="AW159" i="7"/>
  <c r="AW146" i="7"/>
  <c r="AW183" i="7" s="1" a="1"/>
  <c r="AW183" i="7" s="1"/>
  <c r="AW181" i="7"/>
  <c r="AW157" i="7"/>
  <c r="AW136" i="7"/>
  <c r="AW166" i="7"/>
  <c r="AW153" i="7"/>
  <c r="AW105" i="7"/>
  <c r="AW37" i="7"/>
  <c r="AW31" i="7"/>
  <c r="AW45" i="7" s="1" a="1"/>
  <c r="AW45" i="7" s="1"/>
  <c r="AW17" i="7"/>
  <c r="AX5" i="7"/>
  <c r="AW36" i="7"/>
  <c r="AW30" i="7"/>
  <c r="AW24" i="7"/>
  <c r="AW13" i="7"/>
  <c r="AW202" i="7" s="1"/>
  <c r="AW41" i="7"/>
  <c r="AW16" i="7"/>
  <c r="AW32" i="7"/>
  <c r="AW20" i="7"/>
  <c r="AW34" i="7"/>
  <c r="AW79" i="7"/>
  <c r="AW27" i="7"/>
  <c r="AW11" i="7"/>
  <c r="AX19" i="7" s="1"/>
  <c r="AW39" i="7"/>
  <c r="AW6" i="7"/>
  <c r="AW18" i="7" s="1"/>
  <c r="AW62" i="7" s="1"/>
  <c r="AW61" i="7" s="1"/>
  <c r="AW77" i="7" s="1"/>
  <c r="AW130" i="7"/>
  <c r="AW29" i="7"/>
  <c r="AV75" i="7"/>
  <c r="AV57" i="7"/>
  <c r="AW19" i="7"/>
  <c r="AW21" i="7" s="1"/>
  <c r="AU46" i="7"/>
  <c r="AV209" i="7" s="1"/>
  <c r="AV213" i="7" s="1"/>
  <c r="AU96" i="7"/>
  <c r="AU76" i="7"/>
  <c r="Q55" i="7"/>
  <c r="Q82" i="7"/>
  <c r="Q81" i="7"/>
  <c r="Q74" i="7" s="1"/>
  <c r="AW195" i="7"/>
  <c r="AW196" i="7"/>
  <c r="T76" i="7"/>
  <c r="T57" i="7"/>
  <c r="AU214" i="7"/>
  <c r="AU222" i="7"/>
  <c r="S223" i="7"/>
  <c r="T221" i="7"/>
  <c r="AV61" i="7"/>
  <c r="AV77" i="7" s="1"/>
  <c r="AS4" i="9"/>
  <c r="AS3" i="9" s="1"/>
  <c r="AV4" i="8"/>
  <c r="AU5" i="8"/>
  <c r="AT77" i="7"/>
  <c r="AT74" i="7" s="1"/>
  <c r="AU74" i="7"/>
  <c r="AU72" i="7" s="1"/>
  <c r="S59" i="7"/>
  <c r="T47" i="7"/>
  <c r="AT223" i="7"/>
  <c r="AU221" i="7"/>
  <c r="AU55" i="7"/>
  <c r="U209" i="7"/>
  <c r="U213" i="7" s="1"/>
  <c r="T46" i="7"/>
  <c r="T96" i="7"/>
  <c r="T95" i="7" s="1"/>
  <c r="S95" i="7"/>
  <c r="X159" i="7"/>
  <c r="X139" i="7"/>
  <c r="AV103" i="7"/>
  <c r="V136" i="7"/>
  <c r="V176" i="7"/>
  <c r="V156" i="7"/>
  <c r="W34" i="7"/>
  <c r="U78" i="7"/>
  <c r="U154" i="7"/>
  <c r="U165" i="7" s="1"/>
  <c r="U166" i="7" s="1"/>
  <c r="U174" i="7"/>
  <c r="U180" i="7" s="1"/>
  <c r="U181" i="7" s="1"/>
  <c r="U134" i="7"/>
  <c r="U145" i="7" s="1"/>
  <c r="U146" i="7" s="1"/>
  <c r="U183" i="7" s="1" a="1"/>
  <c r="U183" i="7" s="1"/>
  <c r="U44" i="7"/>
  <c r="U45" i="7" a="1"/>
  <c r="U45" i="7" s="1"/>
  <c r="V32" i="7"/>
  <c r="V78" i="7" s="1"/>
  <c r="Q72" i="7" l="1"/>
  <c r="Q71" i="7" s="1"/>
  <c r="AV222" i="7"/>
  <c r="AV214" i="7"/>
  <c r="U222" i="7"/>
  <c r="U214" i="7"/>
  <c r="AX197" i="7"/>
  <c r="AY193" i="7" s="1"/>
  <c r="AX181" i="7"/>
  <c r="AX179" i="7"/>
  <c r="AX177" i="7"/>
  <c r="AX175" i="7"/>
  <c r="AX173" i="7"/>
  <c r="AX171" i="7"/>
  <c r="AX166" i="7"/>
  <c r="AX164" i="7"/>
  <c r="AX162" i="7"/>
  <c r="AX160" i="7"/>
  <c r="AX158" i="7"/>
  <c r="AX156" i="7"/>
  <c r="AX180" i="7"/>
  <c r="AX165" i="7"/>
  <c r="AX78" i="7"/>
  <c r="AX163" i="7"/>
  <c r="AX178" i="7"/>
  <c r="AX161" i="7"/>
  <c r="AX106" i="7"/>
  <c r="AX104" i="7"/>
  <c r="AX103" i="7" s="1"/>
  <c r="AX100" i="7"/>
  <c r="AX99" i="7" s="1"/>
  <c r="AX93" i="7"/>
  <c r="AX170" i="7"/>
  <c r="AX154" i="7"/>
  <c r="AX152" i="7"/>
  <c r="AX150" i="7"/>
  <c r="AX145" i="7"/>
  <c r="AX172" i="7"/>
  <c r="AX140" i="7"/>
  <c r="AX137" i="7"/>
  <c r="AX132" i="7"/>
  <c r="AX68" i="7" a="1"/>
  <c r="AX68" i="7" s="1"/>
  <c r="AX40" i="7"/>
  <c r="AX38" i="7"/>
  <c r="AX36" i="7"/>
  <c r="AX34" i="7"/>
  <c r="AX155" i="7"/>
  <c r="AX151" i="7"/>
  <c r="AX144" i="7"/>
  <c r="AX82" i="7"/>
  <c r="AX157" i="7"/>
  <c r="AX143" i="7"/>
  <c r="AX138" i="7"/>
  <c r="AX135" i="7"/>
  <c r="AX130" i="7"/>
  <c r="AX174" i="7"/>
  <c r="AX81" i="7"/>
  <c r="AX107" i="7"/>
  <c r="AX33" i="7"/>
  <c r="AX133" i="7"/>
  <c r="AX28" i="7"/>
  <c r="AX176" i="7"/>
  <c r="AX159" i="7"/>
  <c r="AX146" i="7"/>
  <c r="AX183" i="7" s="1" a="1"/>
  <c r="AX183" i="7" s="1"/>
  <c r="AX32" i="7"/>
  <c r="AX30" i="7"/>
  <c r="AX24" i="7"/>
  <c r="AX20" i="7"/>
  <c r="AX139" i="7"/>
  <c r="AX134" i="7"/>
  <c r="AX141" i="7"/>
  <c r="AX136" i="7"/>
  <c r="AX153" i="7"/>
  <c r="AX142" i="7"/>
  <c r="AX131" i="7"/>
  <c r="AX35" i="7"/>
  <c r="AX14" i="7"/>
  <c r="AX12" i="7"/>
  <c r="AX13" i="7"/>
  <c r="AX202" i="7" s="1"/>
  <c r="AY5" i="7"/>
  <c r="AX39" i="7"/>
  <c r="AX27" i="7"/>
  <c r="AX50" i="7"/>
  <c r="AX59" i="7" s="1"/>
  <c r="AX76" i="7" s="1"/>
  <c r="AX29" i="7"/>
  <c r="AX45" i="7" s="1" a="1"/>
  <c r="AX45" i="7" s="1"/>
  <c r="AX79" i="7"/>
  <c r="AX6" i="7"/>
  <c r="AX18" i="7" s="1"/>
  <c r="AX62" i="7" s="1"/>
  <c r="AX61" i="7" s="1"/>
  <c r="AX41" i="7"/>
  <c r="AX11" i="7"/>
  <c r="AX17" i="7"/>
  <c r="AX105" i="7"/>
  <c r="AX66" i="7"/>
  <c r="AX64" i="7" s="1"/>
  <c r="AX37" i="7"/>
  <c r="AX31" i="7"/>
  <c r="AX16" i="7"/>
  <c r="AU189" i="7"/>
  <c r="S76" i="7"/>
  <c r="S57" i="7"/>
  <c r="AU95" i="7"/>
  <c r="AW103" i="7"/>
  <c r="U47" i="7"/>
  <c r="AU71" i="7"/>
  <c r="AU188" i="7" s="1"/>
  <c r="AX195" i="7"/>
  <c r="AX196" i="7"/>
  <c r="AW75" i="7"/>
  <c r="AW74" i="7" s="1"/>
  <c r="AW72" i="7" s="1"/>
  <c r="AW57" i="7"/>
  <c r="AU223" i="7"/>
  <c r="AV221" i="7"/>
  <c r="AW209" i="7"/>
  <c r="AW213" i="7" s="1"/>
  <c r="AV46" i="7"/>
  <c r="AV96" i="7"/>
  <c r="AV95" i="7" s="1"/>
  <c r="V175" i="7"/>
  <c r="V180" i="7" s="1"/>
  <c r="V181" i="7" s="1"/>
  <c r="V155" i="7"/>
  <c r="V165" i="7" s="1"/>
  <c r="V166" i="7" s="1"/>
  <c r="V135" i="7"/>
  <c r="V145" i="7" s="1"/>
  <c r="V146" i="7" s="1"/>
  <c r="V183" i="7" s="1" a="1"/>
  <c r="V183" i="7" s="1"/>
  <c r="V45" i="7" a="1"/>
  <c r="V45" i="7" s="1"/>
  <c r="V50" i="7" s="1"/>
  <c r="V59" i="7" s="1"/>
  <c r="W33" i="7"/>
  <c r="W78" i="7" s="1"/>
  <c r="V44" i="7"/>
  <c r="W79" i="7"/>
  <c r="W157" i="7"/>
  <c r="W177" i="7"/>
  <c r="W137" i="7"/>
  <c r="X35" i="7"/>
  <c r="U46" i="7"/>
  <c r="V209" i="7" s="1"/>
  <c r="V213" i="7" s="1"/>
  <c r="U96" i="7"/>
  <c r="AT72" i="7"/>
  <c r="AT71" i="7" s="1"/>
  <c r="AV55" i="7"/>
  <c r="U50" i="7"/>
  <c r="AW4" i="8"/>
  <c r="AV5" i="8"/>
  <c r="AT4" i="9"/>
  <c r="AT3" i="9" s="1"/>
  <c r="Q188" i="7"/>
  <c r="Q189" i="7"/>
  <c r="Q187" i="7"/>
  <c r="AV74" i="7"/>
  <c r="AV72" i="7" s="1"/>
  <c r="AV71" i="7" s="1"/>
  <c r="T223" i="7"/>
  <c r="U221" i="7"/>
  <c r="AX21" i="7"/>
  <c r="AW44" i="7"/>
  <c r="AX51" i="7"/>
  <c r="AX58" i="7" s="1"/>
  <c r="T55" i="7"/>
  <c r="T81" i="7"/>
  <c r="T74" i="7" s="1"/>
  <c r="T72" i="7" s="1"/>
  <c r="T71" i="7" s="1"/>
  <c r="T82" i="7"/>
  <c r="V214" i="7" l="1"/>
  <c r="V222" i="7"/>
  <c r="V76" i="7"/>
  <c r="V57" i="7"/>
  <c r="AV188" i="7"/>
  <c r="AV187" i="7"/>
  <c r="AV189" i="7"/>
  <c r="X138" i="7"/>
  <c r="X158" i="7"/>
  <c r="X178" i="7"/>
  <c r="AW46" i="7"/>
  <c r="AX209" i="7" s="1"/>
  <c r="AX213" i="7" s="1"/>
  <c r="AW96" i="7"/>
  <c r="AW95" i="7" s="1"/>
  <c r="AW71" i="7" s="1"/>
  <c r="AT189" i="7"/>
  <c r="AT187" i="7"/>
  <c r="AT188" i="7"/>
  <c r="AX77" i="7"/>
  <c r="U95" i="7"/>
  <c r="U223" i="7"/>
  <c r="V221" i="7"/>
  <c r="S55" i="7"/>
  <c r="S82" i="7"/>
  <c r="S81" i="7"/>
  <c r="S74" i="7" s="1"/>
  <c r="AW221" i="7"/>
  <c r="AV223" i="7"/>
  <c r="AU4" i="9"/>
  <c r="AU3" i="9" s="1"/>
  <c r="AX4" i="8"/>
  <c r="AW5" i="8"/>
  <c r="V46" i="7"/>
  <c r="W209" i="7" s="1"/>
  <c r="W213" i="7" s="1"/>
  <c r="V96" i="7"/>
  <c r="V95" i="7" s="1"/>
  <c r="AW214" i="7"/>
  <c r="AW222" i="7"/>
  <c r="AY51" i="7"/>
  <c r="AY58" i="7" s="1"/>
  <c r="AX44" i="7"/>
  <c r="AW47" i="7"/>
  <c r="W136" i="7"/>
  <c r="W145" i="7" s="1"/>
  <c r="W146" i="7" s="1"/>
  <c r="W183" i="7" s="1" a="1"/>
  <c r="W183" i="7" s="1"/>
  <c r="W176" i="7"/>
  <c r="W180" i="7" s="1"/>
  <c r="W181" i="7" s="1"/>
  <c r="W156" i="7"/>
  <c r="W165" i="7" s="1"/>
  <c r="W166" i="7" s="1"/>
  <c r="W44" i="7"/>
  <c r="W45" i="7" a="1"/>
  <c r="W45" i="7" s="1"/>
  <c r="X34" i="7"/>
  <c r="X78" i="7"/>
  <c r="U59" i="7"/>
  <c r="T189" i="7"/>
  <c r="T187" i="7"/>
  <c r="T188" i="7"/>
  <c r="AU187" i="7"/>
  <c r="AY19" i="7"/>
  <c r="AY175" i="7"/>
  <c r="AY163" i="7"/>
  <c r="AY156" i="7"/>
  <c r="AY197" i="7"/>
  <c r="AZ193" i="7" s="1"/>
  <c r="AY178" i="7"/>
  <c r="AY173" i="7"/>
  <c r="AY161" i="7"/>
  <c r="AY171" i="7"/>
  <c r="AY159" i="7"/>
  <c r="AY155" i="7"/>
  <c r="AY153" i="7"/>
  <c r="AY151" i="7"/>
  <c r="AY146" i="7"/>
  <c r="AY183" i="7" s="1" a="1"/>
  <c r="AY183" i="7" s="1"/>
  <c r="AY144" i="7"/>
  <c r="AY142" i="7"/>
  <c r="AY140" i="7"/>
  <c r="AY138" i="7"/>
  <c r="AY136" i="7"/>
  <c r="AY134" i="7"/>
  <c r="AY132" i="7"/>
  <c r="AY130" i="7"/>
  <c r="AY82" i="7"/>
  <c r="AY180" i="7"/>
  <c r="AY177" i="7"/>
  <c r="AY165" i="7"/>
  <c r="AY158" i="7"/>
  <c r="AY154" i="7"/>
  <c r="AY150" i="7"/>
  <c r="AY66" i="7"/>
  <c r="AY64" i="7" s="1"/>
  <c r="AY157" i="7"/>
  <c r="AY143" i="7"/>
  <c r="AY135" i="7"/>
  <c r="AY104" i="7"/>
  <c r="AY78" i="7"/>
  <c r="AY174" i="7"/>
  <c r="AY164" i="7"/>
  <c r="AY107" i="7"/>
  <c r="AY179" i="7"/>
  <c r="AY181" i="7"/>
  <c r="AY176" i="7"/>
  <c r="AY172" i="7"/>
  <c r="AY162" i="7"/>
  <c r="AY137" i="7"/>
  <c r="AY106" i="7"/>
  <c r="AY93" i="7"/>
  <c r="AY133" i="7"/>
  <c r="AY100" i="7"/>
  <c r="AY99" i="7" s="1"/>
  <c r="AY40" i="7"/>
  <c r="AY28" i="7"/>
  <c r="AY170" i="7"/>
  <c r="AY145" i="7"/>
  <c r="AY38" i="7"/>
  <c r="AY32" i="7"/>
  <c r="AY30" i="7"/>
  <c r="AY24" i="7"/>
  <c r="AY20" i="7"/>
  <c r="AY139" i="7"/>
  <c r="AY79" i="7"/>
  <c r="AY68" i="7" a="1"/>
  <c r="AY68" i="7" s="1"/>
  <c r="AY36" i="7"/>
  <c r="AY141" i="7"/>
  <c r="AY160" i="7"/>
  <c r="AY152" i="7"/>
  <c r="AY166" i="7"/>
  <c r="AY131" i="7"/>
  <c r="AY33" i="7"/>
  <c r="AZ5" i="7"/>
  <c r="AY81" i="7"/>
  <c r="AY39" i="7"/>
  <c r="AY27" i="7"/>
  <c r="AY105" i="7"/>
  <c r="AY31" i="7"/>
  <c r="AY37" i="7"/>
  <c r="AY17" i="7"/>
  <c r="AY41" i="7"/>
  <c r="AY12" i="7"/>
  <c r="AY11" i="7"/>
  <c r="AY50" i="7"/>
  <c r="AY59" i="7" s="1"/>
  <c r="AY76" i="7" s="1"/>
  <c r="AY16" i="7"/>
  <c r="AY13" i="7"/>
  <c r="AY202" i="7" s="1"/>
  <c r="AY34" i="7"/>
  <c r="AY29" i="7"/>
  <c r="AY45" i="7" s="1" a="1"/>
  <c r="AY45" i="7" s="1"/>
  <c r="AY35" i="7"/>
  <c r="AY14" i="7"/>
  <c r="AY6" i="7"/>
  <c r="AY18" i="7" s="1"/>
  <c r="AY195" i="7"/>
  <c r="AY196" i="7"/>
  <c r="V47" i="7"/>
  <c r="W50" i="7"/>
  <c r="W59" i="7" s="1"/>
  <c r="AX75" i="7"/>
  <c r="AX74" i="7" s="1"/>
  <c r="AX72" i="7" s="1"/>
  <c r="AX57" i="7"/>
  <c r="AX55" i="7" s="1"/>
  <c r="AW55" i="7"/>
  <c r="W214" i="7" l="1"/>
  <c r="W222" i="7"/>
  <c r="S72" i="7"/>
  <c r="S71" i="7" s="1"/>
  <c r="AX214" i="7"/>
  <c r="AX222" i="7"/>
  <c r="AZ19" i="7"/>
  <c r="W46" i="7"/>
  <c r="X209" i="7" s="1"/>
  <c r="X213" i="7" s="1"/>
  <c r="W96" i="7"/>
  <c r="W95" i="7" s="1"/>
  <c r="AX221" i="7"/>
  <c r="AW223" i="7"/>
  <c r="AX71" i="7"/>
  <c r="AX188" i="7" s="1"/>
  <c r="U76" i="7"/>
  <c r="U57" i="7"/>
  <c r="V223" i="7"/>
  <c r="W221" i="7"/>
  <c r="V55" i="7"/>
  <c r="V82" i="7"/>
  <c r="V81" i="7"/>
  <c r="V74" i="7" s="1"/>
  <c r="V72" i="7" s="1"/>
  <c r="V71" i="7" s="1"/>
  <c r="AX46" i="7"/>
  <c r="AY209" i="7" s="1"/>
  <c r="AY213" i="7" s="1"/>
  <c r="AX96" i="7"/>
  <c r="AX95" i="7" s="1"/>
  <c r="AY21" i="7"/>
  <c r="X137" i="7"/>
  <c r="X145" i="7" s="1"/>
  <c r="X146" i="7" s="1"/>
  <c r="X183" i="7" s="1" a="1"/>
  <c r="X183" i="7" s="1"/>
  <c r="P39" i="5" s="1"/>
  <c r="X79" i="7"/>
  <c r="X177" i="7"/>
  <c r="X157" i="7"/>
  <c r="X44" i="7"/>
  <c r="AY75" i="7"/>
  <c r="AY57" i="7"/>
  <c r="AX5" i="8"/>
  <c r="AV4" i="9"/>
  <c r="AV3" i="9" s="1"/>
  <c r="AY4" i="8"/>
  <c r="AZ180" i="7"/>
  <c r="AZ178" i="7"/>
  <c r="AZ176" i="7"/>
  <c r="AZ197" i="7"/>
  <c r="BA193" i="7" s="1"/>
  <c r="AZ173" i="7"/>
  <c r="AZ161" i="7"/>
  <c r="AZ106" i="7"/>
  <c r="R55" i="5" s="1"/>
  <c r="AZ104" i="7"/>
  <c r="AZ100" i="7"/>
  <c r="AZ99" i="7" s="1"/>
  <c r="R51" i="5" s="1"/>
  <c r="AZ93" i="7"/>
  <c r="AZ171" i="7"/>
  <c r="AZ159" i="7"/>
  <c r="AZ155" i="7"/>
  <c r="AZ153" i="7"/>
  <c r="AZ151" i="7"/>
  <c r="AZ146" i="7"/>
  <c r="AZ183" i="7" s="1" a="1"/>
  <c r="AZ183" i="7" s="1"/>
  <c r="R39" i="5" s="1"/>
  <c r="R16" i="5" s="1"/>
  <c r="AZ144" i="7"/>
  <c r="AZ181" i="7"/>
  <c r="AZ166" i="7"/>
  <c r="AZ157" i="7"/>
  <c r="AZ175" i="7"/>
  <c r="AZ163" i="7"/>
  <c r="AZ156" i="7"/>
  <c r="AZ177" i="7"/>
  <c r="AZ165" i="7"/>
  <c r="AZ158" i="7"/>
  <c r="AZ143" i="7"/>
  <c r="AZ135" i="7"/>
  <c r="AZ82" i="7"/>
  <c r="AZ78" i="7"/>
  <c r="AZ174" i="7"/>
  <c r="AZ164" i="7"/>
  <c r="AZ138" i="7"/>
  <c r="AZ130" i="7"/>
  <c r="AZ107" i="7"/>
  <c r="R56" i="5" s="1"/>
  <c r="AZ179" i="7"/>
  <c r="AZ141" i="7"/>
  <c r="AZ133" i="7"/>
  <c r="AZ154" i="7"/>
  <c r="AZ150" i="7"/>
  <c r="AZ140" i="7"/>
  <c r="AZ132" i="7"/>
  <c r="AZ66" i="7"/>
  <c r="AZ64" i="7" s="1"/>
  <c r="R37" i="5" s="1"/>
  <c r="AZ170" i="7"/>
  <c r="AZ145" i="7"/>
  <c r="AZ68" i="7" a="1"/>
  <c r="AZ68" i="7" s="1"/>
  <c r="R38" i="5" s="1"/>
  <c r="R15" i="5" s="1"/>
  <c r="AZ38" i="7"/>
  <c r="AZ32" i="7"/>
  <c r="AZ30" i="7"/>
  <c r="AZ24" i="7"/>
  <c r="AZ20" i="7"/>
  <c r="AZ139" i="7"/>
  <c r="AZ79" i="7"/>
  <c r="AZ36" i="7"/>
  <c r="AZ16" i="7"/>
  <c r="AZ13" i="7"/>
  <c r="AZ202" i="7" s="1"/>
  <c r="AZ134" i="7"/>
  <c r="AZ41" i="7"/>
  <c r="AZ34" i="7"/>
  <c r="AZ162" i="7"/>
  <c r="AZ160" i="7"/>
  <c r="AZ152" i="7"/>
  <c r="AZ136" i="7"/>
  <c r="AZ131" i="7"/>
  <c r="AZ142" i="7"/>
  <c r="AZ172" i="7"/>
  <c r="AZ137" i="7"/>
  <c r="AZ40" i="7"/>
  <c r="AZ28" i="7"/>
  <c r="AZ81" i="7"/>
  <c r="AZ39" i="7"/>
  <c r="AZ27" i="7"/>
  <c r="AZ45" i="7" s="1" a="1"/>
  <c r="AZ45" i="7" s="1"/>
  <c r="AZ105" i="7"/>
  <c r="R54" i="5" s="1"/>
  <c r="AZ31" i="7"/>
  <c r="AZ35" i="7"/>
  <c r="AZ14" i="7"/>
  <c r="AZ50" i="7"/>
  <c r="AZ33" i="7"/>
  <c r="BA5" i="7"/>
  <c r="AZ29" i="7"/>
  <c r="AZ17" i="7"/>
  <c r="AZ37" i="7"/>
  <c r="AZ12" i="7"/>
  <c r="AZ11" i="7"/>
  <c r="AZ6" i="7"/>
  <c r="AZ18" i="7" s="1"/>
  <c r="AZ62" i="7" s="1"/>
  <c r="AZ195" i="7"/>
  <c r="AZ196" i="7"/>
  <c r="W76" i="7"/>
  <c r="W57" i="7"/>
  <c r="AY103" i="7"/>
  <c r="S189" i="7"/>
  <c r="S188" i="7"/>
  <c r="S187" i="7"/>
  <c r="AW189" i="7"/>
  <c r="AW188" i="7"/>
  <c r="AW187" i="7"/>
  <c r="AY62" i="7"/>
  <c r="AY61" i="7" s="1"/>
  <c r="AZ51" i="7"/>
  <c r="AZ58" i="7" s="1"/>
  <c r="AY44" i="7"/>
  <c r="AY47" i="7" s="1"/>
  <c r="W47" i="7"/>
  <c r="X50" i="7"/>
  <c r="X59" i="7" s="1"/>
  <c r="AX47" i="7"/>
  <c r="X222" i="7" l="1"/>
  <c r="X214" i="7"/>
  <c r="AY222" i="7"/>
  <c r="AY214" i="7"/>
  <c r="BA178" i="7"/>
  <c r="BA171" i="7"/>
  <c r="BA159" i="7"/>
  <c r="BA155" i="7"/>
  <c r="BA153" i="7"/>
  <c r="BA151" i="7"/>
  <c r="BA146" i="7"/>
  <c r="BA183" i="7" s="1" a="1"/>
  <c r="BA183" i="7" s="1"/>
  <c r="BA144" i="7"/>
  <c r="BA142" i="7"/>
  <c r="BA140" i="7"/>
  <c r="BA138" i="7"/>
  <c r="BA136" i="7"/>
  <c r="BA134" i="7"/>
  <c r="BA132" i="7"/>
  <c r="BA130" i="7"/>
  <c r="BA82" i="7"/>
  <c r="BA181" i="7"/>
  <c r="BA166" i="7"/>
  <c r="BA157" i="7"/>
  <c r="BA176" i="7"/>
  <c r="BA174" i="7"/>
  <c r="BA164" i="7"/>
  <c r="BA197" i="7"/>
  <c r="BB193" i="7" s="1"/>
  <c r="BA173" i="7"/>
  <c r="BA161" i="7"/>
  <c r="BA175" i="7"/>
  <c r="BA107" i="7"/>
  <c r="BA104" i="7"/>
  <c r="BA179" i="7"/>
  <c r="BA141" i="7"/>
  <c r="BA133" i="7"/>
  <c r="BA170" i="7"/>
  <c r="BA160" i="7"/>
  <c r="BA152" i="7"/>
  <c r="BA145" i="7"/>
  <c r="BA105" i="7"/>
  <c r="BA100" i="7"/>
  <c r="BA99" i="7" s="1"/>
  <c r="BA79" i="7"/>
  <c r="BA68" i="7" a="1"/>
  <c r="BA68" i="7" s="1"/>
  <c r="BA180" i="7"/>
  <c r="BA177" i="7"/>
  <c r="BA165" i="7"/>
  <c r="BA158" i="7"/>
  <c r="BA143" i="7"/>
  <c r="BA135" i="7"/>
  <c r="BA78" i="7"/>
  <c r="BA139" i="7"/>
  <c r="BA36" i="7"/>
  <c r="BA16" i="7"/>
  <c r="BA13" i="7"/>
  <c r="BA202" i="7" s="1"/>
  <c r="BA156" i="7"/>
  <c r="BA41" i="7"/>
  <c r="BA34" i="7"/>
  <c r="BA11" i="7"/>
  <c r="BA162" i="7"/>
  <c r="BA81" i="7"/>
  <c r="BA50" i="7"/>
  <c r="BA39" i="7"/>
  <c r="BA29" i="7"/>
  <c r="BA27" i="7"/>
  <c r="BA45" i="7" s="1" a="1"/>
  <c r="BA45" i="7" s="1"/>
  <c r="BA150" i="7"/>
  <c r="BA131" i="7"/>
  <c r="BA163" i="7"/>
  <c r="BA172" i="7"/>
  <c r="BA137" i="7"/>
  <c r="BA154" i="7"/>
  <c r="BA106" i="7"/>
  <c r="BA38" i="7"/>
  <c r="BA32" i="7"/>
  <c r="BA30" i="7"/>
  <c r="BA24" i="7"/>
  <c r="BA20" i="7"/>
  <c r="BA93" i="7"/>
  <c r="BA31" i="7"/>
  <c r="BA35" i="7"/>
  <c r="BA14" i="7"/>
  <c r="BA33" i="7"/>
  <c r="BB5" i="7"/>
  <c r="BA28" i="7"/>
  <c r="BA12" i="7"/>
  <c r="BA66" i="7"/>
  <c r="BA64" i="7" s="1"/>
  <c r="BA37" i="7"/>
  <c r="BA40" i="7"/>
  <c r="BA17" i="7"/>
  <c r="BA6" i="7"/>
  <c r="BA18" i="7" s="1"/>
  <c r="BA62" i="7" s="1"/>
  <c r="X76" i="7"/>
  <c r="X57" i="7"/>
  <c r="AZ75" i="7"/>
  <c r="AZ57" i="7"/>
  <c r="R32" i="5"/>
  <c r="BA196" i="7"/>
  <c r="BA195" i="7"/>
  <c r="P33" i="5"/>
  <c r="AZ59" i="7"/>
  <c r="R29" i="5"/>
  <c r="R11" i="5" s="1"/>
  <c r="AY77" i="7"/>
  <c r="R34" i="5"/>
  <c r="AY74" i="7"/>
  <c r="AY72" i="7" s="1"/>
  <c r="AY71" i="7" s="1"/>
  <c r="W55" i="7"/>
  <c r="W81" i="7"/>
  <c r="W82" i="7"/>
  <c r="X46" i="7"/>
  <c r="Y209" i="7" s="1"/>
  <c r="Y213" i="7" s="1"/>
  <c r="X165" i="7"/>
  <c r="X166" i="7" s="1"/>
  <c r="X180" i="7"/>
  <c r="X96" i="7"/>
  <c r="X47" i="7"/>
  <c r="U55" i="7"/>
  <c r="U81" i="7"/>
  <c r="U82" i="7"/>
  <c r="AY221" i="7"/>
  <c r="AX223" i="7"/>
  <c r="BA51" i="7"/>
  <c r="BA58" i="7" s="1"/>
  <c r="AZ44" i="7"/>
  <c r="AZ103" i="7"/>
  <c r="R53" i="5"/>
  <c r="AW4" i="9"/>
  <c r="AW3" i="9" s="1"/>
  <c r="AZ4" i="8"/>
  <c r="AY5" i="8"/>
  <c r="V189" i="7"/>
  <c r="V187" i="7"/>
  <c r="V188" i="7"/>
  <c r="U74" i="7"/>
  <c r="AZ61" i="7"/>
  <c r="AZ77" i="7" s="1"/>
  <c r="R35" i="5"/>
  <c r="P16" i="5"/>
  <c r="AX187" i="7"/>
  <c r="AZ21" i="7"/>
  <c r="W223" i="7"/>
  <c r="X221" i="7"/>
  <c r="W74" i="7"/>
  <c r="W72" i="7" s="1"/>
  <c r="W71" i="7" s="1"/>
  <c r="AY46" i="7"/>
  <c r="AZ209" i="7" s="1"/>
  <c r="AZ213" i="7" s="1"/>
  <c r="BA19" i="7"/>
  <c r="BA21" i="7" s="1"/>
  <c r="AX189" i="7"/>
  <c r="AY55" i="7"/>
  <c r="P29" i="5"/>
  <c r="P11" i="5" s="1"/>
  <c r="AY96" i="7"/>
  <c r="AY95" i="7" s="1"/>
  <c r="AZ214" i="7" l="1"/>
  <c r="AZ222" i="7"/>
  <c r="Y214" i="7"/>
  <c r="Y222" i="7"/>
  <c r="BA61" i="7"/>
  <c r="AY189" i="7"/>
  <c r="AY188" i="7"/>
  <c r="AY187" i="7"/>
  <c r="X82" i="7"/>
  <c r="X81" i="7"/>
  <c r="BA59" i="7"/>
  <c r="AZ5" i="8"/>
  <c r="AX4" i="9"/>
  <c r="AX3" i="9" s="1"/>
  <c r="BA4" i="8"/>
  <c r="W188" i="7"/>
  <c r="W187" i="7"/>
  <c r="W189" i="7"/>
  <c r="X74" i="7"/>
  <c r="X72" i="7" s="1"/>
  <c r="BB180" i="7"/>
  <c r="BB178" i="7"/>
  <c r="BB176" i="7"/>
  <c r="BB174" i="7"/>
  <c r="BB172" i="7"/>
  <c r="BB170" i="7"/>
  <c r="BB165" i="7"/>
  <c r="BB163" i="7"/>
  <c r="BB161" i="7"/>
  <c r="BB159" i="7"/>
  <c r="BB157" i="7"/>
  <c r="BB181" i="7"/>
  <c r="BB166" i="7"/>
  <c r="BB79" i="7"/>
  <c r="BB164" i="7"/>
  <c r="BB179" i="7"/>
  <c r="BB162" i="7"/>
  <c r="BB107" i="7"/>
  <c r="BB105" i="7"/>
  <c r="BB171" i="7"/>
  <c r="BB155" i="7"/>
  <c r="BB153" i="7"/>
  <c r="BB151" i="7"/>
  <c r="BB146" i="7"/>
  <c r="BB183" i="7" s="1" a="1"/>
  <c r="BB183" i="7" s="1"/>
  <c r="BB144" i="7"/>
  <c r="BB141" i="7"/>
  <c r="BB138" i="7"/>
  <c r="BB133" i="7"/>
  <c r="BB130" i="7"/>
  <c r="BB68" i="7" a="1"/>
  <c r="BB68" i="7" s="1"/>
  <c r="BB41" i="7"/>
  <c r="BB39" i="7"/>
  <c r="BB37" i="7"/>
  <c r="BB35" i="7"/>
  <c r="BB33" i="7"/>
  <c r="BB160" i="7"/>
  <c r="BB152" i="7"/>
  <c r="BB145" i="7"/>
  <c r="BB100" i="7"/>
  <c r="BB99" i="7" s="1"/>
  <c r="BB139" i="7"/>
  <c r="BB136" i="7"/>
  <c r="BB131" i="7"/>
  <c r="BB197" i="7"/>
  <c r="BC193" i="7" s="1"/>
  <c r="BB175" i="7"/>
  <c r="BB104" i="7"/>
  <c r="BB82" i="7"/>
  <c r="BB156" i="7"/>
  <c r="BB34" i="7"/>
  <c r="BB11" i="7"/>
  <c r="BC19" i="7" s="1"/>
  <c r="BB173" i="7"/>
  <c r="BB134" i="7"/>
  <c r="BB81" i="7"/>
  <c r="BB50" i="7"/>
  <c r="BB59" i="7" s="1"/>
  <c r="BB76" i="7" s="1"/>
  <c r="BB29" i="7"/>
  <c r="BB27" i="7"/>
  <c r="BB150" i="7"/>
  <c r="BB93" i="7"/>
  <c r="BB66" i="7"/>
  <c r="BB64" i="7" s="1"/>
  <c r="BB31" i="7"/>
  <c r="BB17" i="7"/>
  <c r="BB140" i="7"/>
  <c r="BB135" i="7"/>
  <c r="BB142" i="7"/>
  <c r="BB137" i="7"/>
  <c r="BB154" i="7"/>
  <c r="BB177" i="7"/>
  <c r="BB158" i="7"/>
  <c r="BB143" i="7"/>
  <c r="BB132" i="7"/>
  <c r="BB36" i="7"/>
  <c r="BB16" i="7"/>
  <c r="BB13" i="7"/>
  <c r="BB202" i="7" s="1"/>
  <c r="BB14" i="7"/>
  <c r="BB78" i="7"/>
  <c r="BB28" i="7"/>
  <c r="BB40" i="7"/>
  <c r="BB106" i="7"/>
  <c r="BC5" i="7"/>
  <c r="BB24" i="7"/>
  <c r="BB30" i="7"/>
  <c r="BB38" i="7"/>
  <c r="BB45" i="7" s="1" a="1"/>
  <c r="BB45" i="7" s="1"/>
  <c r="BB32" i="7"/>
  <c r="BB20" i="7"/>
  <c r="BB12" i="7"/>
  <c r="BB6" i="7"/>
  <c r="BB18" i="7" s="1"/>
  <c r="X95" i="7"/>
  <c r="P49" i="5"/>
  <c r="R52" i="5"/>
  <c r="R14" i="5"/>
  <c r="BB19" i="7"/>
  <c r="AZ221" i="7"/>
  <c r="AY223" i="7"/>
  <c r="BB195" i="7"/>
  <c r="BB196" i="7"/>
  <c r="BA103" i="7"/>
  <c r="X181" i="7"/>
  <c r="X68" i="7" a="1"/>
  <c r="X68" i="7" s="1"/>
  <c r="BA57" i="7"/>
  <c r="BA75" i="7"/>
  <c r="AZ55" i="7"/>
  <c r="R31" i="5"/>
  <c r="R13" i="5" s="1"/>
  <c r="R12" i="5" s="1"/>
  <c r="Y221" i="7"/>
  <c r="X223" i="7"/>
  <c r="U72" i="7"/>
  <c r="U71" i="7" s="1"/>
  <c r="U188" i="7" s="1"/>
  <c r="AZ46" i="7"/>
  <c r="BA209" i="7" s="1"/>
  <c r="BA213" i="7" s="1"/>
  <c r="AZ96" i="7"/>
  <c r="P31" i="5"/>
  <c r="BA44" i="7"/>
  <c r="BB51" i="7"/>
  <c r="BB58" i="7" s="1"/>
  <c r="AZ76" i="7"/>
  <c r="R33" i="5"/>
  <c r="AZ74" i="7"/>
  <c r="AZ47" i="7"/>
  <c r="BA222" i="7" l="1"/>
  <c r="BA214" i="7"/>
  <c r="AZ95" i="7"/>
  <c r="R49" i="5"/>
  <c r="R48" i="5" s="1"/>
  <c r="R20" i="5" s="1"/>
  <c r="P38" i="5"/>
  <c r="AZ72" i="7"/>
  <c r="AZ71" i="7" s="1"/>
  <c r="AZ189" i="7" s="1"/>
  <c r="R57" i="5" s="1"/>
  <c r="R43" i="5"/>
  <c r="R41" i="5" s="1"/>
  <c r="P48" i="5"/>
  <c r="BA46" i="7"/>
  <c r="BB209" i="7" s="1"/>
  <c r="BB213" i="7" s="1"/>
  <c r="BA96" i="7"/>
  <c r="BB103" i="7"/>
  <c r="X55" i="7"/>
  <c r="AY4" i="9"/>
  <c r="AY3" i="9" s="1"/>
  <c r="BB4" i="8"/>
  <c r="BA5" i="8"/>
  <c r="P13" i="5"/>
  <c r="BA55" i="7"/>
  <c r="BC196" i="7"/>
  <c r="BC195" i="7"/>
  <c r="U189" i="7"/>
  <c r="BA77" i="7"/>
  <c r="R21" i="5"/>
  <c r="U187" i="7"/>
  <c r="Z221" i="7"/>
  <c r="Y223" i="7"/>
  <c r="BA76" i="7"/>
  <c r="BA74" i="7" s="1"/>
  <c r="BB62" i="7"/>
  <c r="BB44" i="7"/>
  <c r="BB47" i="7" s="1"/>
  <c r="BC51" i="7"/>
  <c r="BC58" i="7" s="1"/>
  <c r="BC164" i="7"/>
  <c r="BC157" i="7"/>
  <c r="BC179" i="7"/>
  <c r="BC176" i="7"/>
  <c r="BC174" i="7"/>
  <c r="BC162" i="7"/>
  <c r="BC172" i="7"/>
  <c r="BC160" i="7"/>
  <c r="BC154" i="7"/>
  <c r="BC152" i="7"/>
  <c r="BC150" i="7"/>
  <c r="BC145" i="7"/>
  <c r="BC143" i="7"/>
  <c r="BC141" i="7"/>
  <c r="BC139" i="7"/>
  <c r="BC137" i="7"/>
  <c r="BC135" i="7"/>
  <c r="BC133" i="7"/>
  <c r="BC131" i="7"/>
  <c r="BC81" i="7"/>
  <c r="BC181" i="7"/>
  <c r="BC178" i="7"/>
  <c r="BC166" i="7"/>
  <c r="BC159" i="7"/>
  <c r="BC171" i="7"/>
  <c r="BC161" i="7"/>
  <c r="BC155" i="7"/>
  <c r="BC151" i="7"/>
  <c r="BC144" i="7"/>
  <c r="BC100" i="7"/>
  <c r="BC99" i="7" s="1"/>
  <c r="BC170" i="7"/>
  <c r="BC136" i="7"/>
  <c r="BC105" i="7"/>
  <c r="BC79" i="7"/>
  <c r="BC156" i="7"/>
  <c r="BC197" i="7"/>
  <c r="BD193" i="7" s="1"/>
  <c r="BC180" i="7"/>
  <c r="BC177" i="7"/>
  <c r="BC138" i="7"/>
  <c r="BC130" i="7"/>
  <c r="BC107" i="7"/>
  <c r="BC173" i="7"/>
  <c r="BC134" i="7"/>
  <c r="BC50" i="7"/>
  <c r="BC41" i="7"/>
  <c r="BC29" i="7"/>
  <c r="BC27" i="7"/>
  <c r="BC146" i="7"/>
  <c r="BC183" i="7" s="1" a="1"/>
  <c r="BC183" i="7" s="1"/>
  <c r="BC93" i="7"/>
  <c r="BC66" i="7"/>
  <c r="BC64" i="7" s="1"/>
  <c r="BC39" i="7"/>
  <c r="BC31" i="7"/>
  <c r="BC17" i="7"/>
  <c r="BD5" i="7"/>
  <c r="BC140" i="7"/>
  <c r="BC37" i="7"/>
  <c r="BC165" i="7"/>
  <c r="BC163" i="7"/>
  <c r="BC142" i="7"/>
  <c r="BC175" i="7"/>
  <c r="BC153" i="7"/>
  <c r="BC158" i="7"/>
  <c r="BC132" i="7"/>
  <c r="BC34" i="7"/>
  <c r="BC11" i="7"/>
  <c r="BD19" i="7" s="1"/>
  <c r="BC78" i="7"/>
  <c r="BC35" i="7"/>
  <c r="BC28" i="7"/>
  <c r="BC68" i="7" a="1"/>
  <c r="BC68" i="7" s="1"/>
  <c r="BC38" i="7"/>
  <c r="BC32" i="7"/>
  <c r="BC20" i="7"/>
  <c r="BC21" i="7" s="1"/>
  <c r="BC12" i="7"/>
  <c r="BC106" i="7"/>
  <c r="BC30" i="7"/>
  <c r="BC24" i="7"/>
  <c r="BC13" i="7"/>
  <c r="BC202" i="7" s="1"/>
  <c r="BC16" i="7"/>
  <c r="BC33" i="7"/>
  <c r="BC104" i="7"/>
  <c r="BC103" i="7" s="1"/>
  <c r="BC36" i="7"/>
  <c r="BC82" i="7"/>
  <c r="BC40" i="7"/>
  <c r="BC14" i="7"/>
  <c r="BC6" i="7"/>
  <c r="BC18" i="7" s="1"/>
  <c r="BC62" i="7" s="1"/>
  <c r="BC61" i="7" s="1"/>
  <c r="BC77" i="7" s="1"/>
  <c r="X71" i="7"/>
  <c r="BA221" i="7"/>
  <c r="AZ223" i="7"/>
  <c r="BB75" i="7"/>
  <c r="BB57" i="7"/>
  <c r="P43" i="5"/>
  <c r="P41" i="5" s="1"/>
  <c r="AZ188" i="7"/>
  <c r="R30" i="5"/>
  <c r="BB21" i="7"/>
  <c r="BA47" i="7"/>
  <c r="BA72" i="7" l="1"/>
  <c r="BC96" i="7"/>
  <c r="BC95" i="7" s="1"/>
  <c r="BB214" i="7"/>
  <c r="BB222" i="7"/>
  <c r="P18" i="5"/>
  <c r="P40" i="5"/>
  <c r="BC59" i="7"/>
  <c r="BC57" i="7" s="1"/>
  <c r="BD196" i="7"/>
  <c r="BD195" i="7"/>
  <c r="BC75" i="7"/>
  <c r="X188" i="7"/>
  <c r="X187" i="7"/>
  <c r="X189" i="7"/>
  <c r="P57" i="5" s="1"/>
  <c r="P30" i="5"/>
  <c r="P20" i="5"/>
  <c r="R40" i="5"/>
  <c r="R18" i="5"/>
  <c r="R17" i="5" s="1"/>
  <c r="R22" i="5" s="1"/>
  <c r="R23" i="5" s="1"/>
  <c r="BB61" i="7"/>
  <c r="BA95" i="7"/>
  <c r="BB46" i="7"/>
  <c r="BC209" i="7" s="1"/>
  <c r="BC213" i="7" s="1"/>
  <c r="BB96" i="7"/>
  <c r="BB95" i="7" s="1"/>
  <c r="BA223" i="7"/>
  <c r="BB221" i="7"/>
  <c r="BC44" i="7"/>
  <c r="BD51" i="7"/>
  <c r="BD58" i="7" s="1"/>
  <c r="BD197" i="7"/>
  <c r="BE193" i="7" s="1"/>
  <c r="BD181" i="7"/>
  <c r="BD179" i="7"/>
  <c r="BD177" i="7"/>
  <c r="BD176" i="7"/>
  <c r="BD174" i="7"/>
  <c r="BD162" i="7"/>
  <c r="BD107" i="7"/>
  <c r="BD105" i="7"/>
  <c r="BD68" i="7" a="1"/>
  <c r="BD68" i="7" s="1"/>
  <c r="BD172" i="7"/>
  <c r="BD160" i="7"/>
  <c r="BD154" i="7"/>
  <c r="BD152" i="7"/>
  <c r="BD150" i="7"/>
  <c r="BD145" i="7"/>
  <c r="BD170" i="7"/>
  <c r="BD158" i="7"/>
  <c r="BD164" i="7"/>
  <c r="BD157" i="7"/>
  <c r="BD178" i="7"/>
  <c r="BD136" i="7"/>
  <c r="BD79" i="7"/>
  <c r="BD156" i="7"/>
  <c r="BD139" i="7"/>
  <c r="BD131" i="7"/>
  <c r="BD180" i="7"/>
  <c r="BD173" i="7"/>
  <c r="BD163" i="7"/>
  <c r="BD142" i="7"/>
  <c r="BD134" i="7"/>
  <c r="BD81" i="7"/>
  <c r="BD175" i="7"/>
  <c r="BD171" i="7"/>
  <c r="BD161" i="7"/>
  <c r="BD155" i="7"/>
  <c r="BD151" i="7"/>
  <c r="BD144" i="7"/>
  <c r="BD141" i="7"/>
  <c r="BD133" i="7"/>
  <c r="BD100" i="7"/>
  <c r="BD99" i="7" s="1"/>
  <c r="BD146" i="7"/>
  <c r="BD183" i="7" s="1" a="1"/>
  <c r="BD183" i="7" s="1"/>
  <c r="BD93" i="7"/>
  <c r="BD66" i="7"/>
  <c r="BD64" i="7" s="1"/>
  <c r="BD39" i="7"/>
  <c r="BD31" i="7"/>
  <c r="BD45" i="7" s="1" a="1"/>
  <c r="BD45" i="7" s="1"/>
  <c r="BD17" i="7"/>
  <c r="BE5" i="7"/>
  <c r="BD159" i="7"/>
  <c r="BD140" i="7"/>
  <c r="BD37" i="7"/>
  <c r="BD14" i="7"/>
  <c r="BD12" i="7"/>
  <c r="BD165" i="7"/>
  <c r="BD135" i="7"/>
  <c r="BD104" i="7"/>
  <c r="BD103" i="7" s="1"/>
  <c r="BD78" i="7"/>
  <c r="BD35" i="7"/>
  <c r="BD153" i="7"/>
  <c r="BD137" i="7"/>
  <c r="BD166" i="7"/>
  <c r="BD132" i="7"/>
  <c r="BD143" i="7"/>
  <c r="BD138" i="7"/>
  <c r="BD50" i="7"/>
  <c r="BD59" i="7" s="1"/>
  <c r="BD76" i="7" s="1"/>
  <c r="BD41" i="7"/>
  <c r="BD29" i="7"/>
  <c r="BD27" i="7"/>
  <c r="BD28" i="7"/>
  <c r="BD38" i="7"/>
  <c r="BD32" i="7"/>
  <c r="BD20" i="7"/>
  <c r="BD21" i="7" s="1"/>
  <c r="BD11" i="7"/>
  <c r="BD16" i="7"/>
  <c r="BD36" i="7"/>
  <c r="BD33" i="7"/>
  <c r="BD24" i="7"/>
  <c r="BD13" i="7"/>
  <c r="BD202" i="7" s="1"/>
  <c r="BD130" i="7"/>
  <c r="BD34" i="7"/>
  <c r="BD82" i="7"/>
  <c r="BD40" i="7"/>
  <c r="BD30" i="7"/>
  <c r="BD106" i="7"/>
  <c r="BD6" i="7"/>
  <c r="BD18" i="7" s="1"/>
  <c r="BD62" i="7" s="1"/>
  <c r="BD61" i="7" s="1"/>
  <c r="BD77" i="7" s="1"/>
  <c r="P12" i="5"/>
  <c r="AZ187" i="7"/>
  <c r="P15" i="5"/>
  <c r="BC45" i="7" a="1"/>
  <c r="BC45" i="7" s="1"/>
  <c r="BC47" i="7" s="1"/>
  <c r="BC4" i="8"/>
  <c r="AZ4" i="9"/>
  <c r="AZ3" i="9" s="1"/>
  <c r="BB5" i="8"/>
  <c r="BC55" i="7" l="1"/>
  <c r="BC222" i="7"/>
  <c r="BC214" i="7"/>
  <c r="BD75" i="7"/>
  <c r="BD74" i="7" s="1"/>
  <c r="BD72" i="7" s="1"/>
  <c r="BD57" i="7"/>
  <c r="BD55" i="7" s="1"/>
  <c r="BB77" i="7"/>
  <c r="BB74" i="7" s="1"/>
  <c r="BB55" i="7"/>
  <c r="BB223" i="7"/>
  <c r="BC221" i="7"/>
  <c r="BE19" i="7"/>
  <c r="BA4" i="9"/>
  <c r="BA3" i="9" s="1"/>
  <c r="BC5" i="8"/>
  <c r="BD4" i="8"/>
  <c r="BE197" i="7"/>
  <c r="BF193" i="7" s="1"/>
  <c r="BE179" i="7"/>
  <c r="BE172" i="7"/>
  <c r="BE160" i="7"/>
  <c r="BE154" i="7"/>
  <c r="BE152" i="7"/>
  <c r="BE150" i="7"/>
  <c r="BE145" i="7"/>
  <c r="BE143" i="7"/>
  <c r="BE141" i="7"/>
  <c r="BE139" i="7"/>
  <c r="BE137" i="7"/>
  <c r="BE135" i="7"/>
  <c r="BE133" i="7"/>
  <c r="BE131" i="7"/>
  <c r="BE81" i="7"/>
  <c r="BE170" i="7"/>
  <c r="BE158" i="7"/>
  <c r="BE177" i="7"/>
  <c r="BE175" i="7"/>
  <c r="BE165" i="7"/>
  <c r="BE156" i="7"/>
  <c r="BE176" i="7"/>
  <c r="BE174" i="7"/>
  <c r="BE162" i="7"/>
  <c r="BE164" i="7"/>
  <c r="BE157" i="7"/>
  <c r="BE105" i="7"/>
  <c r="BE50" i="7"/>
  <c r="BE180" i="7"/>
  <c r="BE173" i="7"/>
  <c r="BE163" i="7"/>
  <c r="BE142" i="7"/>
  <c r="BE134" i="7"/>
  <c r="BE153" i="7"/>
  <c r="BE146" i="7"/>
  <c r="BE183" i="7" s="1" a="1"/>
  <c r="BE183" i="7" s="1"/>
  <c r="BE106" i="7"/>
  <c r="BE93" i="7"/>
  <c r="BE66" i="7"/>
  <c r="BE64" i="7" s="1"/>
  <c r="BE181" i="7"/>
  <c r="BE178" i="7"/>
  <c r="BE136" i="7"/>
  <c r="BE79" i="7"/>
  <c r="BE159" i="7"/>
  <c r="BE140" i="7"/>
  <c r="BE37" i="7"/>
  <c r="BE14" i="7"/>
  <c r="BE12" i="7"/>
  <c r="BE104" i="7"/>
  <c r="BE78" i="7"/>
  <c r="BE35" i="7"/>
  <c r="BE130" i="7"/>
  <c r="BE82" i="7"/>
  <c r="BE68" i="7" a="1"/>
  <c r="BE68" i="7" s="1"/>
  <c r="BE40" i="7"/>
  <c r="BE33" i="7"/>
  <c r="BE45" i="7" s="1" a="1"/>
  <c r="BE45" i="7" s="1"/>
  <c r="BE28" i="7"/>
  <c r="BE171" i="7"/>
  <c r="BE151" i="7"/>
  <c r="BE166" i="7"/>
  <c r="BE132" i="7"/>
  <c r="BE138" i="7"/>
  <c r="BE161" i="7"/>
  <c r="BE155" i="7"/>
  <c r="BE144" i="7"/>
  <c r="BE107" i="7"/>
  <c r="BE100" i="7"/>
  <c r="BE99" i="7" s="1"/>
  <c r="BE39" i="7"/>
  <c r="BE31" i="7"/>
  <c r="BE17" i="7"/>
  <c r="BF5" i="7"/>
  <c r="BE38" i="7"/>
  <c r="BE32" i="7"/>
  <c r="BE20" i="7"/>
  <c r="BE11" i="7"/>
  <c r="BE16" i="7"/>
  <c r="BE34" i="7"/>
  <c r="BE24" i="7"/>
  <c r="BE13" i="7"/>
  <c r="BE202" i="7" s="1"/>
  <c r="BE36" i="7"/>
  <c r="BE6" i="7"/>
  <c r="BE18" i="7" s="1"/>
  <c r="BE27" i="7"/>
  <c r="BE29" i="7"/>
  <c r="BE30" i="7"/>
  <c r="BE41" i="7"/>
  <c r="BE196" i="7"/>
  <c r="BE195" i="7"/>
  <c r="BD209" i="7"/>
  <c r="BD213" i="7" s="1"/>
  <c r="BC46" i="7"/>
  <c r="BA71" i="7"/>
  <c r="BD44" i="7"/>
  <c r="BD47" i="7" s="1"/>
  <c r="BE51" i="7"/>
  <c r="BE58" i="7" s="1"/>
  <c r="BC74" i="7"/>
  <c r="BC72" i="7" s="1"/>
  <c r="BC71" i="7" s="1"/>
  <c r="P17" i="5"/>
  <c r="P22" i="5" s="1"/>
  <c r="P23" i="5" s="1"/>
  <c r="BC76" i="7"/>
  <c r="BD222" i="7" l="1"/>
  <c r="BD214" i="7"/>
  <c r="BF197" i="7"/>
  <c r="BF181" i="7"/>
  <c r="BF179" i="7"/>
  <c r="BF177" i="7"/>
  <c r="BF175" i="7"/>
  <c r="BF173" i="7"/>
  <c r="BF171" i="7"/>
  <c r="BF166" i="7"/>
  <c r="BF164" i="7"/>
  <c r="BF162" i="7"/>
  <c r="BF160" i="7"/>
  <c r="BF158" i="7"/>
  <c r="BF156" i="7"/>
  <c r="BF170" i="7"/>
  <c r="BF78" i="7"/>
  <c r="BF165" i="7"/>
  <c r="BF180" i="7"/>
  <c r="BF163" i="7"/>
  <c r="BF106" i="7"/>
  <c r="S55" i="5" s="1"/>
  <c r="N55" i="5" s="1"/>
  <c r="BF104" i="7"/>
  <c r="BF100" i="7"/>
  <c r="BF99" i="7" s="1"/>
  <c r="S51" i="5" s="1"/>
  <c r="N51" i="5" s="1"/>
  <c r="BF93" i="7"/>
  <c r="BF172" i="7"/>
  <c r="BF154" i="7"/>
  <c r="BF152" i="7"/>
  <c r="BF150" i="7"/>
  <c r="BF145" i="7"/>
  <c r="BF143" i="7"/>
  <c r="BF174" i="7"/>
  <c r="BF142" i="7"/>
  <c r="BF139" i="7"/>
  <c r="BF134" i="7"/>
  <c r="BF131" i="7"/>
  <c r="BF40" i="7"/>
  <c r="BF38" i="7"/>
  <c r="BF36" i="7"/>
  <c r="BF34" i="7"/>
  <c r="BF153" i="7"/>
  <c r="BF146" i="7"/>
  <c r="BF183" i="7" s="1" a="1"/>
  <c r="BF183" i="7" s="1"/>
  <c r="S39" i="5" s="1"/>
  <c r="BF81" i="7"/>
  <c r="BF159" i="7"/>
  <c r="BF140" i="7"/>
  <c r="BF137" i="7"/>
  <c r="BF132" i="7"/>
  <c r="BF176" i="7"/>
  <c r="BF157" i="7"/>
  <c r="BF105" i="7"/>
  <c r="S54" i="5" s="1"/>
  <c r="N54" i="5" s="1"/>
  <c r="BF79" i="7"/>
  <c r="BF35" i="7"/>
  <c r="BF135" i="7"/>
  <c r="BF130" i="7"/>
  <c r="BF82" i="7"/>
  <c r="BF68" i="7" a="1"/>
  <c r="BF68" i="7" s="1"/>
  <c r="BF33" i="7"/>
  <c r="BF28" i="7"/>
  <c r="BF45" i="7" s="1" a="1"/>
  <c r="BF45" i="7" s="1"/>
  <c r="BF151" i="7"/>
  <c r="BF32" i="7"/>
  <c r="BF30" i="7"/>
  <c r="BF24" i="7"/>
  <c r="BF20" i="7"/>
  <c r="BF141" i="7"/>
  <c r="BF136" i="7"/>
  <c r="BF178" i="7"/>
  <c r="BF138" i="7"/>
  <c r="BF161" i="7"/>
  <c r="BF155" i="7"/>
  <c r="BF144" i="7"/>
  <c r="BF133" i="7"/>
  <c r="BF66" i="7"/>
  <c r="BF64" i="7" s="1"/>
  <c r="S37" i="5" s="1"/>
  <c r="N37" i="5" s="1"/>
  <c r="BF37" i="7"/>
  <c r="BF14" i="7"/>
  <c r="BF12" i="7"/>
  <c r="BF16" i="7"/>
  <c r="BF41" i="7"/>
  <c r="BF29" i="7"/>
  <c r="BF27" i="7"/>
  <c r="BF11" i="7"/>
  <c r="BF107" i="7"/>
  <c r="S56" i="5" s="1"/>
  <c r="N56" i="5" s="1"/>
  <c r="BF39" i="7"/>
  <c r="BF17" i="7"/>
  <c r="BF31" i="7"/>
  <c r="BF50" i="7"/>
  <c r="BF13" i="7"/>
  <c r="BF202" i="7" s="1"/>
  <c r="BG5" i="7"/>
  <c r="BF6" i="7"/>
  <c r="BF18" i="7" s="1"/>
  <c r="BA188" i="7"/>
  <c r="BA187" i="7"/>
  <c r="BA189" i="7"/>
  <c r="BE62" i="7"/>
  <c r="BE103" i="7"/>
  <c r="BF196" i="7"/>
  <c r="BF195" i="7"/>
  <c r="BB188" i="7"/>
  <c r="BE4" i="8"/>
  <c r="BD5" i="8"/>
  <c r="BB4" i="9"/>
  <c r="BB3" i="9" s="1"/>
  <c r="BC223" i="7"/>
  <c r="BD221" i="7"/>
  <c r="BB72" i="7"/>
  <c r="BB71" i="7" s="1"/>
  <c r="BB187" i="7" s="1"/>
  <c r="BE59" i="7"/>
  <c r="S38" i="5"/>
  <c r="BE75" i="7"/>
  <c r="BE57" i="7"/>
  <c r="BD46" i="7"/>
  <c r="BE209" i="7" s="1"/>
  <c r="BE213" i="7" s="1"/>
  <c r="BD96" i="7"/>
  <c r="BE44" i="7"/>
  <c r="BF51" i="7"/>
  <c r="BF58" i="7" s="1"/>
  <c r="BF19" i="7"/>
  <c r="BF21" i="7" s="1"/>
  <c r="BE21" i="7"/>
  <c r="BC187" i="7"/>
  <c r="BC189" i="7"/>
  <c r="BC188" i="7"/>
  <c r="BE222" i="7" l="1"/>
  <c r="BE214" i="7"/>
  <c r="BE46" i="7"/>
  <c r="U56" i="5"/>
  <c r="T56" i="5"/>
  <c r="BF59" i="7"/>
  <c r="BF76" i="7" s="1"/>
  <c r="N29" i="5"/>
  <c r="BF103" i="7"/>
  <c r="S53" i="5"/>
  <c r="S29" i="5"/>
  <c r="S11" i="5" s="1"/>
  <c r="BC4" i="9"/>
  <c r="BC3" i="9" s="1"/>
  <c r="BF4" i="8"/>
  <c r="BE5" i="8"/>
  <c r="BE61" i="7"/>
  <c r="U55" i="5"/>
  <c r="T55" i="5"/>
  <c r="S15" i="5"/>
  <c r="N38" i="5"/>
  <c r="BF75" i="7"/>
  <c r="BF74" i="7" s="1"/>
  <c r="BF72" i="7" s="1"/>
  <c r="BF57" i="7"/>
  <c r="S32" i="5"/>
  <c r="N32" i="5" s="1"/>
  <c r="BD95" i="7"/>
  <c r="BD71" i="7" s="1"/>
  <c r="BE76" i="7"/>
  <c r="S33" i="5"/>
  <c r="N33" i="5" s="1"/>
  <c r="BB189" i="7"/>
  <c r="BF62" i="7"/>
  <c r="BF61" i="7" s="1"/>
  <c r="BF77" i="7" s="1"/>
  <c r="BG19" i="7"/>
  <c r="BG21" i="7" s="1"/>
  <c r="BE221" i="7"/>
  <c r="BD223" i="7"/>
  <c r="U37" i="5"/>
  <c r="T37" i="5"/>
  <c r="BE96" i="7"/>
  <c r="BE95" i="7" s="1"/>
  <c r="S16" i="5"/>
  <c r="N39" i="5"/>
  <c r="BG165" i="7"/>
  <c r="BG158" i="7"/>
  <c r="BG180" i="7"/>
  <c r="BG177" i="7"/>
  <c r="BG175" i="7"/>
  <c r="BG163" i="7"/>
  <c r="BG156" i="7"/>
  <c r="BG173" i="7"/>
  <c r="BG161" i="7"/>
  <c r="BG155" i="7"/>
  <c r="BG153" i="7"/>
  <c r="BG151" i="7"/>
  <c r="BG146" i="7"/>
  <c r="BG183" i="7" s="1" a="1"/>
  <c r="BG183" i="7" s="1"/>
  <c r="BG144" i="7"/>
  <c r="BG142" i="7"/>
  <c r="BG140" i="7"/>
  <c r="BG138" i="7"/>
  <c r="BG136" i="7"/>
  <c r="BG134" i="7"/>
  <c r="BG132" i="7"/>
  <c r="BG130" i="7"/>
  <c r="BG82" i="7"/>
  <c r="BG179" i="7"/>
  <c r="BG170" i="7"/>
  <c r="BG160" i="7"/>
  <c r="BG152" i="7"/>
  <c r="BG145" i="7"/>
  <c r="BG81" i="7"/>
  <c r="BG66" i="7"/>
  <c r="BG64" i="7" s="1"/>
  <c r="BG159" i="7"/>
  <c r="BG137" i="7"/>
  <c r="BG106" i="7"/>
  <c r="BG93" i="7"/>
  <c r="BG166" i="7"/>
  <c r="BG78" i="7"/>
  <c r="BG181" i="7"/>
  <c r="BG176" i="7"/>
  <c r="BG178" i="7"/>
  <c r="BG174" i="7"/>
  <c r="BG164" i="7"/>
  <c r="BG139" i="7"/>
  <c r="BG131" i="7"/>
  <c r="BG68" i="7" a="1"/>
  <c r="BG68" i="7" s="1"/>
  <c r="BG135" i="7"/>
  <c r="BG104" i="7"/>
  <c r="BG33" i="7"/>
  <c r="BG28" i="7"/>
  <c r="BG162" i="7"/>
  <c r="BG150" i="7"/>
  <c r="BG40" i="7"/>
  <c r="BG32" i="7"/>
  <c r="BG30" i="7"/>
  <c r="BG24" i="7"/>
  <c r="BG20" i="7"/>
  <c r="BG171" i="7"/>
  <c r="BG141" i="7"/>
  <c r="BG38" i="7"/>
  <c r="BG16" i="7"/>
  <c r="BG157" i="7"/>
  <c r="BG172" i="7"/>
  <c r="BG154" i="7"/>
  <c r="BG143" i="7"/>
  <c r="BG133" i="7"/>
  <c r="BG79" i="7"/>
  <c r="BG35" i="7"/>
  <c r="BG45" i="7" s="1" a="1"/>
  <c r="BG45" i="7" s="1"/>
  <c r="BG105" i="7"/>
  <c r="BG41" i="7"/>
  <c r="BG34" i="7"/>
  <c r="BG29" i="7"/>
  <c r="BG12" i="7"/>
  <c r="BG107" i="7"/>
  <c r="BG50" i="7"/>
  <c r="BG59" i="7" s="1"/>
  <c r="BG76" i="7" s="1"/>
  <c r="BG17" i="7"/>
  <c r="BG13" i="7"/>
  <c r="BG39" i="7"/>
  <c r="BG31" i="7"/>
  <c r="BG14" i="7"/>
  <c r="BG36" i="7"/>
  <c r="BG27" i="7"/>
  <c r="BG11" i="7"/>
  <c r="BH5" i="7"/>
  <c r="BG37" i="7"/>
  <c r="BG100" i="7"/>
  <c r="BG99" i="7" s="1"/>
  <c r="BG6" i="7"/>
  <c r="BG18" i="7" s="1"/>
  <c r="BG51" i="7"/>
  <c r="BG58" i="7" s="1"/>
  <c r="BF44" i="7"/>
  <c r="U51" i="5"/>
  <c r="T51" i="5"/>
  <c r="BE47" i="7"/>
  <c r="BF209" i="7" s="1"/>
  <c r="BF213" i="7" s="1"/>
  <c r="U54" i="5"/>
  <c r="T54" i="5"/>
  <c r="BF222" i="7" l="1"/>
  <c r="BF223" i="7" s="1"/>
  <c r="BF214" i="7"/>
  <c r="U32" i="5"/>
  <c r="T32" i="5"/>
  <c r="BE77" i="7"/>
  <c r="BE74" i="7" s="1"/>
  <c r="S34" i="5"/>
  <c r="BF55" i="7"/>
  <c r="S31" i="5"/>
  <c r="BH19" i="7"/>
  <c r="BH21" i="7" s="1"/>
  <c r="BF71" i="7"/>
  <c r="BF5" i="8"/>
  <c r="BG4" i="8"/>
  <c r="BD4" i="9"/>
  <c r="BD3" i="9" s="1"/>
  <c r="BF46" i="7"/>
  <c r="BF96" i="7"/>
  <c r="BF95" i="7" s="1"/>
  <c r="BH51" i="7"/>
  <c r="BH58" i="7" s="1"/>
  <c r="BG44" i="7"/>
  <c r="U38" i="5"/>
  <c r="T38" i="5"/>
  <c r="N15" i="5"/>
  <c r="BG75" i="7"/>
  <c r="BG57" i="7"/>
  <c r="D107" i="5"/>
  <c r="U39" i="5"/>
  <c r="T39" i="5"/>
  <c r="D108" i="5" s="1"/>
  <c r="N16" i="5"/>
  <c r="T33" i="5"/>
  <c r="U33" i="5"/>
  <c r="BE55" i="7"/>
  <c r="S52" i="5"/>
  <c r="N53" i="5"/>
  <c r="BF47" i="7"/>
  <c r="BH180" i="7"/>
  <c r="BH178" i="7"/>
  <c r="BH176" i="7"/>
  <c r="BH177" i="7"/>
  <c r="BH175" i="7"/>
  <c r="BH163" i="7"/>
  <c r="BH156" i="7"/>
  <c r="BH106" i="7"/>
  <c r="BH104" i="7"/>
  <c r="BH100" i="7"/>
  <c r="BH99" i="7" s="1"/>
  <c r="BH93" i="7"/>
  <c r="BH68" i="7" a="1"/>
  <c r="BH68" i="7" s="1"/>
  <c r="BH173" i="7"/>
  <c r="BH161" i="7"/>
  <c r="BH155" i="7"/>
  <c r="BH153" i="7"/>
  <c r="BH151" i="7"/>
  <c r="BH146" i="7"/>
  <c r="BH183" i="7" s="1" a="1"/>
  <c r="BH183" i="7" s="1"/>
  <c r="BH144" i="7"/>
  <c r="BH171" i="7"/>
  <c r="BH159" i="7"/>
  <c r="BH79" i="7"/>
  <c r="BH165" i="7"/>
  <c r="BH158" i="7"/>
  <c r="BH179" i="7"/>
  <c r="BH170" i="7"/>
  <c r="BH160" i="7"/>
  <c r="BH137" i="7"/>
  <c r="BH166" i="7"/>
  <c r="BH140" i="7"/>
  <c r="BH132" i="7"/>
  <c r="BH78" i="7"/>
  <c r="BH181" i="7"/>
  <c r="BH135" i="7"/>
  <c r="BH82" i="7"/>
  <c r="BH152" i="7"/>
  <c r="BH145" i="7"/>
  <c r="BH142" i="7"/>
  <c r="BH134" i="7"/>
  <c r="BH81" i="7"/>
  <c r="BH66" i="7"/>
  <c r="BH64" i="7" s="1"/>
  <c r="BH174" i="7"/>
  <c r="BH162" i="7"/>
  <c r="BH150" i="7"/>
  <c r="BH130" i="7"/>
  <c r="BH40" i="7"/>
  <c r="BH32" i="7"/>
  <c r="BH30" i="7"/>
  <c r="BH24" i="7"/>
  <c r="BH20" i="7"/>
  <c r="BH141" i="7"/>
  <c r="BH38" i="7"/>
  <c r="BH16" i="7"/>
  <c r="BH13" i="7"/>
  <c r="BH157" i="7"/>
  <c r="BH136" i="7"/>
  <c r="BH105" i="7"/>
  <c r="BH36" i="7"/>
  <c r="BH131" i="7"/>
  <c r="BH172" i="7"/>
  <c r="BH154" i="7"/>
  <c r="BH143" i="7"/>
  <c r="BH138" i="7"/>
  <c r="BH133" i="7"/>
  <c r="BH164" i="7"/>
  <c r="BH139" i="7"/>
  <c r="BH33" i="7"/>
  <c r="BH28" i="7"/>
  <c r="BH41" i="7"/>
  <c r="BH34" i="7"/>
  <c r="BH29" i="7"/>
  <c r="BH12" i="7"/>
  <c r="BH107" i="7"/>
  <c r="BH50" i="7"/>
  <c r="BH59" i="7" s="1"/>
  <c r="BH76" i="7" s="1"/>
  <c r="BH17" i="7"/>
  <c r="BH37" i="7"/>
  <c r="BH27" i="7"/>
  <c r="BH39" i="7"/>
  <c r="BH11" i="7"/>
  <c r="BH14" i="7"/>
  <c r="BI5" i="7"/>
  <c r="BH31" i="7"/>
  <c r="BH35" i="7"/>
  <c r="BH6" i="7"/>
  <c r="BH18" i="7" s="1"/>
  <c r="BH62" i="7" s="1"/>
  <c r="BH61" i="7" s="1"/>
  <c r="BH77" i="7" s="1"/>
  <c r="BG62" i="7"/>
  <c r="BG61" i="7" s="1"/>
  <c r="BG77" i="7" s="1"/>
  <c r="BG103" i="7"/>
  <c r="S49" i="5"/>
  <c r="BD187" i="7"/>
  <c r="BD189" i="7"/>
  <c r="BD188" i="7"/>
  <c r="S35" i="5"/>
  <c r="N35" i="5" s="1"/>
  <c r="U29" i="5"/>
  <c r="N11" i="5"/>
  <c r="T47" i="5"/>
  <c r="T50" i="5"/>
  <c r="T44" i="5"/>
  <c r="T36" i="5"/>
  <c r="T46" i="5"/>
  <c r="T42" i="5"/>
  <c r="T45" i="5"/>
  <c r="BF221" i="7"/>
  <c r="BE223" i="7"/>
  <c r="BI51" i="7" l="1"/>
  <c r="BI58" i="7" s="1"/>
  <c r="BH44" i="7"/>
  <c r="BH45" i="7" a="1"/>
  <c r="BH45" i="7" s="1"/>
  <c r="BH47" i="7" s="1"/>
  <c r="T35" i="5"/>
  <c r="U35" i="5"/>
  <c r="S48" i="5"/>
  <c r="N49" i="5"/>
  <c r="BI19" i="7"/>
  <c r="BH103" i="7"/>
  <c r="BE187" i="7"/>
  <c r="BE189" i="7"/>
  <c r="S57" i="5" s="1"/>
  <c r="S30" i="5"/>
  <c r="N30" i="5" s="1"/>
  <c r="BG74" i="7"/>
  <c r="BG72" i="7" s="1"/>
  <c r="BE72" i="7"/>
  <c r="BE71" i="7" s="1"/>
  <c r="BE188" i="7" s="1"/>
  <c r="S43" i="5"/>
  <c r="S41" i="5" s="1"/>
  <c r="U15" i="5"/>
  <c r="T15" i="5"/>
  <c r="BE4" i="9"/>
  <c r="BE3" i="9" s="1"/>
  <c r="BG5" i="8"/>
  <c r="BH4" i="8"/>
  <c r="BH75" i="7"/>
  <c r="BH74" i="7" s="1"/>
  <c r="BH72" i="7" s="1"/>
  <c r="BH57" i="7"/>
  <c r="BH55" i="7" s="1"/>
  <c r="S13" i="5"/>
  <c r="N31" i="5"/>
  <c r="U11" i="5"/>
  <c r="T19" i="5"/>
  <c r="BG46" i="7"/>
  <c r="BG96" i="7"/>
  <c r="BG95" i="7" s="1"/>
  <c r="BG47" i="7"/>
  <c r="BI180" i="7"/>
  <c r="BI173" i="7"/>
  <c r="BI161" i="7"/>
  <c r="BI155" i="7"/>
  <c r="BI153" i="7"/>
  <c r="BI151" i="7"/>
  <c r="BI146" i="7"/>
  <c r="BI183" i="7" s="1" a="1"/>
  <c r="BI183" i="7" s="1"/>
  <c r="BI144" i="7"/>
  <c r="BI142" i="7"/>
  <c r="BI140" i="7"/>
  <c r="BI138" i="7"/>
  <c r="BI136" i="7"/>
  <c r="BI134" i="7"/>
  <c r="BI132" i="7"/>
  <c r="BI130" i="7"/>
  <c r="BI82" i="7"/>
  <c r="BI171" i="7"/>
  <c r="BI159" i="7"/>
  <c r="BI178" i="7"/>
  <c r="BI166" i="7"/>
  <c r="BI157" i="7"/>
  <c r="BI177" i="7"/>
  <c r="BI175" i="7"/>
  <c r="BI163" i="7"/>
  <c r="BI156" i="7"/>
  <c r="BI106" i="7"/>
  <c r="BI93" i="7"/>
  <c r="BI78" i="7"/>
  <c r="BI181" i="7"/>
  <c r="BI135" i="7"/>
  <c r="BI176" i="7"/>
  <c r="BI172" i="7"/>
  <c r="BI162" i="7"/>
  <c r="BI154" i="7"/>
  <c r="BI150" i="7"/>
  <c r="BI143" i="7"/>
  <c r="BI107" i="7"/>
  <c r="BI104" i="7"/>
  <c r="BI103" i="7" s="1"/>
  <c r="BI174" i="7"/>
  <c r="BI179" i="7"/>
  <c r="BI170" i="7"/>
  <c r="BI160" i="7"/>
  <c r="BI137" i="7"/>
  <c r="BI141" i="7"/>
  <c r="BI81" i="7"/>
  <c r="BI38" i="7"/>
  <c r="BI16" i="7"/>
  <c r="BI13" i="7"/>
  <c r="BI165" i="7"/>
  <c r="BI105" i="7"/>
  <c r="BI36" i="7"/>
  <c r="BI11" i="7"/>
  <c r="BI131" i="7"/>
  <c r="BI41" i="7"/>
  <c r="BI34" i="7"/>
  <c r="BI29" i="7"/>
  <c r="BI27" i="7"/>
  <c r="BI152" i="7"/>
  <c r="BI133" i="7"/>
  <c r="BI158" i="7"/>
  <c r="BI164" i="7"/>
  <c r="BI139" i="7"/>
  <c r="BI145" i="7"/>
  <c r="BI40" i="7"/>
  <c r="BI32" i="7"/>
  <c r="BI30" i="7"/>
  <c r="BI24" i="7"/>
  <c r="BI20" i="7"/>
  <c r="BI50" i="7"/>
  <c r="BI59" i="7" s="1"/>
  <c r="BI76" i="7" s="1"/>
  <c r="BI17" i="7"/>
  <c r="BI37" i="7"/>
  <c r="BJ5" i="7"/>
  <c r="BI100" i="7"/>
  <c r="BI99" i="7" s="1"/>
  <c r="BI35" i="7"/>
  <c r="BI39" i="7"/>
  <c r="BI66" i="7"/>
  <c r="BI64" i="7" s="1"/>
  <c r="BI12" i="7"/>
  <c r="BI68" i="7" a="1"/>
  <c r="BI68" i="7" s="1"/>
  <c r="BI28" i="7"/>
  <c r="BI31" i="7"/>
  <c r="BI14" i="7"/>
  <c r="BI79" i="7"/>
  <c r="BI33" i="7"/>
  <c r="BI45" i="7" s="1" a="1"/>
  <c r="BI45" i="7" s="1"/>
  <c r="BI6" i="7"/>
  <c r="BI18" i="7" s="1"/>
  <c r="BI62" i="7" s="1"/>
  <c r="BI61" i="7" s="1"/>
  <c r="BI77" i="7" s="1"/>
  <c r="U53" i="5"/>
  <c r="T53" i="5"/>
  <c r="BF188" i="7"/>
  <c r="BF187" i="7"/>
  <c r="BF189" i="7"/>
  <c r="T16" i="5"/>
  <c r="U16" i="5"/>
  <c r="S21" i="5"/>
  <c r="N52" i="5"/>
  <c r="BG55" i="7"/>
  <c r="S14" i="5"/>
  <c r="N34" i="5"/>
  <c r="BJ19" i="7" l="1"/>
  <c r="BJ180" i="7"/>
  <c r="BJ178" i="7"/>
  <c r="BJ176" i="7"/>
  <c r="BJ174" i="7"/>
  <c r="BJ172" i="7"/>
  <c r="BJ170" i="7"/>
  <c r="BJ165" i="7"/>
  <c r="BJ163" i="7"/>
  <c r="BJ161" i="7"/>
  <c r="BJ159" i="7"/>
  <c r="BJ157" i="7"/>
  <c r="BJ171" i="7"/>
  <c r="BJ79" i="7"/>
  <c r="BJ166" i="7"/>
  <c r="BJ181" i="7"/>
  <c r="BJ164" i="7"/>
  <c r="BJ107" i="7"/>
  <c r="BJ105" i="7"/>
  <c r="BJ173" i="7"/>
  <c r="BJ155" i="7"/>
  <c r="BJ153" i="7"/>
  <c r="BJ151" i="7"/>
  <c r="BJ146" i="7"/>
  <c r="BJ183" i="7" s="1" a="1"/>
  <c r="BJ183" i="7" s="1"/>
  <c r="BJ144" i="7"/>
  <c r="BJ156" i="7"/>
  <c r="BJ140" i="7"/>
  <c r="BJ135" i="7"/>
  <c r="BJ132" i="7"/>
  <c r="BJ41" i="7"/>
  <c r="BJ39" i="7"/>
  <c r="BJ37" i="7"/>
  <c r="BJ35" i="7"/>
  <c r="BJ33" i="7"/>
  <c r="BJ162" i="7"/>
  <c r="BJ154" i="7"/>
  <c r="BJ150" i="7"/>
  <c r="BJ143" i="7"/>
  <c r="BJ104" i="7"/>
  <c r="BJ82" i="7"/>
  <c r="BJ141" i="7"/>
  <c r="BJ138" i="7"/>
  <c r="BJ133" i="7"/>
  <c r="BJ130" i="7"/>
  <c r="BJ68" i="7" a="1"/>
  <c r="BJ68" i="7" s="1"/>
  <c r="BJ177" i="7"/>
  <c r="BJ175" i="7"/>
  <c r="BJ106" i="7"/>
  <c r="BJ93" i="7"/>
  <c r="BJ78" i="7"/>
  <c r="BJ36" i="7"/>
  <c r="BJ11" i="7"/>
  <c r="BK19" i="7" s="1"/>
  <c r="BJ179" i="7"/>
  <c r="BJ136" i="7"/>
  <c r="BJ131" i="7"/>
  <c r="BJ34" i="7"/>
  <c r="BJ29" i="7"/>
  <c r="BJ27" i="7"/>
  <c r="BJ152" i="7"/>
  <c r="BJ50" i="7"/>
  <c r="BJ59" i="7" s="1"/>
  <c r="BJ76" i="7" s="1"/>
  <c r="BJ31" i="7"/>
  <c r="BJ17" i="7"/>
  <c r="BJ160" i="7"/>
  <c r="BJ142" i="7"/>
  <c r="BJ137" i="7"/>
  <c r="BJ158" i="7"/>
  <c r="BJ139" i="7"/>
  <c r="BJ145" i="7"/>
  <c r="BJ134" i="7"/>
  <c r="BJ81" i="7"/>
  <c r="BJ38" i="7"/>
  <c r="BJ16" i="7"/>
  <c r="BJ13" i="7"/>
  <c r="BK5" i="7"/>
  <c r="BJ100" i="7"/>
  <c r="BJ99" i="7" s="1"/>
  <c r="BJ45" i="7" a="1"/>
  <c r="BJ45" i="7" s="1"/>
  <c r="BJ66" i="7"/>
  <c r="BJ64" i="7" s="1"/>
  <c r="BJ28" i="7"/>
  <c r="BJ40" i="7"/>
  <c r="BJ30" i="7"/>
  <c r="BJ12" i="7"/>
  <c r="BJ14" i="7"/>
  <c r="BJ32" i="7"/>
  <c r="BJ20" i="7"/>
  <c r="BJ24" i="7"/>
  <c r="BJ6" i="7"/>
  <c r="BJ18" i="7" s="1"/>
  <c r="BJ51" i="7"/>
  <c r="BJ58" i="7" s="1"/>
  <c r="BI44" i="7"/>
  <c r="U49" i="5"/>
  <c r="T49" i="5"/>
  <c r="BG71" i="7"/>
  <c r="BG187" i="7" s="1"/>
  <c r="S20" i="5"/>
  <c r="N48" i="5"/>
  <c r="BH5" i="8"/>
  <c r="BI4" i="8"/>
  <c r="BF4" i="9"/>
  <c r="BF3" i="9" s="1"/>
  <c r="U30" i="5"/>
  <c r="T30" i="5"/>
  <c r="BH46" i="7"/>
  <c r="N21" i="5"/>
  <c r="U52" i="5"/>
  <c r="T52" i="5"/>
  <c r="U31" i="5"/>
  <c r="T31" i="5"/>
  <c r="N13" i="5"/>
  <c r="BI57" i="7"/>
  <c r="BI55" i="7" s="1"/>
  <c r="BI75" i="7"/>
  <c r="BI74" i="7" s="1"/>
  <c r="BI72" i="7" s="1"/>
  <c r="U34" i="5"/>
  <c r="N14" i="5"/>
  <c r="T34" i="5"/>
  <c r="S12" i="5"/>
  <c r="S40" i="5"/>
  <c r="S18" i="5"/>
  <c r="BI21" i="7"/>
  <c r="BH96" i="7"/>
  <c r="BH95" i="7" s="1"/>
  <c r="BH71" i="7" s="1"/>
  <c r="BH189" i="7" l="1"/>
  <c r="BH188" i="7"/>
  <c r="BH187" i="7"/>
  <c r="BG4" i="9"/>
  <c r="BG3" i="9" s="1"/>
  <c r="BJ4" i="8"/>
  <c r="BI5" i="8"/>
  <c r="BG188" i="7"/>
  <c r="BJ62" i="7"/>
  <c r="BJ61" i="7" s="1"/>
  <c r="BJ77" i="7" s="1"/>
  <c r="BJ103" i="7"/>
  <c r="BI187" i="7"/>
  <c r="U14" i="5"/>
  <c r="T14" i="5"/>
  <c r="U48" i="5"/>
  <c r="N20" i="5"/>
  <c r="T48" i="5"/>
  <c r="BJ47" i="7"/>
  <c r="BI71" i="7"/>
  <c r="BI189" i="7" s="1"/>
  <c r="BK166" i="7"/>
  <c r="BK159" i="7"/>
  <c r="BK181" i="7"/>
  <c r="BK178" i="7"/>
  <c r="BK164" i="7"/>
  <c r="BK157" i="7"/>
  <c r="BK174" i="7"/>
  <c r="BK162" i="7"/>
  <c r="BK154" i="7"/>
  <c r="BK152" i="7"/>
  <c r="BK150" i="7"/>
  <c r="BK145" i="7"/>
  <c r="BK143" i="7"/>
  <c r="BK141" i="7"/>
  <c r="BK139" i="7"/>
  <c r="BK137" i="7"/>
  <c r="BK135" i="7"/>
  <c r="BK133" i="7"/>
  <c r="BK131" i="7"/>
  <c r="BK81" i="7"/>
  <c r="BK180" i="7"/>
  <c r="BK171" i="7"/>
  <c r="BK161" i="7"/>
  <c r="BK173" i="7"/>
  <c r="BK163" i="7"/>
  <c r="BK153" i="7"/>
  <c r="BK146" i="7"/>
  <c r="BK183" i="7" s="1" a="1"/>
  <c r="BK183" i="7" s="1"/>
  <c r="BK104" i="7"/>
  <c r="BK82" i="7"/>
  <c r="BK68" i="7" a="1"/>
  <c r="BK68" i="7" s="1"/>
  <c r="BK176" i="7"/>
  <c r="BK172" i="7"/>
  <c r="BK138" i="7"/>
  <c r="BK130" i="7"/>
  <c r="BK107" i="7"/>
  <c r="BK158" i="7"/>
  <c r="BK100" i="7"/>
  <c r="BK99" i="7" s="1"/>
  <c r="BK177" i="7"/>
  <c r="BK175" i="7"/>
  <c r="BK179" i="7"/>
  <c r="BK156" i="7"/>
  <c r="BK140" i="7"/>
  <c r="BK132" i="7"/>
  <c r="BK165" i="7"/>
  <c r="BK136" i="7"/>
  <c r="BK105" i="7"/>
  <c r="BK78" i="7"/>
  <c r="BK34" i="7"/>
  <c r="BK29" i="7"/>
  <c r="BK27" i="7"/>
  <c r="BK151" i="7"/>
  <c r="BK50" i="7"/>
  <c r="BK59" i="7" s="1"/>
  <c r="BK76" i="7" s="1"/>
  <c r="BK41" i="7"/>
  <c r="BK31" i="7"/>
  <c r="BK17" i="7"/>
  <c r="BL5" i="7"/>
  <c r="BK160" i="7"/>
  <c r="BK142" i="7"/>
  <c r="BK39" i="7"/>
  <c r="BK155" i="7"/>
  <c r="BK144" i="7"/>
  <c r="BK134" i="7"/>
  <c r="BK170" i="7"/>
  <c r="BK93" i="7"/>
  <c r="BK36" i="7"/>
  <c r="BK11" i="7"/>
  <c r="BK37" i="7"/>
  <c r="BK66" i="7"/>
  <c r="BK64" i="7" s="1"/>
  <c r="BK13" i="7"/>
  <c r="BK79" i="7"/>
  <c r="BK40" i="7"/>
  <c r="BK33" i="7"/>
  <c r="BK30" i="7"/>
  <c r="BK24" i="7"/>
  <c r="BK14" i="7"/>
  <c r="BK32" i="7"/>
  <c r="BK20" i="7"/>
  <c r="BK21" i="7" s="1"/>
  <c r="BK28" i="7"/>
  <c r="BK16" i="7"/>
  <c r="BK12" i="7"/>
  <c r="BK35" i="7"/>
  <c r="BK106" i="7"/>
  <c r="BK38" i="7"/>
  <c r="BK6" i="7"/>
  <c r="BK18" i="7" s="1"/>
  <c r="BK62" i="7" s="1"/>
  <c r="BK61" i="7" s="1"/>
  <c r="BK77" i="7" s="1"/>
  <c r="S17" i="5"/>
  <c r="S22" i="5" s="1"/>
  <c r="S23" i="5" s="1"/>
  <c r="T13" i="5"/>
  <c r="N12" i="5"/>
  <c r="U13" i="5"/>
  <c r="BG189" i="7"/>
  <c r="BI46" i="7"/>
  <c r="BI96" i="7"/>
  <c r="BI95" i="7" s="1"/>
  <c r="BJ21" i="7"/>
  <c r="U21" i="5"/>
  <c r="T21" i="5"/>
  <c r="BJ44" i="7"/>
  <c r="BK51" i="7"/>
  <c r="BK58" i="7" s="1"/>
  <c r="BJ75" i="7"/>
  <c r="BJ57" i="7"/>
  <c r="BI47" i="7"/>
  <c r="T12" i="5" l="1"/>
  <c r="U12" i="5"/>
  <c r="BL181" i="7"/>
  <c r="BL179" i="7"/>
  <c r="BL177" i="7"/>
  <c r="BL178" i="7"/>
  <c r="BL164" i="7"/>
  <c r="BL157" i="7"/>
  <c r="BL107" i="7"/>
  <c r="BL105" i="7"/>
  <c r="BL68" i="7" a="1"/>
  <c r="BL68" i="7" s="1"/>
  <c r="BL174" i="7"/>
  <c r="BL162" i="7"/>
  <c r="BL154" i="7"/>
  <c r="BL152" i="7"/>
  <c r="BL150" i="7"/>
  <c r="BL145" i="7"/>
  <c r="BL143" i="7"/>
  <c r="BL176" i="7"/>
  <c r="BL172" i="7"/>
  <c r="BL160" i="7"/>
  <c r="BL166" i="7"/>
  <c r="BL159" i="7"/>
  <c r="BL180" i="7"/>
  <c r="BL138" i="7"/>
  <c r="BL130" i="7"/>
  <c r="BL158" i="7"/>
  <c r="BL141" i="7"/>
  <c r="BL133" i="7"/>
  <c r="BL100" i="7"/>
  <c r="BL99" i="7" s="1"/>
  <c r="BL175" i="7"/>
  <c r="BL165" i="7"/>
  <c r="BL136" i="7"/>
  <c r="BL79" i="7"/>
  <c r="BL173" i="7"/>
  <c r="BL163" i="7"/>
  <c r="BL153" i="7"/>
  <c r="BL146" i="7"/>
  <c r="BL183" i="7" s="1" a="1"/>
  <c r="BL183" i="7" s="1"/>
  <c r="BL135" i="7"/>
  <c r="BL104" i="7"/>
  <c r="BL82" i="7"/>
  <c r="BL151" i="7"/>
  <c r="BL131" i="7"/>
  <c r="BL50" i="7"/>
  <c r="BL41" i="7"/>
  <c r="BL31" i="7"/>
  <c r="BL17" i="7"/>
  <c r="BL171" i="7"/>
  <c r="BL142" i="7"/>
  <c r="BL39" i="7"/>
  <c r="BL14" i="7"/>
  <c r="BL12" i="7"/>
  <c r="BL137" i="7"/>
  <c r="BL106" i="7"/>
  <c r="BL37" i="7"/>
  <c r="BL132" i="7"/>
  <c r="BL155" i="7"/>
  <c r="BL144" i="7"/>
  <c r="BL139" i="7"/>
  <c r="BL161" i="7"/>
  <c r="BL134" i="7"/>
  <c r="BL170" i="7"/>
  <c r="BL156" i="7"/>
  <c r="BL140" i="7"/>
  <c r="BL78" i="7"/>
  <c r="BL34" i="7"/>
  <c r="BL29" i="7"/>
  <c r="BL27" i="7"/>
  <c r="BL66" i="7"/>
  <c r="BL64" i="7" s="1"/>
  <c r="BL13" i="7"/>
  <c r="BL40" i="7"/>
  <c r="BL33" i="7"/>
  <c r="BL30" i="7"/>
  <c r="BL45" i="7" s="1" a="1"/>
  <c r="BL45" i="7" s="1"/>
  <c r="BL24" i="7"/>
  <c r="BL38" i="7"/>
  <c r="BL16" i="7"/>
  <c r="BL28" i="7"/>
  <c r="BL11" i="7"/>
  <c r="BL81" i="7"/>
  <c r="BL20" i="7"/>
  <c r="BL93" i="7"/>
  <c r="BL36" i="7"/>
  <c r="BL35" i="7"/>
  <c r="BL32" i="7"/>
  <c r="BL6" i="7"/>
  <c r="BL18" i="7" s="1"/>
  <c r="BJ74" i="7"/>
  <c r="BJ72" i="7" s="1"/>
  <c r="BK57" i="7"/>
  <c r="BK55" i="7" s="1"/>
  <c r="BK75" i="7"/>
  <c r="BK74" i="7" s="1"/>
  <c r="BK72" i="7" s="1"/>
  <c r="BL51" i="7"/>
  <c r="BL58" i="7" s="1"/>
  <c r="BK44" i="7"/>
  <c r="BK46" i="7" s="1"/>
  <c r="BK4" i="8"/>
  <c r="BJ5" i="8"/>
  <c r="BH4" i="9"/>
  <c r="BH3" i="9" s="1"/>
  <c r="BI188" i="7"/>
  <c r="BJ46" i="7"/>
  <c r="BJ96" i="7"/>
  <c r="BJ95" i="7" s="1"/>
  <c r="BJ55" i="7"/>
  <c r="BL19" i="7"/>
  <c r="BL21" i="7" s="1"/>
  <c r="BK45" i="7" a="1"/>
  <c r="BK45" i="7" s="1"/>
  <c r="BK103" i="7"/>
  <c r="U20" i="5"/>
  <c r="T20" i="5"/>
  <c r="BL47" i="7" l="1"/>
  <c r="R49" i="9" a="1"/>
  <c r="R49" i="9" s="1"/>
  <c r="D49" i="9" a="1"/>
  <c r="D49" i="9" s="1"/>
  <c r="G49" i="9" a="1"/>
  <c r="G49" i="9" s="1"/>
  <c r="AF49" i="9" a="1"/>
  <c r="AF49" i="9" s="1"/>
  <c r="Z49" i="9" a="1"/>
  <c r="Z49" i="9" s="1"/>
  <c r="I49" i="9" a="1"/>
  <c r="I49" i="9" s="1"/>
  <c r="J49" i="9" a="1"/>
  <c r="J49" i="9" s="1"/>
  <c r="Y49" i="9" a="1"/>
  <c r="Y49" i="9" s="1"/>
  <c r="F49" i="9" a="1"/>
  <c r="F49" i="9" s="1"/>
  <c r="AH49" i="9" a="1"/>
  <c r="AH49" i="9" s="1"/>
  <c r="V49" i="9" a="1"/>
  <c r="V49" i="9" s="1"/>
  <c r="AE49" i="9" a="1"/>
  <c r="AE49" i="9" s="1"/>
  <c r="Q49" i="9" a="1"/>
  <c r="Q49" i="9" s="1"/>
  <c r="P49" i="9" a="1"/>
  <c r="P49" i="9" s="1"/>
  <c r="AC49" i="9" a="1"/>
  <c r="AC49" i="9" s="1"/>
  <c r="T49" i="9" a="1"/>
  <c r="T49" i="9" s="1"/>
  <c r="N49" i="9" a="1"/>
  <c r="N49" i="9" s="1"/>
  <c r="AG49" i="9" a="1"/>
  <c r="AG49" i="9" s="1"/>
  <c r="U49" i="9" a="1"/>
  <c r="U49" i="9" s="1"/>
  <c r="AD49" i="9" a="1"/>
  <c r="AD49" i="9" s="1"/>
  <c r="H49" i="9" a="1"/>
  <c r="H49" i="9" s="1"/>
  <c r="AL49" i="9" a="1"/>
  <c r="AL49" i="9" s="1"/>
  <c r="AK49" i="9" a="1"/>
  <c r="AK49" i="9" s="1"/>
  <c r="E49" i="9" a="1"/>
  <c r="E49" i="9" s="1"/>
  <c r="AI49" i="9" a="1"/>
  <c r="AI49" i="9" s="1"/>
  <c r="AA49" i="9" a="1"/>
  <c r="AA49" i="9" s="1"/>
  <c r="AJ49" i="9" a="1"/>
  <c r="AJ49" i="9" s="1"/>
  <c r="W49" i="9" a="1"/>
  <c r="W49" i="9" s="1"/>
  <c r="K49" i="9" a="1"/>
  <c r="K49" i="9" s="1"/>
  <c r="O49" i="9" a="1"/>
  <c r="O49" i="9" s="1"/>
  <c r="AB49" i="9" a="1"/>
  <c r="AB49" i="9" s="1"/>
  <c r="X49" i="9" a="1"/>
  <c r="X49" i="9" s="1"/>
  <c r="M49" i="9" a="1"/>
  <c r="M49" i="9" s="1"/>
  <c r="L49" i="9" a="1"/>
  <c r="L49" i="9" s="1"/>
  <c r="S49" i="9" a="1"/>
  <c r="S49" i="9" s="1"/>
  <c r="C49" i="9" a="1"/>
  <c r="C49" i="9" s="1"/>
  <c r="B49" i="9" a="1"/>
  <c r="B49" i="9" s="1"/>
  <c r="AM49" i="9" a="1"/>
  <c r="AM49" i="9" s="1"/>
  <c r="AN49" i="9" a="1"/>
  <c r="AN49" i="9" s="1"/>
  <c r="AQ49" i="9" a="1"/>
  <c r="AQ49" i="9" s="1"/>
  <c r="AO49" i="9" a="1"/>
  <c r="AO49" i="9" s="1"/>
  <c r="AP49" i="9" a="1"/>
  <c r="AP49" i="9" s="1"/>
  <c r="AR49" i="9" a="1"/>
  <c r="AR49" i="9" s="1"/>
  <c r="AT49" i="9" a="1"/>
  <c r="AT49" i="9" s="1"/>
  <c r="AS49" i="9" a="1"/>
  <c r="AS49" i="9" s="1"/>
  <c r="AV49" i="9" a="1"/>
  <c r="AV49" i="9" s="1"/>
  <c r="AU49" i="9" a="1"/>
  <c r="AU49" i="9" s="1"/>
  <c r="AW49" i="9" a="1"/>
  <c r="AW49" i="9" s="1"/>
  <c r="AY49" i="9" a="1"/>
  <c r="AY49" i="9" s="1"/>
  <c r="AX49" i="9" a="1"/>
  <c r="AX49" i="9" s="1"/>
  <c r="AZ49" i="9" a="1"/>
  <c r="AZ49" i="9" s="1"/>
  <c r="BD49" i="9" a="1"/>
  <c r="BD49" i="9" s="1"/>
  <c r="BA49" i="9" a="1"/>
  <c r="BA49" i="9" s="1"/>
  <c r="BB49" i="9" a="1"/>
  <c r="BB49" i="9" s="1"/>
  <c r="BC49" i="9" a="1"/>
  <c r="BC49" i="9" s="1"/>
  <c r="BG49" i="9" a="1"/>
  <c r="BG49" i="9" s="1"/>
  <c r="BE49" i="9" a="1"/>
  <c r="BE49" i="9" s="1"/>
  <c r="BF49" i="9" a="1"/>
  <c r="BF49" i="9" s="1"/>
  <c r="BH49" i="9" a="1"/>
  <c r="BH49" i="9" s="1"/>
  <c r="BI49" i="9" a="1"/>
  <c r="BI49" i="9" s="1"/>
  <c r="AN41" i="9" a="1"/>
  <c r="AN41" i="9" s="1"/>
  <c r="AL41" i="9" a="1"/>
  <c r="AL41" i="9" s="1"/>
  <c r="E41" i="9" a="1"/>
  <c r="E41" i="9" s="1"/>
  <c r="V41" i="9" a="1"/>
  <c r="V41" i="9" s="1"/>
  <c r="R41" i="9" a="1"/>
  <c r="R41" i="9" s="1"/>
  <c r="X41" i="9" a="1"/>
  <c r="X41" i="9" s="1"/>
  <c r="AA41" i="9" a="1"/>
  <c r="AA41" i="9" s="1"/>
  <c r="Z41" i="9" a="1"/>
  <c r="Z41" i="9" s="1"/>
  <c r="Q41" i="9" a="1"/>
  <c r="Q41" i="9" s="1"/>
  <c r="H41" i="9" a="1"/>
  <c r="H41" i="9" s="1"/>
  <c r="AH41" i="9" a="1"/>
  <c r="AH41" i="9" s="1"/>
  <c r="AE41" i="9" a="1"/>
  <c r="AE41" i="9" s="1"/>
  <c r="U41" i="9" a="1"/>
  <c r="U41" i="9" s="1"/>
  <c r="AC41" i="9" a="1"/>
  <c r="AC41" i="9" s="1"/>
  <c r="B41" i="9" a="1"/>
  <c r="B41" i="9" s="1"/>
  <c r="N41" i="9" a="1"/>
  <c r="N41" i="9" s="1"/>
  <c r="AJ41" i="9" a="1"/>
  <c r="AJ41" i="9" s="1"/>
  <c r="AK41" i="9" a="1"/>
  <c r="AK41" i="9" s="1"/>
  <c r="Y41" i="9" a="1"/>
  <c r="Y41" i="9" s="1"/>
  <c r="F41" i="9" a="1"/>
  <c r="F41" i="9" s="1"/>
  <c r="I41" i="9" a="1"/>
  <c r="I41" i="9" s="1"/>
  <c r="AD41" i="9" a="1"/>
  <c r="AD41" i="9" s="1"/>
  <c r="K41" i="9" a="1"/>
  <c r="K41" i="9" s="1"/>
  <c r="J41" i="9" a="1"/>
  <c r="J41" i="9" s="1"/>
  <c r="L41" i="9" a="1"/>
  <c r="L41" i="9" s="1"/>
  <c r="S41" i="9" a="1"/>
  <c r="S41" i="9" s="1"/>
  <c r="D41" i="9" a="1"/>
  <c r="D41" i="9" s="1"/>
  <c r="AI41" i="9" a="1"/>
  <c r="AI41" i="9" s="1"/>
  <c r="P41" i="9" a="1"/>
  <c r="P41" i="9" s="1"/>
  <c r="C41" i="9" a="1"/>
  <c r="C41" i="9" s="1"/>
  <c r="G41" i="9" a="1"/>
  <c r="G41" i="9" s="1"/>
  <c r="AG41" i="9" a="1"/>
  <c r="AG41" i="9" s="1"/>
  <c r="M41" i="9" a="1"/>
  <c r="M41" i="9" s="1"/>
  <c r="AM41" i="9" a="1"/>
  <c r="AM41" i="9" s="1"/>
  <c r="AB41" i="9" a="1"/>
  <c r="AB41" i="9" s="1"/>
  <c r="W41" i="9" a="1"/>
  <c r="W41" i="9" s="1"/>
  <c r="O41" i="9" a="1"/>
  <c r="O41" i="9" s="1"/>
  <c r="AF41" i="9" a="1"/>
  <c r="AF41" i="9" s="1"/>
  <c r="T41" i="9" a="1"/>
  <c r="T41" i="9" s="1"/>
  <c r="AO41" i="9" a="1"/>
  <c r="AO41" i="9" s="1"/>
  <c r="AS41" i="9" a="1"/>
  <c r="AS41" i="9" s="1"/>
  <c r="AQ41" i="9" a="1"/>
  <c r="AQ41" i="9" s="1"/>
  <c r="AR41" i="9" a="1"/>
  <c r="AR41" i="9" s="1"/>
  <c r="AP41" i="9" a="1"/>
  <c r="AP41" i="9" s="1"/>
  <c r="AU41" i="9" a="1"/>
  <c r="AU41" i="9" s="1"/>
  <c r="AT41" i="9" a="1"/>
  <c r="AT41" i="9" s="1"/>
  <c r="AV41" i="9" a="1"/>
  <c r="AV41" i="9" s="1"/>
  <c r="AY41" i="9" a="1"/>
  <c r="AY41" i="9" s="1"/>
  <c r="AX41" i="9" a="1"/>
  <c r="AX41" i="9" s="1"/>
  <c r="AW41" i="9" a="1"/>
  <c r="AW41" i="9" s="1"/>
  <c r="AZ41" i="9" a="1"/>
  <c r="AZ41" i="9" s="1"/>
  <c r="BA41" i="9" a="1"/>
  <c r="BA41" i="9" s="1"/>
  <c r="BB41" i="9" a="1"/>
  <c r="BB41" i="9" s="1"/>
  <c r="BD41" i="9" a="1"/>
  <c r="BD41" i="9" s="1"/>
  <c r="BC41" i="9" a="1"/>
  <c r="BC41" i="9" s="1"/>
  <c r="BF41" i="9" a="1"/>
  <c r="BF41" i="9" s="1"/>
  <c r="BE41" i="9" a="1"/>
  <c r="BE41" i="9" s="1"/>
  <c r="BH41" i="9" a="1"/>
  <c r="BH41" i="9" s="1"/>
  <c r="BG41" i="9" a="1"/>
  <c r="BG41" i="9" s="1"/>
  <c r="BI41" i="9" a="1"/>
  <c r="BI41" i="9" s="1"/>
  <c r="BL44" i="7"/>
  <c r="AL36" i="9" a="1"/>
  <c r="AL36" i="9" s="1"/>
  <c r="AQ36" i="9" a="1"/>
  <c r="AQ36" i="9" s="1"/>
  <c r="AM36" i="9" a="1"/>
  <c r="AM36" i="9" s="1"/>
  <c r="G36" i="9" a="1"/>
  <c r="G36" i="9" s="1"/>
  <c r="AF36" i="9" a="1"/>
  <c r="AF36" i="9" s="1"/>
  <c r="S36" i="9" a="1"/>
  <c r="S36" i="9" s="1"/>
  <c r="Y36" i="9" a="1"/>
  <c r="Y36" i="9" s="1"/>
  <c r="M36" i="9" a="1"/>
  <c r="M36" i="9" s="1"/>
  <c r="X36" i="9" a="1"/>
  <c r="X36" i="9" s="1"/>
  <c r="R36" i="9" a="1"/>
  <c r="R36" i="9" s="1"/>
  <c r="F36" i="9" a="1"/>
  <c r="F36" i="9" s="1"/>
  <c r="I36" i="9" a="1"/>
  <c r="I36" i="9" s="1"/>
  <c r="AA36" i="9" a="1"/>
  <c r="AA36" i="9" s="1"/>
  <c r="V36" i="9" a="1"/>
  <c r="V36" i="9" s="1"/>
  <c r="AP36" i="9" a="1"/>
  <c r="AP36" i="9" s="1"/>
  <c r="L36" i="9" a="1"/>
  <c r="L36" i="9" s="1"/>
  <c r="J36" i="9" a="1"/>
  <c r="J36" i="9" s="1"/>
  <c r="Q36" i="9" a="1"/>
  <c r="Q36" i="9" s="1"/>
  <c r="AK36" i="9" a="1"/>
  <c r="AK36" i="9" s="1"/>
  <c r="T36" i="9" a="1"/>
  <c r="T36" i="9" s="1"/>
  <c r="P36" i="9" a="1"/>
  <c r="P36" i="9" s="1"/>
  <c r="AB36" i="9" a="1"/>
  <c r="AB36" i="9" s="1"/>
  <c r="D36" i="9" a="1"/>
  <c r="D36" i="9" s="1"/>
  <c r="AH36" i="9" a="1"/>
  <c r="AH36" i="9" s="1"/>
  <c r="AD36" i="9" a="1"/>
  <c r="AD36" i="9" s="1"/>
  <c r="Z36" i="9" a="1"/>
  <c r="Z36" i="9" s="1"/>
  <c r="N36" i="9" a="1"/>
  <c r="N36" i="9" s="1"/>
  <c r="AE36" i="9" a="1"/>
  <c r="AE36" i="9" s="1"/>
  <c r="AN36" i="9" a="1"/>
  <c r="AN36" i="9" s="1"/>
  <c r="AI36" i="9" a="1"/>
  <c r="AI36" i="9" s="1"/>
  <c r="C36" i="9" a="1"/>
  <c r="C36" i="9" s="1"/>
  <c r="AO36" i="9" a="1"/>
  <c r="AO36" i="9" s="1"/>
  <c r="U36" i="9" a="1"/>
  <c r="U36" i="9" s="1"/>
  <c r="AJ36" i="9" a="1"/>
  <c r="AJ36" i="9" s="1"/>
  <c r="K36" i="9" a="1"/>
  <c r="K36" i="9" s="1"/>
  <c r="AC36" i="9" a="1"/>
  <c r="AC36" i="9" s="1"/>
  <c r="W36" i="9" a="1"/>
  <c r="W36" i="9" s="1"/>
  <c r="AG36" i="9" a="1"/>
  <c r="AG36" i="9" s="1"/>
  <c r="O36" i="9" a="1"/>
  <c r="O36" i="9" s="1"/>
  <c r="B36" i="9" a="1"/>
  <c r="B36" i="9" s="1"/>
  <c r="H36" i="9" a="1"/>
  <c r="H36" i="9" s="1"/>
  <c r="E36" i="9" a="1"/>
  <c r="E36" i="9" s="1"/>
  <c r="AR36" i="9" a="1"/>
  <c r="AR36" i="9" s="1"/>
  <c r="AS36" i="9" a="1"/>
  <c r="AS36" i="9" s="1"/>
  <c r="AV36" i="9" a="1"/>
  <c r="AV36" i="9" s="1"/>
  <c r="AU36" i="9" a="1"/>
  <c r="AU36" i="9" s="1"/>
  <c r="AY36" i="9" a="1"/>
  <c r="AY36" i="9" s="1"/>
  <c r="AT36" i="9" a="1"/>
  <c r="AT36" i="9" s="1"/>
  <c r="AX36" i="9" a="1"/>
  <c r="AX36" i="9" s="1"/>
  <c r="AW36" i="9" a="1"/>
  <c r="AW36" i="9" s="1"/>
  <c r="BA36" i="9" a="1"/>
  <c r="BA36" i="9" s="1"/>
  <c r="AZ36" i="9" a="1"/>
  <c r="AZ36" i="9" s="1"/>
  <c r="BD36" i="9" a="1"/>
  <c r="BD36" i="9" s="1"/>
  <c r="BC36" i="9" a="1"/>
  <c r="BC36" i="9" s="1"/>
  <c r="BB36" i="9" a="1"/>
  <c r="BB36" i="9" s="1"/>
  <c r="BE36" i="9" a="1"/>
  <c r="BE36" i="9" s="1"/>
  <c r="BH36" i="9" a="1"/>
  <c r="BH36" i="9" s="1"/>
  <c r="BG36" i="9" a="1"/>
  <c r="BG36" i="9" s="1"/>
  <c r="BF36" i="9" a="1"/>
  <c r="BF36" i="9" s="1"/>
  <c r="BI36" i="9" a="1"/>
  <c r="BI36" i="9" s="1"/>
  <c r="BL59" i="7"/>
  <c r="AP8" i="9" a="1"/>
  <c r="AP8" i="9" s="1"/>
  <c r="AM8" i="9" a="1"/>
  <c r="AM8" i="9" s="1"/>
  <c r="AN8" i="9" a="1"/>
  <c r="AN8" i="9" s="1"/>
  <c r="AL8" i="9" a="1"/>
  <c r="AL8" i="9" s="1"/>
  <c r="AO8" i="9" a="1"/>
  <c r="AO8" i="9" s="1"/>
  <c r="M8" i="9" a="1"/>
  <c r="M8" i="9" s="1"/>
  <c r="H8" i="9" a="1"/>
  <c r="H8" i="9" s="1"/>
  <c r="AK8" i="9" a="1"/>
  <c r="AK8" i="9" s="1"/>
  <c r="C8" i="9" a="1"/>
  <c r="C8" i="9" s="1"/>
  <c r="AJ8" i="9" a="1"/>
  <c r="AJ8" i="9" s="1"/>
  <c r="J8" i="9" a="1"/>
  <c r="J8" i="9" s="1"/>
  <c r="S8" i="9" a="1"/>
  <c r="S8" i="9" s="1"/>
  <c r="G8" i="9" a="1"/>
  <c r="G8" i="9" s="1"/>
  <c r="AR8" i="9" a="1"/>
  <c r="AR8" i="9" s="1"/>
  <c r="AI8" i="9" a="1"/>
  <c r="AI8" i="9" s="1"/>
  <c r="D8" i="9" a="1"/>
  <c r="D8" i="9" s="1"/>
  <c r="AE8" i="9" a="1"/>
  <c r="AE8" i="9" s="1"/>
  <c r="AG8" i="9" a="1"/>
  <c r="AG8" i="9" s="1"/>
  <c r="I8" i="9" a="1"/>
  <c r="I8" i="9" s="1"/>
  <c r="L8" i="9" a="1"/>
  <c r="L8" i="9" s="1"/>
  <c r="N8" i="9" a="1"/>
  <c r="N8" i="9" s="1"/>
  <c r="T8" i="9" a="1"/>
  <c r="T8" i="9" s="1"/>
  <c r="P8" i="9" a="1"/>
  <c r="P8" i="9" s="1"/>
  <c r="AH8" i="9" a="1"/>
  <c r="AH8" i="9" s="1"/>
  <c r="K8" i="9" a="1"/>
  <c r="K8" i="9" s="1"/>
  <c r="Z8" i="9" a="1"/>
  <c r="Z8" i="9" s="1"/>
  <c r="AQ8" i="9" a="1"/>
  <c r="AQ8" i="9" s="1"/>
  <c r="U8" i="9" a="1"/>
  <c r="U8" i="9" s="1"/>
  <c r="AF8" i="9" a="1"/>
  <c r="AF8" i="9" s="1"/>
  <c r="E8" i="9" a="1"/>
  <c r="E8" i="9" s="1"/>
  <c r="AA8" i="9" a="1"/>
  <c r="AA8" i="9" s="1"/>
  <c r="V8" i="9" a="1"/>
  <c r="V8" i="9" s="1"/>
  <c r="AC8" i="9" a="1"/>
  <c r="AC8" i="9" s="1"/>
  <c r="W8" i="9" a="1"/>
  <c r="W8" i="9" s="1"/>
  <c r="AB8" i="9" a="1"/>
  <c r="AB8" i="9" s="1"/>
  <c r="B8" i="9" a="1"/>
  <c r="B8" i="9" s="1"/>
  <c r="Q8" i="9" a="1"/>
  <c r="Q8" i="9" s="1"/>
  <c r="F8" i="9" a="1"/>
  <c r="F8" i="9" s="1"/>
  <c r="R8" i="9" a="1"/>
  <c r="R8" i="9" s="1"/>
  <c r="Y8" i="9" a="1"/>
  <c r="Y8" i="9" s="1"/>
  <c r="O8" i="9" a="1"/>
  <c r="O8" i="9" s="1"/>
  <c r="AD8" i="9" a="1"/>
  <c r="AD8" i="9" s="1"/>
  <c r="X8" i="9" a="1"/>
  <c r="X8" i="9" s="1"/>
  <c r="AT8" i="9" a="1"/>
  <c r="AT8" i="9" s="1"/>
  <c r="AU8" i="9" a="1"/>
  <c r="AU8" i="9" s="1"/>
  <c r="AV8" i="9" a="1"/>
  <c r="AV8" i="9" s="1"/>
  <c r="AS8" i="9" a="1"/>
  <c r="AS8" i="9" s="1"/>
  <c r="AW8" i="9" a="1"/>
  <c r="AW8" i="9" s="1"/>
  <c r="AY8" i="9" a="1"/>
  <c r="AY8" i="9" s="1"/>
  <c r="AX8" i="9" a="1"/>
  <c r="AX8" i="9" s="1"/>
  <c r="AZ8" i="9" a="1"/>
  <c r="AZ8" i="9" s="1"/>
  <c r="BC8" i="9" a="1"/>
  <c r="BC8" i="9" s="1"/>
  <c r="BB8" i="9" a="1"/>
  <c r="BB8" i="9" s="1"/>
  <c r="BA8" i="9" a="1"/>
  <c r="BA8" i="9" s="1"/>
  <c r="BD8" i="9" a="1"/>
  <c r="BD8" i="9" s="1"/>
  <c r="BE8" i="9" a="1"/>
  <c r="BE8" i="9" s="1"/>
  <c r="BF8" i="9" a="1"/>
  <c r="BF8" i="9" s="1"/>
  <c r="BH8" i="9" a="1"/>
  <c r="BH8" i="9" s="1"/>
  <c r="BG8" i="9" a="1"/>
  <c r="BG8" i="9" s="1"/>
  <c r="BI8" i="9" a="1"/>
  <c r="BI8" i="9" s="1"/>
  <c r="BK47" i="7"/>
  <c r="BI4" i="9"/>
  <c r="BL4" i="8"/>
  <c r="BL5" i="8" s="1"/>
  <c r="BK5" i="8"/>
  <c r="AL44" i="9" a="1"/>
  <c r="AL44" i="9" s="1"/>
  <c r="AD44" i="9" a="1"/>
  <c r="AD44" i="9" s="1"/>
  <c r="AH44" i="9" a="1"/>
  <c r="AH44" i="9" s="1"/>
  <c r="Z44" i="9" a="1"/>
  <c r="Z44" i="9" s="1"/>
  <c r="L44" i="9" a="1"/>
  <c r="L44" i="9" s="1"/>
  <c r="H44" i="9" a="1"/>
  <c r="H44" i="9" s="1"/>
  <c r="Q44" i="9" a="1"/>
  <c r="Q44" i="9" s="1"/>
  <c r="J44" i="9" a="1"/>
  <c r="J44" i="9" s="1"/>
  <c r="AI44" i="9" a="1"/>
  <c r="AI44" i="9" s="1"/>
  <c r="R44" i="9" a="1"/>
  <c r="R44" i="9" s="1"/>
  <c r="W44" i="9" a="1"/>
  <c r="W44" i="9" s="1"/>
  <c r="C44" i="9" a="1"/>
  <c r="C44" i="9" s="1"/>
  <c r="AF44" i="9" a="1"/>
  <c r="AF44" i="9" s="1"/>
  <c r="AQ44" i="9" a="1"/>
  <c r="AQ44" i="9" s="1"/>
  <c r="U44" i="9" a="1"/>
  <c r="U44" i="9" s="1"/>
  <c r="X44" i="9" a="1"/>
  <c r="X44" i="9" s="1"/>
  <c r="AJ44" i="9" a="1"/>
  <c r="AJ44" i="9" s="1"/>
  <c r="O44" i="9" a="1"/>
  <c r="O44" i="9" s="1"/>
  <c r="AG44" i="9" a="1"/>
  <c r="AG44" i="9" s="1"/>
  <c r="T44" i="9" a="1"/>
  <c r="T44" i="9" s="1"/>
  <c r="G44" i="9" a="1"/>
  <c r="G44" i="9" s="1"/>
  <c r="AA44" i="9" a="1"/>
  <c r="AA44" i="9" s="1"/>
  <c r="M44" i="9" a="1"/>
  <c r="M44" i="9" s="1"/>
  <c r="Y44" i="9" a="1"/>
  <c r="Y44" i="9" s="1"/>
  <c r="I44" i="9" a="1"/>
  <c r="I44" i="9" s="1"/>
  <c r="N44" i="9" a="1"/>
  <c r="N44" i="9" s="1"/>
  <c r="S44" i="9" a="1"/>
  <c r="S44" i="9" s="1"/>
  <c r="D44" i="9" a="1"/>
  <c r="D44" i="9" s="1"/>
  <c r="V44" i="9" a="1"/>
  <c r="V44" i="9" s="1"/>
  <c r="F44" i="9" a="1"/>
  <c r="F44" i="9" s="1"/>
  <c r="AC44" i="9" a="1"/>
  <c r="AC44" i="9" s="1"/>
  <c r="E44" i="9" a="1"/>
  <c r="E44" i="9" s="1"/>
  <c r="AN44" i="9" a="1"/>
  <c r="AN44" i="9" s="1"/>
  <c r="AK44" i="9" a="1"/>
  <c r="AK44" i="9" s="1"/>
  <c r="K44" i="9" a="1"/>
  <c r="K44" i="9" s="1"/>
  <c r="AM44" i="9" a="1"/>
  <c r="AM44" i="9" s="1"/>
  <c r="AE44" i="9" a="1"/>
  <c r="AE44" i="9" s="1"/>
  <c r="AB44" i="9" a="1"/>
  <c r="AB44" i="9" s="1"/>
  <c r="P44" i="9" a="1"/>
  <c r="P44" i="9" s="1"/>
  <c r="B44" i="9" a="1"/>
  <c r="B44" i="9" s="1"/>
  <c r="AO44" i="9" a="1"/>
  <c r="AO44" i="9" s="1"/>
  <c r="AP44" i="9" a="1"/>
  <c r="AP44" i="9" s="1"/>
  <c r="AR44" i="9" a="1"/>
  <c r="AR44" i="9" s="1"/>
  <c r="AT44" i="9" a="1"/>
  <c r="AT44" i="9" s="1"/>
  <c r="AS44" i="9" a="1"/>
  <c r="AS44" i="9" s="1"/>
  <c r="AV44" i="9" a="1"/>
  <c r="AV44" i="9" s="1"/>
  <c r="AU44" i="9" a="1"/>
  <c r="AU44" i="9" s="1"/>
  <c r="AY44" i="9" a="1"/>
  <c r="AY44" i="9" s="1"/>
  <c r="AW44" i="9" a="1"/>
  <c r="AW44" i="9" s="1"/>
  <c r="AX44" i="9" a="1"/>
  <c r="AX44" i="9" s="1"/>
  <c r="BA44" i="9" a="1"/>
  <c r="BA44" i="9" s="1"/>
  <c r="AZ44" i="9" a="1"/>
  <c r="AZ44" i="9" s="1"/>
  <c r="BB44" i="9" a="1"/>
  <c r="BB44" i="9" s="1"/>
  <c r="BC44" i="9" a="1"/>
  <c r="BC44" i="9" s="1"/>
  <c r="BD44" i="9" a="1"/>
  <c r="BD44" i="9" s="1"/>
  <c r="BF44" i="9" a="1"/>
  <c r="BF44" i="9" s="1"/>
  <c r="BE44" i="9" a="1"/>
  <c r="BE44" i="9" s="1"/>
  <c r="BH44" i="9" a="1"/>
  <c r="BH44" i="9" s="1"/>
  <c r="BG44" i="9" a="1"/>
  <c r="BG44" i="9" s="1"/>
  <c r="BI44" i="9" a="1"/>
  <c r="BI44" i="9" s="1"/>
  <c r="AL47" i="9" a="1"/>
  <c r="AL47" i="9" s="1"/>
  <c r="AM47" i="9" a="1"/>
  <c r="AM47" i="9" s="1"/>
  <c r="AA47" i="9" a="1"/>
  <c r="AA47" i="9" s="1"/>
  <c r="P47" i="9" a="1"/>
  <c r="P47" i="9" s="1"/>
  <c r="W47" i="9" a="1"/>
  <c r="W47" i="9" s="1"/>
  <c r="S47" i="9" a="1"/>
  <c r="S47" i="9" s="1"/>
  <c r="G47" i="9" a="1"/>
  <c r="G47" i="9" s="1"/>
  <c r="U47" i="9" a="1"/>
  <c r="U47" i="9" s="1"/>
  <c r="Y47" i="9" a="1"/>
  <c r="Y47" i="9" s="1"/>
  <c r="Z47" i="9" a="1"/>
  <c r="Z47" i="9" s="1"/>
  <c r="B47" i="9" a="1"/>
  <c r="B47" i="9" s="1"/>
  <c r="D47" i="9" a="1"/>
  <c r="D47" i="9" s="1"/>
  <c r="T47" i="9" a="1"/>
  <c r="T47" i="9" s="1"/>
  <c r="H47" i="9" a="1"/>
  <c r="H47" i="9" s="1"/>
  <c r="AK47" i="9" a="1"/>
  <c r="AK47" i="9" s="1"/>
  <c r="AE47" i="9" a="1"/>
  <c r="AE47" i="9" s="1"/>
  <c r="K47" i="9" a="1"/>
  <c r="K47" i="9" s="1"/>
  <c r="AC47" i="9" a="1"/>
  <c r="AC47" i="9" s="1"/>
  <c r="Q47" i="9" a="1"/>
  <c r="Q47" i="9" s="1"/>
  <c r="C47" i="9" a="1"/>
  <c r="C47" i="9" s="1"/>
  <c r="AJ47" i="9" a="1"/>
  <c r="AJ47" i="9" s="1"/>
  <c r="AH47" i="9" a="1"/>
  <c r="AH47" i="9" s="1"/>
  <c r="O47" i="9" a="1"/>
  <c r="O47" i="9" s="1"/>
  <c r="L47" i="9" a="1"/>
  <c r="L47" i="9" s="1"/>
  <c r="N47" i="9" a="1"/>
  <c r="N47" i="9" s="1"/>
  <c r="I47" i="9" a="1"/>
  <c r="I47" i="9" s="1"/>
  <c r="M47" i="9" a="1"/>
  <c r="M47" i="9" s="1"/>
  <c r="V47" i="9" a="1"/>
  <c r="V47" i="9" s="1"/>
  <c r="J47" i="9" a="1"/>
  <c r="J47" i="9" s="1"/>
  <c r="X47" i="9" a="1"/>
  <c r="X47" i="9" s="1"/>
  <c r="E47" i="9" a="1"/>
  <c r="E47" i="9" s="1"/>
  <c r="AN47" i="9" a="1"/>
  <c r="AN47" i="9" s="1"/>
  <c r="R47" i="9" a="1"/>
  <c r="R47" i="9" s="1"/>
  <c r="F47" i="9" a="1"/>
  <c r="F47" i="9" s="1"/>
  <c r="AG47" i="9" a="1"/>
  <c r="AG47" i="9" s="1"/>
  <c r="AI47" i="9" a="1"/>
  <c r="AI47" i="9" s="1"/>
  <c r="AB47" i="9" a="1"/>
  <c r="AB47" i="9" s="1"/>
  <c r="AD47" i="9" a="1"/>
  <c r="AD47" i="9" s="1"/>
  <c r="AF47" i="9" a="1"/>
  <c r="AF47" i="9" s="1"/>
  <c r="AP47" i="9" a="1"/>
  <c r="AP47" i="9" s="1"/>
  <c r="AO47" i="9" a="1"/>
  <c r="AO47" i="9" s="1"/>
  <c r="AS47" i="9" a="1"/>
  <c r="AS47" i="9" s="1"/>
  <c r="AQ47" i="9" a="1"/>
  <c r="AQ47" i="9" s="1"/>
  <c r="AR47" i="9" a="1"/>
  <c r="AR47" i="9" s="1"/>
  <c r="AT47" i="9" a="1"/>
  <c r="AT47" i="9" s="1"/>
  <c r="AX47" i="9" a="1"/>
  <c r="AX47" i="9" s="1"/>
  <c r="AV47" i="9" a="1"/>
  <c r="AV47" i="9" s="1"/>
  <c r="AU47" i="9" a="1"/>
  <c r="AU47" i="9" s="1"/>
  <c r="AY47" i="9" a="1"/>
  <c r="AY47" i="9" s="1"/>
  <c r="AW47" i="9" a="1"/>
  <c r="AW47" i="9" s="1"/>
  <c r="BA47" i="9" a="1"/>
  <c r="BA47" i="9" s="1"/>
  <c r="AZ47" i="9" a="1"/>
  <c r="AZ47" i="9" s="1"/>
  <c r="BD47" i="9" a="1"/>
  <c r="BD47" i="9" s="1"/>
  <c r="BB47" i="9" a="1"/>
  <c r="BB47" i="9" s="1"/>
  <c r="BC47" i="9" a="1"/>
  <c r="BC47" i="9" s="1"/>
  <c r="BG47" i="9" a="1"/>
  <c r="BG47" i="9" s="1"/>
  <c r="BE47" i="9" a="1"/>
  <c r="BE47" i="9" s="1"/>
  <c r="BF47" i="9" a="1"/>
  <c r="BF47" i="9" s="1"/>
  <c r="BH47" i="9" a="1"/>
  <c r="BH47" i="9" s="1"/>
  <c r="BI47" i="9" a="1"/>
  <c r="BI47" i="9" s="1"/>
  <c r="T38" i="9" a="1"/>
  <c r="T38" i="9" s="1"/>
  <c r="U38" i="9" a="1"/>
  <c r="U38" i="9" s="1"/>
  <c r="AJ38" i="9" a="1"/>
  <c r="AJ38" i="9" s="1"/>
  <c r="P38" i="9" a="1"/>
  <c r="P38" i="9" s="1"/>
  <c r="V38" i="9" a="1"/>
  <c r="V38" i="9" s="1"/>
  <c r="W38" i="9" a="1"/>
  <c r="W38" i="9" s="1"/>
  <c r="AK38" i="9" a="1"/>
  <c r="AK38" i="9" s="1"/>
  <c r="AA38" i="9" a="1"/>
  <c r="AA38" i="9" s="1"/>
  <c r="Y38" i="9" a="1"/>
  <c r="Y38" i="9" s="1"/>
  <c r="AG38" i="9" a="1"/>
  <c r="AG38" i="9" s="1"/>
  <c r="I38" i="9" a="1"/>
  <c r="I38" i="9" s="1"/>
  <c r="AE38" i="9" a="1"/>
  <c r="AE38" i="9" s="1"/>
  <c r="G38" i="9" a="1"/>
  <c r="G38" i="9" s="1"/>
  <c r="R38" i="9" a="1"/>
  <c r="R38" i="9" s="1"/>
  <c r="H38" i="9" a="1"/>
  <c r="H38" i="9" s="1"/>
  <c r="AF38" i="9" a="1"/>
  <c r="AF38" i="9" s="1"/>
  <c r="AL38" i="9" a="1"/>
  <c r="AL38" i="9" s="1"/>
  <c r="J38" i="9" a="1"/>
  <c r="J38" i="9" s="1"/>
  <c r="E38" i="9" a="1"/>
  <c r="E38" i="9" s="1"/>
  <c r="AB38" i="9" a="1"/>
  <c r="AB38" i="9" s="1"/>
  <c r="AI38" i="9" a="1"/>
  <c r="AI38" i="9" s="1"/>
  <c r="AH38" i="9" a="1"/>
  <c r="AH38" i="9" s="1"/>
  <c r="AD38" i="9" a="1"/>
  <c r="AD38" i="9" s="1"/>
  <c r="K38" i="9" a="1"/>
  <c r="K38" i="9" s="1"/>
  <c r="N38" i="9" a="1"/>
  <c r="N38" i="9" s="1"/>
  <c r="F38" i="9" a="1"/>
  <c r="F38" i="9" s="1"/>
  <c r="AC38" i="9" a="1"/>
  <c r="AC38" i="9" s="1"/>
  <c r="Q38" i="9" a="1"/>
  <c r="Q38" i="9" s="1"/>
  <c r="L38" i="9" a="1"/>
  <c r="L38" i="9" s="1"/>
  <c r="O38" i="9" a="1"/>
  <c r="O38" i="9" s="1"/>
  <c r="D38" i="9" a="1"/>
  <c r="D38" i="9" s="1"/>
  <c r="AN38" i="9" a="1"/>
  <c r="AN38" i="9" s="1"/>
  <c r="AP38" i="9" a="1"/>
  <c r="AP38" i="9" s="1"/>
  <c r="M38" i="9" a="1"/>
  <c r="M38" i="9" s="1"/>
  <c r="C38" i="9" a="1"/>
  <c r="C38" i="9" s="1"/>
  <c r="S38" i="9" a="1"/>
  <c r="S38" i="9" s="1"/>
  <c r="AO38" i="9" a="1"/>
  <c r="AO38" i="9" s="1"/>
  <c r="X38" i="9" a="1"/>
  <c r="X38" i="9" s="1"/>
  <c r="Z38" i="9" a="1"/>
  <c r="Z38" i="9" s="1"/>
  <c r="B38" i="9" a="1"/>
  <c r="B38" i="9" s="1"/>
  <c r="AM38" i="9" a="1"/>
  <c r="AM38" i="9" s="1"/>
  <c r="AV38" i="9" a="1"/>
  <c r="AV38" i="9" s="1"/>
  <c r="AR38" i="9" a="1"/>
  <c r="AR38" i="9" s="1"/>
  <c r="AQ38" i="9" a="1"/>
  <c r="AQ38" i="9" s="1"/>
  <c r="AU38" i="9" a="1"/>
  <c r="AU38" i="9" s="1"/>
  <c r="AS38" i="9" a="1"/>
  <c r="AS38" i="9" s="1"/>
  <c r="AT38" i="9" a="1"/>
  <c r="AT38" i="9" s="1"/>
  <c r="AW38" i="9" a="1"/>
  <c r="AW38" i="9" s="1"/>
  <c r="AX38" i="9" a="1"/>
  <c r="AX38" i="9" s="1"/>
  <c r="AY38" i="9" a="1"/>
  <c r="AY38" i="9" s="1"/>
  <c r="BD38" i="9" a="1"/>
  <c r="BD38" i="9" s="1"/>
  <c r="AZ38" i="9" a="1"/>
  <c r="AZ38" i="9" s="1"/>
  <c r="BC38" i="9" a="1"/>
  <c r="BC38" i="9" s="1"/>
  <c r="BB38" i="9" a="1"/>
  <c r="BB38" i="9" s="1"/>
  <c r="BA38" i="9" a="1"/>
  <c r="BA38" i="9" s="1"/>
  <c r="BF38" i="9" a="1"/>
  <c r="BF38" i="9" s="1"/>
  <c r="BE38" i="9" a="1"/>
  <c r="BE38" i="9" s="1"/>
  <c r="BG38" i="9" a="1"/>
  <c r="BG38" i="9" s="1"/>
  <c r="BH38" i="9" a="1"/>
  <c r="BH38" i="9" s="1"/>
  <c r="BI38" i="9" a="1"/>
  <c r="BI38" i="9" s="1"/>
  <c r="AC43" i="9" a="1"/>
  <c r="AC43" i="9" s="1"/>
  <c r="AB43" i="9" a="1"/>
  <c r="AB43" i="9" s="1"/>
  <c r="AA43" i="9" a="1"/>
  <c r="AA43" i="9" s="1"/>
  <c r="AI43" i="9" a="1"/>
  <c r="AI43" i="9" s="1"/>
  <c r="G43" i="9" a="1"/>
  <c r="G43" i="9" s="1"/>
  <c r="K43" i="9" a="1"/>
  <c r="K43" i="9" s="1"/>
  <c r="L43" i="9" a="1"/>
  <c r="L43" i="9" s="1"/>
  <c r="X43" i="9" a="1"/>
  <c r="X43" i="9" s="1"/>
  <c r="W43" i="9" a="1"/>
  <c r="W43" i="9" s="1"/>
  <c r="U43" i="9" a="1"/>
  <c r="U43" i="9" s="1"/>
  <c r="T43" i="9" a="1"/>
  <c r="T43" i="9" s="1"/>
  <c r="E43" i="9" a="1"/>
  <c r="E43" i="9" s="1"/>
  <c r="P43" i="9" a="1"/>
  <c r="P43" i="9" s="1"/>
  <c r="V43" i="9" a="1"/>
  <c r="V43" i="9" s="1"/>
  <c r="N43" i="9" a="1"/>
  <c r="N43" i="9" s="1"/>
  <c r="J43" i="9" a="1"/>
  <c r="J43" i="9" s="1"/>
  <c r="AG43" i="9" a="1"/>
  <c r="AG43" i="9" s="1"/>
  <c r="AD43" i="9" a="1"/>
  <c r="AD43" i="9" s="1"/>
  <c r="Z43" i="9" a="1"/>
  <c r="Z43" i="9" s="1"/>
  <c r="AJ43" i="9" a="1"/>
  <c r="AJ43" i="9" s="1"/>
  <c r="I43" i="9" a="1"/>
  <c r="I43" i="9" s="1"/>
  <c r="S43" i="9" a="1"/>
  <c r="S43" i="9" s="1"/>
  <c r="F43" i="9" a="1"/>
  <c r="F43" i="9" s="1"/>
  <c r="H43" i="9" a="1"/>
  <c r="H43" i="9" s="1"/>
  <c r="Y43" i="9" a="1"/>
  <c r="Y43" i="9" s="1"/>
  <c r="AF43" i="9" a="1"/>
  <c r="AF43" i="9" s="1"/>
  <c r="D43" i="9" a="1"/>
  <c r="D43" i="9" s="1"/>
  <c r="M43" i="9" a="1"/>
  <c r="M43" i="9" s="1"/>
  <c r="AE43" i="9" a="1"/>
  <c r="AE43" i="9" s="1"/>
  <c r="O43" i="9" a="1"/>
  <c r="O43" i="9" s="1"/>
  <c r="R43" i="9" a="1"/>
  <c r="R43" i="9" s="1"/>
  <c r="AK43" i="9" a="1"/>
  <c r="AK43" i="9" s="1"/>
  <c r="Q43" i="9" a="1"/>
  <c r="Q43" i="9" s="1"/>
  <c r="AM43" i="9" a="1"/>
  <c r="AM43" i="9" s="1"/>
  <c r="C43" i="9" a="1"/>
  <c r="C43" i="9" s="1"/>
  <c r="AL43" i="9" a="1"/>
  <c r="AL43" i="9" s="1"/>
  <c r="B43" i="9" a="1"/>
  <c r="B43" i="9" s="1"/>
  <c r="AH43" i="9" a="1"/>
  <c r="AH43" i="9" s="1"/>
  <c r="AO43" i="9" a="1"/>
  <c r="AO43" i="9" s="1"/>
  <c r="AQ43" i="9" a="1"/>
  <c r="AQ43" i="9" s="1"/>
  <c r="AP43" i="9" a="1"/>
  <c r="AP43" i="9" s="1"/>
  <c r="AN43" i="9" a="1"/>
  <c r="AN43" i="9" s="1"/>
  <c r="AR43" i="9" a="1"/>
  <c r="AR43" i="9" s="1"/>
  <c r="AS43" i="9" a="1"/>
  <c r="AS43" i="9" s="1"/>
  <c r="AT43" i="9" a="1"/>
  <c r="AT43" i="9" s="1"/>
  <c r="AW43" i="9" a="1"/>
  <c r="AW43" i="9" s="1"/>
  <c r="AV43" i="9" a="1"/>
  <c r="AV43" i="9" s="1"/>
  <c r="AU43" i="9" a="1"/>
  <c r="AU43" i="9" s="1"/>
  <c r="AX43" i="9" a="1"/>
  <c r="AX43" i="9" s="1"/>
  <c r="AZ43" i="9" a="1"/>
  <c r="AZ43" i="9" s="1"/>
  <c r="AY43" i="9" a="1"/>
  <c r="AY43" i="9" s="1"/>
  <c r="BD43" i="9" a="1"/>
  <c r="BD43" i="9" s="1"/>
  <c r="BC43" i="9" a="1"/>
  <c r="BC43" i="9" s="1"/>
  <c r="BB43" i="9" a="1"/>
  <c r="BB43" i="9" s="1"/>
  <c r="BA43" i="9" a="1"/>
  <c r="BA43" i="9" s="1"/>
  <c r="BF43" i="9" a="1"/>
  <c r="BF43" i="9" s="1"/>
  <c r="BE43" i="9" a="1"/>
  <c r="BE43" i="9" s="1"/>
  <c r="BG43" i="9" a="1"/>
  <c r="BG43" i="9" s="1"/>
  <c r="BH43" i="9" a="1"/>
  <c r="BH43" i="9" s="1"/>
  <c r="BI43" i="9" a="1"/>
  <c r="BI43" i="9" s="1"/>
  <c r="AL48" i="9" a="1"/>
  <c r="AL48" i="9" s="1"/>
  <c r="L48" i="9" a="1"/>
  <c r="L48" i="9" s="1"/>
  <c r="R48" i="9" a="1"/>
  <c r="R48" i="9" s="1"/>
  <c r="M48" i="9" a="1"/>
  <c r="M48" i="9" s="1"/>
  <c r="N48" i="9" a="1"/>
  <c r="N48" i="9" s="1"/>
  <c r="D48" i="9" a="1"/>
  <c r="D48" i="9" s="1"/>
  <c r="AD48" i="9" a="1"/>
  <c r="AD48" i="9" s="1"/>
  <c r="B48" i="9" a="1"/>
  <c r="B48" i="9" s="1"/>
  <c r="AF48" i="9" a="1"/>
  <c r="AF48" i="9" s="1"/>
  <c r="Q48" i="9" a="1"/>
  <c r="Q48" i="9" s="1"/>
  <c r="E48" i="9" a="1"/>
  <c r="E48" i="9" s="1"/>
  <c r="W48" i="9" a="1"/>
  <c r="W48" i="9" s="1"/>
  <c r="F48" i="9" a="1"/>
  <c r="F48" i="9" s="1"/>
  <c r="O48" i="9" a="1"/>
  <c r="O48" i="9" s="1"/>
  <c r="J48" i="9" a="1"/>
  <c r="J48" i="9" s="1"/>
  <c r="S48" i="9" a="1"/>
  <c r="S48" i="9" s="1"/>
  <c r="G48" i="9" a="1"/>
  <c r="G48" i="9" s="1"/>
  <c r="C48" i="9" a="1"/>
  <c r="C48" i="9" s="1"/>
  <c r="AA48" i="9" a="1"/>
  <c r="AA48" i="9" s="1"/>
  <c r="Z48" i="9" a="1"/>
  <c r="Z48" i="9" s="1"/>
  <c r="AI48" i="9" a="1"/>
  <c r="AI48" i="9" s="1"/>
  <c r="Y48" i="9" a="1"/>
  <c r="Y48" i="9" s="1"/>
  <c r="P48" i="9" a="1"/>
  <c r="P48" i="9" s="1"/>
  <c r="U48" i="9" a="1"/>
  <c r="U48" i="9" s="1"/>
  <c r="K48" i="9" a="1"/>
  <c r="K48" i="9" s="1"/>
  <c r="T48" i="9" a="1"/>
  <c r="T48" i="9" s="1"/>
  <c r="I48" i="9" a="1"/>
  <c r="I48" i="9" s="1"/>
  <c r="V48" i="9" a="1"/>
  <c r="V48" i="9" s="1"/>
  <c r="AK48" i="9" a="1"/>
  <c r="AK48" i="9" s="1"/>
  <c r="AE48" i="9" a="1"/>
  <c r="AE48" i="9" s="1"/>
  <c r="AH48" i="9" a="1"/>
  <c r="AH48" i="9" s="1"/>
  <c r="AG48" i="9" a="1"/>
  <c r="AG48" i="9" s="1"/>
  <c r="X48" i="9" a="1"/>
  <c r="X48" i="9" s="1"/>
  <c r="AM48" i="9" a="1"/>
  <c r="AM48" i="9" s="1"/>
  <c r="AC48" i="9" a="1"/>
  <c r="AC48" i="9" s="1"/>
  <c r="AN48" i="9" a="1"/>
  <c r="AN48" i="9" s="1"/>
  <c r="H48" i="9" a="1"/>
  <c r="H48" i="9" s="1"/>
  <c r="AB48" i="9" a="1"/>
  <c r="AB48" i="9" s="1"/>
  <c r="AO48" i="9" a="1"/>
  <c r="AO48" i="9" s="1"/>
  <c r="AJ48" i="9" a="1"/>
  <c r="AJ48" i="9" s="1"/>
  <c r="AP48" i="9" a="1"/>
  <c r="AP48" i="9" s="1"/>
  <c r="AQ48" i="9" a="1"/>
  <c r="AQ48" i="9" s="1"/>
  <c r="AS48" i="9" a="1"/>
  <c r="AS48" i="9" s="1"/>
  <c r="AR48" i="9" a="1"/>
  <c r="AR48" i="9" s="1"/>
  <c r="AU48" i="9" a="1"/>
  <c r="AU48" i="9" s="1"/>
  <c r="AT48" i="9" a="1"/>
  <c r="AT48" i="9" s="1"/>
  <c r="AW48" i="9" a="1"/>
  <c r="AW48" i="9" s="1"/>
  <c r="AY48" i="9" a="1"/>
  <c r="AY48" i="9" s="1"/>
  <c r="AX48" i="9" a="1"/>
  <c r="AX48" i="9" s="1"/>
  <c r="AV48" i="9" a="1"/>
  <c r="AV48" i="9" s="1"/>
  <c r="BA48" i="9" a="1"/>
  <c r="BA48" i="9" s="1"/>
  <c r="AZ48" i="9" a="1"/>
  <c r="AZ48" i="9" s="1"/>
  <c r="BB48" i="9" a="1"/>
  <c r="BB48" i="9" s="1"/>
  <c r="BI48" i="9" a="1"/>
  <c r="BI48" i="9" s="1"/>
  <c r="BC48" i="9" a="1"/>
  <c r="BC48" i="9" s="1"/>
  <c r="BD48" i="9" a="1"/>
  <c r="BD48" i="9" s="1"/>
  <c r="BE48" i="9" a="1"/>
  <c r="BE48" i="9" s="1"/>
  <c r="BG48" i="9" a="1"/>
  <c r="BG48" i="9" s="1"/>
  <c r="BF48" i="9" a="1"/>
  <c r="BF48" i="9" s="1"/>
  <c r="BH48" i="9" a="1"/>
  <c r="BH48" i="9" s="1"/>
  <c r="M18" i="9" a="1"/>
  <c r="M18" i="9" s="1"/>
  <c r="AJ18" i="9" a="1"/>
  <c r="AJ18" i="9" s="1"/>
  <c r="T18" i="9" a="1"/>
  <c r="T18" i="9" s="1"/>
  <c r="C18" i="9" a="1"/>
  <c r="C18" i="9" s="1"/>
  <c r="AK18" i="9" a="1"/>
  <c r="AK18" i="9" s="1"/>
  <c r="D18" i="9" a="1"/>
  <c r="D18" i="9" s="1"/>
  <c r="P18" i="9" a="1"/>
  <c r="P18" i="9" s="1"/>
  <c r="N18" i="9" a="1"/>
  <c r="N18" i="9" s="1"/>
  <c r="I18" i="9" a="1"/>
  <c r="I18" i="9" s="1"/>
  <c r="W18" i="9" a="1"/>
  <c r="W18" i="9" s="1"/>
  <c r="AA18" i="9" a="1"/>
  <c r="AA18" i="9" s="1"/>
  <c r="AF18" i="9" a="1"/>
  <c r="AF18" i="9" s="1"/>
  <c r="V18" i="9" a="1"/>
  <c r="V18" i="9" s="1"/>
  <c r="Q18" i="9" a="1"/>
  <c r="Q18" i="9" s="1"/>
  <c r="X18" i="9" a="1"/>
  <c r="X18" i="9" s="1"/>
  <c r="G18" i="9" a="1"/>
  <c r="G18" i="9" s="1"/>
  <c r="Z18" i="9" a="1"/>
  <c r="Z18" i="9" s="1"/>
  <c r="O18" i="9" a="1"/>
  <c r="O18" i="9" s="1"/>
  <c r="AC18" i="9" a="1"/>
  <c r="AC18" i="9" s="1"/>
  <c r="K18" i="9" a="1"/>
  <c r="K18" i="9" s="1"/>
  <c r="AH18" i="9" a="1"/>
  <c r="AH18" i="9" s="1"/>
  <c r="B18" i="9" a="1"/>
  <c r="B18" i="9" s="1"/>
  <c r="L18" i="9" a="1"/>
  <c r="L18" i="9" s="1"/>
  <c r="AE18" i="9" a="1"/>
  <c r="AE18" i="9" s="1"/>
  <c r="J18" i="9" a="1"/>
  <c r="J18" i="9" s="1"/>
  <c r="E18" i="9" a="1"/>
  <c r="E18" i="9" s="1"/>
  <c r="S18" i="9" a="1"/>
  <c r="S18" i="9" s="1"/>
  <c r="F18" i="9" a="1"/>
  <c r="F18" i="9" s="1"/>
  <c r="AM18" i="9" a="1"/>
  <c r="AM18" i="9" s="1"/>
  <c r="AB18" i="9" a="1"/>
  <c r="AB18" i="9" s="1"/>
  <c r="AD18" i="9" a="1"/>
  <c r="AD18" i="9" s="1"/>
  <c r="U18" i="9" a="1"/>
  <c r="U18" i="9" s="1"/>
  <c r="AL18" i="9" a="1"/>
  <c r="AL18" i="9" s="1"/>
  <c r="R18" i="9" a="1"/>
  <c r="R18" i="9" s="1"/>
  <c r="H18" i="9" a="1"/>
  <c r="H18" i="9" s="1"/>
  <c r="AG18" i="9" a="1"/>
  <c r="AG18" i="9" s="1"/>
  <c r="Y18" i="9" a="1"/>
  <c r="Y18" i="9" s="1"/>
  <c r="AO18" i="9" a="1"/>
  <c r="AO18" i="9" s="1"/>
  <c r="AI18" i="9" a="1"/>
  <c r="AI18" i="9" s="1"/>
  <c r="AQ18" i="9" a="1"/>
  <c r="AQ18" i="9" s="1"/>
  <c r="AN18" i="9" a="1"/>
  <c r="AN18" i="9" s="1"/>
  <c r="AP18" i="9" a="1"/>
  <c r="AP18" i="9" s="1"/>
  <c r="AR18" i="9" a="1"/>
  <c r="AR18" i="9" s="1"/>
  <c r="AS18" i="9" a="1"/>
  <c r="AS18" i="9" s="1"/>
  <c r="AU18" i="9" a="1"/>
  <c r="AU18" i="9" s="1"/>
  <c r="AT18" i="9" a="1"/>
  <c r="AT18" i="9" s="1"/>
  <c r="AW18" i="9" a="1"/>
  <c r="AW18" i="9" s="1"/>
  <c r="AV18" i="9" a="1"/>
  <c r="AV18" i="9" s="1"/>
  <c r="AX18" i="9" a="1"/>
  <c r="AX18" i="9" s="1"/>
  <c r="AY18" i="9" a="1"/>
  <c r="AY18" i="9" s="1"/>
  <c r="AZ18" i="9" a="1"/>
  <c r="AZ18" i="9" s="1"/>
  <c r="BE18" i="9" a="1"/>
  <c r="BE18" i="9" s="1"/>
  <c r="BI18" i="9" a="1"/>
  <c r="BI18" i="9" s="1"/>
  <c r="BA18" i="9" a="1"/>
  <c r="BA18" i="9" s="1"/>
  <c r="BG18" i="9" a="1"/>
  <c r="BG18" i="9" s="1"/>
  <c r="BB18" i="9" a="1"/>
  <c r="BB18" i="9" s="1"/>
  <c r="BC18" i="9" a="1"/>
  <c r="BC18" i="9" s="1"/>
  <c r="BF18" i="9" a="1"/>
  <c r="BF18" i="9" s="1"/>
  <c r="BD18" i="9" a="1"/>
  <c r="BD18" i="9" s="1"/>
  <c r="BH18" i="9" a="1"/>
  <c r="BH18" i="9" s="1"/>
  <c r="G45" i="9" a="1"/>
  <c r="G45" i="9" s="1"/>
  <c r="T45" i="9" a="1"/>
  <c r="T45" i="9" s="1"/>
  <c r="H45" i="9" a="1"/>
  <c r="H45" i="9" s="1"/>
  <c r="AH45" i="9" a="1"/>
  <c r="AH45" i="9" s="1"/>
  <c r="X45" i="9" a="1"/>
  <c r="X45" i="9" s="1"/>
  <c r="P45" i="9" a="1"/>
  <c r="P45" i="9" s="1"/>
  <c r="AI45" i="9" a="1"/>
  <c r="AI45" i="9" s="1"/>
  <c r="AJ45" i="9" a="1"/>
  <c r="AJ45" i="9" s="1"/>
  <c r="AA45" i="9" a="1"/>
  <c r="AA45" i="9" s="1"/>
  <c r="F45" i="9" a="1"/>
  <c r="F45" i="9" s="1"/>
  <c r="I45" i="9" a="1"/>
  <c r="I45" i="9" s="1"/>
  <c r="V45" i="9" a="1"/>
  <c r="V45" i="9" s="1"/>
  <c r="K45" i="9" a="1"/>
  <c r="K45" i="9" s="1"/>
  <c r="D45" i="9" a="1"/>
  <c r="D45" i="9" s="1"/>
  <c r="M45" i="9" a="1"/>
  <c r="M45" i="9" s="1"/>
  <c r="J45" i="9" a="1"/>
  <c r="J45" i="9" s="1"/>
  <c r="W45" i="9" a="1"/>
  <c r="W45" i="9" s="1"/>
  <c r="AL45" i="9" a="1"/>
  <c r="AL45" i="9" s="1"/>
  <c r="R45" i="9" a="1"/>
  <c r="R45" i="9" s="1"/>
  <c r="Y45" i="9" a="1"/>
  <c r="Y45" i="9" s="1"/>
  <c r="Z45" i="9" a="1"/>
  <c r="Z45" i="9" s="1"/>
  <c r="AE45" i="9" a="1"/>
  <c r="AE45" i="9" s="1"/>
  <c r="AG45" i="9" a="1"/>
  <c r="AG45" i="9" s="1"/>
  <c r="L45" i="9" a="1"/>
  <c r="L45" i="9" s="1"/>
  <c r="AD45" i="9" a="1"/>
  <c r="AD45" i="9" s="1"/>
  <c r="U45" i="9" a="1"/>
  <c r="U45" i="9" s="1"/>
  <c r="Q45" i="9" a="1"/>
  <c r="Q45" i="9" s="1"/>
  <c r="AC45" i="9" a="1"/>
  <c r="AC45" i="9" s="1"/>
  <c r="N45" i="9" a="1"/>
  <c r="N45" i="9" s="1"/>
  <c r="C45" i="9" a="1"/>
  <c r="C45" i="9" s="1"/>
  <c r="O45" i="9" a="1"/>
  <c r="O45" i="9" s="1"/>
  <c r="E45" i="9" a="1"/>
  <c r="E45" i="9" s="1"/>
  <c r="AF45" i="9" a="1"/>
  <c r="AF45" i="9" s="1"/>
  <c r="S45" i="9" a="1"/>
  <c r="S45" i="9" s="1"/>
  <c r="B45" i="9" a="1"/>
  <c r="B45" i="9" s="1"/>
  <c r="AB45" i="9" a="1"/>
  <c r="AB45" i="9" s="1"/>
  <c r="AM45" i="9" a="1"/>
  <c r="AM45" i="9" s="1"/>
  <c r="AK45" i="9" a="1"/>
  <c r="AK45" i="9" s="1"/>
  <c r="AN45" i="9" a="1"/>
  <c r="AN45" i="9" s="1"/>
  <c r="AO45" i="9" a="1"/>
  <c r="AO45" i="9" s="1"/>
  <c r="AP45" i="9" a="1"/>
  <c r="AP45" i="9" s="1"/>
  <c r="AR45" i="9" a="1"/>
  <c r="AR45" i="9" s="1"/>
  <c r="AQ45" i="9" a="1"/>
  <c r="AQ45" i="9" s="1"/>
  <c r="AU45" i="9" a="1"/>
  <c r="AU45" i="9" s="1"/>
  <c r="AV45" i="9" a="1"/>
  <c r="AV45" i="9" s="1"/>
  <c r="AT45" i="9" a="1"/>
  <c r="AT45" i="9" s="1"/>
  <c r="AS45" i="9" a="1"/>
  <c r="AS45" i="9" s="1"/>
  <c r="AY45" i="9" a="1"/>
  <c r="AY45" i="9" s="1"/>
  <c r="AX45" i="9" a="1"/>
  <c r="AX45" i="9" s="1"/>
  <c r="AW45" i="9" a="1"/>
  <c r="AW45" i="9" s="1"/>
  <c r="BA45" i="9" a="1"/>
  <c r="BA45" i="9" s="1"/>
  <c r="AZ45" i="9" a="1"/>
  <c r="AZ45" i="9" s="1"/>
  <c r="BB45" i="9" a="1"/>
  <c r="BB45" i="9" s="1"/>
  <c r="BC45" i="9" a="1"/>
  <c r="BC45" i="9" s="1"/>
  <c r="BE45" i="9" a="1"/>
  <c r="BE45" i="9" s="1"/>
  <c r="BD45" i="9" a="1"/>
  <c r="BD45" i="9" s="1"/>
  <c r="BF45" i="9" a="1"/>
  <c r="BF45" i="9" s="1"/>
  <c r="BH45" i="9" a="1"/>
  <c r="BH45" i="9" s="1"/>
  <c r="BG45" i="9" a="1"/>
  <c r="BG45" i="9" s="1"/>
  <c r="BI45" i="9" a="1"/>
  <c r="BI45" i="9" s="1"/>
  <c r="BL57" i="7"/>
  <c r="BL75" i="7"/>
  <c r="AO12" i="9" a="1"/>
  <c r="AO12" i="9" s="1"/>
  <c r="AL12" i="9" a="1"/>
  <c r="AL12" i="9" s="1"/>
  <c r="AM12" i="9" a="1"/>
  <c r="AM12" i="9" s="1"/>
  <c r="AD12" i="9" a="1"/>
  <c r="AD12" i="9" s="1"/>
  <c r="T12" i="9" a="1"/>
  <c r="T12" i="9" s="1"/>
  <c r="AI12" i="9" a="1"/>
  <c r="AI12" i="9" s="1"/>
  <c r="M12" i="9" a="1"/>
  <c r="M12" i="9" s="1"/>
  <c r="J12" i="9" a="1"/>
  <c r="J12" i="9" s="1"/>
  <c r="E12" i="9" a="1"/>
  <c r="E12" i="9" s="1"/>
  <c r="AK12" i="9" a="1"/>
  <c r="AK12" i="9" s="1"/>
  <c r="V12" i="9" a="1"/>
  <c r="V12" i="9" s="1"/>
  <c r="O12" i="9" a="1"/>
  <c r="O12" i="9" s="1"/>
  <c r="G12" i="9" a="1"/>
  <c r="G12" i="9" s="1"/>
  <c r="Z12" i="9" a="1"/>
  <c r="Z12" i="9" s="1"/>
  <c r="Y12" i="9" a="1"/>
  <c r="Y12" i="9" s="1"/>
  <c r="AB12" i="9" a="1"/>
  <c r="AB12" i="9" s="1"/>
  <c r="AG12" i="9" a="1"/>
  <c r="AG12" i="9" s="1"/>
  <c r="AN12" i="9" a="1"/>
  <c r="AN12" i="9" s="1"/>
  <c r="AA12" i="9" a="1"/>
  <c r="AA12" i="9" s="1"/>
  <c r="AH12" i="9" a="1"/>
  <c r="AH12" i="9" s="1"/>
  <c r="S12" i="9" a="1"/>
  <c r="S12" i="9" s="1"/>
  <c r="B12" i="9" a="1"/>
  <c r="B12" i="9" s="1"/>
  <c r="D12" i="9" a="1"/>
  <c r="D12" i="9" s="1"/>
  <c r="AC12" i="9" a="1"/>
  <c r="AC12" i="9" s="1"/>
  <c r="F12" i="9" a="1"/>
  <c r="F12" i="9" s="1"/>
  <c r="Q12" i="9" a="1"/>
  <c r="Q12" i="9" s="1"/>
  <c r="AJ12" i="9" a="1"/>
  <c r="AJ12" i="9" s="1"/>
  <c r="U12" i="9" a="1"/>
  <c r="U12" i="9" s="1"/>
  <c r="L12" i="9" a="1"/>
  <c r="L12" i="9" s="1"/>
  <c r="AF12" i="9" a="1"/>
  <c r="AF12" i="9" s="1"/>
  <c r="N12" i="9" a="1"/>
  <c r="N12" i="9" s="1"/>
  <c r="X12" i="9" a="1"/>
  <c r="X12" i="9" s="1"/>
  <c r="R12" i="9" a="1"/>
  <c r="R12" i="9" s="1"/>
  <c r="C12" i="9" a="1"/>
  <c r="C12" i="9" s="1"/>
  <c r="I12" i="9" a="1"/>
  <c r="I12" i="9" s="1"/>
  <c r="W12" i="9" a="1"/>
  <c r="W12" i="9" s="1"/>
  <c r="AE12" i="9" a="1"/>
  <c r="AE12" i="9" s="1"/>
  <c r="K12" i="9" a="1"/>
  <c r="K12" i="9" s="1"/>
  <c r="H12" i="9" a="1"/>
  <c r="H12" i="9" s="1"/>
  <c r="P12" i="9" a="1"/>
  <c r="P12" i="9" s="1"/>
  <c r="AP12" i="9" a="1"/>
  <c r="AP12" i="9" s="1"/>
  <c r="AR12" i="9" a="1"/>
  <c r="AR12" i="9" s="1"/>
  <c r="AQ12" i="9" a="1"/>
  <c r="AQ12" i="9" s="1"/>
  <c r="AS12" i="9" a="1"/>
  <c r="AS12" i="9" s="1"/>
  <c r="AT12" i="9" a="1"/>
  <c r="AT12" i="9" s="1"/>
  <c r="AV12" i="9" a="1"/>
  <c r="AV12" i="9" s="1"/>
  <c r="AX12" i="9" a="1"/>
  <c r="AX12" i="9" s="1"/>
  <c r="AU12" i="9" a="1"/>
  <c r="AU12" i="9" s="1"/>
  <c r="AW12" i="9" a="1"/>
  <c r="AW12" i="9" s="1"/>
  <c r="AY12" i="9" a="1"/>
  <c r="AY12" i="9" s="1"/>
  <c r="BB12" i="9" a="1"/>
  <c r="BB12" i="9" s="1"/>
  <c r="AZ12" i="9" a="1"/>
  <c r="AZ12" i="9" s="1"/>
  <c r="BA12" i="9" a="1"/>
  <c r="BA12" i="9" s="1"/>
  <c r="BE12" i="9" a="1"/>
  <c r="BE12" i="9" s="1"/>
  <c r="BI12" i="9" a="1"/>
  <c r="BI12" i="9" s="1"/>
  <c r="BD12" i="9" a="1"/>
  <c r="BD12" i="9" s="1"/>
  <c r="BC12" i="9" a="1"/>
  <c r="BC12" i="9" s="1"/>
  <c r="BG12" i="9" a="1"/>
  <c r="BG12" i="9" s="1"/>
  <c r="BF12" i="9" a="1"/>
  <c r="BF12" i="9" s="1"/>
  <c r="BH12" i="9" a="1"/>
  <c r="BH12" i="9" s="1"/>
  <c r="AK39" i="9" a="1"/>
  <c r="AK39" i="9" s="1"/>
  <c r="G39" i="9" a="1"/>
  <c r="G39" i="9" s="1"/>
  <c r="AH39" i="9" a="1"/>
  <c r="AH39" i="9" s="1"/>
  <c r="C39" i="9" a="1"/>
  <c r="C39" i="9" s="1"/>
  <c r="AJ39" i="9" a="1"/>
  <c r="AJ39" i="9" s="1"/>
  <c r="AC39" i="9" a="1"/>
  <c r="AC39" i="9" s="1"/>
  <c r="AF39" i="9" a="1"/>
  <c r="AF39" i="9" s="1"/>
  <c r="AM39" i="9" a="1"/>
  <c r="AM39" i="9" s="1"/>
  <c r="L39" i="9" a="1"/>
  <c r="L39" i="9" s="1"/>
  <c r="O39" i="9" a="1"/>
  <c r="O39" i="9" s="1"/>
  <c r="Q39" i="9" a="1"/>
  <c r="Q39" i="9" s="1"/>
  <c r="M39" i="9" a="1"/>
  <c r="M39" i="9" s="1"/>
  <c r="K39" i="9" a="1"/>
  <c r="K39" i="9" s="1"/>
  <c r="R39" i="9" a="1"/>
  <c r="R39" i="9" s="1"/>
  <c r="E39" i="9" a="1"/>
  <c r="E39" i="9" s="1"/>
  <c r="B39" i="9" a="1"/>
  <c r="B39" i="9" s="1"/>
  <c r="I39" i="9" a="1"/>
  <c r="I39" i="9" s="1"/>
  <c r="Y39" i="9" a="1"/>
  <c r="Y39" i="9" s="1"/>
  <c r="S39" i="9" a="1"/>
  <c r="S39" i="9" s="1"/>
  <c r="J39" i="9" a="1"/>
  <c r="J39" i="9" s="1"/>
  <c r="Z39" i="9" a="1"/>
  <c r="Z39" i="9" s="1"/>
  <c r="AG39" i="9" a="1"/>
  <c r="AG39" i="9" s="1"/>
  <c r="AL39" i="9" a="1"/>
  <c r="AL39" i="9" s="1"/>
  <c r="D39" i="9" a="1"/>
  <c r="D39" i="9" s="1"/>
  <c r="X39" i="9" a="1"/>
  <c r="X39" i="9" s="1"/>
  <c r="F39" i="9" a="1"/>
  <c r="F39" i="9" s="1"/>
  <c r="H39" i="9" a="1"/>
  <c r="H39" i="9" s="1"/>
  <c r="T39" i="9" a="1"/>
  <c r="T39" i="9" s="1"/>
  <c r="AD39" i="9" a="1"/>
  <c r="AD39" i="9" s="1"/>
  <c r="AI39" i="9" a="1"/>
  <c r="AI39" i="9" s="1"/>
  <c r="AQ39" i="9" a="1"/>
  <c r="AQ39" i="9" s="1"/>
  <c r="P39" i="9" a="1"/>
  <c r="P39" i="9" s="1"/>
  <c r="N39" i="9" a="1"/>
  <c r="N39" i="9" s="1"/>
  <c r="AE39" i="9" a="1"/>
  <c r="AE39" i="9" s="1"/>
  <c r="AN39" i="9" a="1"/>
  <c r="AN39" i="9" s="1"/>
  <c r="AP39" i="9" a="1"/>
  <c r="AP39" i="9" s="1"/>
  <c r="V39" i="9" a="1"/>
  <c r="V39" i="9" s="1"/>
  <c r="AO39" i="9" a="1"/>
  <c r="AO39" i="9" s="1"/>
  <c r="AB39" i="9" a="1"/>
  <c r="AB39" i="9" s="1"/>
  <c r="W39" i="9" a="1"/>
  <c r="W39" i="9" s="1"/>
  <c r="U39" i="9" a="1"/>
  <c r="U39" i="9" s="1"/>
  <c r="AA39" i="9" a="1"/>
  <c r="AA39" i="9" s="1"/>
  <c r="AR39" i="9" a="1"/>
  <c r="AR39" i="9" s="1"/>
  <c r="AS39" i="9" a="1"/>
  <c r="AS39" i="9" s="1"/>
  <c r="AW39" i="9" a="1"/>
  <c r="AW39" i="9" s="1"/>
  <c r="AT39" i="9" a="1"/>
  <c r="AT39" i="9" s="1"/>
  <c r="AV39" i="9" a="1"/>
  <c r="AV39" i="9" s="1"/>
  <c r="AU39" i="9" a="1"/>
  <c r="AU39" i="9" s="1"/>
  <c r="AX39" i="9" a="1"/>
  <c r="AX39" i="9" s="1"/>
  <c r="AY39" i="9" a="1"/>
  <c r="AY39" i="9" s="1"/>
  <c r="AZ39" i="9" a="1"/>
  <c r="AZ39" i="9" s="1"/>
  <c r="BA39" i="9" a="1"/>
  <c r="BA39" i="9" s="1"/>
  <c r="BB39" i="9" a="1"/>
  <c r="BB39" i="9" s="1"/>
  <c r="BC39" i="9" a="1"/>
  <c r="BC39" i="9" s="1"/>
  <c r="BD39" i="9" a="1"/>
  <c r="BD39" i="9" s="1"/>
  <c r="BE39" i="9" a="1"/>
  <c r="BE39" i="9" s="1"/>
  <c r="BG39" i="9" a="1"/>
  <c r="BG39" i="9" s="1"/>
  <c r="BF39" i="9" a="1"/>
  <c r="BF39" i="9" s="1"/>
  <c r="BH39" i="9" a="1"/>
  <c r="BH39" i="9" s="1"/>
  <c r="BI39" i="9" a="1"/>
  <c r="BI39" i="9" s="1"/>
  <c r="G80" i="7"/>
  <c r="G74" i="7" s="1"/>
  <c r="BK71" i="7"/>
  <c r="BK189" i="7" s="1"/>
  <c r="X42" i="9" a="1"/>
  <c r="X42" i="9" s="1"/>
  <c r="W42" i="9" a="1"/>
  <c r="W42" i="9" s="1"/>
  <c r="V42" i="9" a="1"/>
  <c r="V42" i="9" s="1"/>
  <c r="K42" i="9" a="1"/>
  <c r="K42" i="9" s="1"/>
  <c r="H42" i="9" a="1"/>
  <c r="H42" i="9" s="1"/>
  <c r="N42" i="9" a="1"/>
  <c r="N42" i="9" s="1"/>
  <c r="D42" i="9" a="1"/>
  <c r="D42" i="9" s="1"/>
  <c r="L42" i="9" a="1"/>
  <c r="L42" i="9" s="1"/>
  <c r="U42" i="9" a="1"/>
  <c r="U42" i="9" s="1"/>
  <c r="C42" i="9" a="1"/>
  <c r="C42" i="9" s="1"/>
  <c r="AB42" i="9" a="1"/>
  <c r="AB42" i="9" s="1"/>
  <c r="I42" i="9" a="1"/>
  <c r="I42" i="9" s="1"/>
  <c r="AK42" i="9" a="1"/>
  <c r="AK42" i="9" s="1"/>
  <c r="B42" i="9" a="1"/>
  <c r="B42" i="9" s="1"/>
  <c r="O42" i="9" a="1"/>
  <c r="O42" i="9" s="1"/>
  <c r="F42" i="9" a="1"/>
  <c r="F42" i="9" s="1"/>
  <c r="T42" i="9" a="1"/>
  <c r="T42" i="9" s="1"/>
  <c r="AM42" i="9" a="1"/>
  <c r="AM42" i="9" s="1"/>
  <c r="Z42" i="9" a="1"/>
  <c r="Z42" i="9" s="1"/>
  <c r="AC42" i="9" a="1"/>
  <c r="AC42" i="9" s="1"/>
  <c r="G42" i="9" a="1"/>
  <c r="G42" i="9" s="1"/>
  <c r="AD42" i="9" a="1"/>
  <c r="AD42" i="9" s="1"/>
  <c r="J42" i="9" a="1"/>
  <c r="J42" i="9" s="1"/>
  <c r="M42" i="9" a="1"/>
  <c r="M42" i="9" s="1"/>
  <c r="P42" i="9" a="1"/>
  <c r="P42" i="9" s="1"/>
  <c r="Y42" i="9" a="1"/>
  <c r="Y42" i="9" s="1"/>
  <c r="AL42" i="9" a="1"/>
  <c r="AL42" i="9" s="1"/>
  <c r="Q42" i="9" a="1"/>
  <c r="Q42" i="9" s="1"/>
  <c r="AJ42" i="9" a="1"/>
  <c r="AJ42" i="9" s="1"/>
  <c r="AG42" i="9" a="1"/>
  <c r="AG42" i="9" s="1"/>
  <c r="AE42" i="9" a="1"/>
  <c r="AE42" i="9" s="1"/>
  <c r="S42" i="9" a="1"/>
  <c r="S42" i="9" s="1"/>
  <c r="E42" i="9" a="1"/>
  <c r="E42" i="9" s="1"/>
  <c r="AF42" i="9" a="1"/>
  <c r="AF42" i="9" s="1"/>
  <c r="R42" i="9" a="1"/>
  <c r="R42" i="9" s="1"/>
  <c r="AA42" i="9" a="1"/>
  <c r="AA42" i="9" s="1"/>
  <c r="AH42" i="9" a="1"/>
  <c r="AH42" i="9" s="1"/>
  <c r="AI42" i="9" a="1"/>
  <c r="AI42" i="9" s="1"/>
  <c r="AN42" i="9" a="1"/>
  <c r="AN42" i="9" s="1"/>
  <c r="AO42" i="9" a="1"/>
  <c r="AO42" i="9" s="1"/>
  <c r="AP42" i="9" a="1"/>
  <c r="AP42" i="9" s="1"/>
  <c r="AS42" i="9" a="1"/>
  <c r="AS42" i="9" s="1"/>
  <c r="AW42" i="9" a="1"/>
  <c r="AW42" i="9" s="1"/>
  <c r="AR42" i="9" a="1"/>
  <c r="AR42" i="9" s="1"/>
  <c r="AQ42" i="9" a="1"/>
  <c r="AQ42" i="9" s="1"/>
  <c r="AU42" i="9" a="1"/>
  <c r="AU42" i="9" s="1"/>
  <c r="AV42" i="9" a="1"/>
  <c r="AV42" i="9" s="1"/>
  <c r="AT42" i="9" a="1"/>
  <c r="AT42" i="9" s="1"/>
  <c r="AY42" i="9" a="1"/>
  <c r="AY42" i="9" s="1"/>
  <c r="AX42" i="9" a="1"/>
  <c r="AX42" i="9" s="1"/>
  <c r="BC42" i="9" a="1"/>
  <c r="BC42" i="9" s="1"/>
  <c r="AZ42" i="9" a="1"/>
  <c r="AZ42" i="9" s="1"/>
  <c r="BA42" i="9" a="1"/>
  <c r="BA42" i="9" s="1"/>
  <c r="BB42" i="9" a="1"/>
  <c r="BB42" i="9" s="1"/>
  <c r="BD42" i="9" a="1"/>
  <c r="BD42" i="9" s="1"/>
  <c r="BH42" i="9" a="1"/>
  <c r="BH42" i="9" s="1"/>
  <c r="BG42" i="9" a="1"/>
  <c r="BG42" i="9" s="1"/>
  <c r="BE42" i="9" a="1"/>
  <c r="BE42" i="9" s="1"/>
  <c r="BF42" i="9" a="1"/>
  <c r="BF42" i="9" s="1"/>
  <c r="BI42" i="9" a="1"/>
  <c r="BI42" i="9" s="1"/>
  <c r="N46" i="9" a="1"/>
  <c r="N46" i="9" s="1"/>
  <c r="AB46" i="9" a="1"/>
  <c r="AB46" i="9" s="1"/>
  <c r="S46" i="9" a="1"/>
  <c r="S46" i="9" s="1"/>
  <c r="T46" i="9" a="1"/>
  <c r="T46" i="9" s="1"/>
  <c r="M46" i="9" a="1"/>
  <c r="M46" i="9" s="1"/>
  <c r="AI46" i="9" a="1"/>
  <c r="AI46" i="9" s="1"/>
  <c r="AF46" i="9" a="1"/>
  <c r="AF46" i="9" s="1"/>
  <c r="P46" i="9" a="1"/>
  <c r="P46" i="9" s="1"/>
  <c r="E46" i="9" a="1"/>
  <c r="E46" i="9" s="1"/>
  <c r="AD46" i="9" a="1"/>
  <c r="AD46" i="9" s="1"/>
  <c r="AE46" i="9" a="1"/>
  <c r="AE46" i="9" s="1"/>
  <c r="W46" i="9" a="1"/>
  <c r="W46" i="9" s="1"/>
  <c r="AP46" i="9" a="1"/>
  <c r="AP46" i="9" s="1"/>
  <c r="L46" i="9" a="1"/>
  <c r="L46" i="9" s="1"/>
  <c r="R46" i="9" a="1"/>
  <c r="R46" i="9" s="1"/>
  <c r="AG46" i="9" a="1"/>
  <c r="AG46" i="9" s="1"/>
  <c r="Q46" i="9" a="1"/>
  <c r="Q46" i="9" s="1"/>
  <c r="J46" i="9" a="1"/>
  <c r="J46" i="9" s="1"/>
  <c r="Y46" i="9" a="1"/>
  <c r="Y46" i="9" s="1"/>
  <c r="AC46" i="9" a="1"/>
  <c r="AC46" i="9" s="1"/>
  <c r="G46" i="9" a="1"/>
  <c r="G46" i="9" s="1"/>
  <c r="C46" i="9" a="1"/>
  <c r="C46" i="9" s="1"/>
  <c r="AL46" i="9" a="1"/>
  <c r="AL46" i="9" s="1"/>
  <c r="V46" i="9" a="1"/>
  <c r="V46" i="9" s="1"/>
  <c r="D46" i="9" a="1"/>
  <c r="D46" i="9" s="1"/>
  <c r="AA46" i="9" a="1"/>
  <c r="AA46" i="9" s="1"/>
  <c r="O46" i="9" a="1"/>
  <c r="O46" i="9" s="1"/>
  <c r="AH46" i="9" a="1"/>
  <c r="AH46" i="9" s="1"/>
  <c r="K46" i="9" a="1"/>
  <c r="K46" i="9" s="1"/>
  <c r="AJ46" i="9" a="1"/>
  <c r="AJ46" i="9" s="1"/>
  <c r="U46" i="9" a="1"/>
  <c r="U46" i="9" s="1"/>
  <c r="Z46" i="9" a="1"/>
  <c r="Z46" i="9" s="1"/>
  <c r="AK46" i="9" a="1"/>
  <c r="AK46" i="9" s="1"/>
  <c r="I46" i="9" a="1"/>
  <c r="I46" i="9" s="1"/>
  <c r="X46" i="9" a="1"/>
  <c r="X46" i="9" s="1"/>
  <c r="F46" i="9" a="1"/>
  <c r="F46" i="9" s="1"/>
  <c r="H46" i="9" a="1"/>
  <c r="H46" i="9" s="1"/>
  <c r="AM46" i="9" a="1"/>
  <c r="AM46" i="9" s="1"/>
  <c r="B46" i="9" a="1"/>
  <c r="B46" i="9" s="1"/>
  <c r="AQ46" i="9" a="1"/>
  <c r="AQ46" i="9" s="1"/>
  <c r="AN46" i="9" a="1"/>
  <c r="AN46" i="9" s="1"/>
  <c r="AO46" i="9" a="1"/>
  <c r="AO46" i="9" s="1"/>
  <c r="AR46" i="9" a="1"/>
  <c r="AR46" i="9" s="1"/>
  <c r="AX46" i="9" a="1"/>
  <c r="AX46" i="9" s="1"/>
  <c r="AT46" i="9" a="1"/>
  <c r="AT46" i="9" s="1"/>
  <c r="AS46" i="9" a="1"/>
  <c r="AS46" i="9" s="1"/>
  <c r="AV46" i="9" a="1"/>
  <c r="AV46" i="9" s="1"/>
  <c r="AW46" i="9" a="1"/>
  <c r="AW46" i="9" s="1"/>
  <c r="AU46" i="9" a="1"/>
  <c r="AU46" i="9" s="1"/>
  <c r="BA46" i="9" a="1"/>
  <c r="BA46" i="9" s="1"/>
  <c r="AZ46" i="9" a="1"/>
  <c r="AZ46" i="9" s="1"/>
  <c r="AY46" i="9" a="1"/>
  <c r="AY46" i="9" s="1"/>
  <c r="BD46" i="9" a="1"/>
  <c r="BD46" i="9" s="1"/>
  <c r="BC46" i="9" a="1"/>
  <c r="BC46" i="9" s="1"/>
  <c r="BB46" i="9" a="1"/>
  <c r="BB46" i="9" s="1"/>
  <c r="BE46" i="9" a="1"/>
  <c r="BE46" i="9" s="1"/>
  <c r="BF46" i="9" a="1"/>
  <c r="BF46" i="9" s="1"/>
  <c r="BG46" i="9" a="1"/>
  <c r="BG46" i="9" s="1"/>
  <c r="BH46" i="9" a="1"/>
  <c r="BH46" i="9" s="1"/>
  <c r="BI46" i="9" a="1"/>
  <c r="BI46" i="9" s="1"/>
  <c r="BL103" i="7"/>
  <c r="BJ71" i="7"/>
  <c r="BJ189" i="7" s="1"/>
  <c r="AC40" i="9" a="1"/>
  <c r="AC40" i="9" s="1"/>
  <c r="Y40" i="9" a="1"/>
  <c r="Y40" i="9" s="1"/>
  <c r="AE40" i="9" a="1"/>
  <c r="AE40" i="9" s="1"/>
  <c r="W40" i="9" a="1"/>
  <c r="W40" i="9" s="1"/>
  <c r="N40" i="9" a="1"/>
  <c r="N40" i="9" s="1"/>
  <c r="H40" i="9" a="1"/>
  <c r="H40" i="9" s="1"/>
  <c r="AD40" i="9" a="1"/>
  <c r="AD40" i="9" s="1"/>
  <c r="O40" i="9" a="1"/>
  <c r="O40" i="9" s="1"/>
  <c r="AG40" i="9" a="1"/>
  <c r="AG40" i="9" s="1"/>
  <c r="M40" i="9" a="1"/>
  <c r="M40" i="9" s="1"/>
  <c r="L40" i="9" a="1"/>
  <c r="L40" i="9" s="1"/>
  <c r="R40" i="9" a="1"/>
  <c r="R40" i="9" s="1"/>
  <c r="Q40" i="9" a="1"/>
  <c r="Q40" i="9" s="1"/>
  <c r="AI40" i="9" a="1"/>
  <c r="AI40" i="9" s="1"/>
  <c r="Z40" i="9" a="1"/>
  <c r="Z40" i="9" s="1"/>
  <c r="F40" i="9" a="1"/>
  <c r="F40" i="9" s="1"/>
  <c r="AB40" i="9" a="1"/>
  <c r="AB40" i="9" s="1"/>
  <c r="AA40" i="9" a="1"/>
  <c r="AA40" i="9" s="1"/>
  <c r="V40" i="9" a="1"/>
  <c r="V40" i="9" s="1"/>
  <c r="AH40" i="9" a="1"/>
  <c r="AH40" i="9" s="1"/>
  <c r="AK40" i="9" a="1"/>
  <c r="AK40" i="9" s="1"/>
  <c r="S40" i="9" a="1"/>
  <c r="S40" i="9" s="1"/>
  <c r="U40" i="9" a="1"/>
  <c r="U40" i="9" s="1"/>
  <c r="AJ40" i="9" a="1"/>
  <c r="AJ40" i="9" s="1"/>
  <c r="E40" i="9" a="1"/>
  <c r="E40" i="9" s="1"/>
  <c r="P40" i="9" a="1"/>
  <c r="P40" i="9" s="1"/>
  <c r="K40" i="9" a="1"/>
  <c r="K40" i="9" s="1"/>
  <c r="AF40" i="9" a="1"/>
  <c r="AF40" i="9" s="1"/>
  <c r="T40" i="9" a="1"/>
  <c r="T40" i="9" s="1"/>
  <c r="AL40" i="9" a="1"/>
  <c r="AL40" i="9" s="1"/>
  <c r="G40" i="9" a="1"/>
  <c r="G40" i="9" s="1"/>
  <c r="I40" i="9" a="1"/>
  <c r="I40" i="9" s="1"/>
  <c r="X40" i="9" a="1"/>
  <c r="X40" i="9" s="1"/>
  <c r="B40" i="9" a="1"/>
  <c r="B40" i="9" s="1"/>
  <c r="AM40" i="9" a="1"/>
  <c r="AM40" i="9" s="1"/>
  <c r="D40" i="9" a="1"/>
  <c r="D40" i="9" s="1"/>
  <c r="C40" i="9" a="1"/>
  <c r="C40" i="9" s="1"/>
  <c r="J40" i="9" a="1"/>
  <c r="J40" i="9" s="1"/>
  <c r="AQ40" i="9" a="1"/>
  <c r="AQ40" i="9" s="1"/>
  <c r="AP40" i="9" a="1"/>
  <c r="AP40" i="9" s="1"/>
  <c r="AN40" i="9" a="1"/>
  <c r="AN40" i="9" s="1"/>
  <c r="AO40" i="9" a="1"/>
  <c r="AO40" i="9" s="1"/>
  <c r="AT40" i="9" a="1"/>
  <c r="AT40" i="9" s="1"/>
  <c r="AU40" i="9" a="1"/>
  <c r="AU40" i="9" s="1"/>
  <c r="AS40" i="9" a="1"/>
  <c r="AS40" i="9" s="1"/>
  <c r="AR40" i="9" a="1"/>
  <c r="AR40" i="9" s="1"/>
  <c r="AW40" i="9" a="1"/>
  <c r="AW40" i="9" s="1"/>
  <c r="AV40" i="9" a="1"/>
  <c r="AV40" i="9" s="1"/>
  <c r="AY40" i="9" a="1"/>
  <c r="AY40" i="9" s="1"/>
  <c r="AX40" i="9" a="1"/>
  <c r="AX40" i="9" s="1"/>
  <c r="AZ40" i="9" a="1"/>
  <c r="AZ40" i="9" s="1"/>
  <c r="BA40" i="9" a="1"/>
  <c r="BA40" i="9" s="1"/>
  <c r="BB40" i="9" a="1"/>
  <c r="BB40" i="9" s="1"/>
  <c r="BE40" i="9" a="1"/>
  <c r="BE40" i="9" s="1"/>
  <c r="BC40" i="9" a="1"/>
  <c r="BC40" i="9" s="1"/>
  <c r="BD40" i="9" a="1"/>
  <c r="BD40" i="9" s="1"/>
  <c r="BH40" i="9" a="1"/>
  <c r="BH40" i="9" s="1"/>
  <c r="BF40" i="9" a="1"/>
  <c r="BF40" i="9" s="1"/>
  <c r="BG40" i="9" a="1"/>
  <c r="BG40" i="9" s="1"/>
  <c r="BI40" i="9" a="1"/>
  <c r="BI40" i="9" s="1"/>
  <c r="BL62" i="7"/>
  <c r="AL37" i="9" a="1"/>
  <c r="AL37" i="9" s="1"/>
  <c r="E37" i="9" a="1"/>
  <c r="E37" i="9" s="1"/>
  <c r="AD37" i="9" a="1"/>
  <c r="AD37" i="9" s="1"/>
  <c r="S37" i="9" a="1"/>
  <c r="S37" i="9" s="1"/>
  <c r="AE37" i="9" a="1"/>
  <c r="AE37" i="9" s="1"/>
  <c r="H37" i="9" a="1"/>
  <c r="H37" i="9" s="1"/>
  <c r="AH37" i="9" a="1"/>
  <c r="AH37" i="9" s="1"/>
  <c r="AC37" i="9" a="1"/>
  <c r="AC37" i="9" s="1"/>
  <c r="L37" i="9" a="1"/>
  <c r="L37" i="9" s="1"/>
  <c r="U37" i="9" a="1"/>
  <c r="U37" i="9" s="1"/>
  <c r="AF37" i="9" a="1"/>
  <c r="AF37" i="9" s="1"/>
  <c r="X37" i="9" a="1"/>
  <c r="X37" i="9" s="1"/>
  <c r="AI37" i="9" a="1"/>
  <c r="AI37" i="9" s="1"/>
  <c r="AK37" i="9" a="1"/>
  <c r="AK37" i="9" s="1"/>
  <c r="B37" i="9" a="1"/>
  <c r="B37" i="9" s="1"/>
  <c r="C37" i="9" a="1"/>
  <c r="C37" i="9" s="1"/>
  <c r="AB37" i="9" a="1"/>
  <c r="AB37" i="9" s="1"/>
  <c r="AA37" i="9" a="1"/>
  <c r="AA37" i="9" s="1"/>
  <c r="G37" i="9" a="1"/>
  <c r="G37" i="9" s="1"/>
  <c r="M37" i="9" a="1"/>
  <c r="M37" i="9" s="1"/>
  <c r="AG37" i="9" a="1"/>
  <c r="AG37" i="9" s="1"/>
  <c r="V37" i="9" a="1"/>
  <c r="V37" i="9" s="1"/>
  <c r="D37" i="9" a="1"/>
  <c r="D37" i="9" s="1"/>
  <c r="F37" i="9" a="1"/>
  <c r="F37" i="9" s="1"/>
  <c r="AJ37" i="9" a="1"/>
  <c r="AJ37" i="9" s="1"/>
  <c r="J37" i="9" a="1"/>
  <c r="J37" i="9" s="1"/>
  <c r="Q37" i="9" a="1"/>
  <c r="Q37" i="9" s="1"/>
  <c r="K37" i="9" a="1"/>
  <c r="K37" i="9" s="1"/>
  <c r="T37" i="9" a="1"/>
  <c r="T37" i="9" s="1"/>
  <c r="I37" i="9" a="1"/>
  <c r="I37" i="9" s="1"/>
  <c r="P37" i="9" a="1"/>
  <c r="P37" i="9" s="1"/>
  <c r="Y37" i="9" a="1"/>
  <c r="Y37" i="9" s="1"/>
  <c r="O37" i="9" a="1"/>
  <c r="O37" i="9" s="1"/>
  <c r="W37" i="9" a="1"/>
  <c r="W37" i="9" s="1"/>
  <c r="AN37" i="9" a="1"/>
  <c r="AN37" i="9" s="1"/>
  <c r="N37" i="9" a="1"/>
  <c r="N37" i="9" s="1"/>
  <c r="Z37" i="9" a="1"/>
  <c r="Z37" i="9" s="1"/>
  <c r="AM37" i="9" a="1"/>
  <c r="AM37" i="9" s="1"/>
  <c r="R37" i="9" a="1"/>
  <c r="R37" i="9" s="1"/>
  <c r="AP37" i="9" a="1"/>
  <c r="AP37" i="9" s="1"/>
  <c r="AQ37" i="9" a="1"/>
  <c r="AQ37" i="9" s="1"/>
  <c r="AO37" i="9" a="1"/>
  <c r="AO37" i="9" s="1"/>
  <c r="AT37" i="9" a="1"/>
  <c r="AT37" i="9" s="1"/>
  <c r="AR37" i="9" a="1"/>
  <c r="AR37" i="9" s="1"/>
  <c r="AS37" i="9" a="1"/>
  <c r="AS37" i="9" s="1"/>
  <c r="AV37" i="9" a="1"/>
  <c r="AV37" i="9" s="1"/>
  <c r="AX37" i="9" a="1"/>
  <c r="AX37" i="9" s="1"/>
  <c r="AU37" i="9" a="1"/>
  <c r="AU37" i="9" s="1"/>
  <c r="AW37" i="9" a="1"/>
  <c r="AW37" i="9" s="1"/>
  <c r="AY37" i="9" a="1"/>
  <c r="AY37" i="9" s="1"/>
  <c r="AZ37" i="9" a="1"/>
  <c r="AZ37" i="9" s="1"/>
  <c r="BA37" i="9" a="1"/>
  <c r="BA37" i="9" s="1"/>
  <c r="BB37" i="9" a="1"/>
  <c r="BB37" i="9" s="1"/>
  <c r="BC37" i="9" a="1"/>
  <c r="BC37" i="9" s="1"/>
  <c r="BD37" i="9" a="1"/>
  <c r="BD37" i="9" s="1"/>
  <c r="BE37" i="9" a="1"/>
  <c r="BE37" i="9" s="1"/>
  <c r="BH37" i="9" a="1"/>
  <c r="BH37" i="9" s="1"/>
  <c r="BF37" i="9" a="1"/>
  <c r="BF37" i="9" s="1"/>
  <c r="BG37" i="9" a="1"/>
  <c r="BG37" i="9" s="1"/>
  <c r="BI37" i="9" a="1"/>
  <c r="BI37" i="9" s="1"/>
  <c r="AM17" i="9" a="1"/>
  <c r="AM17" i="9" s="1"/>
  <c r="AL17" i="9" a="1"/>
  <c r="AL17" i="9" s="1"/>
  <c r="AO17" i="9" a="1"/>
  <c r="AO17" i="9" s="1"/>
  <c r="AB17" i="9" a="1"/>
  <c r="AB17" i="9" s="1"/>
  <c r="R17" i="9" a="1"/>
  <c r="R17" i="9" s="1"/>
  <c r="S17" i="9" a="1"/>
  <c r="S17" i="9" s="1"/>
  <c r="Z17" i="9" a="1"/>
  <c r="Z17" i="9" s="1"/>
  <c r="F17" i="9" a="1"/>
  <c r="F17" i="9" s="1"/>
  <c r="AA17" i="9" a="1"/>
  <c r="AA17" i="9" s="1"/>
  <c r="J17" i="9" a="1"/>
  <c r="J17" i="9" s="1"/>
  <c r="X17" i="9" a="1"/>
  <c r="X17" i="9" s="1"/>
  <c r="AH17" i="9" a="1"/>
  <c r="AH17" i="9" s="1"/>
  <c r="AD17" i="9" a="1"/>
  <c r="AD17" i="9" s="1"/>
  <c r="K17" i="9" a="1"/>
  <c r="K17" i="9" s="1"/>
  <c r="P17" i="9" a="1"/>
  <c r="P17" i="9" s="1"/>
  <c r="W17" i="9" a="1"/>
  <c r="W17" i="9" s="1"/>
  <c r="V17" i="9" a="1"/>
  <c r="V17" i="9" s="1"/>
  <c r="AF17" i="9" a="1"/>
  <c r="AF17" i="9" s="1"/>
  <c r="D17" i="9" a="1"/>
  <c r="D17" i="9" s="1"/>
  <c r="G17" i="9" a="1"/>
  <c r="G17" i="9" s="1"/>
  <c r="B17" i="9" a="1"/>
  <c r="B17" i="9" s="1"/>
  <c r="L17" i="9" a="1"/>
  <c r="L17" i="9" s="1"/>
  <c r="N17" i="9" a="1"/>
  <c r="N17" i="9" s="1"/>
  <c r="H17" i="9" a="1"/>
  <c r="H17" i="9" s="1"/>
  <c r="Q17" i="9" a="1"/>
  <c r="Q17" i="9" s="1"/>
  <c r="AC17" i="9" a="1"/>
  <c r="AC17" i="9" s="1"/>
  <c r="Y17" i="9" a="1"/>
  <c r="Y17" i="9" s="1"/>
  <c r="AK17" i="9" a="1"/>
  <c r="AK17" i="9" s="1"/>
  <c r="AE17" i="9" a="1"/>
  <c r="AE17" i="9" s="1"/>
  <c r="I17" i="9" a="1"/>
  <c r="I17" i="9" s="1"/>
  <c r="T17" i="9" a="1"/>
  <c r="T17" i="9" s="1"/>
  <c r="C17" i="9" a="1"/>
  <c r="C17" i="9" s="1"/>
  <c r="E17" i="9" a="1"/>
  <c r="E17" i="9" s="1"/>
  <c r="M17" i="9" a="1"/>
  <c r="M17" i="9" s="1"/>
  <c r="AJ17" i="9" a="1"/>
  <c r="AJ17" i="9" s="1"/>
  <c r="AG17" i="9" a="1"/>
  <c r="AG17" i="9" s="1"/>
  <c r="O17" i="9" a="1"/>
  <c r="O17" i="9" s="1"/>
  <c r="AI17" i="9" a="1"/>
  <c r="AI17" i="9" s="1"/>
  <c r="AN17" i="9" a="1"/>
  <c r="AN17" i="9" s="1"/>
  <c r="U17" i="9" a="1"/>
  <c r="U17" i="9" s="1"/>
  <c r="AQ17" i="9" a="1"/>
  <c r="AQ17" i="9" s="1"/>
  <c r="AR17" i="9" a="1"/>
  <c r="AR17" i="9" s="1"/>
  <c r="AP17" i="9" a="1"/>
  <c r="AP17" i="9" s="1"/>
  <c r="AU17" i="9" a="1"/>
  <c r="AU17" i="9" s="1"/>
  <c r="AS17" i="9" a="1"/>
  <c r="AS17" i="9" s="1"/>
  <c r="AV17" i="9" a="1"/>
  <c r="AV17" i="9" s="1"/>
  <c r="AX17" i="9" a="1"/>
  <c r="AX17" i="9" s="1"/>
  <c r="AT17" i="9" a="1"/>
  <c r="AT17" i="9" s="1"/>
  <c r="AW17" i="9" a="1"/>
  <c r="AW17" i="9" s="1"/>
  <c r="AY17" i="9" a="1"/>
  <c r="AY17" i="9" s="1"/>
  <c r="BA17" i="9" a="1"/>
  <c r="BA17" i="9" s="1"/>
  <c r="AZ17" i="9" a="1"/>
  <c r="AZ17" i="9" s="1"/>
  <c r="BC17" i="9" a="1"/>
  <c r="BC17" i="9" s="1"/>
  <c r="BB17" i="9" a="1"/>
  <c r="BB17" i="9" s="1"/>
  <c r="BG17" i="9" a="1"/>
  <c r="BG17" i="9" s="1"/>
  <c r="BF17" i="9" a="1"/>
  <c r="BF17" i="9" s="1"/>
  <c r="BE17" i="9" a="1"/>
  <c r="BE17" i="9" s="1"/>
  <c r="BD17" i="9" a="1"/>
  <c r="BD17" i="9" s="1"/>
  <c r="BH17" i="9" a="1"/>
  <c r="BH17" i="9" s="1"/>
  <c r="BI17" i="9" a="1"/>
  <c r="BI17" i="9" s="1"/>
  <c r="L50" i="9" a="1"/>
  <c r="L50" i="9" s="1"/>
  <c r="S50" i="9" a="1"/>
  <c r="S50" i="9" s="1"/>
  <c r="V50" i="9" a="1"/>
  <c r="V50" i="9" s="1"/>
  <c r="AM50" i="9" a="1"/>
  <c r="AM50" i="9" s="1"/>
  <c r="AG50" i="9" a="1"/>
  <c r="AG50" i="9" s="1"/>
  <c r="Y50" i="9" a="1"/>
  <c r="Y50" i="9" s="1"/>
  <c r="F50" i="9" a="1"/>
  <c r="F50" i="9" s="1"/>
  <c r="AC50" i="9" a="1"/>
  <c r="AC50" i="9" s="1"/>
  <c r="AL50" i="9" a="1"/>
  <c r="AL50" i="9" s="1"/>
  <c r="I50" i="9" a="1"/>
  <c r="I50" i="9" s="1"/>
  <c r="AO50" i="9" a="1"/>
  <c r="AO50" i="9" s="1"/>
  <c r="W50" i="9" a="1"/>
  <c r="W50" i="9" s="1"/>
  <c r="AI50" i="9" a="1"/>
  <c r="AI50" i="9" s="1"/>
  <c r="X50" i="9" a="1"/>
  <c r="X50" i="9" s="1"/>
  <c r="AN50" i="9" a="1"/>
  <c r="AN50" i="9" s="1"/>
  <c r="AE50" i="9" a="1"/>
  <c r="AE50" i="9" s="1"/>
  <c r="P50" i="9" a="1"/>
  <c r="P50" i="9" s="1"/>
  <c r="AB50" i="9" a="1"/>
  <c r="AB50" i="9" s="1"/>
  <c r="G50" i="9" a="1"/>
  <c r="G50" i="9" s="1"/>
  <c r="J50" i="9" a="1"/>
  <c r="J50" i="9" s="1"/>
  <c r="N50" i="9" a="1"/>
  <c r="N50" i="9" s="1"/>
  <c r="AF50" i="9" a="1"/>
  <c r="AF50" i="9" s="1"/>
  <c r="E50" i="9" a="1"/>
  <c r="E50" i="9" s="1"/>
  <c r="Z50" i="9" a="1"/>
  <c r="Z50" i="9" s="1"/>
  <c r="AK50" i="9" a="1"/>
  <c r="AK50" i="9" s="1"/>
  <c r="R50" i="9" a="1"/>
  <c r="R50" i="9" s="1"/>
  <c r="O50" i="9" a="1"/>
  <c r="O50" i="9" s="1"/>
  <c r="AD50" i="9" a="1"/>
  <c r="AD50" i="9" s="1"/>
  <c r="C50" i="9" a="1"/>
  <c r="C50" i="9" s="1"/>
  <c r="AJ50" i="9" a="1"/>
  <c r="AJ50" i="9" s="1"/>
  <c r="D50" i="9" a="1"/>
  <c r="D50" i="9" s="1"/>
  <c r="H50" i="9" a="1"/>
  <c r="H50" i="9" s="1"/>
  <c r="AA50" i="9" a="1"/>
  <c r="AA50" i="9" s="1"/>
  <c r="AH50" i="9" a="1"/>
  <c r="AH50" i="9" s="1"/>
  <c r="M50" i="9" a="1"/>
  <c r="M50" i="9" s="1"/>
  <c r="T50" i="9" a="1"/>
  <c r="T50" i="9" s="1"/>
  <c r="Q50" i="9" a="1"/>
  <c r="Q50" i="9" s="1"/>
  <c r="B50" i="9" a="1"/>
  <c r="B50" i="9" s="1"/>
  <c r="AP50" i="9" a="1"/>
  <c r="AP50" i="9" s="1"/>
  <c r="K50" i="9" a="1"/>
  <c r="K50" i="9" s="1"/>
  <c r="U50" i="9" a="1"/>
  <c r="U50" i="9" s="1"/>
  <c r="AQ50" i="9" a="1"/>
  <c r="AQ50" i="9" s="1"/>
  <c r="AT50" i="9" a="1"/>
  <c r="AT50" i="9" s="1"/>
  <c r="AR50" i="9" a="1"/>
  <c r="AR50" i="9" s="1"/>
  <c r="AS50" i="9" a="1"/>
  <c r="AS50" i="9" s="1"/>
  <c r="AW50" i="9" a="1"/>
  <c r="AW50" i="9" s="1"/>
  <c r="AV50" i="9" a="1"/>
  <c r="AV50" i="9" s="1"/>
  <c r="AU50" i="9" a="1"/>
  <c r="AU50" i="9" s="1"/>
  <c r="AX50" i="9" a="1"/>
  <c r="AX50" i="9" s="1"/>
  <c r="AY50" i="9" a="1"/>
  <c r="AY50" i="9" s="1"/>
  <c r="BA50" i="9" a="1"/>
  <c r="BA50" i="9" s="1"/>
  <c r="AZ50" i="9" a="1"/>
  <c r="AZ50" i="9" s="1"/>
  <c r="BB50" i="9" a="1"/>
  <c r="BB50" i="9" s="1"/>
  <c r="BD50" i="9" a="1"/>
  <c r="BD50" i="9" s="1"/>
  <c r="BC50" i="9" a="1"/>
  <c r="BC50" i="9" s="1"/>
  <c r="BF50" i="9" a="1"/>
  <c r="BF50" i="9" s="1"/>
  <c r="BH50" i="9" a="1"/>
  <c r="BH50" i="9" s="1"/>
  <c r="BE50" i="9" a="1"/>
  <c r="BE50" i="9" s="1"/>
  <c r="BG50" i="9" a="1"/>
  <c r="BG50" i="9" s="1"/>
  <c r="BI50" i="9" a="1"/>
  <c r="BI50" i="9" s="1"/>
  <c r="AO31" i="9" a="1"/>
  <c r="AO31" i="9" s="1"/>
  <c r="AN31" i="9" a="1"/>
  <c r="AN31" i="9" s="1"/>
  <c r="AL31" i="9" a="1"/>
  <c r="AL31" i="9" s="1"/>
  <c r="AM31" i="9" a="1"/>
  <c r="AM31" i="9" s="1"/>
  <c r="N31" i="9" a="1"/>
  <c r="N31" i="9" s="1"/>
  <c r="K31" i="9" a="1"/>
  <c r="K31" i="9" s="1"/>
  <c r="AB31" i="9" a="1"/>
  <c r="AB31" i="9" s="1"/>
  <c r="O31" i="9" a="1"/>
  <c r="O31" i="9" s="1"/>
  <c r="E31" i="9" a="1"/>
  <c r="E31" i="9" s="1"/>
  <c r="Y31" i="9" a="1"/>
  <c r="Y31" i="9" s="1"/>
  <c r="C31" i="9" a="1"/>
  <c r="C31" i="9" s="1"/>
  <c r="AK31" i="9" a="1"/>
  <c r="AK31" i="9" s="1"/>
  <c r="V31" i="9" a="1"/>
  <c r="V31" i="9" s="1"/>
  <c r="G31" i="9" a="1"/>
  <c r="G31" i="9" s="1"/>
  <c r="W31" i="9" a="1"/>
  <c r="W31" i="9" s="1"/>
  <c r="R31" i="9" a="1"/>
  <c r="R31" i="9" s="1"/>
  <c r="P31" i="9" a="1"/>
  <c r="P31" i="9" s="1"/>
  <c r="I31" i="9" a="1"/>
  <c r="I31" i="9" s="1"/>
  <c r="T31" i="9" a="1"/>
  <c r="T31" i="9" s="1"/>
  <c r="AF31" i="9" a="1"/>
  <c r="AF31" i="9" s="1"/>
  <c r="J31" i="9" a="1"/>
  <c r="J31" i="9" s="1"/>
  <c r="AH31" i="9" a="1"/>
  <c r="AH31" i="9" s="1"/>
  <c r="AQ31" i="9" a="1"/>
  <c r="AQ31" i="9" s="1"/>
  <c r="Q31" i="9" a="1"/>
  <c r="Q31" i="9" s="1"/>
  <c r="AD31" i="9" a="1"/>
  <c r="AD31" i="9" s="1"/>
  <c r="AG31" i="9" a="1"/>
  <c r="AG31" i="9" s="1"/>
  <c r="AJ31" i="9" a="1"/>
  <c r="AJ31" i="9" s="1"/>
  <c r="M31" i="9" a="1"/>
  <c r="M31" i="9" s="1"/>
  <c r="X31" i="9" a="1"/>
  <c r="X31" i="9" s="1"/>
  <c r="L31" i="9" a="1"/>
  <c r="L31" i="9" s="1"/>
  <c r="AE31" i="9" a="1"/>
  <c r="AE31" i="9" s="1"/>
  <c r="H31" i="9" a="1"/>
  <c r="H31" i="9" s="1"/>
  <c r="AA31" i="9" a="1"/>
  <c r="AA31" i="9" s="1"/>
  <c r="AI31" i="9" a="1"/>
  <c r="AI31" i="9" s="1"/>
  <c r="Z31" i="9" a="1"/>
  <c r="Z31" i="9" s="1"/>
  <c r="B31" i="9" a="1"/>
  <c r="B31" i="9" s="1"/>
  <c r="F31" i="9" a="1"/>
  <c r="F31" i="9" s="1"/>
  <c r="D31" i="9" a="1"/>
  <c r="D31" i="9" s="1"/>
  <c r="AC31" i="9" a="1"/>
  <c r="AC31" i="9" s="1"/>
  <c r="S31" i="9" a="1"/>
  <c r="S31" i="9" s="1"/>
  <c r="U31" i="9" a="1"/>
  <c r="U31" i="9" s="1"/>
  <c r="AR31" i="9" a="1"/>
  <c r="AR31" i="9" s="1"/>
  <c r="AP31" i="9" a="1"/>
  <c r="AP31" i="9" s="1"/>
  <c r="AX31" i="9" a="1"/>
  <c r="AX31" i="9" s="1"/>
  <c r="AS31" i="9" a="1"/>
  <c r="AS31" i="9" s="1"/>
  <c r="AT31" i="9" a="1"/>
  <c r="AT31" i="9" s="1"/>
  <c r="AW31" i="9" a="1"/>
  <c r="AW31" i="9" s="1"/>
  <c r="AU31" i="9" a="1"/>
  <c r="AU31" i="9" s="1"/>
  <c r="AV31" i="9" a="1"/>
  <c r="AV31" i="9" s="1"/>
  <c r="AY31" i="9" a="1"/>
  <c r="AY31" i="9" s="1"/>
  <c r="BB31" i="9" a="1"/>
  <c r="BB31" i="9" s="1"/>
  <c r="BA31" i="9" a="1"/>
  <c r="BA31" i="9" s="1"/>
  <c r="AZ31" i="9" a="1"/>
  <c r="AZ31" i="9" s="1"/>
  <c r="BF31" i="9" a="1"/>
  <c r="BF31" i="9" s="1"/>
  <c r="BC31" i="9" a="1"/>
  <c r="BC31" i="9" s="1"/>
  <c r="BD31" i="9" a="1"/>
  <c r="BD31" i="9" s="1"/>
  <c r="BE31" i="9" a="1"/>
  <c r="BE31" i="9" s="1"/>
  <c r="BI31" i="9" a="1"/>
  <c r="BI31" i="9" s="1"/>
  <c r="BG31" i="9" a="1"/>
  <c r="BG31" i="9" s="1"/>
  <c r="BH31" i="9" a="1"/>
  <c r="BH31" i="9" s="1"/>
  <c r="S29" i="9" a="1"/>
  <c r="S29" i="9" s="1"/>
  <c r="AL29" i="9" a="1"/>
  <c r="AL29" i="9" s="1"/>
  <c r="U29" i="9" a="1"/>
  <c r="U29" i="9" s="1"/>
  <c r="Y29" i="9" a="1"/>
  <c r="Y29" i="9" s="1"/>
  <c r="AI29" i="9" a="1"/>
  <c r="AI29" i="9" s="1"/>
  <c r="AM29" i="9" a="1"/>
  <c r="AM29" i="9" s="1"/>
  <c r="AE29" i="9" a="1"/>
  <c r="AE29" i="9" s="1"/>
  <c r="Z29" i="9" a="1"/>
  <c r="Z29" i="9" s="1"/>
  <c r="C29" i="9" a="1"/>
  <c r="C29" i="9" s="1"/>
  <c r="Q29" i="9" a="1"/>
  <c r="Q29" i="9" s="1"/>
  <c r="AC29" i="9" a="1"/>
  <c r="AC29" i="9" s="1"/>
  <c r="D29" i="9" a="1"/>
  <c r="D29" i="9" s="1"/>
  <c r="R29" i="9" a="1"/>
  <c r="R29" i="9" s="1"/>
  <c r="L29" i="9" a="1"/>
  <c r="L29" i="9" s="1"/>
  <c r="F29" i="9" a="1"/>
  <c r="F29" i="9" s="1"/>
  <c r="K29" i="9" a="1"/>
  <c r="K29" i="9" s="1"/>
  <c r="AD29" i="9" a="1"/>
  <c r="AD29" i="9" s="1"/>
  <c r="B29" i="9" a="1"/>
  <c r="B29" i="9" s="1"/>
  <c r="AF29" i="9" a="1"/>
  <c r="AF29" i="9" s="1"/>
  <c r="AJ29" i="9" a="1"/>
  <c r="AJ29" i="9" s="1"/>
  <c r="AH29" i="9" a="1"/>
  <c r="AH29" i="9" s="1"/>
  <c r="O29" i="9" a="1"/>
  <c r="O29" i="9" s="1"/>
  <c r="AB29" i="9" a="1"/>
  <c r="AB29" i="9" s="1"/>
  <c r="AG29" i="9" a="1"/>
  <c r="AG29" i="9" s="1"/>
  <c r="E29" i="9" a="1"/>
  <c r="E29" i="9" s="1"/>
  <c r="M29" i="9" a="1"/>
  <c r="M29" i="9" s="1"/>
  <c r="AK29" i="9" a="1"/>
  <c r="AK29" i="9" s="1"/>
  <c r="G29" i="9" a="1"/>
  <c r="G29" i="9" s="1"/>
  <c r="J29" i="9" a="1"/>
  <c r="J29" i="9" s="1"/>
  <c r="H29" i="9" a="1"/>
  <c r="H29" i="9" s="1"/>
  <c r="V29" i="9" a="1"/>
  <c r="V29" i="9" s="1"/>
  <c r="P29" i="9" a="1"/>
  <c r="P29" i="9" s="1"/>
  <c r="I29" i="9" a="1"/>
  <c r="I29" i="9" s="1"/>
  <c r="T29" i="9" a="1"/>
  <c r="T29" i="9" s="1"/>
  <c r="X29" i="9" a="1"/>
  <c r="X29" i="9" s="1"/>
  <c r="W29" i="9" a="1"/>
  <c r="W29" i="9" s="1"/>
  <c r="N29" i="9" a="1"/>
  <c r="N29" i="9" s="1"/>
  <c r="AA29" i="9" a="1"/>
  <c r="AA29" i="9" s="1"/>
  <c r="AO29" i="9" a="1"/>
  <c r="AO29" i="9" s="1"/>
  <c r="AP29" i="9" a="1"/>
  <c r="AP29" i="9" s="1"/>
  <c r="AN29" i="9" a="1"/>
  <c r="AN29" i="9" s="1"/>
  <c r="AR29" i="9" a="1"/>
  <c r="AR29" i="9" s="1"/>
  <c r="AQ29" i="9" a="1"/>
  <c r="AQ29" i="9" s="1"/>
  <c r="AT29" i="9" a="1"/>
  <c r="AT29" i="9" s="1"/>
  <c r="AS29" i="9" a="1"/>
  <c r="AS29" i="9" s="1"/>
  <c r="AV29" i="9" a="1"/>
  <c r="AV29" i="9" s="1"/>
  <c r="AX29" i="9" a="1"/>
  <c r="AX29" i="9" s="1"/>
  <c r="AU29" i="9" a="1"/>
  <c r="AU29" i="9" s="1"/>
  <c r="AW29" i="9" a="1"/>
  <c r="AW29" i="9" s="1"/>
  <c r="AY29" i="9" a="1"/>
  <c r="AY29" i="9" s="1"/>
  <c r="AZ29" i="9" a="1"/>
  <c r="AZ29" i="9" s="1"/>
  <c r="BB29" i="9" a="1"/>
  <c r="BB29" i="9" s="1"/>
  <c r="BA29" i="9" a="1"/>
  <c r="BA29" i="9" s="1"/>
  <c r="BC29" i="9" a="1"/>
  <c r="BC29" i="9" s="1"/>
  <c r="BD29" i="9" a="1"/>
  <c r="BD29" i="9" s="1"/>
  <c r="BE29" i="9" a="1"/>
  <c r="BE29" i="9" s="1"/>
  <c r="BG29" i="9" a="1"/>
  <c r="BG29" i="9" s="1"/>
  <c r="BF29" i="9" a="1"/>
  <c r="BF29" i="9" s="1"/>
  <c r="BI29" i="9" a="1"/>
  <c r="BI29" i="9" s="1"/>
  <c r="BH29" i="9" a="1"/>
  <c r="BH29" i="9" s="1"/>
  <c r="BK96" i="7"/>
  <c r="BK95" i="7" s="1"/>
  <c r="BK188" i="7" l="1"/>
  <c r="AJ30" i="9" a="1"/>
  <c r="AJ30" i="9" s="1"/>
  <c r="AM30" i="9" a="1"/>
  <c r="AM30" i="9" s="1"/>
  <c r="AG30" i="9" a="1"/>
  <c r="AG30" i="9" s="1"/>
  <c r="D30" i="9" a="1"/>
  <c r="D30" i="9" s="1"/>
  <c r="R30" i="9" a="1"/>
  <c r="R30" i="9" s="1"/>
  <c r="K30" i="9" a="1"/>
  <c r="K30" i="9" s="1"/>
  <c r="AK30" i="9" a="1"/>
  <c r="AK30" i="9" s="1"/>
  <c r="AL30" i="9" a="1"/>
  <c r="AL30" i="9" s="1"/>
  <c r="AD30" i="9" a="1"/>
  <c r="AD30" i="9" s="1"/>
  <c r="AH30" i="9" a="1"/>
  <c r="AH30" i="9" s="1"/>
  <c r="Q30" i="9" a="1"/>
  <c r="Q30" i="9" s="1"/>
  <c r="I30" i="9" a="1"/>
  <c r="I30" i="9" s="1"/>
  <c r="F30" i="9" a="1"/>
  <c r="F30" i="9" s="1"/>
  <c r="AB30" i="9" a="1"/>
  <c r="AB30" i="9" s="1"/>
  <c r="M30" i="9" a="1"/>
  <c r="M30" i="9" s="1"/>
  <c r="S30" i="9" a="1"/>
  <c r="S30" i="9" s="1"/>
  <c r="AE30" i="9" a="1"/>
  <c r="AE30" i="9" s="1"/>
  <c r="W30" i="9" a="1"/>
  <c r="W30" i="9" s="1"/>
  <c r="H30" i="9" a="1"/>
  <c r="H30" i="9" s="1"/>
  <c r="L30" i="9" a="1"/>
  <c r="L30" i="9" s="1"/>
  <c r="N30" i="9" a="1"/>
  <c r="N30" i="9" s="1"/>
  <c r="AA30" i="9" a="1"/>
  <c r="AA30" i="9" s="1"/>
  <c r="B30" i="9" a="1"/>
  <c r="B30" i="9" s="1"/>
  <c r="V30" i="9" a="1"/>
  <c r="V30" i="9" s="1"/>
  <c r="Y30" i="9" a="1"/>
  <c r="Y30" i="9" s="1"/>
  <c r="Z30" i="9" a="1"/>
  <c r="Z30" i="9" s="1"/>
  <c r="U30" i="9" a="1"/>
  <c r="U30" i="9" s="1"/>
  <c r="AC30" i="9" a="1"/>
  <c r="AC30" i="9" s="1"/>
  <c r="T30" i="9" a="1"/>
  <c r="T30" i="9" s="1"/>
  <c r="C30" i="9" a="1"/>
  <c r="C30" i="9" s="1"/>
  <c r="O30" i="9" a="1"/>
  <c r="O30" i="9" s="1"/>
  <c r="AI30" i="9" a="1"/>
  <c r="AI30" i="9" s="1"/>
  <c r="J30" i="9" a="1"/>
  <c r="J30" i="9" s="1"/>
  <c r="P30" i="9" a="1"/>
  <c r="P30" i="9" s="1"/>
  <c r="AF30" i="9" a="1"/>
  <c r="AF30" i="9" s="1"/>
  <c r="AN30" i="9" a="1"/>
  <c r="AN30" i="9" s="1"/>
  <c r="X30" i="9" a="1"/>
  <c r="X30" i="9" s="1"/>
  <c r="E30" i="9" a="1"/>
  <c r="E30" i="9" s="1"/>
  <c r="G30" i="9" a="1"/>
  <c r="G30" i="9" s="1"/>
  <c r="AP30" i="9" a="1"/>
  <c r="AP30" i="9" s="1"/>
  <c r="AQ30" i="9" a="1"/>
  <c r="AQ30" i="9" s="1"/>
  <c r="AO30" i="9" a="1"/>
  <c r="AO30" i="9" s="1"/>
  <c r="AU30" i="9" a="1"/>
  <c r="AU30" i="9" s="1"/>
  <c r="AS30" i="9" a="1"/>
  <c r="AS30" i="9" s="1"/>
  <c r="AR30" i="9" a="1"/>
  <c r="AR30" i="9" s="1"/>
  <c r="AV30" i="9" a="1"/>
  <c r="AV30" i="9" s="1"/>
  <c r="AW30" i="9" a="1"/>
  <c r="AW30" i="9" s="1"/>
  <c r="AT30" i="9" a="1"/>
  <c r="AT30" i="9" s="1"/>
  <c r="AX30" i="9" a="1"/>
  <c r="AX30" i="9" s="1"/>
  <c r="AY30" i="9" a="1"/>
  <c r="AY30" i="9" s="1"/>
  <c r="AZ30" i="9" a="1"/>
  <c r="AZ30" i="9" s="1"/>
  <c r="BA30" i="9" a="1"/>
  <c r="BA30" i="9" s="1"/>
  <c r="BD30" i="9" a="1"/>
  <c r="BD30" i="9" s="1"/>
  <c r="BB30" i="9" a="1"/>
  <c r="BB30" i="9" s="1"/>
  <c r="BC30" i="9" a="1"/>
  <c r="BC30" i="9" s="1"/>
  <c r="BF30" i="9" a="1"/>
  <c r="BF30" i="9" s="1"/>
  <c r="BE30" i="9" a="1"/>
  <c r="BE30" i="9" s="1"/>
  <c r="BI30" i="9" a="1"/>
  <c r="BI30" i="9" s="1"/>
  <c r="BG30" i="9" a="1"/>
  <c r="BG30" i="9" s="1"/>
  <c r="BH30" i="9" a="1"/>
  <c r="BH30" i="9" s="1"/>
  <c r="BK187" i="7"/>
  <c r="BL76" i="7"/>
  <c r="AM13" i="9" a="1"/>
  <c r="AM13" i="9" s="1"/>
  <c r="AL13" i="9" a="1"/>
  <c r="AL13" i="9" s="1"/>
  <c r="AN13" i="9" a="1"/>
  <c r="AN13" i="9" s="1"/>
  <c r="AP13" i="9" a="1"/>
  <c r="AP13" i="9" s="1"/>
  <c r="AO13" i="9" a="1"/>
  <c r="AO13" i="9" s="1"/>
  <c r="R13" i="9" a="1"/>
  <c r="R13" i="9" s="1"/>
  <c r="AS13" i="9" a="1"/>
  <c r="AS13" i="9" s="1"/>
  <c r="AD13" i="9" a="1"/>
  <c r="AD13" i="9" s="1"/>
  <c r="G13" i="9" a="1"/>
  <c r="G13" i="9" s="1"/>
  <c r="S13" i="9" a="1"/>
  <c r="S13" i="9" s="1"/>
  <c r="Y13" i="9" a="1"/>
  <c r="Y13" i="9" s="1"/>
  <c r="Z13" i="9" a="1"/>
  <c r="Z13" i="9" s="1"/>
  <c r="AG13" i="9" a="1"/>
  <c r="AG13" i="9" s="1"/>
  <c r="AH13" i="9" a="1"/>
  <c r="AH13" i="9" s="1"/>
  <c r="B13" i="9" a="1"/>
  <c r="B13" i="9" s="1"/>
  <c r="H13" i="9" a="1"/>
  <c r="H13" i="9" s="1"/>
  <c r="P13" i="9" a="1"/>
  <c r="P13" i="9" s="1"/>
  <c r="J13" i="9" a="1"/>
  <c r="J13" i="9" s="1"/>
  <c r="AJ13" i="9" a="1"/>
  <c r="AJ13" i="9" s="1"/>
  <c r="K13" i="9" a="1"/>
  <c r="K13" i="9" s="1"/>
  <c r="D13" i="9" a="1"/>
  <c r="D13" i="9" s="1"/>
  <c r="AA13" i="9" a="1"/>
  <c r="AA13" i="9" s="1"/>
  <c r="AF13" i="9" a="1"/>
  <c r="AF13" i="9" s="1"/>
  <c r="AR13" i="9" a="1"/>
  <c r="AR13" i="9" s="1"/>
  <c r="T13" i="9" a="1"/>
  <c r="T13" i="9" s="1"/>
  <c r="Q13" i="9" a="1"/>
  <c r="Q13" i="9" s="1"/>
  <c r="AE13" i="9" a="1"/>
  <c r="AE13" i="9" s="1"/>
  <c r="U13" i="9" a="1"/>
  <c r="U13" i="9" s="1"/>
  <c r="V13" i="9" a="1"/>
  <c r="V13" i="9" s="1"/>
  <c r="N13" i="9" a="1"/>
  <c r="N13" i="9" s="1"/>
  <c r="AQ13" i="9" a="1"/>
  <c r="AQ13" i="9" s="1"/>
  <c r="I13" i="9" a="1"/>
  <c r="I13" i="9" s="1"/>
  <c r="W13" i="9" a="1"/>
  <c r="W13" i="9" s="1"/>
  <c r="O13" i="9" a="1"/>
  <c r="O13" i="9" s="1"/>
  <c r="E13" i="9" a="1"/>
  <c r="E13" i="9" s="1"/>
  <c r="AK13" i="9" a="1"/>
  <c r="AK13" i="9" s="1"/>
  <c r="X13" i="9" a="1"/>
  <c r="X13" i="9" s="1"/>
  <c r="M13" i="9" a="1"/>
  <c r="M13" i="9" s="1"/>
  <c r="F13" i="9" a="1"/>
  <c r="F13" i="9" s="1"/>
  <c r="AI13" i="9" a="1"/>
  <c r="AI13" i="9" s="1"/>
  <c r="L13" i="9" a="1"/>
  <c r="L13" i="9" s="1"/>
  <c r="C13" i="9" a="1"/>
  <c r="C13" i="9" s="1"/>
  <c r="AB13" i="9" a="1"/>
  <c r="AB13" i="9" s="1"/>
  <c r="AC13" i="9" a="1"/>
  <c r="AC13" i="9" s="1"/>
  <c r="AT13" i="9" a="1"/>
  <c r="AT13" i="9" s="1"/>
  <c r="AW13" i="9" a="1"/>
  <c r="AW13" i="9" s="1"/>
  <c r="AU13" i="9" a="1"/>
  <c r="AU13" i="9" s="1"/>
  <c r="AV13" i="9" a="1"/>
  <c r="AV13" i="9" s="1"/>
  <c r="AY13" i="9" a="1"/>
  <c r="AY13" i="9" s="1"/>
  <c r="AX13" i="9" a="1"/>
  <c r="AX13" i="9" s="1"/>
  <c r="BA13" i="9" a="1"/>
  <c r="BA13" i="9" s="1"/>
  <c r="AZ13" i="9" a="1"/>
  <c r="AZ13" i="9" s="1"/>
  <c r="BC13" i="9" a="1"/>
  <c r="BC13" i="9" s="1"/>
  <c r="BD13" i="9" a="1"/>
  <c r="BD13" i="9" s="1"/>
  <c r="BB13" i="9" a="1"/>
  <c r="BB13" i="9" s="1"/>
  <c r="BF13" i="9" a="1"/>
  <c r="BF13" i="9" s="1"/>
  <c r="BG13" i="9" a="1"/>
  <c r="BG13" i="9" s="1"/>
  <c r="BE13" i="9" a="1"/>
  <c r="BE13" i="9" s="1"/>
  <c r="BH13" i="9" a="1"/>
  <c r="BH13" i="9" s="1"/>
  <c r="BI13" i="9" a="1"/>
  <c r="BI13" i="9" s="1"/>
  <c r="BL61" i="7"/>
  <c r="AL15" i="9" a="1"/>
  <c r="AL15" i="9" s="1"/>
  <c r="AN15" i="9" a="1"/>
  <c r="AN15" i="9" s="1"/>
  <c r="B15" i="9" a="1"/>
  <c r="B15" i="9" s="1"/>
  <c r="O15" i="9" a="1"/>
  <c r="O15" i="9" s="1"/>
  <c r="H15" i="9" a="1"/>
  <c r="H15" i="9" s="1"/>
  <c r="L15" i="9" a="1"/>
  <c r="L15" i="9" s="1"/>
  <c r="AG15" i="9" a="1"/>
  <c r="AG15" i="9" s="1"/>
  <c r="Q15" i="9" a="1"/>
  <c r="Q15" i="9" s="1"/>
  <c r="AF15" i="9" a="1"/>
  <c r="AF15" i="9" s="1"/>
  <c r="AK15" i="9" a="1"/>
  <c r="AK15" i="9" s="1"/>
  <c r="Z15" i="9" a="1"/>
  <c r="Z15" i="9" s="1"/>
  <c r="C15" i="9" a="1"/>
  <c r="C15" i="9" s="1"/>
  <c r="AC15" i="9" a="1"/>
  <c r="AC15" i="9" s="1"/>
  <c r="I15" i="9" a="1"/>
  <c r="I15" i="9" s="1"/>
  <c r="D15" i="9" a="1"/>
  <c r="D15" i="9" s="1"/>
  <c r="F15" i="9" a="1"/>
  <c r="F15" i="9" s="1"/>
  <c r="K15" i="9" a="1"/>
  <c r="K15" i="9" s="1"/>
  <c r="U15" i="9" a="1"/>
  <c r="U15" i="9" s="1"/>
  <c r="AH15" i="9" a="1"/>
  <c r="AH15" i="9" s="1"/>
  <c r="J15" i="9" a="1"/>
  <c r="J15" i="9" s="1"/>
  <c r="P15" i="9" a="1"/>
  <c r="P15" i="9" s="1"/>
  <c r="Y15" i="9" a="1"/>
  <c r="Y15" i="9" s="1"/>
  <c r="X15" i="9" a="1"/>
  <c r="X15" i="9" s="1"/>
  <c r="S15" i="9" a="1"/>
  <c r="S15" i="9" s="1"/>
  <c r="AB15" i="9" a="1"/>
  <c r="AB15" i="9" s="1"/>
  <c r="T15" i="9" a="1"/>
  <c r="T15" i="9" s="1"/>
  <c r="AJ15" i="9" a="1"/>
  <c r="AJ15" i="9" s="1"/>
  <c r="AD15" i="9" a="1"/>
  <c r="AD15" i="9" s="1"/>
  <c r="AM15" i="9" a="1"/>
  <c r="AM15" i="9" s="1"/>
  <c r="R15" i="9" a="1"/>
  <c r="R15" i="9" s="1"/>
  <c r="AE15" i="9" a="1"/>
  <c r="AE15" i="9" s="1"/>
  <c r="W15" i="9" a="1"/>
  <c r="W15" i="9" s="1"/>
  <c r="V15" i="9" a="1"/>
  <c r="V15" i="9" s="1"/>
  <c r="AA15" i="9" a="1"/>
  <c r="AA15" i="9" s="1"/>
  <c r="E15" i="9" a="1"/>
  <c r="E15" i="9" s="1"/>
  <c r="N15" i="9" a="1"/>
  <c r="N15" i="9" s="1"/>
  <c r="AI15" i="9" a="1"/>
  <c r="AI15" i="9" s="1"/>
  <c r="M15" i="9" a="1"/>
  <c r="M15" i="9" s="1"/>
  <c r="G15" i="9" a="1"/>
  <c r="G15" i="9" s="1"/>
  <c r="AO15" i="9" a="1"/>
  <c r="AO15" i="9" s="1"/>
  <c r="AQ15" i="9" a="1"/>
  <c r="AQ15" i="9" s="1"/>
  <c r="AP15" i="9" a="1"/>
  <c r="AP15" i="9" s="1"/>
  <c r="AR15" i="9" a="1"/>
  <c r="AR15" i="9" s="1"/>
  <c r="AT15" i="9" a="1"/>
  <c r="AT15" i="9" s="1"/>
  <c r="AS15" i="9" a="1"/>
  <c r="AS15" i="9" s="1"/>
  <c r="AV15" i="9" a="1"/>
  <c r="AV15" i="9" s="1"/>
  <c r="AW15" i="9" a="1"/>
  <c r="AW15" i="9" s="1"/>
  <c r="AU15" i="9" a="1"/>
  <c r="AU15" i="9" s="1"/>
  <c r="AX15" i="9" a="1"/>
  <c r="AX15" i="9" s="1"/>
  <c r="AY15" i="9" a="1"/>
  <c r="AY15" i="9" s="1"/>
  <c r="BB15" i="9" a="1"/>
  <c r="BB15" i="9" s="1"/>
  <c r="BA15" i="9" a="1"/>
  <c r="BA15" i="9" s="1"/>
  <c r="AZ15" i="9" a="1"/>
  <c r="AZ15" i="9" s="1"/>
  <c r="BC15" i="9" a="1"/>
  <c r="BC15" i="9" s="1"/>
  <c r="BE15" i="9" a="1"/>
  <c r="BE15" i="9" s="1"/>
  <c r="BF15" i="9" a="1"/>
  <c r="BF15" i="9" s="1"/>
  <c r="BD15" i="9" a="1"/>
  <c r="BD15" i="9" s="1"/>
  <c r="BH15" i="9" a="1"/>
  <c r="BH15" i="9" s="1"/>
  <c r="BG15" i="9" a="1"/>
  <c r="BG15" i="9" s="1"/>
  <c r="BI15" i="9" a="1"/>
  <c r="BI15" i="9" s="1"/>
  <c r="G72" i="7"/>
  <c r="G71" i="7" s="1"/>
  <c r="O43" i="5"/>
  <c r="F13" i="8"/>
  <c r="I13" i="8"/>
  <c r="I14" i="8" s="1"/>
  <c r="J13" i="8"/>
  <c r="J14" i="8" s="1"/>
  <c r="G13" i="8"/>
  <c r="G14" i="8" s="1"/>
  <c r="H13" i="8"/>
  <c r="H14" i="8" s="1"/>
  <c r="K13" i="8"/>
  <c r="K14" i="8" s="1"/>
  <c r="BJ188" i="7"/>
  <c r="BI3" i="9"/>
  <c r="F29" i="8" s="1"/>
  <c r="K16" i="8"/>
  <c r="G16" i="8"/>
  <c r="I16" i="8"/>
  <c r="BJ187" i="7"/>
  <c r="AL11" i="9" a="1"/>
  <c r="AL11" i="9" s="1"/>
  <c r="AQ11" i="9" a="1"/>
  <c r="AQ11" i="9" s="1"/>
  <c r="AP11" i="9" a="1"/>
  <c r="AP11" i="9" s="1"/>
  <c r="AU11" i="9" a="1"/>
  <c r="AU11" i="9" s="1"/>
  <c r="AR11" i="9" a="1"/>
  <c r="AR11" i="9" s="1"/>
  <c r="AM11" i="9" a="1"/>
  <c r="AM11" i="9" s="1"/>
  <c r="AN11" i="9" a="1"/>
  <c r="AN11" i="9" s="1"/>
  <c r="AO11" i="9" a="1"/>
  <c r="AO11" i="9" s="1"/>
  <c r="V11" i="9" a="1"/>
  <c r="V11" i="9" s="1"/>
  <c r="E11" i="9" a="1"/>
  <c r="E11" i="9" s="1"/>
  <c r="S11" i="9" a="1"/>
  <c r="S11" i="9" s="1"/>
  <c r="X11" i="9" a="1"/>
  <c r="X11" i="9" s="1"/>
  <c r="AE11" i="9" a="1"/>
  <c r="AE11" i="9" s="1"/>
  <c r="I11" i="9" a="1"/>
  <c r="I11" i="9" s="1"/>
  <c r="AT11" i="9" a="1"/>
  <c r="AT11" i="9" s="1"/>
  <c r="AG11" i="9" a="1"/>
  <c r="AG11" i="9" s="1"/>
  <c r="F11" i="9" a="1"/>
  <c r="F11" i="9" s="1"/>
  <c r="U11" i="9" a="1"/>
  <c r="U11" i="9" s="1"/>
  <c r="N11" i="9" a="1"/>
  <c r="N11" i="9" s="1"/>
  <c r="AD11" i="9" a="1"/>
  <c r="AD11" i="9" s="1"/>
  <c r="AC11" i="9" a="1"/>
  <c r="AC11" i="9" s="1"/>
  <c r="Q11" i="9" a="1"/>
  <c r="Q11" i="9" s="1"/>
  <c r="AB11" i="9" a="1"/>
  <c r="AB11" i="9" s="1"/>
  <c r="AS11" i="9" a="1"/>
  <c r="AS11" i="9" s="1"/>
  <c r="M11" i="9" a="1"/>
  <c r="M11" i="9" s="1"/>
  <c r="B11" i="9" a="1"/>
  <c r="B11" i="9" s="1"/>
  <c r="AI11" i="9" a="1"/>
  <c r="AI11" i="9" s="1"/>
  <c r="L11" i="9" a="1"/>
  <c r="L11" i="9" s="1"/>
  <c r="Z11" i="9" a="1"/>
  <c r="Z11" i="9" s="1"/>
  <c r="AK11" i="9" a="1"/>
  <c r="AK11" i="9" s="1"/>
  <c r="T11" i="9" a="1"/>
  <c r="T11" i="9" s="1"/>
  <c r="AF11" i="9" a="1"/>
  <c r="AF11" i="9" s="1"/>
  <c r="P11" i="9" a="1"/>
  <c r="P11" i="9" s="1"/>
  <c r="Y11" i="9" a="1"/>
  <c r="Y11" i="9" s="1"/>
  <c r="D11" i="9" a="1"/>
  <c r="D11" i="9" s="1"/>
  <c r="G11" i="9" a="1"/>
  <c r="G11" i="9" s="1"/>
  <c r="O11" i="9" a="1"/>
  <c r="O11" i="9" s="1"/>
  <c r="AH11" i="9" a="1"/>
  <c r="AH11" i="9" s="1"/>
  <c r="AA11" i="9" a="1"/>
  <c r="AA11" i="9" s="1"/>
  <c r="AJ11" i="9" a="1"/>
  <c r="AJ11" i="9" s="1"/>
  <c r="R11" i="9" a="1"/>
  <c r="R11" i="9" s="1"/>
  <c r="K11" i="9" a="1"/>
  <c r="K11" i="9" s="1"/>
  <c r="C11" i="9" a="1"/>
  <c r="C11" i="9" s="1"/>
  <c r="H11" i="9" a="1"/>
  <c r="H11" i="9" s="1"/>
  <c r="J11" i="9" a="1"/>
  <c r="J11" i="9" s="1"/>
  <c r="W11" i="9" a="1"/>
  <c r="W11" i="9" s="1"/>
  <c r="AX11" i="9" a="1"/>
  <c r="AX11" i="9" s="1"/>
  <c r="AW11" i="9" a="1"/>
  <c r="AW11" i="9" s="1"/>
  <c r="AV11" i="9" a="1"/>
  <c r="AV11" i="9" s="1"/>
  <c r="AY11" i="9" a="1"/>
  <c r="AY11" i="9" s="1"/>
  <c r="AZ11" i="9" a="1"/>
  <c r="AZ11" i="9" s="1"/>
  <c r="BB11" i="9" a="1"/>
  <c r="BB11" i="9" s="1"/>
  <c r="BF11" i="9" a="1"/>
  <c r="BF11" i="9" s="1"/>
  <c r="BA11" i="9" a="1"/>
  <c r="BA11" i="9" s="1"/>
  <c r="BC11" i="9" a="1"/>
  <c r="BC11" i="9" s="1"/>
  <c r="BE11" i="9" a="1"/>
  <c r="BE11" i="9" s="1"/>
  <c r="BD11" i="9" a="1"/>
  <c r="BD11" i="9" s="1"/>
  <c r="BG11" i="9" a="1"/>
  <c r="BG11" i="9" s="1"/>
  <c r="BH11" i="9" a="1"/>
  <c r="BH11" i="9" s="1"/>
  <c r="BI11" i="9" a="1"/>
  <c r="BI11" i="9" s="1"/>
  <c r="F23" i="8"/>
  <c r="E17" i="8"/>
  <c r="F17" i="8"/>
  <c r="BL46" i="7"/>
  <c r="AL7" i="9" a="1"/>
  <c r="AL7" i="9" s="1"/>
  <c r="AL51" i="9" s="1"/>
  <c r="AO7" i="9" a="1"/>
  <c r="AO7" i="9" s="1"/>
  <c r="AO51" i="9" s="1"/>
  <c r="AM7" i="9" a="1"/>
  <c r="AM7" i="9" s="1"/>
  <c r="AM51" i="9" s="1"/>
  <c r="AN7" i="9" a="1"/>
  <c r="AN7" i="9" s="1"/>
  <c r="AN51" i="9" s="1"/>
  <c r="AB7" i="9" a="1"/>
  <c r="AB7" i="9" s="1"/>
  <c r="AB51" i="9" s="1"/>
  <c r="P7" i="9" a="1"/>
  <c r="P7" i="9" s="1"/>
  <c r="P51" i="9" s="1"/>
  <c r="L7" i="9" a="1"/>
  <c r="L7" i="9" s="1"/>
  <c r="L51" i="9" s="1"/>
  <c r="T7" i="9" a="1"/>
  <c r="T7" i="9" s="1"/>
  <c r="T51" i="9" s="1"/>
  <c r="AQ7" i="9" a="1"/>
  <c r="AQ7" i="9" s="1"/>
  <c r="AQ51" i="9" s="1"/>
  <c r="AF7" i="9" a="1"/>
  <c r="AF7" i="9" s="1"/>
  <c r="AF51" i="9" s="1"/>
  <c r="X7" i="9" a="1"/>
  <c r="X7" i="9" s="1"/>
  <c r="X51" i="9" s="1"/>
  <c r="O7" i="9" a="1"/>
  <c r="O7" i="9" s="1"/>
  <c r="O51" i="9" s="1"/>
  <c r="V7" i="9" a="1"/>
  <c r="V7" i="9" s="1"/>
  <c r="V51" i="9" s="1"/>
  <c r="B7" i="9" a="1"/>
  <c r="B7" i="9" s="1"/>
  <c r="B51" i="9" s="1"/>
  <c r="AI7" i="9" a="1"/>
  <c r="AI7" i="9" s="1"/>
  <c r="AI51" i="9" s="1"/>
  <c r="U7" i="9" a="1"/>
  <c r="U7" i="9" s="1"/>
  <c r="U51" i="9" s="1"/>
  <c r="D7" i="9" a="1"/>
  <c r="D7" i="9" s="1"/>
  <c r="D51" i="9" s="1"/>
  <c r="AJ7" i="9" a="1"/>
  <c r="AJ7" i="9" s="1"/>
  <c r="AJ51" i="9" s="1"/>
  <c r="AD7" i="9" a="1"/>
  <c r="AD7" i="9" s="1"/>
  <c r="AD51" i="9" s="1"/>
  <c r="I7" i="9" a="1"/>
  <c r="I7" i="9" s="1"/>
  <c r="I51" i="9" s="1"/>
  <c r="W7" i="9" a="1"/>
  <c r="W7" i="9" s="1"/>
  <c r="W51" i="9" s="1"/>
  <c r="AP7" i="9" a="1"/>
  <c r="AP7" i="9" s="1"/>
  <c r="AP51" i="9" s="1"/>
  <c r="AE7" i="9" a="1"/>
  <c r="AE7" i="9" s="1"/>
  <c r="AE51" i="9" s="1"/>
  <c r="AA7" i="9" a="1"/>
  <c r="AA7" i="9" s="1"/>
  <c r="AA51" i="9" s="1"/>
  <c r="Q7" i="9" a="1"/>
  <c r="Q7" i="9" s="1"/>
  <c r="Q51" i="9" s="1"/>
  <c r="S7" i="9" a="1"/>
  <c r="S7" i="9" s="1"/>
  <c r="S51" i="9" s="1"/>
  <c r="AH7" i="9" a="1"/>
  <c r="AH7" i="9" s="1"/>
  <c r="AH51" i="9" s="1"/>
  <c r="R7" i="9" a="1"/>
  <c r="R7" i="9" s="1"/>
  <c r="R51" i="9" s="1"/>
  <c r="AK7" i="9" a="1"/>
  <c r="AK7" i="9" s="1"/>
  <c r="AK51" i="9" s="1"/>
  <c r="K7" i="9" a="1"/>
  <c r="K7" i="9" s="1"/>
  <c r="K51" i="9" s="1"/>
  <c r="AC7" i="9" a="1"/>
  <c r="AC7" i="9" s="1"/>
  <c r="AC51" i="9" s="1"/>
  <c r="Z7" i="9" a="1"/>
  <c r="Z7" i="9" s="1"/>
  <c r="Z51" i="9" s="1"/>
  <c r="AG7" i="9" a="1"/>
  <c r="AG7" i="9" s="1"/>
  <c r="AG51" i="9" s="1"/>
  <c r="F7" i="9" a="1"/>
  <c r="F7" i="9" s="1"/>
  <c r="F51" i="9" s="1"/>
  <c r="M7" i="9" a="1"/>
  <c r="M7" i="9" s="1"/>
  <c r="M51" i="9" s="1"/>
  <c r="E7" i="9" a="1"/>
  <c r="E7" i="9" s="1"/>
  <c r="E51" i="9" s="1"/>
  <c r="G7" i="9" a="1"/>
  <c r="G7" i="9" s="1"/>
  <c r="G51" i="9" s="1"/>
  <c r="H7" i="9" a="1"/>
  <c r="H7" i="9" s="1"/>
  <c r="H51" i="9" s="1"/>
  <c r="N7" i="9" a="1"/>
  <c r="N7" i="9" s="1"/>
  <c r="N51" i="9" s="1"/>
  <c r="C7" i="9" a="1"/>
  <c r="C7" i="9" s="1"/>
  <c r="C51" i="9" s="1"/>
  <c r="Y7" i="9" a="1"/>
  <c r="Y7" i="9" s="1"/>
  <c r="Y51" i="9" s="1"/>
  <c r="J7" i="9" a="1"/>
  <c r="J7" i="9" s="1"/>
  <c r="J51" i="9" s="1"/>
  <c r="AR7" i="9" a="1"/>
  <c r="AR7" i="9" s="1"/>
  <c r="AR51" i="9" s="1"/>
  <c r="AS7" i="9" a="1"/>
  <c r="AS7" i="9" s="1"/>
  <c r="AS51" i="9" s="1"/>
  <c r="AT7" i="9" a="1"/>
  <c r="AT7" i="9" s="1"/>
  <c r="AT51" i="9" s="1"/>
  <c r="AU7" i="9" a="1"/>
  <c r="AU7" i="9" s="1"/>
  <c r="AU51" i="9" s="1"/>
  <c r="AZ7" i="9" a="1"/>
  <c r="AZ7" i="9" s="1"/>
  <c r="AZ51" i="9" s="1"/>
  <c r="AW7" i="9" a="1"/>
  <c r="AW7" i="9" s="1"/>
  <c r="AW51" i="9" s="1"/>
  <c r="AX7" i="9" a="1"/>
  <c r="AX7" i="9" s="1"/>
  <c r="AX51" i="9" s="1"/>
  <c r="AV7" i="9" a="1"/>
  <c r="AV7" i="9" s="1"/>
  <c r="AV51" i="9" s="1"/>
  <c r="AY7" i="9" a="1"/>
  <c r="AY7" i="9" s="1"/>
  <c r="AY51" i="9" s="1"/>
  <c r="BA7" i="9" a="1"/>
  <c r="BA7" i="9" s="1"/>
  <c r="BA51" i="9" s="1"/>
  <c r="BB7" i="9" a="1"/>
  <c r="BB7" i="9" s="1"/>
  <c r="BB51" i="9" s="1"/>
  <c r="BC7" i="9" a="1"/>
  <c r="BC7" i="9" s="1"/>
  <c r="BC51" i="9" s="1"/>
  <c r="BE7" i="9" a="1"/>
  <c r="BE7" i="9" s="1"/>
  <c r="BE51" i="9" s="1"/>
  <c r="BD7" i="9" a="1"/>
  <c r="BD7" i="9" s="1"/>
  <c r="BD51" i="9" s="1"/>
  <c r="BG7" i="9" a="1"/>
  <c r="BG7" i="9" s="1"/>
  <c r="BG51" i="9" s="1"/>
  <c r="BF7" i="9" a="1"/>
  <c r="BF7" i="9" s="1"/>
  <c r="BF51" i="9" s="1"/>
  <c r="BH7" i="9" a="1"/>
  <c r="BH7" i="9" s="1"/>
  <c r="BH51" i="9" s="1"/>
  <c r="BI7" i="9" a="1"/>
  <c r="BI7" i="9" s="1"/>
  <c r="BI51" i="9" s="1"/>
  <c r="BL96" i="7"/>
  <c r="BL95" i="7" s="1"/>
  <c r="AL28" i="9" l="1" a="1"/>
  <c r="AL28" i="9" s="1"/>
  <c r="AN28" i="9" a="1"/>
  <c r="AN28" i="9" s="1"/>
  <c r="G28" i="9" a="1"/>
  <c r="G28" i="9" s="1"/>
  <c r="M28" i="9" a="1"/>
  <c r="M28" i="9" s="1"/>
  <c r="Q28" i="9" a="1"/>
  <c r="Q28" i="9" s="1"/>
  <c r="AE28" i="9" a="1"/>
  <c r="AE28" i="9" s="1"/>
  <c r="X28" i="9" a="1"/>
  <c r="X28" i="9" s="1"/>
  <c r="J28" i="9" a="1"/>
  <c r="J28" i="9" s="1"/>
  <c r="AA28" i="9" a="1"/>
  <c r="AA28" i="9" s="1"/>
  <c r="B28" i="9" a="1"/>
  <c r="B28" i="9" s="1"/>
  <c r="T28" i="9" a="1"/>
  <c r="T28" i="9" s="1"/>
  <c r="R28" i="9" a="1"/>
  <c r="R28" i="9" s="1"/>
  <c r="AD28" i="9" a="1"/>
  <c r="AD28" i="9" s="1"/>
  <c r="E28" i="9" a="1"/>
  <c r="E28" i="9" s="1"/>
  <c r="AH28" i="9" a="1"/>
  <c r="AH28" i="9" s="1"/>
  <c r="W28" i="9" a="1"/>
  <c r="W28" i="9" s="1"/>
  <c r="Y28" i="9" a="1"/>
  <c r="Y28" i="9" s="1"/>
  <c r="D28" i="9" a="1"/>
  <c r="D28" i="9" s="1"/>
  <c r="Z28" i="9" a="1"/>
  <c r="Z28" i="9" s="1"/>
  <c r="AK28" i="9" a="1"/>
  <c r="AK28" i="9" s="1"/>
  <c r="H28" i="9" a="1"/>
  <c r="H28" i="9" s="1"/>
  <c r="K28" i="9" a="1"/>
  <c r="K28" i="9" s="1"/>
  <c r="AG28" i="9" a="1"/>
  <c r="AG28" i="9" s="1"/>
  <c r="I28" i="9" a="1"/>
  <c r="I28" i="9" s="1"/>
  <c r="AP28" i="9" a="1"/>
  <c r="AP28" i="9" s="1"/>
  <c r="AB28" i="9" a="1"/>
  <c r="AB28" i="9" s="1"/>
  <c r="S28" i="9" a="1"/>
  <c r="S28" i="9" s="1"/>
  <c r="P28" i="9" a="1"/>
  <c r="P28" i="9" s="1"/>
  <c r="F28" i="9" a="1"/>
  <c r="F28" i="9" s="1"/>
  <c r="AI28" i="9" a="1"/>
  <c r="AI28" i="9" s="1"/>
  <c r="AJ28" i="9" a="1"/>
  <c r="AJ28" i="9" s="1"/>
  <c r="N28" i="9" a="1"/>
  <c r="N28" i="9" s="1"/>
  <c r="U28" i="9" a="1"/>
  <c r="U28" i="9" s="1"/>
  <c r="V28" i="9" a="1"/>
  <c r="V28" i="9" s="1"/>
  <c r="C28" i="9" a="1"/>
  <c r="C28" i="9" s="1"/>
  <c r="AC28" i="9" a="1"/>
  <c r="AC28" i="9" s="1"/>
  <c r="H28" i="8" s="1"/>
  <c r="AM28" i="9" a="1"/>
  <c r="AM28" i="9" s="1"/>
  <c r="O28" i="9" a="1"/>
  <c r="O28" i="9" s="1"/>
  <c r="G28" i="8" s="1"/>
  <c r="AF28" i="9" a="1"/>
  <c r="AF28" i="9" s="1"/>
  <c r="L28" i="9" a="1"/>
  <c r="L28" i="9" s="1"/>
  <c r="AO28" i="9" a="1"/>
  <c r="AO28" i="9" s="1"/>
  <c r="AV28" i="9" a="1"/>
  <c r="AV28" i="9" s="1"/>
  <c r="AQ28" i="9" a="1"/>
  <c r="AQ28" i="9" s="1"/>
  <c r="AR28" i="9" a="1"/>
  <c r="AR28" i="9" s="1"/>
  <c r="AS28" i="9" a="1"/>
  <c r="AS28" i="9" s="1"/>
  <c r="AT28" i="9" a="1"/>
  <c r="AT28" i="9" s="1"/>
  <c r="AX28" i="9" a="1"/>
  <c r="AX28" i="9" s="1"/>
  <c r="J28" i="8" s="1"/>
  <c r="AU28" i="9" a="1"/>
  <c r="AU28" i="9" s="1"/>
  <c r="BD28" i="9" a="1"/>
  <c r="BD28" i="9" s="1"/>
  <c r="BE28" i="9" a="1"/>
  <c r="BE28" i="9" s="1"/>
  <c r="AW28" i="9" a="1"/>
  <c r="AW28" i="9" s="1"/>
  <c r="BC28" i="9" a="1"/>
  <c r="BC28" i="9" s="1"/>
  <c r="AZ28" i="9" a="1"/>
  <c r="AZ28" i="9" s="1"/>
  <c r="BG28" i="9" a="1"/>
  <c r="BG28" i="9" s="1"/>
  <c r="AY28" i="9" a="1"/>
  <c r="AY28" i="9" s="1"/>
  <c r="BB28" i="9" a="1"/>
  <c r="BB28" i="9" s="1"/>
  <c r="BI28" i="9" a="1"/>
  <c r="BI28" i="9" s="1"/>
  <c r="BF28" i="9" a="1"/>
  <c r="BF28" i="9" s="1"/>
  <c r="BH28" i="9" a="1"/>
  <c r="BH28" i="9" s="1"/>
  <c r="BA28" i="9" a="1"/>
  <c r="BA28" i="9" s="1"/>
  <c r="J16" i="8"/>
  <c r="BL77" i="7"/>
  <c r="BL74" i="7" s="1"/>
  <c r="AN14" i="9" a="1"/>
  <c r="AN14" i="9" s="1"/>
  <c r="AM14" i="9" a="1"/>
  <c r="AM14" i="9" s="1"/>
  <c r="AP14" i="9" a="1"/>
  <c r="AP14" i="9" s="1"/>
  <c r="AL14" i="9" a="1"/>
  <c r="AL14" i="9" s="1"/>
  <c r="M14" i="9" a="1"/>
  <c r="M14" i="9" s="1"/>
  <c r="J14" i="9" a="1"/>
  <c r="J14" i="9" s="1"/>
  <c r="AE14" i="9" a="1"/>
  <c r="AE14" i="9" s="1"/>
  <c r="W14" i="9" a="1"/>
  <c r="W14" i="9" s="1"/>
  <c r="AB14" i="9" a="1"/>
  <c r="AB14" i="9" s="1"/>
  <c r="O14" i="9" a="1"/>
  <c r="O14" i="9" s="1"/>
  <c r="S14" i="9" a="1"/>
  <c r="S14" i="9" s="1"/>
  <c r="AO14" i="9" a="1"/>
  <c r="AO14" i="9" s="1"/>
  <c r="AK14" i="9" a="1"/>
  <c r="AK14" i="9" s="1"/>
  <c r="R14" i="9" a="1"/>
  <c r="R14" i="9" s="1"/>
  <c r="AJ14" i="9" a="1"/>
  <c r="AJ14" i="9" s="1"/>
  <c r="Q14" i="9" a="1"/>
  <c r="Q14" i="9" s="1"/>
  <c r="D14" i="9" a="1"/>
  <c r="D14" i="9" s="1"/>
  <c r="AI14" i="9" a="1"/>
  <c r="AI14" i="9" s="1"/>
  <c r="Z14" i="9" a="1"/>
  <c r="Z14" i="9" s="1"/>
  <c r="L14" i="9" a="1"/>
  <c r="L14" i="9" s="1"/>
  <c r="F14" i="9" a="1"/>
  <c r="F14" i="9" s="1"/>
  <c r="AC14" i="9" a="1"/>
  <c r="AC14" i="9" s="1"/>
  <c r="C14" i="9" a="1"/>
  <c r="C14" i="9" s="1"/>
  <c r="AG14" i="9" a="1"/>
  <c r="AG14" i="9" s="1"/>
  <c r="H14" i="9" a="1"/>
  <c r="H14" i="9" s="1"/>
  <c r="AF14" i="9" a="1"/>
  <c r="AF14" i="9" s="1"/>
  <c r="P14" i="9" a="1"/>
  <c r="P14" i="9" s="1"/>
  <c r="E14" i="9" a="1"/>
  <c r="E14" i="9" s="1"/>
  <c r="G14" i="9" a="1"/>
  <c r="G14" i="9" s="1"/>
  <c r="X14" i="9" a="1"/>
  <c r="X14" i="9" s="1"/>
  <c r="AA14" i="9" a="1"/>
  <c r="AA14" i="9" s="1"/>
  <c r="H21" i="8" s="1"/>
  <c r="U14" i="9" a="1"/>
  <c r="U14" i="9" s="1"/>
  <c r="B14" i="9" a="1"/>
  <c r="B14" i="9" s="1"/>
  <c r="V14" i="9" a="1"/>
  <c r="V14" i="9" s="1"/>
  <c r="Y14" i="9" a="1"/>
  <c r="Y14" i="9" s="1"/>
  <c r="T14" i="9" a="1"/>
  <c r="T14" i="9" s="1"/>
  <c r="N14" i="9" a="1"/>
  <c r="N14" i="9" s="1"/>
  <c r="G21" i="8" s="1"/>
  <c r="K14" i="9" a="1"/>
  <c r="K14" i="9" s="1"/>
  <c r="AH14" i="9" a="1"/>
  <c r="AH14" i="9" s="1"/>
  <c r="AD14" i="9" a="1"/>
  <c r="AD14" i="9" s="1"/>
  <c r="I14" i="9" a="1"/>
  <c r="I14" i="9" s="1"/>
  <c r="AR14" i="9" a="1"/>
  <c r="AR14" i="9" s="1"/>
  <c r="AQ14" i="9" a="1"/>
  <c r="AQ14" i="9" s="1"/>
  <c r="AS14" i="9" a="1"/>
  <c r="AS14" i="9" s="1"/>
  <c r="AW14" i="9" a="1"/>
  <c r="AW14" i="9" s="1"/>
  <c r="AU14" i="9" a="1"/>
  <c r="AU14" i="9" s="1"/>
  <c r="AV14" i="9" a="1"/>
  <c r="AV14" i="9" s="1"/>
  <c r="AT14" i="9" a="1"/>
  <c r="AT14" i="9" s="1"/>
  <c r="AX14" i="9" a="1"/>
  <c r="AX14" i="9" s="1"/>
  <c r="AY14" i="9" a="1"/>
  <c r="AY14" i="9" s="1"/>
  <c r="AZ14" i="9" a="1"/>
  <c r="AZ14" i="9" s="1"/>
  <c r="BA14" i="9" a="1"/>
  <c r="BA14" i="9" s="1"/>
  <c r="BB14" i="9" a="1"/>
  <c r="BB14" i="9" s="1"/>
  <c r="BC14" i="9" a="1"/>
  <c r="BC14" i="9" s="1"/>
  <c r="BH14" i="9" a="1"/>
  <c r="BH14" i="9" s="1"/>
  <c r="BE14" i="9" a="1"/>
  <c r="BE14" i="9" s="1"/>
  <c r="BD14" i="9" a="1"/>
  <c r="BD14" i="9" s="1"/>
  <c r="BG14" i="9" a="1"/>
  <c r="BG14" i="9" s="1"/>
  <c r="BF14" i="9" a="1"/>
  <c r="BF14" i="9" s="1"/>
  <c r="BI14" i="9" a="1"/>
  <c r="BI14" i="9" s="1"/>
  <c r="N43" i="5"/>
  <c r="O41" i="5"/>
  <c r="F20" i="8"/>
  <c r="H16" i="8"/>
  <c r="G187" i="7"/>
  <c r="G188" i="7"/>
  <c r="G189" i="7"/>
  <c r="F16" i="8"/>
  <c r="F30" i="8"/>
  <c r="BL55" i="7"/>
  <c r="F27" i="8"/>
  <c r="F26" i="8"/>
  <c r="E26" i="8" s="1"/>
  <c r="I20" i="8"/>
  <c r="G29" i="8"/>
  <c r="E29" i="8" s="1"/>
  <c r="H20" i="8"/>
  <c r="G23" i="8"/>
  <c r="E23" i="8" s="1"/>
  <c r="H23" i="8"/>
  <c r="G17" i="8"/>
  <c r="G22" i="8"/>
  <c r="I28" i="8"/>
  <c r="I26" i="8"/>
  <c r="I29" i="8"/>
  <c r="H27" i="8"/>
  <c r="H17" i="8"/>
  <c r="H29" i="8"/>
  <c r="H30" i="8"/>
  <c r="I30" i="8"/>
  <c r="I21" i="8"/>
  <c r="G20" i="8"/>
  <c r="H26" i="8"/>
  <c r="H22" i="8"/>
  <c r="G26" i="8"/>
  <c r="G30" i="8"/>
  <c r="J20" i="8"/>
  <c r="K30" i="8"/>
  <c r="J27" i="8"/>
  <c r="K23" i="8"/>
  <c r="K24" i="8"/>
  <c r="K20" i="8"/>
  <c r="K27" i="8"/>
  <c r="I23" i="8"/>
  <c r="K25" i="8"/>
  <c r="J29" i="8"/>
  <c r="I17" i="8"/>
  <c r="J17" i="8"/>
  <c r="J30" i="8"/>
  <c r="J22" i="8"/>
  <c r="K21" i="8"/>
  <c r="I27" i="8"/>
  <c r="J21" i="8"/>
  <c r="G27" i="8"/>
  <c r="I22" i="8"/>
  <c r="J26" i="8"/>
  <c r="J23" i="8"/>
  <c r="K28" i="8"/>
  <c r="K22" i="8"/>
  <c r="K17" i="8"/>
  <c r="K19" i="8"/>
  <c r="K31" i="8"/>
  <c r="K29" i="8"/>
  <c r="K26" i="8"/>
  <c r="F14" i="8"/>
  <c r="E13" i="8"/>
  <c r="F22" i="8"/>
  <c r="AQ9" i="9" l="1" a="1"/>
  <c r="AQ9" i="9" s="1"/>
  <c r="AN9" i="9" a="1"/>
  <c r="AN9" i="9" s="1"/>
  <c r="AL9" i="9" a="1"/>
  <c r="AL9" i="9" s="1"/>
  <c r="AM9" i="9" a="1"/>
  <c r="AM9" i="9" s="1"/>
  <c r="AR9" i="9" a="1"/>
  <c r="AR9" i="9" s="1"/>
  <c r="AP9" i="9" a="1"/>
  <c r="AP9" i="9" s="1"/>
  <c r="AO9" i="9" a="1"/>
  <c r="AO9" i="9" s="1"/>
  <c r="AH9" i="9" a="1"/>
  <c r="AH9" i="9" s="1"/>
  <c r="F9" i="9" a="1"/>
  <c r="F9" i="9" s="1"/>
  <c r="C9" i="9" a="1"/>
  <c r="C9" i="9" s="1"/>
  <c r="L9" i="9" a="1"/>
  <c r="L9" i="9" s="1"/>
  <c r="AI9" i="9" a="1"/>
  <c r="AI9" i="9" s="1"/>
  <c r="O9" i="9" a="1"/>
  <c r="O9" i="9" s="1"/>
  <c r="X9" i="9" a="1"/>
  <c r="X9" i="9" s="1"/>
  <c r="AA9" i="9" a="1"/>
  <c r="AA9" i="9" s="1"/>
  <c r="AG9" i="9" a="1"/>
  <c r="AG9" i="9" s="1"/>
  <c r="N9" i="9" a="1"/>
  <c r="N9" i="9" s="1"/>
  <c r="AF9" i="9" a="1"/>
  <c r="AF9" i="9" s="1"/>
  <c r="D9" i="9" a="1"/>
  <c r="D9" i="9" s="1"/>
  <c r="R9" i="9" a="1"/>
  <c r="R9" i="9" s="1"/>
  <c r="AJ9" i="9" a="1"/>
  <c r="AJ9" i="9" s="1"/>
  <c r="AT9" i="9" a="1"/>
  <c r="AT9" i="9" s="1"/>
  <c r="K9" i="9" a="1"/>
  <c r="K9" i="9" s="1"/>
  <c r="I9" i="9" a="1"/>
  <c r="I9" i="9" s="1"/>
  <c r="T9" i="9" a="1"/>
  <c r="T9" i="9" s="1"/>
  <c r="B9" i="9" a="1"/>
  <c r="B9" i="9" s="1"/>
  <c r="S9" i="9" a="1"/>
  <c r="S9" i="9" s="1"/>
  <c r="Z9" i="9" a="1"/>
  <c r="Z9" i="9" s="1"/>
  <c r="U9" i="9" a="1"/>
  <c r="U9" i="9" s="1"/>
  <c r="M9" i="9" a="1"/>
  <c r="M9" i="9" s="1"/>
  <c r="V9" i="9" a="1"/>
  <c r="V9" i="9" s="1"/>
  <c r="AC9" i="9" a="1"/>
  <c r="AC9" i="9" s="1"/>
  <c r="AS9" i="9" a="1"/>
  <c r="AS9" i="9" s="1"/>
  <c r="AK9" i="9" a="1"/>
  <c r="AK9" i="9" s="1"/>
  <c r="AV9" i="9" a="1"/>
  <c r="AV9" i="9" s="1"/>
  <c r="Q9" i="9" a="1"/>
  <c r="Q9" i="9" s="1"/>
  <c r="G9" i="9" a="1"/>
  <c r="G9" i="9" s="1"/>
  <c r="AD9" i="9" a="1"/>
  <c r="AD9" i="9" s="1"/>
  <c r="E9" i="9" a="1"/>
  <c r="E9" i="9" s="1"/>
  <c r="J9" i="9" a="1"/>
  <c r="J9" i="9" s="1"/>
  <c r="AE9" i="9" a="1"/>
  <c r="AE9" i="9" s="1"/>
  <c r="W9" i="9" a="1"/>
  <c r="W9" i="9" s="1"/>
  <c r="H9" i="9" a="1"/>
  <c r="H9" i="9" s="1"/>
  <c r="P9" i="9" a="1"/>
  <c r="P9" i="9" s="1"/>
  <c r="AB9" i="9" a="1"/>
  <c r="AB9" i="9" s="1"/>
  <c r="Y9" i="9" a="1"/>
  <c r="Y9" i="9" s="1"/>
  <c r="AU9" i="9" a="1"/>
  <c r="AU9" i="9" s="1"/>
  <c r="AW9" i="9" a="1"/>
  <c r="AW9" i="9" s="1"/>
  <c r="AX9" i="9" a="1"/>
  <c r="AX9" i="9" s="1"/>
  <c r="AZ9" i="9" a="1"/>
  <c r="AZ9" i="9" s="1"/>
  <c r="AY9" i="9" a="1"/>
  <c r="AY9" i="9" s="1"/>
  <c r="BA9" i="9" a="1"/>
  <c r="BA9" i="9" s="1"/>
  <c r="BG9" i="9" a="1"/>
  <c r="BG9" i="9" s="1"/>
  <c r="BD9" i="9" a="1"/>
  <c r="BD9" i="9" s="1"/>
  <c r="BC9" i="9" a="1"/>
  <c r="BC9" i="9" s="1"/>
  <c r="BB9" i="9" a="1"/>
  <c r="BB9" i="9" s="1"/>
  <c r="BF9" i="9" a="1"/>
  <c r="BF9" i="9" s="1"/>
  <c r="BE9" i="9" a="1"/>
  <c r="BE9" i="9" s="1"/>
  <c r="BH9" i="9" a="1"/>
  <c r="BH9" i="9" s="1"/>
  <c r="BI9" i="9" a="1"/>
  <c r="BI9" i="9" s="1"/>
  <c r="O40" i="5"/>
  <c r="N40" i="5" s="1"/>
  <c r="O18" i="5"/>
  <c r="O17" i="5" s="1"/>
  <c r="O22" i="5" s="1"/>
  <c r="O23" i="5" s="1"/>
  <c r="N41" i="5"/>
  <c r="T43" i="5"/>
  <c r="U43" i="5"/>
  <c r="BL72" i="7"/>
  <c r="BL71" i="7" s="1"/>
  <c r="BL188" i="7" s="1"/>
  <c r="B22" i="9" a="1"/>
  <c r="B22" i="9" s="1"/>
  <c r="AS22" i="9" a="1"/>
  <c r="AS22" i="9" s="1"/>
  <c r="AS20" i="9" s="1"/>
  <c r="AS19" i="9" s="1"/>
  <c r="AV22" i="9" a="1"/>
  <c r="AV22" i="9" s="1"/>
  <c r="AV20" i="9" s="1"/>
  <c r="AV19" i="9" s="1"/>
  <c r="AO22" i="9" a="1"/>
  <c r="AO22" i="9" s="1"/>
  <c r="AO20" i="9" s="1"/>
  <c r="AO19" i="9" s="1"/>
  <c r="AF22" i="9" a="1"/>
  <c r="AF22" i="9" s="1"/>
  <c r="AF20" i="9" s="1"/>
  <c r="AF19" i="9" s="1"/>
  <c r="M22" i="9" a="1"/>
  <c r="M22" i="9" s="1"/>
  <c r="M20" i="9" s="1"/>
  <c r="M19" i="9" s="1"/>
  <c r="BB22" i="9" a="1"/>
  <c r="BB22" i="9" s="1"/>
  <c r="BB20" i="9" s="1"/>
  <c r="BB19" i="9" s="1"/>
  <c r="O22" i="9" a="1"/>
  <c r="O22" i="9" s="1"/>
  <c r="O20" i="9" s="1"/>
  <c r="O19" i="9" s="1"/>
  <c r="Y22" i="9" a="1"/>
  <c r="Y22" i="9" s="1"/>
  <c r="Y20" i="9" s="1"/>
  <c r="Y19" i="9" s="1"/>
  <c r="AN22" i="9" a="1"/>
  <c r="AN22" i="9" s="1"/>
  <c r="AN20" i="9" s="1"/>
  <c r="AN19" i="9" s="1"/>
  <c r="F22" i="9" a="1"/>
  <c r="F22" i="9" s="1"/>
  <c r="F20" i="9" s="1"/>
  <c r="F19" i="9" s="1"/>
  <c r="AE22" i="9" a="1"/>
  <c r="AE22" i="9" s="1"/>
  <c r="AE20" i="9" s="1"/>
  <c r="AE19" i="9" s="1"/>
  <c r="AT22" i="9" a="1"/>
  <c r="AT22" i="9" s="1"/>
  <c r="AT20" i="9" s="1"/>
  <c r="AT19" i="9" s="1"/>
  <c r="U22" i="9" a="1"/>
  <c r="U22" i="9" s="1"/>
  <c r="U20" i="9" s="1"/>
  <c r="U19" i="9" s="1"/>
  <c r="R22" i="9" a="1"/>
  <c r="R22" i="9" s="1"/>
  <c r="R20" i="9" s="1"/>
  <c r="R19" i="9" s="1"/>
  <c r="Q22" i="9" a="1"/>
  <c r="Q22" i="9" s="1"/>
  <c r="Q20" i="9" s="1"/>
  <c r="Q19" i="9" s="1"/>
  <c r="BC22" i="9" a="1"/>
  <c r="BC22" i="9" s="1"/>
  <c r="BC20" i="9" s="1"/>
  <c r="BC19" i="9" s="1"/>
  <c r="AD22" i="9" a="1"/>
  <c r="AD22" i="9" s="1"/>
  <c r="AD20" i="9" s="1"/>
  <c r="AD19" i="9" s="1"/>
  <c r="AH22" i="9" a="1"/>
  <c r="AH22" i="9" s="1"/>
  <c r="AH20" i="9" s="1"/>
  <c r="AH19" i="9" s="1"/>
  <c r="BD22" i="9" a="1"/>
  <c r="BD22" i="9" s="1"/>
  <c r="BD20" i="9" s="1"/>
  <c r="BD19" i="9" s="1"/>
  <c r="AW22" i="9" a="1"/>
  <c r="AW22" i="9" s="1"/>
  <c r="AW20" i="9" s="1"/>
  <c r="AW19" i="9" s="1"/>
  <c r="D22" i="9" a="1"/>
  <c r="D22" i="9" s="1"/>
  <c r="D20" i="9" s="1"/>
  <c r="D19" i="9" s="1"/>
  <c r="AQ22" i="9" a="1"/>
  <c r="AQ22" i="9" s="1"/>
  <c r="AQ20" i="9" s="1"/>
  <c r="AQ19" i="9" s="1"/>
  <c r="E22" i="9" a="1"/>
  <c r="E22" i="9" s="1"/>
  <c r="E20" i="9" s="1"/>
  <c r="E19" i="9" s="1"/>
  <c r="AU22" i="9" a="1"/>
  <c r="AU22" i="9" s="1"/>
  <c r="AU20" i="9" s="1"/>
  <c r="AU19" i="9" s="1"/>
  <c r="BE22" i="9" a="1"/>
  <c r="BE22" i="9" s="1"/>
  <c r="BE20" i="9" s="1"/>
  <c r="BE19" i="9" s="1"/>
  <c r="AL22" i="9" a="1"/>
  <c r="AL22" i="9" s="1"/>
  <c r="AY22" i="9" a="1"/>
  <c r="AY22" i="9" s="1"/>
  <c r="AY20" i="9" s="1"/>
  <c r="AY19" i="9" s="1"/>
  <c r="AG22" i="9" a="1"/>
  <c r="AG22" i="9" s="1"/>
  <c r="AG20" i="9" s="1"/>
  <c r="AG19" i="9" s="1"/>
  <c r="L22" i="9" a="1"/>
  <c r="L22" i="9" s="1"/>
  <c r="L20" i="9" s="1"/>
  <c r="L19" i="9" s="1"/>
  <c r="N22" i="9" a="1"/>
  <c r="N22" i="9" s="1"/>
  <c r="AP22" i="9" a="1"/>
  <c r="AP22" i="9" s="1"/>
  <c r="AP20" i="9" s="1"/>
  <c r="AP19" i="9" s="1"/>
  <c r="AC22" i="9" a="1"/>
  <c r="AC22" i="9" s="1"/>
  <c r="AC20" i="9" s="1"/>
  <c r="AC19" i="9" s="1"/>
  <c r="AK22" i="9" a="1"/>
  <c r="AK22" i="9" s="1"/>
  <c r="AK20" i="9" s="1"/>
  <c r="AK19" i="9" s="1"/>
  <c r="J22" i="9" a="1"/>
  <c r="J22" i="9" s="1"/>
  <c r="J20" i="9" s="1"/>
  <c r="J19" i="9" s="1"/>
  <c r="H22" i="9" a="1"/>
  <c r="H22" i="9" s="1"/>
  <c r="H20" i="9" s="1"/>
  <c r="H19" i="9" s="1"/>
  <c r="V22" i="9" a="1"/>
  <c r="V22" i="9" s="1"/>
  <c r="V20" i="9" s="1"/>
  <c r="V19" i="9" s="1"/>
  <c r="S22" i="9" a="1"/>
  <c r="S22" i="9" s="1"/>
  <c r="S20" i="9" s="1"/>
  <c r="S19" i="9" s="1"/>
  <c r="AX22" i="9" a="1"/>
  <c r="AX22" i="9" s="1"/>
  <c r="BF22" i="9" a="1"/>
  <c r="BF22" i="9" s="1"/>
  <c r="BF20" i="9" s="1"/>
  <c r="BF19" i="9" s="1"/>
  <c r="AR22" i="9" a="1"/>
  <c r="AR22" i="9" s="1"/>
  <c r="AR20" i="9" s="1"/>
  <c r="AR19" i="9" s="1"/>
  <c r="BG22" i="9" a="1"/>
  <c r="BG22" i="9" s="1"/>
  <c r="BG20" i="9" s="1"/>
  <c r="BG19" i="9" s="1"/>
  <c r="AM22" i="9" a="1"/>
  <c r="AM22" i="9" s="1"/>
  <c r="AM20" i="9" s="1"/>
  <c r="AM19" i="9" s="1"/>
  <c r="I22" i="9" a="1"/>
  <c r="I22" i="9" s="1"/>
  <c r="I20" i="9" s="1"/>
  <c r="I19" i="9" s="1"/>
  <c r="AA22" i="9" a="1"/>
  <c r="AA22" i="9" s="1"/>
  <c r="AA20" i="9" s="1"/>
  <c r="AA19" i="9" s="1"/>
  <c r="W22" i="9" a="1"/>
  <c r="W22" i="9" s="1"/>
  <c r="W20" i="9" s="1"/>
  <c r="W19" i="9" s="1"/>
  <c r="T22" i="9" a="1"/>
  <c r="T22" i="9" s="1"/>
  <c r="T20" i="9" s="1"/>
  <c r="T19" i="9" s="1"/>
  <c r="AB22" i="9" a="1"/>
  <c r="AB22" i="9" s="1"/>
  <c r="AB20" i="9" s="1"/>
  <c r="AB19" i="9" s="1"/>
  <c r="AJ22" i="9" a="1"/>
  <c r="AJ22" i="9" s="1"/>
  <c r="AJ20" i="9" s="1"/>
  <c r="AJ19" i="9" s="1"/>
  <c r="X22" i="9" a="1"/>
  <c r="X22" i="9" s="1"/>
  <c r="X20" i="9" s="1"/>
  <c r="X19" i="9" s="1"/>
  <c r="AZ22" i="9" a="1"/>
  <c r="AZ22" i="9" s="1"/>
  <c r="AZ20" i="9" s="1"/>
  <c r="AZ19" i="9" s="1"/>
  <c r="BH22" i="9" a="1"/>
  <c r="BH22" i="9" s="1"/>
  <c r="BH20" i="9" s="1"/>
  <c r="BH19" i="9" s="1"/>
  <c r="Z22" i="9" a="1"/>
  <c r="Z22" i="9" s="1"/>
  <c r="C22" i="9" a="1"/>
  <c r="C22" i="9" s="1"/>
  <c r="C20" i="9" s="1"/>
  <c r="C19" i="9" s="1"/>
  <c r="K22" i="9" a="1"/>
  <c r="K22" i="9" s="1"/>
  <c r="K20" i="9" s="1"/>
  <c r="K19" i="9" s="1"/>
  <c r="G22" i="9" a="1"/>
  <c r="G22" i="9" s="1"/>
  <c r="G20" i="9" s="1"/>
  <c r="G19" i="9" s="1"/>
  <c r="P22" i="9" a="1"/>
  <c r="P22" i="9" s="1"/>
  <c r="P20" i="9" s="1"/>
  <c r="P19" i="9" s="1"/>
  <c r="AI22" i="9" a="1"/>
  <c r="AI22" i="9" s="1"/>
  <c r="AI20" i="9" s="1"/>
  <c r="AI19" i="9" s="1"/>
  <c r="BA22" i="9" a="1"/>
  <c r="BA22" i="9" s="1"/>
  <c r="BA20" i="9" s="1"/>
  <c r="BA19" i="9" s="1"/>
  <c r="BI22" i="9" a="1"/>
  <c r="BI22" i="9" s="1"/>
  <c r="BI20" i="9" s="1"/>
  <c r="BI19" i="9" s="1"/>
  <c r="E27" i="8"/>
  <c r="K32" i="8"/>
  <c r="O57" i="5"/>
  <c r="N57" i="5" s="1"/>
  <c r="F28" i="8"/>
  <c r="E28" i="8" s="1"/>
  <c r="E20" i="8"/>
  <c r="E30" i="8"/>
  <c r="E22" i="8"/>
  <c r="F21" i="8"/>
  <c r="E21" i="8" s="1"/>
  <c r="AR10" i="9" l="1"/>
  <c r="AL20" i="9"/>
  <c r="AL19" i="9" s="1"/>
  <c r="I24" i="8" s="1"/>
  <c r="I25" i="8"/>
  <c r="U40" i="5"/>
  <c r="T40" i="5"/>
  <c r="AB10" i="9"/>
  <c r="U10" i="9"/>
  <c r="O10" i="9"/>
  <c r="T57" i="5"/>
  <c r="U57" i="5"/>
  <c r="BI10" i="9"/>
  <c r="BA10" i="9"/>
  <c r="P10" i="9"/>
  <c r="Q10" i="9"/>
  <c r="Z10" i="9"/>
  <c r="H19" i="8"/>
  <c r="R10" i="9"/>
  <c r="AI10" i="9"/>
  <c r="AM10" i="9"/>
  <c r="BG10" i="9"/>
  <c r="G10" i="9"/>
  <c r="AJ10" i="9"/>
  <c r="B20" i="9"/>
  <c r="B19" i="9" s="1"/>
  <c r="F24" i="8" s="1"/>
  <c r="F25" i="8"/>
  <c r="BH10" i="9"/>
  <c r="AY10" i="9"/>
  <c r="H10" i="9"/>
  <c r="AV10" i="9"/>
  <c r="S10" i="9"/>
  <c r="D10" i="9"/>
  <c r="L10" i="9"/>
  <c r="AL10" i="9"/>
  <c r="I19" i="8"/>
  <c r="BE10" i="9"/>
  <c r="AZ10" i="9"/>
  <c r="W10" i="9"/>
  <c r="AK10" i="9"/>
  <c r="B10" i="9"/>
  <c r="F19" i="8"/>
  <c r="AF10" i="9"/>
  <c r="C10" i="9"/>
  <c r="AN10" i="9"/>
  <c r="AX20" i="9"/>
  <c r="AX19" i="9" s="1"/>
  <c r="J24" i="8" s="1"/>
  <c r="J25" i="8"/>
  <c r="N20" i="9"/>
  <c r="N19" i="9" s="1"/>
  <c r="G24" i="8" s="1"/>
  <c r="G25" i="8"/>
  <c r="BF10" i="9"/>
  <c r="AX10" i="9"/>
  <c r="J19" i="8"/>
  <c r="AE10" i="9"/>
  <c r="AS10" i="9"/>
  <c r="T10" i="9"/>
  <c r="N10" i="9"/>
  <c r="G19" i="8"/>
  <c r="F10" i="9"/>
  <c r="AQ10" i="9"/>
  <c r="BB10" i="9"/>
  <c r="AW10" i="9"/>
  <c r="J10" i="9"/>
  <c r="AC10" i="9"/>
  <c r="I10" i="9"/>
  <c r="AG10" i="9"/>
  <c r="AH10" i="9"/>
  <c r="BL187" i="7"/>
  <c r="Z20" i="9"/>
  <c r="Z19" i="9" s="1"/>
  <c r="H24" i="8" s="1"/>
  <c r="H25" i="8"/>
  <c r="N18" i="5"/>
  <c r="U41" i="5"/>
  <c r="T41" i="5"/>
  <c r="BC10" i="9"/>
  <c r="AU10" i="9"/>
  <c r="E10" i="9"/>
  <c r="V10" i="9"/>
  <c r="K10" i="9"/>
  <c r="AA10" i="9"/>
  <c r="AO10" i="9"/>
  <c r="BL189" i="7"/>
  <c r="BD10" i="9"/>
  <c r="Y10" i="9"/>
  <c r="AD10" i="9"/>
  <c r="M10" i="9"/>
  <c r="AT10" i="9"/>
  <c r="X10" i="9"/>
  <c r="AP10" i="9"/>
  <c r="E25" i="8" l="1"/>
  <c r="I32" i="8"/>
  <c r="AL33" i="9"/>
  <c r="E24" i="8"/>
  <c r="G32" i="8"/>
  <c r="AG32" i="9" a="1"/>
  <c r="AG32" i="9" s="1"/>
  <c r="AG33" i="9" s="1"/>
  <c r="P32" i="9" a="1"/>
  <c r="P32" i="9" s="1"/>
  <c r="P33" i="9" s="1"/>
  <c r="O32" i="9" a="1"/>
  <c r="O32" i="9" s="1"/>
  <c r="O33" i="9" s="1"/>
  <c r="AP32" i="9" a="1"/>
  <c r="AP32" i="9" s="1"/>
  <c r="AP33" i="9" s="1"/>
  <c r="BF32" i="9" a="1"/>
  <c r="BF32" i="9" s="1"/>
  <c r="BF33" i="9" s="1"/>
  <c r="AU32" i="9" a="1"/>
  <c r="AU32" i="9" s="1"/>
  <c r="AU33" i="9" s="1"/>
  <c r="E32" i="9" a="1"/>
  <c r="E32" i="9" s="1"/>
  <c r="E33" i="9" s="1"/>
  <c r="AR32" i="9" a="1"/>
  <c r="AR32" i="9" s="1"/>
  <c r="AR33" i="9" s="1"/>
  <c r="AC32" i="9" a="1"/>
  <c r="AC32" i="9" s="1"/>
  <c r="AC33" i="9" s="1"/>
  <c r="AB32" i="9" a="1"/>
  <c r="AB32" i="9" s="1"/>
  <c r="AB33" i="9" s="1"/>
  <c r="K32" i="9" a="1"/>
  <c r="K32" i="9" s="1"/>
  <c r="K33" i="9" s="1"/>
  <c r="BC32" i="9" a="1"/>
  <c r="BC32" i="9" s="1"/>
  <c r="BC33" i="9" s="1"/>
  <c r="Q32" i="9" a="1"/>
  <c r="Q32" i="9" s="1"/>
  <c r="Q33" i="9" s="1"/>
  <c r="B32" i="9" a="1"/>
  <c r="B32" i="9" s="1"/>
  <c r="T32" i="9" a="1"/>
  <c r="T32" i="9" s="1"/>
  <c r="T33" i="9" s="1"/>
  <c r="AO32" i="9" a="1"/>
  <c r="AO32" i="9" s="1"/>
  <c r="AO33" i="9" s="1"/>
  <c r="G32" i="9" a="1"/>
  <c r="G32" i="9" s="1"/>
  <c r="G33" i="9" s="1"/>
  <c r="V32" i="9" a="1"/>
  <c r="V32" i="9" s="1"/>
  <c r="V33" i="9" s="1"/>
  <c r="F32" i="9" a="1"/>
  <c r="F32" i="9" s="1"/>
  <c r="F33" i="9" s="1"/>
  <c r="AE32" i="9" a="1"/>
  <c r="AE32" i="9" s="1"/>
  <c r="AE33" i="9" s="1"/>
  <c r="AH32" i="9" a="1"/>
  <c r="AH32" i="9" s="1"/>
  <c r="AH33" i="9" s="1"/>
  <c r="AT32" i="9" a="1"/>
  <c r="AT32" i="9" s="1"/>
  <c r="AT33" i="9" s="1"/>
  <c r="BE32" i="9" a="1"/>
  <c r="BE32" i="9" s="1"/>
  <c r="BE33" i="9" s="1"/>
  <c r="AI32" i="9" a="1"/>
  <c r="AI32" i="9" s="1"/>
  <c r="AI33" i="9" s="1"/>
  <c r="AS32" i="9" a="1"/>
  <c r="AS32" i="9" s="1"/>
  <c r="AS33" i="9" s="1"/>
  <c r="AV32" i="9" a="1"/>
  <c r="AV32" i="9" s="1"/>
  <c r="AV33" i="9" s="1"/>
  <c r="AW32" i="9" a="1"/>
  <c r="AW32" i="9" s="1"/>
  <c r="AW33" i="9" s="1"/>
  <c r="U32" i="9" a="1"/>
  <c r="U32" i="9" s="1"/>
  <c r="U33" i="9" s="1"/>
  <c r="AK32" i="9" a="1"/>
  <c r="AK32" i="9" s="1"/>
  <c r="AK33" i="9" s="1"/>
  <c r="H32" i="9" a="1"/>
  <c r="H32" i="9" s="1"/>
  <c r="H33" i="9" s="1"/>
  <c r="I32" i="9" a="1"/>
  <c r="I32" i="9" s="1"/>
  <c r="I33" i="9" s="1"/>
  <c r="J32" i="9" a="1"/>
  <c r="J32" i="9" s="1"/>
  <c r="J33" i="9" s="1"/>
  <c r="AX32" i="9" a="1"/>
  <c r="AX32" i="9" s="1"/>
  <c r="AF32" i="9" a="1"/>
  <c r="AF32" i="9" s="1"/>
  <c r="AF33" i="9" s="1"/>
  <c r="AQ32" i="9" a="1"/>
  <c r="AQ32" i="9" s="1"/>
  <c r="AQ33" i="9" s="1"/>
  <c r="AL32" i="9" a="1"/>
  <c r="AL32" i="9" s="1"/>
  <c r="AY32" i="9" a="1"/>
  <c r="AY32" i="9" s="1"/>
  <c r="AY33" i="9" s="1"/>
  <c r="BG32" i="9" a="1"/>
  <c r="BG32" i="9" s="1"/>
  <c r="BG33" i="9" s="1"/>
  <c r="AN32" i="9" a="1"/>
  <c r="AN32" i="9" s="1"/>
  <c r="AN33" i="9" s="1"/>
  <c r="AD32" i="9" a="1"/>
  <c r="AD32" i="9" s="1"/>
  <c r="AD33" i="9" s="1"/>
  <c r="W32" i="9" a="1"/>
  <c r="W32" i="9" s="1"/>
  <c r="W33" i="9" s="1"/>
  <c r="D32" i="9" a="1"/>
  <c r="D32" i="9" s="1"/>
  <c r="D33" i="9" s="1"/>
  <c r="C32" i="9" a="1"/>
  <c r="C32" i="9" s="1"/>
  <c r="C33" i="9" s="1"/>
  <c r="AZ32" i="9" a="1"/>
  <c r="AZ32" i="9" s="1"/>
  <c r="AZ33" i="9" s="1"/>
  <c r="BH32" i="9" a="1"/>
  <c r="BH32" i="9" s="1"/>
  <c r="BH33" i="9" s="1"/>
  <c r="N32" i="9" a="1"/>
  <c r="N32" i="9" s="1"/>
  <c r="Y32" i="9" a="1"/>
  <c r="Y32" i="9" s="1"/>
  <c r="Y33" i="9" s="1"/>
  <c r="M32" i="9" a="1"/>
  <c r="M32" i="9" s="1"/>
  <c r="M33" i="9" s="1"/>
  <c r="BA32" i="9" a="1"/>
  <c r="BA32" i="9" s="1"/>
  <c r="BA33" i="9" s="1"/>
  <c r="R32" i="9" a="1"/>
  <c r="R32" i="9" s="1"/>
  <c r="R33" i="9" s="1"/>
  <c r="BB32" i="9" a="1"/>
  <c r="BB32" i="9" s="1"/>
  <c r="BB33" i="9" s="1"/>
  <c r="X32" i="9" a="1"/>
  <c r="X32" i="9" s="1"/>
  <c r="X33" i="9" s="1"/>
  <c r="AJ32" i="9" a="1"/>
  <c r="AJ32" i="9" s="1"/>
  <c r="AJ33" i="9" s="1"/>
  <c r="Z32" i="9" a="1"/>
  <c r="Z32" i="9" s="1"/>
  <c r="H31" i="8" s="1"/>
  <c r="L32" i="9" a="1"/>
  <c r="L32" i="9" s="1"/>
  <c r="L33" i="9" s="1"/>
  <c r="AA32" i="9" a="1"/>
  <c r="AA32" i="9" s="1"/>
  <c r="AA33" i="9" s="1"/>
  <c r="BI32" i="9" a="1"/>
  <c r="BI32" i="9" s="1"/>
  <c r="BI33" i="9" s="1"/>
  <c r="S32" i="9" a="1"/>
  <c r="S32" i="9" s="1"/>
  <c r="S33" i="9" s="1"/>
  <c r="AM32" i="9" a="1"/>
  <c r="AM32" i="9" s="1"/>
  <c r="AM33" i="9" s="1"/>
  <c r="BD32" i="9" a="1"/>
  <c r="BD32" i="9" s="1"/>
  <c r="BD33" i="9" s="1"/>
  <c r="J32" i="8"/>
  <c r="F32" i="8"/>
  <c r="E19" i="8"/>
  <c r="E32" i="8" s="1"/>
  <c r="U18" i="5"/>
  <c r="T18" i="5"/>
  <c r="N17" i="5"/>
  <c r="H32" i="8"/>
  <c r="U17" i="5" l="1"/>
  <c r="T17" i="5"/>
  <c r="N22" i="5"/>
  <c r="J31" i="8"/>
  <c r="AX33" i="9"/>
  <c r="G31" i="8"/>
  <c r="F31" i="8"/>
  <c r="E31" i="8" s="1"/>
  <c r="B33" i="9"/>
  <c r="I31" i="8"/>
  <c r="Z33" i="9"/>
  <c r="N33" i="9"/>
  <c r="U22" i="5" l="1"/>
  <c r="T22" i="5"/>
  <c r="N23" i="5"/>
  <c r="T23" i="5" l="1"/>
  <c r="U2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<sst xmlns="http://schemas.openxmlformats.org/spreadsheetml/2006/main" count="7696" uniqueCount="513">
  <si>
    <t>product_final</t>
  </si>
  <si>
    <t>Product</t>
  </si>
  <si>
    <t>Partner</t>
  </si>
  <si>
    <t>report_date</t>
  </si>
  <si>
    <t>closing_balance_total</t>
  </si>
  <si>
    <t>closing_balance_dpd_above0</t>
  </si>
  <si>
    <t>closing_balance_dpd_0</t>
  </si>
  <si>
    <t>closing_balance_dpd_above10</t>
  </si>
  <si>
    <t>closing_balance_dpd_under10</t>
  </si>
  <si>
    <t>[BE] - Bikeloan VFS</t>
  </si>
  <si>
    <t>BL</t>
  </si>
  <si>
    <t>BEG</t>
  </si>
  <si>
    <t>CL</t>
  </si>
  <si>
    <t>Sum of closing_balance_dpd_under10</t>
  </si>
  <si>
    <t>Column Labels</t>
  </si>
  <si>
    <t>Jul</t>
  </si>
  <si>
    <t>Aug</t>
  </si>
  <si>
    <t>Sep</t>
  </si>
  <si>
    <t>Grand Total</t>
  </si>
  <si>
    <t>Row Labels</t>
  </si>
  <si>
    <t>CAKE</t>
  </si>
  <si>
    <t>MWG</t>
  </si>
  <si>
    <t>NGS</t>
  </si>
  <si>
    <t>VDS</t>
  </si>
  <si>
    <t>VNPAY</t>
  </si>
  <si>
    <t>VNPOST</t>
  </si>
  <si>
    <t>ZALOPAY</t>
  </si>
  <si>
    <t>cashloan</t>
  </si>
  <si>
    <t>payroll</t>
  </si>
  <si>
    <t>[BE] - Cashloan</t>
  </si>
  <si>
    <t>[BE] - Paylater</t>
  </si>
  <si>
    <t>PL</t>
  </si>
  <si>
    <t>[Cake] - Cashloan</t>
  </si>
  <si>
    <t>[Cake] - Overdraft</t>
  </si>
  <si>
    <t>OD</t>
  </si>
  <si>
    <t>[Cake] - Overdraft Odim</t>
  </si>
  <si>
    <t>[Cake] - Payday</t>
  </si>
  <si>
    <t>PD</t>
  </si>
  <si>
    <t>[FPT] - Paylater</t>
  </si>
  <si>
    <t>FPT</t>
  </si>
  <si>
    <t>[MWG] - Cashloan</t>
  </si>
  <si>
    <t>[MWG] - Paylater</t>
  </si>
  <si>
    <t>[MWG] - Paylater (QTV)</t>
  </si>
  <si>
    <t>[NGS] - Cashloan</t>
  </si>
  <si>
    <t>[NORTHSTAR] - Cashloan</t>
  </si>
  <si>
    <t>[VDS] - Bikeloan VFS</t>
  </si>
  <si>
    <t>[VDS] - Cashloan</t>
  </si>
  <si>
    <t>[VDS] - Cashloan LP</t>
  </si>
  <si>
    <t>[VDS] - Cashloan O2O</t>
  </si>
  <si>
    <t>[VDS] - Payday</t>
  </si>
  <si>
    <t>[VDS] - Paylater</t>
  </si>
  <si>
    <t>[VDS] - Payroll Cashloan</t>
  </si>
  <si>
    <t>[VDS] - Payroll Payday</t>
  </si>
  <si>
    <t>[VNPAY] - Cashloan</t>
  </si>
  <si>
    <t>[VNPAY] - Payday</t>
  </si>
  <si>
    <t>[VNPAY] - Paylater</t>
  </si>
  <si>
    <t>[VNPOST] - Cashloan</t>
  </si>
  <si>
    <t>[VNPT] - Payday</t>
  </si>
  <si>
    <t>VNPT</t>
  </si>
  <si>
    <t>[ZALOPAY] - Cashloan</t>
  </si>
  <si>
    <t>Nhom</t>
  </si>
  <si>
    <t>SP</t>
  </si>
  <si>
    <t>pl</t>
  </si>
  <si>
    <t>Sum of BALANCE</t>
  </si>
  <si>
    <t>Sum of Lai DCV</t>
  </si>
  <si>
    <t>Month</t>
  </si>
  <si>
    <t>Day</t>
  </si>
  <si>
    <t>UPL</t>
  </si>
  <si>
    <t>cl</t>
  </si>
  <si>
    <t>BE</t>
  </si>
  <si>
    <t>BE CASHLOAN</t>
  </si>
  <si>
    <t>CAKE CASHLOAN</t>
  </si>
  <si>
    <t>CAKE OVERDRAFT</t>
  </si>
  <si>
    <t>CAKE PAYDAY</t>
  </si>
  <si>
    <t>MWG CASHLOAN</t>
  </si>
  <si>
    <t>NGS CASHLOAN</t>
  </si>
  <si>
    <t>VIETTEL CASHLOAN</t>
  </si>
  <si>
    <t>VIETTEL PAYDAY</t>
  </si>
  <si>
    <t>VIETTEL PAYDAYPAYROLL</t>
  </si>
  <si>
    <t>VIETTEL PAYROLL CASHLOAN</t>
  </si>
  <si>
    <t>VNPAY CASHLOAN</t>
  </si>
  <si>
    <t>VNPOST CASHLOAN</t>
  </si>
  <si>
    <t>Zalopay CASHLOAN</t>
  </si>
  <si>
    <t>SAP MODEL - CASHLOAN</t>
  </si>
  <si>
    <t>OFFICIAL</t>
  </si>
  <si>
    <t>HKN</t>
  </si>
  <si>
    <t>v9</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</si>
  <si>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</si>
  <si>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</si>
  <si>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</si>
  <si>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trong các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</si>
  <si>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</si>
  <si>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</si>
  <si>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một thời điểm xác định, do đó kết quả của mô hình có thể có sự khác biệt so với thực tế vận hành sản phẩm.</t>
  </si>
  <si>
    <t>- Mô hình SAP Cashloan tính hiệu quả của khoản vay giải ngân và thời hạn tối đa được áp dụng là  5 năm ( 60 tháng) kể từ ngày bắt đầu sản phẩm đối với sử dụng phương pháp dự phòng IFRS</t>
  </si>
  <si>
    <t>- Lưu ý rằng trường hợp áp dụng cho khoản vay 5 năm, thì các chi phí sẽ không được tính toán đầy đủ do chi phí COF cho thời gian từ lúc khoản vay kết thúc tới lúc được xóa trên sổ kế toán.</t>
  </si>
  <si>
    <t>- Chỉ nên sử dụng với khoản vay dưới 4 năm (48 tháng) để được tính toán đầy đủ chi phí</t>
  </si>
  <si>
    <t>- Đối với phương pháp tính rủi ro VAS, thời hạn khoản vay tối đa sử dụng là 4 năm (48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</si>
  <si>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</si>
  <si>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</si>
  <si>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</si>
  <si>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</si>
  <si>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</si>
  <si>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</si>
  <si>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</si>
  <si>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plan&amp;PnL"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</si>
  <si>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</si>
  <si>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</si>
  <si>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</si>
  <si>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</si>
  <si>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</si>
  <si>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</si>
  <si>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</si>
  <si>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</si>
  <si>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</si>
  <si>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</si>
  <si>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</si>
  <si>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</si>
  <si>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</si>
  <si>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</si>
  <si>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</si>
  <si>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</si>
  <si>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</si>
  <si>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</si>
  <si>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</si>
  <si>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Loan amount</t>
  </si>
  <si>
    <t>Số tiền vay giải ngân (có thể bao gồm bảo hiểm hoặc không)</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</si>
  <si>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</si>
  <si>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</si>
  <si>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</si>
  <si>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</si>
  <si>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</si>
  <si>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</si>
  <si>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</si>
  <si>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</si>
  <si>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</si>
  <si>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</si>
  <si>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</si>
  <si>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</si>
  <si>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</si>
  <si>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</si>
  <si>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</si>
  <si>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</si>
  <si>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</si>
  <si>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</si>
  <si>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</si>
  <si>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</si>
  <si>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</si>
  <si>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</si>
  <si>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</si>
  <si>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</si>
  <si>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</si>
  <si>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</si>
  <si>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</si>
  <si>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</si>
  <si>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</si>
  <si>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</si>
  <si>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</si>
  <si>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</si>
  <si>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</si>
  <si>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</si>
  <si>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</si>
  <si>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</si>
  <si>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</si>
  <si>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</si>
  <si>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</si>
  <si>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</si>
  <si>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</si>
  <si>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</si>
  <si>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</si>
  <si>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</si>
  <si>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</si>
  <si>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</si>
  <si>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</si>
  <si>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</si>
  <si>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</si>
  <si>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</si>
  <si>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</si>
  <si>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</si>
  <si>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</si>
  <si>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</si>
  <si>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</si>
  <si>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</si>
  <si>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</si>
  <si>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</si>
  <si>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</si>
  <si>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</si>
  <si>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</si>
  <si>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</si>
  <si>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</si>
  <si>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</si>
  <si>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</si>
  <si>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</si>
  <si>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</si>
  <si>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</si>
  <si>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</si>
  <si>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</si>
  <si>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</si>
  <si>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</si>
  <si>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</si>
  <si>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</si>
  <si>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</si>
  <si>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</si>
  <si>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</si>
  <si>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</si>
  <si>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</si>
  <si>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</si>
  <si>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</si>
  <si>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</si>
  <si>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</si>
  <si>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</si>
  <si>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</si>
  <si>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</si>
  <si>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</si>
  <si>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</si>
  <si>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</si>
  <si>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</si>
  <si>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</si>
  <si>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</si>
  <si>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</si>
  <si>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</si>
  <si>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</si>
  <si>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</si>
  <si>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</si>
  <si>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</si>
  <si>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</si>
  <si>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</si>
  <si>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</si>
  <si>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</si>
  <si>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</si>
  <si>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</si>
  <si>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</si>
  <si>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</si>
  <si>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Percentage of debt (tỉ lệ vỡ nợ)</t>
  </si>
  <si>
    <t>Pro. Rate</t>
  </si>
  <si>
    <t>Tỉ lệ vỡ nợ đã điều chỉnh thu hồi nợ</t>
  </si>
  <si>
    <t>Recovery rate</t>
  </si>
  <si>
    <t>Tỉ lệ thu hồi nợ sau WO</t>
  </si>
  <si>
    <t>Collect after WO</t>
  </si>
  <si>
    <t>Fee and others</t>
  </si>
  <si>
    <t>Tỉ lệ thu được phí, phạt, khác</t>
  </si>
  <si>
    <t>Write-off mode</t>
  </si>
  <si>
    <t>Provision mode</t>
  </si>
  <si>
    <t>DPD360+</t>
  </si>
  <si>
    <t>IFRS</t>
  </si>
  <si>
    <t>DPD180+</t>
  </si>
  <si>
    <t>VAS</t>
  </si>
  <si>
    <t>SAP CASHLOAN MODEL</t>
  </si>
  <si>
    <t>NOTE</t>
  </si>
  <si>
    <t>Please read carefully about before using model</t>
  </si>
  <si>
    <t>Unsecured Cashloan</t>
  </si>
  <si>
    <t>Disclaimer</t>
  </si>
  <si>
    <t>Sub-Product</t>
  </si>
  <si>
    <t>Cashloan</t>
  </si>
  <si>
    <t>ALL</t>
  </si>
  <si>
    <t>Instruction</t>
  </si>
  <si>
    <t>Sub-Segments</t>
  </si>
  <si>
    <t>Quarter</t>
  </si>
  <si>
    <t>Q3.2025</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</si>
  <si>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</si>
  <si>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</si>
  <si>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</si>
  <si>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</si>
  <si>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</si>
  <si>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</si>
  <si>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</si>
  <si>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</si>
  <si>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</si>
  <si>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</si>
  <si>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</si>
  <si>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</si>
  <si>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</si>
  <si>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</si>
  <si>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</si>
  <si>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</si>
  <si>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</si>
  <si>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</si>
  <si>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</si>
  <si>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</si>
  <si>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</si>
  <si>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UW &amp; Disbursal</t>
  </si>
  <si>
    <t>Collection &amp; aftersale service</t>
  </si>
  <si>
    <t>Support unit</t>
  </si>
  <si>
    <t>PBT</t>
  </si>
  <si>
    <r>
      <rPr>
        <i/>
        <sz val="8"/>
        <color theme="1" tint="0.14999847407452621"/>
        <rFont val="Arial"/>
        <family val="2"/>
      </rPr>
      <t>In which:</t>
    </r>
    <r>
      <rPr>
        <sz val="8"/>
        <color theme="1" tint="0.14999847407452621"/>
        <rFont val="Arial"/>
        <family val="2"/>
      </rPr>
      <t xml:space="preserve"> PROFIT BEFORE SU</t>
    </r>
  </si>
  <si>
    <t>per cohort</t>
  </si>
  <si>
    <t>PERFORMANCE OUTPUT</t>
  </si>
  <si>
    <t>Interest income</t>
  </si>
  <si>
    <t>per disbursement amount</t>
  </si>
  <si>
    <t>Cost of fund</t>
  </si>
  <si>
    <t>Early termination fee</t>
  </si>
  <si>
    <t>done</t>
  </si>
  <si>
    <t>Insurance commission</t>
  </si>
  <si>
    <t>One-time</t>
  </si>
  <si>
    <t>$ per account</t>
  </si>
  <si>
    <t>% per ticketsize</t>
  </si>
  <si>
    <t>Monthly fee</t>
  </si>
  <si>
    <t>%monthly per ticketsize</t>
  </si>
  <si>
    <t>Lead Acquisition</t>
  </si>
  <si>
    <t>% per year</t>
  </si>
  <si>
    <t>Sharing performance</t>
  </si>
  <si>
    <t>Marketing</t>
  </si>
  <si>
    <t>Auto MODE</t>
  </si>
  <si>
    <t>Underwriting</t>
  </si>
  <si>
    <t>% per month</t>
  </si>
  <si>
    <t>Disbursement</t>
  </si>
  <si>
    <t>Collection &amp; after sale service</t>
  </si>
  <si>
    <t>Adjust MODE</t>
  </si>
  <si>
    <t>Early collections</t>
  </si>
  <si>
    <t>AMC</t>
  </si>
  <si>
    <t>Supporting Units</t>
  </si>
  <si>
    <t>Indiect HR</t>
  </si>
  <si>
    <t>Risk share from</t>
  </si>
  <si>
    <t>disbursement</t>
  </si>
  <si>
    <t>per account</t>
  </si>
  <si>
    <t>Other support units</t>
  </si>
  <si>
    <t>per ticketsize</t>
  </si>
  <si>
    <t>of application</t>
  </si>
  <si>
    <t>Inflation</t>
  </si>
  <si>
    <t>of account</t>
  </si>
  <si>
    <t>Incentive</t>
  </si>
  <si>
    <t>of submitted application</t>
  </si>
  <si>
    <t>Sale team</t>
  </si>
  <si>
    <t>of aproved application</t>
  </si>
  <si>
    <t>Sale Mgt</t>
  </si>
  <si>
    <t>MA</t>
  </si>
  <si>
    <t>per account/month</t>
  </si>
  <si>
    <t>Collections_B1+</t>
  </si>
  <si>
    <t>AMC_principal collected</t>
  </si>
  <si>
    <t>per 1mVND collected amount</t>
  </si>
  <si>
    <t>AMC_interest collected</t>
  </si>
  <si>
    <t>AMC_penalty collected</t>
  </si>
  <si>
    <t>CPCUW</t>
  </si>
  <si>
    <t>CPCUW_SCORE</t>
  </si>
  <si>
    <t>CPCCA</t>
  </si>
  <si>
    <t>AMC_PR</t>
  </si>
  <si>
    <t>Net flow</t>
  </si>
  <si>
    <t>B0 - B1</t>
  </si>
  <si>
    <t>B1 - B2</t>
  </si>
  <si>
    <t>B2 - B3</t>
  </si>
  <si>
    <t>B3 - B4</t>
  </si>
  <si>
    <t>B4 - B5</t>
  </si>
  <si>
    <t>B5 - B6</t>
  </si>
  <si>
    <t>B6 - B7</t>
  </si>
  <si>
    <t>B7 - B8</t>
  </si>
  <si>
    <t>B8 - B9</t>
  </si>
  <si>
    <t>B9 - B10</t>
  </si>
  <si>
    <t>B10 - B11</t>
  </si>
  <si>
    <t>B11 - B12</t>
  </si>
  <si>
    <t>B12 - B13</t>
  </si>
  <si>
    <t>B13-B24</t>
  </si>
  <si>
    <t>B25-B36</t>
  </si>
  <si>
    <t>Recovery rate B13-B24</t>
  </si>
  <si>
    <t>B36+</t>
  </si>
  <si>
    <t>Recovery rate B24-B36</t>
  </si>
  <si>
    <t>Risk cost/ Disburse</t>
  </si>
  <si>
    <t>Recovery rate B36+</t>
  </si>
  <si>
    <t>Riskcost/ANR</t>
  </si>
  <si>
    <t>B8- B12</t>
  </si>
  <si>
    <t>B24-B36</t>
  </si>
  <si>
    <t>per principle collected</t>
  </si>
  <si>
    <t>%B1A/B1</t>
  </si>
  <si>
    <t>Aproval rate, signed rate</t>
  </si>
  <si>
    <t>aprroval rate</t>
  </si>
  <si>
    <t>Signed rate</t>
  </si>
  <si>
    <t>Disburse, Tenor, Insurance, IR</t>
  </si>
  <si>
    <t>Disburse date</t>
  </si>
  <si>
    <t># Disburse</t>
  </si>
  <si>
    <t>Disburse amount (VND)</t>
  </si>
  <si>
    <t>Current balance (VND)</t>
  </si>
  <si>
    <t>Ticket size (VND)</t>
  </si>
  <si>
    <t>Avg tenor (Month)</t>
  </si>
  <si>
    <t>Avg IR (%)</t>
  </si>
  <si>
    <t>Insurance fee (VND)</t>
  </si>
  <si>
    <t>% Insurance penetration by date</t>
  </si>
  <si>
    <t>AVG</t>
  </si>
  <si>
    <t>UW, collection, MKT</t>
  </si>
  <si>
    <t>New ACC</t>
  </si>
  <si>
    <t>Active acc</t>
  </si>
  <si>
    <t>MKT acquisition</t>
  </si>
  <si>
    <t>UW</t>
  </si>
  <si>
    <t>Collection</t>
  </si>
  <si>
    <t>Sử dụng mức tương đương Q2 do quý 3  thay đổi collection, chi phí ko đầy đủ</t>
  </si>
  <si>
    <t>SMS</t>
  </si>
  <si>
    <t>Partner acquisition</t>
  </si>
  <si>
    <t>RR</t>
  </si>
  <si>
    <t>Sum of principal_balance_at_report_month</t>
  </si>
  <si>
    <t>ADJ</t>
  </si>
  <si>
    <t>EOM Bucket</t>
  </si>
  <si>
    <t>report_month</t>
  </si>
  <si>
    <t>principal_balance_at_report_month</t>
  </si>
  <si>
    <t>SAP Speadsheet</t>
  </si>
  <si>
    <t>Method</t>
  </si>
  <si>
    <t>Oustanding tenor</t>
  </si>
  <si>
    <t>Last month on book</t>
  </si>
  <si>
    <t>Balance</t>
  </si>
  <si>
    <t>Interest rate</t>
  </si>
  <si>
    <t>INR rate</t>
  </si>
  <si>
    <t>COF rate</t>
  </si>
  <si>
    <t>Attrition rate</t>
  </si>
  <si>
    <t>Prepayment Penalty</t>
  </si>
  <si>
    <t>Account accumulated</t>
  </si>
  <si>
    <t>Nominal ENR</t>
  </si>
  <si>
    <t>Fully Prepayment Amount</t>
  </si>
  <si>
    <t>EMI payment</t>
  </si>
  <si>
    <t>Nominal Interest</t>
  </si>
  <si>
    <t>Nominal Payment</t>
  </si>
  <si>
    <t>Schedule Payment</t>
  </si>
  <si>
    <t>SBV</t>
  </si>
  <si>
    <t>Overdue</t>
  </si>
  <si>
    <t>Balance by Bucket/Group</t>
  </si>
  <si>
    <t>G1</t>
  </si>
  <si>
    <t>B0</t>
  </si>
  <si>
    <t>G2</t>
  </si>
  <si>
    <t>B1</t>
  </si>
  <si>
    <t>B2</t>
  </si>
  <si>
    <t>B3</t>
  </si>
  <si>
    <t>G3</t>
  </si>
  <si>
    <t>B4</t>
  </si>
  <si>
    <t>B5</t>
  </si>
  <si>
    <t>B6</t>
  </si>
  <si>
    <t>G4</t>
  </si>
  <si>
    <t>B7</t>
  </si>
  <si>
    <t>B8</t>
  </si>
  <si>
    <t>B9</t>
  </si>
  <si>
    <t>B10</t>
  </si>
  <si>
    <t>B11</t>
  </si>
  <si>
    <t>B12</t>
  </si>
  <si>
    <t>G5</t>
  </si>
  <si>
    <t>B13</t>
  </si>
  <si>
    <t>420+</t>
  </si>
  <si>
    <t>B14+</t>
  </si>
  <si>
    <t>ENR</t>
  </si>
  <si>
    <t>Total bank</t>
  </si>
  <si>
    <t>Outstanding balance</t>
  </si>
  <si>
    <t>Writeoff balance</t>
  </si>
  <si>
    <t>Outstanding Bal/TB</t>
  </si>
  <si>
    <t>ANR for CII (B0+B1A)</t>
  </si>
  <si>
    <t>Performance</t>
  </si>
  <si>
    <t>Insurrance fee</t>
  </si>
  <si>
    <t>Other Income</t>
  </si>
  <si>
    <t>VARIABLE EXPENSES</t>
  </si>
  <si>
    <t>Lead Acquistion</t>
  </si>
  <si>
    <t>Sharing Performance</t>
  </si>
  <si>
    <t>Risk cap to CAKE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</si>
  <si>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</si>
  <si>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</si>
  <si>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</si>
  <si>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</si>
  <si>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</si>
  <si>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</si>
  <si>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</si>
  <si>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</si>
  <si>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</si>
  <si>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</si>
  <si>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</si>
  <si>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</si>
  <si>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</si>
  <si>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</si>
  <si>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</si>
  <si>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</si>
  <si>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</si>
  <si>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</si>
  <si>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</si>
  <si>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</si>
  <si>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</si>
  <si>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</si>
  <si>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</si>
  <si>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</si>
  <si>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</si>
  <si>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</si>
  <si>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</si>
  <si>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</si>
  <si>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</si>
  <si>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</si>
  <si>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</si>
  <si>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</si>
  <si>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</si>
  <si>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</si>
  <si>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</si>
  <si>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</si>
  <si>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</si>
  <si>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</si>
  <si>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</si>
  <si>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</si>
  <si>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</si>
  <si>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</si>
  <si>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</si>
  <si>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</si>
  <si>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</si>
  <si>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</si>
  <si>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</si>
  <si>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</si>
  <si>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</si>
  <si>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</si>
  <si>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</si>
  <si>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</si>
  <si>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</si>
  <si>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</si>
  <si>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</si>
  <si>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</si>
  <si>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</si>
  <si>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</si>
  <si>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</si>
  <si>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</si>
  <si>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</si>
  <si>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Early termination income</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</si>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</sst>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_);_(* \(#,##0\);_(* &quot;-&quot;??_);_(@_)"/>
    <numFmt numFmtId="165" formatCode="0.0%"/>
    <numFmt numFmtId="166" formatCode="_-* #,##0.00\ _₫_-;\-* #,##0.00\ _₫_-;_-* &quot;-&quot;??\ _₫_-;_-@_-"/>
    <numFmt numFmtId="167" formatCode="_-* #,##0\ _₫_-;\-* #,##0\ _₫_-;_-* &quot;-&quot;??\ _₫_-;_-@_-"/>
    <numFmt numFmtId="168" formatCode="_(* #,##0.0_);_(* \(#,##0.0\);_(* &quot;-&quot;??_);_(@_)"/>
    <numFmt numFmtId="169" formatCode="_(* #,##0.000_);_(* \(#,##0.000\);_(* &quot;-&quot;??_);_(@_)"/>
    <numFmt numFmtId="170" formatCode="0.000%"/>
    <numFmt numFmtId="171" formatCode="_(* #,##0.0000_);_(* \(#,##0.0000\);_(* &quot;-&quot;??_);_(@_)"/>
    <numFmt numFmtId="172" formatCode="_(* #,##0.0000_);_(* \(#,##0.0000\);_(* &quot;-&quot;????_);_(@_)"/>
    <numFmt numFmtId="173" formatCode="[$-409]mmm\-yy;@"/>
    <numFmt numFmtId="174" formatCode="#,##0.0"/>
    <numFmt numFmtId="175" formatCode="[$-409]dd\-mmm\-yy;@"/>
  </numFmts>
  <fonts count="85" x14ac:knownFonts="1">
    <font>
      <sz val="12"/>
      <color theme="1"/>
      <name val="Aptos Narrow"/>
      <family val="2"/>
      <scheme val="minor"/>
    </font>
    <font>
      <b/>
      <sz val="15"/>
      <color theme="3"/>
      <name val="Aptos Narrow"/>
      <family val="2"/>
      <scheme val="minor"/>
    </font>
    <font>
      <sz val="11"/>
      <color theme="1"/>
      <name val="Aptos Narrow"/>
      <family val="2"/>
      <scheme val="minor"/>
    </font>
    <font>
      <sz val="10"/>
      <color theme="1"/>
      <name val="Arial"/>
      <family val="2"/>
    </font>
    <font>
      <i/>
      <sz val="10"/>
      <color rgb="FF00B050"/>
      <name val="Aptos Narrow"/>
      <family val="2"/>
      <scheme val="minor"/>
    </font>
    <font>
      <sz val="11"/>
      <color rgb="FFFF0000"/>
      <name val="Aptos Narrow"/>
      <family val="2"/>
      <scheme val="minor"/>
    </font>
    <font>
      <sz val="11"/>
      <color theme="1"/>
      <name val="Aptos Narrow"/>
      <family val="2"/>
      <charset val="163"/>
      <scheme val="minor"/>
    </font>
    <font>
      <b/>
      <sz val="20"/>
      <color theme="1"/>
      <name val="Arial"/>
      <family val="2"/>
    </font>
    <font>
      <sz val="11"/>
      <color theme="1"/>
      <name val="Arial"/>
      <family val="2"/>
    </font>
    <font>
      <b/>
      <i/>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1" tint="0.14999847407452621"/>
      <name val="Arial"/>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color theme="1" tint="0.14999847407452621"/>
      <name val="Arial"/>
      <family val="2"/>
    </font>
    <font>
      <b/>
      <i/>
      <sz val="8"/>
      <color theme="1" tint="0.14999847407452621"/>
      <name val="Arial"/>
      <family val="2"/>
    </font>
    <font>
      <b/>
      <i/>
      <sz val="8"/>
      <color theme="3"/>
      <name val="Arial"/>
      <family val="2"/>
    </font>
    <font>
      <b/>
      <sz val="8"/>
      <color theme="0" tint="-0.34998626667073579"/>
      <name val="Arial"/>
      <family val="2"/>
    </font>
    <font>
      <i/>
      <sz val="8"/>
      <color theme="1" tint="0.499984740745262"/>
      <name val="Arial"/>
      <family val="2"/>
    </font>
    <font>
      <sz val="8"/>
      <color rgb="FFFF0000"/>
      <name val="Arial"/>
      <family val="2"/>
    </font>
    <font>
      <i/>
      <sz val="8"/>
      <name val="Arial"/>
      <family val="2"/>
    </font>
    <font>
      <sz val="8"/>
      <color theme="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1"/>
      <color theme="1"/>
      <name val="Aptos Narrow"/>
      <family val="2"/>
      <scheme val="minor"/>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2">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26">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medium">
        <color rgb="FFCCCCCC"/>
      </left>
      <right style="medium">
        <color rgb="FFCCCCCC"/>
      </right>
      <top style="medium">
        <color rgb="FFCCCCCC"/>
      </top>
      <bottom style="medium">
        <color rgb="FFCCCCCC"/>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top style="thin">
        <color theme="4" tint="0.39997558519241921"/>
      </top>
      <bottom/>
      <diagonal/>
    </border>
    <border>
      <left/>
      <right/>
      <top/>
      <bottom style="thick">
        <color rgb="FF00B050"/>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6" fillId="0" borderId="0"/>
    <xf numFmtId="0" fontId="2" fillId="0" borderId="0"/>
    <xf numFmtId="0" fontId="2" fillId="0" borderId="0"/>
    <xf numFmtId="0" fontId="3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166" fontId="6" fillId="0" borderId="0" applyFont="0" applyFill="0" applyBorder="0" applyAlignment="0" applyProtection="0"/>
    <xf numFmtId="0" fontId="65" fillId="2" borderId="2" applyNumberFormat="0" applyAlignment="0" applyProtection="0"/>
    <xf numFmtId="0" fontId="1" fillId="0" borderId="1" applyNumberFormat="0" applyFill="0" applyAlignment="0" applyProtection="0"/>
  </cellStyleXfs>
  <cellXfs count="395">
    <xf numFmtId="0" fontId="0" fillId="0" borderId="0" xfId="0"/>
    <xf numFmtId="0" fontId="3" fillId="0" borderId="3" xfId="1" applyFont="1" applyBorder="1" applyAlignment="1">
      <alignment wrapText="1"/>
    </xf>
    <xf numFmtId="164" fontId="3" fillId="0" borderId="3" xfId="2" applyNumberFormat="1" applyFont="1" applyBorder="1" applyAlignment="1">
      <alignment wrapText="1"/>
    </xf>
    <xf numFmtId="164" fontId="3" fillId="3" borderId="3" xfId="2" applyNumberFormat="1" applyFont="1" applyFill="1" applyBorder="1" applyAlignment="1">
      <alignment wrapText="1"/>
    </xf>
    <xf numFmtId="0" fontId="2" fillId="0" borderId="0" xfId="1"/>
    <xf numFmtId="14" fontId="3" fillId="0" borderId="3" xfId="1" applyNumberFormat="1" applyFont="1" applyBorder="1" applyAlignment="1">
      <alignment horizontal="right" wrapText="1"/>
    </xf>
    <xf numFmtId="164" fontId="3" fillId="0" borderId="3" xfId="2" applyNumberFormat="1" applyFont="1" applyBorder="1" applyAlignment="1">
      <alignment horizontal="right" wrapText="1"/>
    </xf>
    <xf numFmtId="164" fontId="3" fillId="3" borderId="3" xfId="2" applyNumberFormat="1" applyFont="1" applyFill="1" applyBorder="1" applyAlignment="1">
      <alignment horizontal="right" wrapText="1"/>
    </xf>
    <xf numFmtId="0" fontId="2" fillId="0" borderId="4" xfId="1" applyBorder="1"/>
    <xf numFmtId="0" fontId="2" fillId="0" borderId="5" xfId="1" applyBorder="1"/>
    <xf numFmtId="0" fontId="2" fillId="0" borderId="6" xfId="1" applyBorder="1"/>
    <xf numFmtId="0" fontId="2" fillId="0" borderId="7" xfId="1" applyBorder="1"/>
    <xf numFmtId="0" fontId="2" fillId="0" borderId="8" xfId="1" applyBorder="1"/>
    <xf numFmtId="0" fontId="2" fillId="0" borderId="9" xfId="1" applyBorder="1"/>
    <xf numFmtId="0" fontId="2" fillId="0" borderId="10" xfId="1" applyBorder="1"/>
    <xf numFmtId="0" fontId="2" fillId="0" borderId="5" xfId="1" applyBorder="1" applyAlignment="1">
      <alignment horizontal="left"/>
    </xf>
    <xf numFmtId="164" fontId="2" fillId="0" borderId="5" xfId="1" applyNumberFormat="1" applyBorder="1"/>
    <xf numFmtId="164" fontId="2" fillId="0" borderId="9" xfId="1" applyNumberFormat="1" applyBorder="1"/>
    <xf numFmtId="0" fontId="2" fillId="0" borderId="8" xfId="1" applyBorder="1" applyAlignment="1">
      <alignment horizontal="left"/>
    </xf>
    <xf numFmtId="164" fontId="2" fillId="0" borderId="8" xfId="1" applyNumberFormat="1" applyBorder="1"/>
    <xf numFmtId="164" fontId="2" fillId="0" borderId="10" xfId="1" applyNumberFormat="1" applyBorder="1"/>
    <xf numFmtId="0" fontId="2" fillId="0" borderId="11" xfId="1" applyBorder="1" applyAlignment="1">
      <alignment horizontal="left"/>
    </xf>
    <xf numFmtId="164" fontId="2" fillId="0" borderId="11" xfId="1" applyNumberFormat="1" applyBorder="1"/>
    <xf numFmtId="164" fontId="2" fillId="0" borderId="4" xfId="1" applyNumberFormat="1" applyBorder="1"/>
    <xf numFmtId="0" fontId="2" fillId="3" borderId="0" xfId="1" applyFill="1"/>
    <xf numFmtId="165" fontId="0" fillId="3" borderId="0" xfId="3" applyNumberFormat="1" applyFont="1" applyFill="1"/>
    <xf numFmtId="0" fontId="4" fillId="0" borderId="12" xfId="1" applyFont="1" applyBorder="1"/>
    <xf numFmtId="164" fontId="0" fillId="0" borderId="0" xfId="2" applyNumberFormat="1" applyFont="1"/>
    <xf numFmtId="10" fontId="0" fillId="0" borderId="0" xfId="3" applyNumberFormat="1" applyFont="1"/>
    <xf numFmtId="165" fontId="5" fillId="3" borderId="0" xfId="3" applyNumberFormat="1" applyFont="1" applyFill="1"/>
    <xf numFmtId="0" fontId="2" fillId="0" borderId="0" xfId="1" applyAlignment="1">
      <alignment horizontal="left"/>
    </xf>
    <xf numFmtId="164" fontId="2" fillId="0" borderId="0" xfId="1" applyNumberFormat="1" applyAlignment="1">
      <alignment horizontal="left"/>
    </xf>
    <xf numFmtId="0" fontId="7" fillId="0" borderId="0" xfId="4" applyFont="1"/>
    <xf numFmtId="0" fontId="8" fillId="0" borderId="0" xfId="4" applyFont="1"/>
    <xf numFmtId="0" fontId="9" fillId="0" borderId="0" xfId="4" applyFont="1"/>
    <xf numFmtId="0" fontId="10" fillId="0" borderId="0" xfId="4" applyFont="1"/>
    <xf numFmtId="0" fontId="11" fillId="0" borderId="0" xfId="4" applyFont="1" applyAlignment="1">
      <alignment vertical="center"/>
    </xf>
    <xf numFmtId="0" fontId="12" fillId="0" borderId="0" xfId="4" applyFont="1"/>
    <xf numFmtId="0" fontId="13" fillId="0" borderId="0" xfId="4" applyFont="1" applyAlignment="1">
      <alignment vertical="center"/>
    </xf>
    <xf numFmtId="0" fontId="8" fillId="0" borderId="0" xfId="5" quotePrefix="1" applyFont="1" applyAlignment="1">
      <alignment vertical="center"/>
    </xf>
    <xf numFmtId="0" fontId="8" fillId="0" borderId="0" xfId="5" applyFont="1"/>
    <xf numFmtId="0" fontId="15" fillId="0" borderId="0" xfId="4" applyFont="1"/>
    <xf numFmtId="0" fontId="15" fillId="0" borderId="0" xfId="5" quotePrefix="1" applyFont="1" applyAlignment="1">
      <alignment vertical="center"/>
    </xf>
    <xf numFmtId="0" fontId="8" fillId="3" borderId="0" xfId="5" quotePrefix="1" applyFont="1" applyFill="1" applyAlignment="1">
      <alignment vertical="center"/>
    </xf>
    <xf numFmtId="0" fontId="8" fillId="3" borderId="0" xfId="4" applyFont="1" applyFill="1"/>
    <xf numFmtId="0" fontId="8" fillId="0" borderId="0" xfId="5" quotePrefix="1" applyFont="1"/>
    <xf numFmtId="0" fontId="8" fillId="0" borderId="0" xfId="4" quotePrefix="1" applyFont="1"/>
    <xf numFmtId="0" fontId="16" fillId="0" borderId="13" xfId="6" applyFont="1" applyBorder="1"/>
    <xf numFmtId="0" fontId="17" fillId="0" borderId="13" xfId="6" applyFont="1" applyBorder="1"/>
    <xf numFmtId="0" fontId="18" fillId="0" borderId="13" xfId="6" applyFont="1" applyBorder="1"/>
    <xf numFmtId="0" fontId="19" fillId="0" borderId="13" xfId="6" applyFont="1" applyBorder="1"/>
    <xf numFmtId="0" fontId="20" fillId="0" borderId="0" xfId="4" applyFont="1" applyAlignment="1">
      <alignment vertical="center"/>
    </xf>
    <xf numFmtId="0" fontId="14" fillId="0" borderId="0" xfId="4" applyFont="1"/>
    <xf numFmtId="0" fontId="14" fillId="0" borderId="0" xfId="5" applyFont="1"/>
    <xf numFmtId="0" fontId="20" fillId="0" borderId="0" xfId="4" applyFont="1"/>
    <xf numFmtId="0" fontId="21" fillId="0" borderId="0" xfId="6" applyFont="1"/>
    <xf numFmtId="0" fontId="3" fillId="0" borderId="0" xfId="5" applyFont="1"/>
    <xf numFmtId="0" fontId="22" fillId="0" borderId="0" xfId="4" applyFont="1"/>
    <xf numFmtId="0" fontId="3" fillId="0" borderId="0" xfId="4" applyFont="1"/>
    <xf numFmtId="0" fontId="23" fillId="0" borderId="0" xfId="4" applyFont="1"/>
    <xf numFmtId="0" fontId="16" fillId="0" borderId="0" xfId="6" applyFont="1"/>
    <xf numFmtId="0" fontId="24" fillId="0" borderId="0" xfId="6" applyFont="1"/>
    <xf numFmtId="0" fontId="25" fillId="0" borderId="0" xfId="4" applyFont="1"/>
    <xf numFmtId="0" fontId="25" fillId="0" borderId="0" xfId="5" applyFont="1"/>
    <xf numFmtId="0" fontId="26" fillId="0" borderId="0" xfId="4" applyFont="1"/>
    <xf numFmtId="0" fontId="23" fillId="0" borderId="0" xfId="4" quotePrefix="1" applyFont="1"/>
    <xf numFmtId="0" fontId="3" fillId="0" borderId="0" xfId="5" quotePrefix="1" applyFont="1" applyAlignment="1">
      <alignment vertical="center"/>
    </xf>
    <xf numFmtId="0" fontId="27" fillId="0" borderId="0" xfId="6" applyFont="1"/>
    <xf numFmtId="0" fontId="28" fillId="0" borderId="0" xfId="6" applyFont="1"/>
    <xf numFmtId="0" fontId="29" fillId="0" borderId="0" xfId="4" applyFont="1"/>
    <xf numFmtId="0" fontId="30" fillId="0" borderId="0" xfId="6" applyFont="1"/>
    <xf numFmtId="0" fontId="31" fillId="0" borderId="0" xfId="7" quotePrefix="1"/>
    <xf numFmtId="0" fontId="31" fillId="0" borderId="0" xfId="7" applyAlignment="1">
      <alignment vertical="center"/>
    </xf>
    <xf numFmtId="0" fontId="32" fillId="0" borderId="0" xfId="4" quotePrefix="1" applyFont="1"/>
    <xf numFmtId="0" fontId="8" fillId="0" borderId="0" xfId="5" applyFont="1" applyAlignment="1">
      <alignment vertical="center"/>
    </xf>
    <xf numFmtId="0" fontId="33" fillId="0" borderId="13" xfId="6" applyFont="1" applyBorder="1"/>
    <xf numFmtId="0" fontId="27" fillId="0" borderId="13" xfId="6" applyFont="1" applyBorder="1"/>
    <xf numFmtId="0" fontId="34" fillId="0" borderId="13" xfId="6" applyFont="1" applyBorder="1"/>
    <xf numFmtId="0" fontId="27" fillId="0" borderId="0" xfId="6" applyFont="1" applyAlignment="1">
      <alignment horizontal="left" vertical="center"/>
    </xf>
    <xf numFmtId="0" fontId="35" fillId="0" borderId="0" xfId="1" applyFont="1"/>
    <xf numFmtId="0" fontId="36" fillId="0" borderId="0" xfId="1" applyFont="1"/>
    <xf numFmtId="0" fontId="37" fillId="0" borderId="0" xfId="6" applyFont="1"/>
    <xf numFmtId="0" fontId="38" fillId="0" borderId="0" xfId="6" applyFont="1"/>
    <xf numFmtId="0" fontId="39" fillId="0" borderId="0" xfId="6" applyFont="1"/>
    <xf numFmtId="0" fontId="40" fillId="0" borderId="0" xfId="6" applyFont="1"/>
    <xf numFmtId="0" fontId="41" fillId="0" borderId="0" xfId="6" applyFont="1"/>
    <xf numFmtId="0" fontId="42" fillId="0" borderId="0" xfId="6" applyFont="1"/>
    <xf numFmtId="0" fontId="43" fillId="0" borderId="0" xfId="6" applyFont="1"/>
    <xf numFmtId="43" fontId="41" fillId="0" borderId="0" xfId="8" applyFont="1" applyFill="1" applyBorder="1"/>
    <xf numFmtId="0" fontId="44" fillId="0" borderId="0" xfId="6" applyFont="1"/>
    <xf numFmtId="0" fontId="45" fillId="0" borderId="0" xfId="6" applyFont="1"/>
    <xf numFmtId="10" fontId="45" fillId="0" borderId="0" xfId="9" applyNumberFormat="1" applyFont="1" applyFill="1" applyBorder="1"/>
    <xf numFmtId="0" fontId="26" fillId="0" borderId="0" xfId="1" applyFont="1"/>
    <xf numFmtId="43" fontId="45" fillId="0" borderId="0" xfId="8" applyFont="1" applyFill="1" applyBorder="1"/>
    <xf numFmtId="0" fontId="46" fillId="0" borderId="0" xfId="6" applyFont="1"/>
    <xf numFmtId="0" fontId="25" fillId="0" borderId="0" xfId="6" applyFont="1"/>
    <xf numFmtId="10" fontId="47" fillId="0" borderId="0" xfId="9" applyNumberFormat="1" applyFont="1" applyFill="1" applyBorder="1"/>
    <xf numFmtId="0" fontId="48" fillId="0" borderId="0" xfId="1" applyFont="1"/>
    <xf numFmtId="0" fontId="3" fillId="0" borderId="0" xfId="1" applyFont="1"/>
    <xf numFmtId="0" fontId="34" fillId="0" borderId="0" xfId="6" applyFont="1"/>
    <xf numFmtId="0" fontId="27" fillId="0" borderId="14" xfId="6" applyFont="1" applyBorder="1"/>
    <xf numFmtId="0" fontId="49" fillId="0" borderId="0" xfId="6" applyFont="1"/>
    <xf numFmtId="0" fontId="27" fillId="0" borderId="14" xfId="6" applyFont="1" applyBorder="1" applyAlignment="1">
      <alignment horizontal="right"/>
    </xf>
    <xf numFmtId="1" fontId="49" fillId="0" borderId="0" xfId="6" applyNumberFormat="1" applyFont="1"/>
    <xf numFmtId="0" fontId="31" fillId="0" borderId="0" xfId="7" applyAlignment="1" applyProtection="1"/>
    <xf numFmtId="0" fontId="27" fillId="0" borderId="15" xfId="6" applyFont="1" applyBorder="1"/>
    <xf numFmtId="0" fontId="33" fillId="0" borderId="0" xfId="6" applyFont="1"/>
    <xf numFmtId="0" fontId="27" fillId="0" borderId="15" xfId="6" applyFont="1" applyBorder="1" applyAlignment="1">
      <alignment horizontal="right"/>
    </xf>
    <xf numFmtId="0" fontId="50" fillId="0" borderId="0" xfId="6" applyFont="1" applyAlignment="1">
      <alignment horizontal="left"/>
    </xf>
    <xf numFmtId="166" fontId="24" fillId="0" borderId="0" xfId="10" applyFont="1" applyFill="1" applyBorder="1" applyAlignment="1">
      <alignment horizontal="left"/>
    </xf>
    <xf numFmtId="43" fontId="24" fillId="0" borderId="0" xfId="10" applyNumberFormat="1" applyFont="1" applyBorder="1" applyAlignment="1">
      <alignment horizontal="right"/>
    </xf>
    <xf numFmtId="43" fontId="33" fillId="0" borderId="0" xfId="8" applyFont="1" applyFill="1" applyBorder="1"/>
    <xf numFmtId="167" fontId="51" fillId="0" borderId="0" xfId="10" applyNumberFormat="1" applyFont="1" applyBorder="1" applyAlignment="1">
      <alignment horizontal="right"/>
    </xf>
    <xf numFmtId="0" fontId="38" fillId="0" borderId="13" xfId="6" applyFont="1" applyBorder="1"/>
    <xf numFmtId="0" fontId="47" fillId="0" borderId="13" xfId="6" applyFont="1" applyBorder="1"/>
    <xf numFmtId="0" fontId="47" fillId="0" borderId="0" xfId="6" applyFont="1"/>
    <xf numFmtId="0" fontId="27" fillId="0" borderId="16" xfId="6" applyFont="1" applyBorder="1"/>
    <xf numFmtId="0" fontId="38" fillId="0" borderId="16" xfId="6" applyFont="1" applyBorder="1"/>
    <xf numFmtId="43" fontId="38" fillId="0" borderId="0" xfId="6" applyNumberFormat="1" applyFont="1"/>
    <xf numFmtId="43" fontId="47" fillId="0" borderId="0" xfId="8" applyFont="1" applyFill="1" applyBorder="1"/>
    <xf numFmtId="168" fontId="38" fillId="3" borderId="17" xfId="8" applyNumberFormat="1" applyFont="1" applyFill="1" applyBorder="1" applyAlignment="1">
      <alignment horizontal="right" wrapText="1"/>
    </xf>
    <xf numFmtId="164" fontId="38" fillId="0" borderId="0" xfId="8" applyNumberFormat="1" applyFont="1" applyFill="1"/>
    <xf numFmtId="0" fontId="50" fillId="0" borderId="0" xfId="6" applyFont="1"/>
    <xf numFmtId="0" fontId="37" fillId="0" borderId="0" xfId="6" applyFont="1" applyAlignment="1">
      <alignment horizontal="center" vertical="center"/>
    </xf>
    <xf numFmtId="0" fontId="37" fillId="0" borderId="0" xfId="6" applyFont="1" applyAlignment="1">
      <alignment horizontal="right"/>
    </xf>
    <xf numFmtId="43" fontId="52" fillId="0" borderId="0" xfId="8" applyFont="1" applyFill="1" applyBorder="1"/>
    <xf numFmtId="164" fontId="37" fillId="3" borderId="17" xfId="8" applyNumberFormat="1" applyFont="1" applyFill="1" applyBorder="1" applyAlignment="1">
      <alignment horizontal="right"/>
    </xf>
    <xf numFmtId="169" fontId="37" fillId="0" borderId="18" xfId="8" applyNumberFormat="1" applyFont="1" applyFill="1" applyBorder="1"/>
    <xf numFmtId="43" fontId="37" fillId="0" borderId="18" xfId="8" applyFont="1" applyFill="1" applyBorder="1"/>
    <xf numFmtId="10" fontId="37" fillId="0" borderId="18" xfId="6" applyNumberFormat="1" applyFont="1" applyBorder="1"/>
    <xf numFmtId="165" fontId="37" fillId="0" borderId="18" xfId="9" applyNumberFormat="1" applyFont="1" applyFill="1" applyBorder="1"/>
    <xf numFmtId="2" fontId="38" fillId="3" borderId="17" xfId="6" applyNumberFormat="1" applyFont="1" applyFill="1" applyBorder="1" applyAlignment="1">
      <alignment horizontal="right"/>
    </xf>
    <xf numFmtId="43" fontId="38" fillId="0" borderId="0" xfId="8" applyFont="1" applyFill="1"/>
    <xf numFmtId="43" fontId="47" fillId="0" borderId="0" xfId="9" applyNumberFormat="1" applyFont="1" applyFill="1"/>
    <xf numFmtId="0" fontId="38" fillId="0" borderId="0" xfId="6" applyFont="1" applyAlignment="1">
      <alignment wrapText="1"/>
    </xf>
    <xf numFmtId="10" fontId="37" fillId="0" borderId="18" xfId="9" applyNumberFormat="1" applyFont="1" applyFill="1" applyBorder="1"/>
    <xf numFmtId="164" fontId="38" fillId="3" borderId="17" xfId="8" applyNumberFormat="1" applyFont="1" applyFill="1" applyBorder="1" applyAlignment="1">
      <alignment horizontal="right"/>
    </xf>
    <xf numFmtId="10" fontId="47" fillId="0" borderId="0" xfId="6" applyNumberFormat="1" applyFont="1"/>
    <xf numFmtId="0" fontId="38" fillId="0" borderId="0" xfId="6" applyFont="1" applyAlignment="1">
      <alignment horizontal="left" indent="1"/>
    </xf>
    <xf numFmtId="169" fontId="38" fillId="0" borderId="18" xfId="8" applyNumberFormat="1" applyFont="1" applyFill="1" applyBorder="1"/>
    <xf numFmtId="43" fontId="38" fillId="0" borderId="18" xfId="8" applyFont="1" applyFill="1" applyBorder="1"/>
    <xf numFmtId="10" fontId="38" fillId="0" borderId="18" xfId="9" applyNumberFormat="1" applyFont="1" applyFill="1" applyBorder="1"/>
    <xf numFmtId="165" fontId="38" fillId="0" borderId="18" xfId="9" applyNumberFormat="1" applyFont="1" applyFill="1" applyBorder="1"/>
    <xf numFmtId="164" fontId="38" fillId="0" borderId="17" xfId="8" applyNumberFormat="1" applyFont="1" applyFill="1" applyBorder="1" applyAlignment="1">
      <alignment horizontal="right"/>
    </xf>
    <xf numFmtId="1" fontId="38" fillId="0" borderId="0" xfId="6" applyNumberFormat="1" applyFont="1"/>
    <xf numFmtId="0" fontId="53" fillId="0" borderId="19" xfId="6" applyFont="1" applyBorder="1"/>
    <xf numFmtId="0" fontId="53" fillId="0" borderId="0" xfId="6" applyFont="1"/>
    <xf numFmtId="9" fontId="38" fillId="0" borderId="0" xfId="9" applyFont="1"/>
    <xf numFmtId="165" fontId="38" fillId="0" borderId="0" xfId="9" applyNumberFormat="1" applyFont="1"/>
    <xf numFmtId="170" fontId="38" fillId="0" borderId="0" xfId="6" applyNumberFormat="1" applyFont="1"/>
    <xf numFmtId="0" fontId="37" fillId="0" borderId="20" xfId="6" applyFont="1" applyBorder="1" applyAlignment="1">
      <alignment horizontal="right"/>
    </xf>
    <xf numFmtId="0" fontId="52" fillId="0" borderId="20" xfId="6" applyFont="1" applyBorder="1" applyAlignment="1">
      <alignment horizontal="right"/>
    </xf>
    <xf numFmtId="0" fontId="38" fillId="3" borderId="20" xfId="6" applyFont="1" applyFill="1" applyBorder="1" applyAlignment="1">
      <alignment horizontal="right"/>
    </xf>
    <xf numFmtId="1" fontId="47" fillId="3" borderId="20" xfId="6" applyNumberFormat="1" applyFont="1" applyFill="1" applyBorder="1" applyAlignment="1">
      <alignment horizontal="right"/>
    </xf>
    <xf numFmtId="10" fontId="38" fillId="3" borderId="20" xfId="9" applyNumberFormat="1" applyFont="1" applyFill="1" applyBorder="1" applyAlignment="1">
      <alignment horizontal="right"/>
    </xf>
    <xf numFmtId="10" fontId="38" fillId="0" borderId="20" xfId="9" applyNumberFormat="1" applyFont="1" applyFill="1" applyBorder="1" applyAlignment="1">
      <alignment horizontal="right"/>
    </xf>
    <xf numFmtId="164" fontId="47" fillId="3" borderId="20" xfId="6" applyNumberFormat="1" applyFont="1" applyFill="1" applyBorder="1" applyAlignment="1">
      <alignment horizontal="right"/>
    </xf>
    <xf numFmtId="169" fontId="38" fillId="0" borderId="18" xfId="6" applyNumberFormat="1" applyFont="1" applyBorder="1"/>
    <xf numFmtId="43" fontId="38" fillId="0" borderId="18" xfId="6" applyNumberFormat="1" applyFont="1" applyBorder="1"/>
    <xf numFmtId="0" fontId="38" fillId="0" borderId="20" xfId="6" applyFont="1" applyBorder="1" applyAlignment="1">
      <alignment horizontal="right"/>
    </xf>
    <xf numFmtId="0" fontId="47" fillId="0" borderId="20" xfId="6" applyFont="1" applyBorder="1" applyAlignment="1">
      <alignment horizontal="right"/>
    </xf>
    <xf numFmtId="9" fontId="38" fillId="0" borderId="20" xfId="9" applyFont="1" applyFill="1" applyBorder="1" applyAlignment="1">
      <alignment horizontal="right"/>
    </xf>
    <xf numFmtId="10" fontId="38" fillId="0" borderId="0" xfId="9" applyNumberFormat="1" applyFont="1"/>
    <xf numFmtId="10" fontId="38" fillId="0" borderId="0" xfId="6" applyNumberFormat="1" applyFont="1"/>
    <xf numFmtId="0" fontId="55" fillId="0" borderId="0" xfId="6" applyFont="1"/>
    <xf numFmtId="0" fontId="56" fillId="0" borderId="0" xfId="6" applyFont="1"/>
    <xf numFmtId="0" fontId="39" fillId="0" borderId="0" xfId="6" applyFont="1" applyAlignment="1">
      <alignment wrapText="1"/>
    </xf>
    <xf numFmtId="0" fontId="37" fillId="0" borderId="20" xfId="6" applyFont="1" applyBorder="1" applyAlignment="1">
      <alignment horizontal="center" vertical="center" wrapText="1"/>
    </xf>
    <xf numFmtId="0" fontId="52" fillId="0" borderId="20" xfId="6" applyFont="1" applyBorder="1" applyAlignment="1">
      <alignment horizontal="center" vertical="center" wrapText="1"/>
    </xf>
    <xf numFmtId="0" fontId="57" fillId="0" borderId="20" xfId="6" applyFont="1" applyBorder="1" applyAlignment="1">
      <alignment horizontal="center" vertical="center" wrapText="1"/>
    </xf>
    <xf numFmtId="0" fontId="54" fillId="0" borderId="0" xfId="6" applyFont="1"/>
    <xf numFmtId="43" fontId="47" fillId="0" borderId="0" xfId="8" applyFont="1" applyFill="1"/>
    <xf numFmtId="10" fontId="52" fillId="0" borderId="0" xfId="9" applyNumberFormat="1" applyFont="1" applyFill="1" applyBorder="1"/>
    <xf numFmtId="164" fontId="39" fillId="0" borderId="0" xfId="8" applyNumberFormat="1" applyFont="1" applyFill="1"/>
    <xf numFmtId="164" fontId="38" fillId="3" borderId="20" xfId="8" applyNumberFormat="1" applyFont="1" applyFill="1" applyBorder="1" applyAlignment="1">
      <alignment horizontal="right"/>
    </xf>
    <xf numFmtId="164" fontId="47" fillId="3" borderId="20" xfId="8" applyNumberFormat="1" applyFont="1" applyFill="1" applyBorder="1" applyAlignment="1">
      <alignment horizontal="right"/>
    </xf>
    <xf numFmtId="10" fontId="47" fillId="3" borderId="20" xfId="9" applyNumberFormat="1" applyFont="1" applyFill="1" applyBorder="1" applyAlignment="1">
      <alignment horizontal="right"/>
    </xf>
    <xf numFmtId="10" fontId="58" fillId="0" borderId="0" xfId="9" applyNumberFormat="1" applyFont="1" applyFill="1"/>
    <xf numFmtId="43" fontId="47" fillId="0" borderId="0" xfId="6" applyNumberFormat="1" applyFont="1"/>
    <xf numFmtId="0" fontId="37" fillId="0" borderId="0" xfId="6" applyFont="1" applyAlignment="1">
      <alignment horizontal="center" wrapText="1"/>
    </xf>
    <xf numFmtId="164" fontId="38" fillId="0" borderId="0" xfId="6" applyNumberFormat="1" applyFont="1"/>
    <xf numFmtId="43" fontId="59" fillId="0" borderId="0" xfId="6" applyNumberFormat="1" applyFont="1"/>
    <xf numFmtId="43" fontId="52" fillId="0" borderId="0" xfId="8" applyFont="1" applyFill="1" applyBorder="1" applyAlignment="1">
      <alignment horizontal="center" vertical="center"/>
    </xf>
    <xf numFmtId="164" fontId="38" fillId="0" borderId="20" xfId="8" applyNumberFormat="1" applyFont="1" applyFill="1" applyBorder="1" applyAlignment="1">
      <alignment horizontal="right"/>
    </xf>
    <xf numFmtId="164" fontId="47" fillId="0" borderId="20" xfId="8" applyNumberFormat="1" applyFont="1" applyFill="1" applyBorder="1" applyAlignment="1">
      <alignment horizontal="right"/>
    </xf>
    <xf numFmtId="10" fontId="47" fillId="0" borderId="20" xfId="9" applyNumberFormat="1" applyFont="1" applyFill="1" applyBorder="1" applyAlignment="1">
      <alignment horizontal="right"/>
    </xf>
    <xf numFmtId="0" fontId="52" fillId="0" borderId="0" xfId="6" applyFont="1"/>
    <xf numFmtId="0" fontId="37" fillId="0" borderId="18" xfId="6" applyFont="1" applyBorder="1"/>
    <xf numFmtId="10" fontId="37" fillId="0" borderId="18" xfId="9" applyNumberFormat="1" applyFont="1" applyBorder="1"/>
    <xf numFmtId="43" fontId="52" fillId="0" borderId="18" xfId="8" applyFont="1" applyFill="1" applyBorder="1"/>
    <xf numFmtId="164" fontId="39" fillId="0" borderId="0" xfId="8" applyNumberFormat="1" applyFont="1" applyFill="1" applyAlignment="1">
      <alignment wrapText="1"/>
    </xf>
    <xf numFmtId="0" fontId="47" fillId="0" borderId="0" xfId="6" applyFont="1" applyAlignment="1">
      <alignment wrapText="1"/>
    </xf>
    <xf numFmtId="0" fontId="38" fillId="0" borderId="0" xfId="6" applyFont="1" applyAlignment="1">
      <alignment horizontal="left" indent="2"/>
    </xf>
    <xf numFmtId="43" fontId="47" fillId="0" borderId="18" xfId="8" applyFont="1" applyFill="1" applyBorder="1"/>
    <xf numFmtId="0" fontId="60" fillId="0" borderId="0" xfId="6" applyFont="1"/>
    <xf numFmtId="10" fontId="38" fillId="3" borderId="17" xfId="9" applyNumberFormat="1" applyFont="1" applyFill="1" applyBorder="1"/>
    <xf numFmtId="10" fontId="38" fillId="0" borderId="0" xfId="9" applyNumberFormat="1" applyFont="1" applyFill="1"/>
    <xf numFmtId="10" fontId="58" fillId="0" borderId="0" xfId="9" applyNumberFormat="1" applyFont="1" applyFill="1" applyBorder="1"/>
    <xf numFmtId="43" fontId="38" fillId="3" borderId="17" xfId="8" applyFont="1" applyFill="1" applyBorder="1"/>
    <xf numFmtId="0" fontId="59" fillId="0" borderId="0" xfId="6" applyFont="1"/>
    <xf numFmtId="165" fontId="38" fillId="3" borderId="17" xfId="8" applyNumberFormat="1" applyFont="1" applyFill="1" applyBorder="1"/>
    <xf numFmtId="0" fontId="37" fillId="0" borderId="0" xfId="6" applyFont="1" applyAlignment="1">
      <alignment horizontal="left"/>
    </xf>
    <xf numFmtId="43" fontId="52" fillId="0" borderId="18" xfId="8" applyFont="1" applyFill="1" applyBorder="1" applyAlignment="1">
      <alignment horizontal="right"/>
    </xf>
    <xf numFmtId="165" fontId="38" fillId="3" borderId="17" xfId="9" applyNumberFormat="1" applyFont="1" applyFill="1" applyBorder="1"/>
    <xf numFmtId="9" fontId="47" fillId="0" borderId="0" xfId="6" applyNumberFormat="1" applyFont="1"/>
    <xf numFmtId="0" fontId="61" fillId="0" borderId="0" xfId="6" applyFont="1"/>
    <xf numFmtId="166" fontId="38" fillId="0" borderId="0" xfId="6" applyNumberFormat="1" applyFont="1"/>
    <xf numFmtId="0" fontId="62" fillId="0" borderId="0" xfId="6" applyFont="1"/>
    <xf numFmtId="43" fontId="62" fillId="0" borderId="0" xfId="8" applyFont="1" applyFill="1" applyBorder="1"/>
    <xf numFmtId="9" fontId="38" fillId="3" borderId="17" xfId="9" applyFont="1" applyFill="1" applyBorder="1"/>
    <xf numFmtId="169" fontId="38" fillId="0" borderId="0" xfId="8" applyNumberFormat="1" applyFont="1" applyFill="1" applyBorder="1"/>
    <xf numFmtId="43" fontId="38" fillId="0" borderId="0" xfId="8" applyFont="1" applyFill="1" applyBorder="1"/>
    <xf numFmtId="0" fontId="47" fillId="0" borderId="0" xfId="6" applyFont="1" applyAlignment="1">
      <alignment horizontal="left" indent="1"/>
    </xf>
    <xf numFmtId="164" fontId="47" fillId="0" borderId="0" xfId="8" applyNumberFormat="1" applyFont="1"/>
    <xf numFmtId="0" fontId="63" fillId="0" borderId="0" xfId="6" applyFont="1"/>
    <xf numFmtId="9" fontId="38" fillId="0" borderId="17" xfId="9" applyFont="1" applyFill="1" applyBorder="1"/>
    <xf numFmtId="0" fontId="47" fillId="0" borderId="0" xfId="6" applyFont="1" applyAlignment="1">
      <alignment horizontal="left"/>
    </xf>
    <xf numFmtId="0" fontId="38" fillId="0" borderId="0" xfId="6" applyFont="1" applyProtection="1">
      <protection locked="0"/>
    </xf>
    <xf numFmtId="165" fontId="47" fillId="0" borderId="0" xfId="8" applyNumberFormat="1" applyFont="1" applyFill="1" applyBorder="1"/>
    <xf numFmtId="169" fontId="47" fillId="3" borderId="17" xfId="8" applyNumberFormat="1" applyFont="1" applyFill="1" applyBorder="1"/>
    <xf numFmtId="171" fontId="38" fillId="0" borderId="0" xfId="8" applyNumberFormat="1" applyFont="1" applyFill="1" applyBorder="1"/>
    <xf numFmtId="164" fontId="38" fillId="0" borderId="0" xfId="8" applyNumberFormat="1" applyFont="1" applyFill="1" applyBorder="1"/>
    <xf numFmtId="43" fontId="47" fillId="0" borderId="0" xfId="8" applyFont="1" applyFill="1" applyBorder="1" applyAlignment="1">
      <alignment horizontal="left"/>
    </xf>
    <xf numFmtId="165" fontId="47" fillId="3" borderId="17" xfId="8" applyNumberFormat="1" applyFont="1" applyFill="1" applyBorder="1"/>
    <xf numFmtId="165" fontId="38" fillId="0" borderId="0" xfId="9" applyNumberFormat="1" applyFont="1" applyFill="1" applyBorder="1"/>
    <xf numFmtId="9" fontId="38" fillId="0" borderId="0" xfId="9" applyFont="1" applyFill="1" applyBorder="1"/>
    <xf numFmtId="10" fontId="38" fillId="0" borderId="0" xfId="6" applyNumberFormat="1" applyFont="1" applyAlignment="1">
      <alignment wrapText="1"/>
    </xf>
    <xf numFmtId="165" fontId="38" fillId="0" borderId="0" xfId="6" applyNumberFormat="1" applyFont="1"/>
    <xf numFmtId="43" fontId="38" fillId="0" borderId="0" xfId="8" applyFont="1"/>
    <xf numFmtId="43" fontId="37" fillId="0" borderId="0" xfId="6" applyNumberFormat="1" applyFont="1"/>
    <xf numFmtId="10" fontId="37" fillId="0" borderId="0" xfId="9" applyNumberFormat="1" applyFont="1" applyFill="1" applyBorder="1"/>
    <xf numFmtId="9" fontId="37" fillId="0" borderId="0" xfId="9" applyFont="1" applyFill="1" applyBorder="1"/>
    <xf numFmtId="169" fontId="38" fillId="3" borderId="17" xfId="8" applyNumberFormat="1" applyFont="1" applyFill="1" applyBorder="1"/>
    <xf numFmtId="169" fontId="38" fillId="0" borderId="17" xfId="8" applyNumberFormat="1" applyFont="1" applyFill="1" applyBorder="1"/>
    <xf numFmtId="43" fontId="47" fillId="0" borderId="17" xfId="8" applyFont="1" applyFill="1" applyBorder="1"/>
    <xf numFmtId="43" fontId="64" fillId="0" borderId="0" xfId="6" applyNumberFormat="1" applyFont="1"/>
    <xf numFmtId="165" fontId="37" fillId="0" borderId="0" xfId="6" applyNumberFormat="1" applyFont="1"/>
    <xf numFmtId="171" fontId="38" fillId="3" borderId="17" xfId="8" applyNumberFormat="1" applyFont="1" applyFill="1" applyBorder="1"/>
    <xf numFmtId="0" fontId="37" fillId="0" borderId="0" xfId="6" applyFont="1" applyAlignment="1">
      <alignment horizontal="left" vertical="top"/>
    </xf>
    <xf numFmtId="0" fontId="37" fillId="0" borderId="0" xfId="6" applyFont="1" applyAlignment="1">
      <alignment horizontal="center"/>
    </xf>
    <xf numFmtId="0" fontId="47" fillId="0" borderId="0" xfId="6" applyFont="1" applyAlignment="1">
      <alignment horizontal="right"/>
    </xf>
    <xf numFmtId="165" fontId="38" fillId="0" borderId="0" xfId="11" applyNumberFormat="1" applyFont="1" applyFill="1" applyBorder="1"/>
    <xf numFmtId="10" fontId="38" fillId="3" borderId="2" xfId="11" applyNumberFormat="1" applyFont="1" applyFill="1"/>
    <xf numFmtId="10" fontId="38" fillId="0" borderId="2" xfId="11" applyNumberFormat="1" applyFont="1" applyFill="1"/>
    <xf numFmtId="10" fontId="59" fillId="0" borderId="2" xfId="11" applyNumberFormat="1" applyFont="1" applyFill="1"/>
    <xf numFmtId="10" fontId="38" fillId="0" borderId="0" xfId="11" applyNumberFormat="1" applyFont="1" applyFill="1" applyBorder="1"/>
    <xf numFmtId="165" fontId="37" fillId="0" borderId="0" xfId="11" applyNumberFormat="1" applyFont="1" applyFill="1" applyBorder="1"/>
    <xf numFmtId="10" fontId="64" fillId="0" borderId="0" xfId="9" applyNumberFormat="1" applyFont="1"/>
    <xf numFmtId="10" fontId="64" fillId="0" borderId="0" xfId="6" applyNumberFormat="1" applyFont="1"/>
    <xf numFmtId="10" fontId="38" fillId="3" borderId="18" xfId="9" applyNumberFormat="1" applyFont="1" applyFill="1" applyBorder="1"/>
    <xf numFmtId="170" fontId="38" fillId="0" borderId="0" xfId="9" applyNumberFormat="1" applyFont="1"/>
    <xf numFmtId="0" fontId="46" fillId="0" borderId="0" xfId="12" applyFont="1" applyFill="1" applyBorder="1"/>
    <xf numFmtId="43" fontId="33" fillId="0" borderId="0" xfId="8" applyFont="1" applyFill="1"/>
    <xf numFmtId="0" fontId="66" fillId="0" borderId="0" xfId="6" applyFont="1"/>
    <xf numFmtId="0" fontId="67" fillId="0" borderId="0" xfId="1" applyFont="1"/>
    <xf numFmtId="10" fontId="2" fillId="3" borderId="0" xfId="1" applyNumberFormat="1" applyFill="1"/>
    <xf numFmtId="0" fontId="2" fillId="0" borderId="21" xfId="1" applyBorder="1"/>
    <xf numFmtId="0" fontId="2" fillId="3" borderId="21" xfId="1" applyFill="1" applyBorder="1"/>
    <xf numFmtId="17" fontId="2" fillId="0" borderId="21" xfId="1" applyNumberFormat="1" applyBorder="1"/>
    <xf numFmtId="164" fontId="0" fillId="0" borderId="21" xfId="8" applyNumberFormat="1" applyFont="1" applyBorder="1"/>
    <xf numFmtId="10" fontId="0" fillId="0" borderId="21" xfId="9" applyNumberFormat="1" applyFont="1" applyBorder="1"/>
    <xf numFmtId="9" fontId="0" fillId="0" borderId="21" xfId="9" applyFont="1" applyBorder="1"/>
    <xf numFmtId="164" fontId="2" fillId="0" borderId="0" xfId="1" applyNumberFormat="1"/>
    <xf numFmtId="43" fontId="0" fillId="3" borderId="0" xfId="8" applyFont="1" applyFill="1"/>
    <xf numFmtId="10" fontId="0" fillId="3" borderId="0" xfId="9" applyNumberFormat="1" applyFont="1" applyFill="1"/>
    <xf numFmtId="164" fontId="0" fillId="0" borderId="12" xfId="8" applyNumberFormat="1" applyFont="1" applyBorder="1"/>
    <xf numFmtId="164" fontId="0" fillId="0" borderId="12" xfId="8" applyNumberFormat="1" applyFont="1" applyFill="1" applyBorder="1"/>
    <xf numFmtId="164" fontId="0" fillId="0" borderId="0" xfId="8" applyNumberFormat="1" applyFont="1"/>
    <xf numFmtId="164" fontId="0" fillId="0" borderId="0" xfId="8" applyNumberFormat="1" applyFont="1" applyBorder="1"/>
    <xf numFmtId="171" fontId="0" fillId="3" borderId="0" xfId="8" applyNumberFormat="1" applyFont="1" applyFill="1"/>
    <xf numFmtId="164" fontId="0" fillId="0" borderId="0" xfId="8" applyNumberFormat="1" applyFont="1" applyFill="1" applyBorder="1"/>
    <xf numFmtId="43" fontId="2" fillId="0" borderId="0" xfId="1" applyNumberFormat="1"/>
    <xf numFmtId="171" fontId="0" fillId="3" borderId="0" xfId="8" applyNumberFormat="1" applyFont="1" applyFill="1" applyBorder="1"/>
    <xf numFmtId="43" fontId="0" fillId="0" borderId="0" xfId="8" applyFont="1" applyFill="1"/>
    <xf numFmtId="10" fontId="0" fillId="0" borderId="0" xfId="9" applyNumberFormat="1" applyFont="1"/>
    <xf numFmtId="0" fontId="67" fillId="4" borderId="22" xfId="1" applyFont="1" applyFill="1" applyBorder="1"/>
    <xf numFmtId="165" fontId="0" fillId="0" borderId="0" xfId="9" applyNumberFormat="1" applyFont="1"/>
    <xf numFmtId="165" fontId="2" fillId="3" borderId="0" xfId="1" applyNumberFormat="1" applyFill="1"/>
    <xf numFmtId="9" fontId="0" fillId="0" borderId="0" xfId="9" applyFont="1"/>
    <xf numFmtId="0" fontId="68" fillId="0" borderId="0" xfId="6" applyFont="1"/>
    <xf numFmtId="164" fontId="47" fillId="0" borderId="0" xfId="8" applyNumberFormat="1" applyFont="1" applyFill="1"/>
    <xf numFmtId="2" fontId="47" fillId="0" borderId="0" xfId="8" applyNumberFormat="1" applyFont="1" applyFill="1" applyAlignment="1">
      <alignment horizontal="right"/>
    </xf>
    <xf numFmtId="0" fontId="69" fillId="0" borderId="0" xfId="6" applyFont="1"/>
    <xf numFmtId="9" fontId="47" fillId="0" borderId="0" xfId="9" applyFont="1" applyFill="1"/>
    <xf numFmtId="164" fontId="52" fillId="5" borderId="0" xfId="8" applyNumberFormat="1" applyFont="1" applyFill="1"/>
    <xf numFmtId="164" fontId="52" fillId="0" borderId="0" xfId="8" applyNumberFormat="1" applyFont="1" applyFill="1"/>
    <xf numFmtId="0" fontId="70" fillId="0" borderId="23" xfId="6" applyFont="1" applyBorder="1"/>
    <xf numFmtId="0" fontId="52" fillId="0" borderId="23" xfId="6" applyFont="1" applyBorder="1"/>
    <xf numFmtId="0" fontId="47" fillId="0" borderId="23" xfId="6" applyFont="1" applyBorder="1"/>
    <xf numFmtId="164" fontId="47" fillId="0" borderId="23" xfId="8" applyNumberFormat="1" applyFont="1" applyFill="1" applyBorder="1"/>
    <xf numFmtId="10" fontId="47" fillId="0" borderId="0" xfId="9" applyNumberFormat="1" applyFont="1" applyFill="1"/>
    <xf numFmtId="9" fontId="47" fillId="3" borderId="0" xfId="6" applyNumberFormat="1" applyFont="1" applyFill="1"/>
    <xf numFmtId="10" fontId="47" fillId="3" borderId="0" xfId="9" applyNumberFormat="1" applyFont="1" applyFill="1"/>
    <xf numFmtId="43" fontId="52" fillId="0" borderId="0" xfId="8" applyFont="1" applyFill="1"/>
    <xf numFmtId="0" fontId="61" fillId="0" borderId="0" xfId="6" applyFont="1" applyAlignment="1">
      <alignment horizontal="left"/>
    </xf>
    <xf numFmtId="171" fontId="52" fillId="6" borderId="0" xfId="8" applyNumberFormat="1" applyFont="1" applyFill="1"/>
    <xf numFmtId="43" fontId="71" fillId="0" borderId="0" xfId="8" applyFont="1" applyFill="1"/>
    <xf numFmtId="43" fontId="47" fillId="0" borderId="0" xfId="8" applyFont="1" applyFill="1" applyAlignment="1">
      <alignment horizontal="center" vertical="center"/>
    </xf>
    <xf numFmtId="164" fontId="47" fillId="0" borderId="0" xfId="8" applyNumberFormat="1" applyFont="1" applyFill="1" applyAlignment="1">
      <alignment horizontal="right"/>
    </xf>
    <xf numFmtId="43" fontId="47" fillId="7" borderId="0" xfId="8" applyFont="1" applyFill="1"/>
    <xf numFmtId="169" fontId="47" fillId="7" borderId="0" xfId="8" applyNumberFormat="1" applyFont="1" applyFill="1"/>
    <xf numFmtId="0" fontId="47" fillId="0" borderId="0" xfId="6" applyFont="1" applyAlignment="1">
      <alignment horizontal="center" vertical="center"/>
    </xf>
    <xf numFmtId="164" fontId="47" fillId="0" borderId="0" xfId="8" applyNumberFormat="1" applyFont="1" applyAlignment="1">
      <alignment horizontal="right"/>
    </xf>
    <xf numFmtId="0" fontId="47" fillId="7" borderId="0" xfId="6" applyFont="1" applyFill="1"/>
    <xf numFmtId="0" fontId="52" fillId="7" borderId="0" xfId="6" applyFont="1" applyFill="1"/>
    <xf numFmtId="164" fontId="47" fillId="0" borderId="0" xfId="6" applyNumberFormat="1" applyFont="1"/>
    <xf numFmtId="165" fontId="47" fillId="0" borderId="0" xfId="9" applyNumberFormat="1" applyFont="1" applyFill="1"/>
    <xf numFmtId="171" fontId="52" fillId="0" borderId="0" xfId="8" applyNumberFormat="1" applyFont="1" applyFill="1"/>
    <xf numFmtId="10" fontId="52" fillId="0" borderId="0" xfId="9" applyNumberFormat="1" applyFont="1" applyFill="1"/>
    <xf numFmtId="0" fontId="70" fillId="0" borderId="0" xfId="6" applyFont="1"/>
    <xf numFmtId="164" fontId="47" fillId="0" borderId="0" xfId="8" applyNumberFormat="1" applyFont="1" applyFill="1" applyBorder="1"/>
    <xf numFmtId="43" fontId="52" fillId="0" borderId="0" xfId="6" applyNumberFormat="1" applyFont="1"/>
    <xf numFmtId="43" fontId="47" fillId="0" borderId="0" xfId="8" quotePrefix="1" applyFont="1" applyFill="1"/>
    <xf numFmtId="0" fontId="52" fillId="3" borderId="0" xfId="6" applyFont="1" applyFill="1"/>
    <xf numFmtId="0" fontId="47" fillId="3" borderId="0" xfId="6" applyFont="1" applyFill="1"/>
    <xf numFmtId="43" fontId="47" fillId="3" borderId="0" xfId="8" applyFont="1" applyFill="1"/>
    <xf numFmtId="0" fontId="47" fillId="0" borderId="0" xfId="6" applyFont="1" applyAlignment="1">
      <alignment horizontal="left" indent="2"/>
    </xf>
    <xf numFmtId="172" fontId="47" fillId="0" borderId="0" xfId="6" applyNumberFormat="1" applyFont="1"/>
    <xf numFmtId="0" fontId="47" fillId="8" borderId="0" xfId="6" applyFont="1" applyFill="1"/>
    <xf numFmtId="43" fontId="47" fillId="8" borderId="0" xfId="8" applyFont="1" applyFill="1"/>
    <xf numFmtId="169" fontId="47" fillId="0" borderId="0" xfId="8" applyNumberFormat="1" applyFont="1" applyFill="1"/>
    <xf numFmtId="169" fontId="47" fillId="0" borderId="0" xfId="6" applyNumberFormat="1" applyFont="1"/>
    <xf numFmtId="43" fontId="60" fillId="0" borderId="0" xfId="6" applyNumberFormat="1" applyFont="1"/>
    <xf numFmtId="10" fontId="47" fillId="0" borderId="0" xfId="9" applyNumberFormat="1" applyFont="1"/>
    <xf numFmtId="166" fontId="47" fillId="0" borderId="0" xfId="6" applyNumberFormat="1" applyFont="1"/>
    <xf numFmtId="0" fontId="47" fillId="9" borderId="0" xfId="6" applyFont="1" applyFill="1"/>
    <xf numFmtId="0" fontId="72" fillId="0" borderId="0" xfId="6" applyFont="1"/>
    <xf numFmtId="0" fontId="73" fillId="0" borderId="0" xfId="6" applyFont="1"/>
    <xf numFmtId="0" fontId="3" fillId="0" borderId="0" xfId="6" applyFont="1" applyAlignment="1">
      <alignment horizontal="left"/>
    </xf>
    <xf numFmtId="0" fontId="3" fillId="0" borderId="0" xfId="6" applyFont="1"/>
    <xf numFmtId="0" fontId="35" fillId="0" borderId="16" xfId="6" applyFont="1" applyBorder="1" applyAlignment="1">
      <alignment horizontal="left"/>
    </xf>
    <xf numFmtId="0" fontId="35" fillId="0" borderId="16" xfId="6" applyFont="1" applyBorder="1"/>
    <xf numFmtId="0" fontId="35" fillId="0" borderId="0" xfId="6" applyFont="1" applyAlignment="1">
      <alignment horizontal="left"/>
    </xf>
    <xf numFmtId="0" fontId="35" fillId="0" borderId="0" xfId="6" applyFont="1"/>
    <xf numFmtId="0" fontId="3" fillId="0" borderId="0" xfId="6" applyFont="1" applyAlignment="1">
      <alignment horizontal="right"/>
    </xf>
    <xf numFmtId="1" fontId="3" fillId="0" borderId="0" xfId="6" applyNumberFormat="1" applyFont="1"/>
    <xf numFmtId="0" fontId="74" fillId="0" borderId="19" xfId="6" applyFont="1" applyBorder="1"/>
    <xf numFmtId="173" fontId="26" fillId="3" borderId="19" xfId="6" applyNumberFormat="1" applyFont="1" applyFill="1" applyBorder="1" applyAlignment="1">
      <alignment horizontal="right"/>
    </xf>
    <xf numFmtId="173" fontId="74" fillId="0" borderId="19" xfId="6" applyNumberFormat="1" applyFont="1" applyBorder="1" applyAlignment="1">
      <alignment horizontal="right"/>
    </xf>
    <xf numFmtId="0" fontId="49" fillId="0" borderId="0" xfId="6" applyFont="1" applyAlignment="1">
      <alignment horizontal="left"/>
    </xf>
    <xf numFmtId="0" fontId="75" fillId="0" borderId="0" xfId="6" applyFont="1"/>
    <xf numFmtId="164" fontId="36" fillId="0" borderId="0" xfId="8" applyNumberFormat="1" applyFont="1" applyFill="1" applyBorder="1" applyAlignment="1">
      <alignment horizontal="right"/>
    </xf>
    <xf numFmtId="0" fontId="49" fillId="0" borderId="0" xfId="6" applyFont="1" applyAlignment="1">
      <alignment horizontal="right"/>
    </xf>
    <xf numFmtId="174" fontId="76" fillId="10" borderId="24" xfId="6" applyNumberFormat="1" applyFont="1" applyFill="1" applyBorder="1"/>
    <xf numFmtId="3" fontId="76" fillId="10" borderId="24" xfId="6" applyNumberFormat="1" applyFont="1" applyFill="1" applyBorder="1"/>
    <xf numFmtId="164" fontId="35" fillId="0" borderId="16" xfId="8" applyNumberFormat="1" applyFont="1" applyFill="1" applyBorder="1"/>
    <xf numFmtId="164" fontId="3" fillId="0" borderId="16" xfId="8" applyNumberFormat="1" applyFont="1" applyFill="1" applyBorder="1"/>
    <xf numFmtId="0" fontId="74" fillId="9" borderId="0" xfId="6" applyFont="1" applyFill="1" applyAlignment="1">
      <alignment horizontal="right"/>
    </xf>
    <xf numFmtId="0" fontId="48" fillId="0" borderId="0" xfId="6" applyFont="1"/>
    <xf numFmtId="0" fontId="3" fillId="0" borderId="19" xfId="6" applyFont="1" applyBorder="1" applyAlignment="1">
      <alignment horizontal="right"/>
    </xf>
    <xf numFmtId="164" fontId="35" fillId="0" borderId="0" xfId="6" applyNumberFormat="1" applyFont="1"/>
    <xf numFmtId="164" fontId="35" fillId="0" borderId="0" xfId="8" applyNumberFormat="1" applyFont="1" applyFill="1"/>
    <xf numFmtId="164" fontId="35" fillId="0" borderId="0" xfId="8" applyNumberFormat="1" applyFont="1" applyFill="1" applyBorder="1"/>
    <xf numFmtId="164" fontId="3" fillId="0" borderId="0" xfId="8" applyNumberFormat="1" applyFont="1" applyFill="1"/>
    <xf numFmtId="164" fontId="3" fillId="0" borderId="19" xfId="6" applyNumberFormat="1" applyFont="1" applyBorder="1"/>
    <xf numFmtId="164" fontId="3" fillId="0" borderId="19" xfId="8" applyNumberFormat="1" applyFont="1" applyFill="1" applyBorder="1"/>
    <xf numFmtId="164" fontId="3" fillId="0" borderId="0" xfId="8" applyNumberFormat="1" applyFont="1" applyFill="1" applyBorder="1"/>
    <xf numFmtId="164" fontId="3" fillId="0" borderId="0" xfId="6" applyNumberFormat="1" applyFont="1"/>
    <xf numFmtId="168" fontId="35" fillId="0" borderId="0" xfId="8" applyNumberFormat="1" applyFont="1" applyFill="1"/>
    <xf numFmtId="168" fontId="35" fillId="0" borderId="19" xfId="8" applyNumberFormat="1" applyFont="1" applyFill="1" applyBorder="1"/>
    <xf numFmtId="43" fontId="3" fillId="0" borderId="0" xfId="6" applyNumberFormat="1" applyFont="1"/>
    <xf numFmtId="168" fontId="3" fillId="0" borderId="0" xfId="6" applyNumberFormat="1" applyFont="1"/>
    <xf numFmtId="168" fontId="35" fillId="0" borderId="0" xfId="6" applyNumberFormat="1" applyFont="1"/>
    <xf numFmtId="43" fontId="35" fillId="0" borderId="0" xfId="6" applyNumberFormat="1" applyFont="1"/>
    <xf numFmtId="0" fontId="3" fillId="0" borderId="0" xfId="6" applyFont="1" applyAlignment="1">
      <alignment horizontal="left" indent="1"/>
    </xf>
    <xf numFmtId="168" fontId="3" fillId="0" borderId="0" xfId="8" applyNumberFormat="1" applyFont="1" applyFill="1"/>
    <xf numFmtId="168" fontId="3" fillId="0" borderId="0" xfId="8" applyNumberFormat="1" applyFont="1" applyFill="1" applyBorder="1"/>
    <xf numFmtId="0" fontId="61" fillId="0" borderId="0" xfId="6" applyFont="1" applyAlignment="1">
      <alignment horizontal="left" indent="4"/>
    </xf>
    <xf numFmtId="164" fontId="61" fillId="0" borderId="0" xfId="6" applyNumberFormat="1" applyFont="1"/>
    <xf numFmtId="164" fontId="61" fillId="0" borderId="0" xfId="8" applyNumberFormat="1" applyFont="1" applyFill="1"/>
    <xf numFmtId="0" fontId="77" fillId="0" borderId="0" xfId="6" applyFont="1"/>
    <xf numFmtId="0" fontId="78" fillId="0" borderId="0" xfId="6" applyFont="1"/>
    <xf numFmtId="43" fontId="78" fillId="0" borderId="0" xfId="6" applyNumberFormat="1" applyFont="1"/>
    <xf numFmtId="0" fontId="79" fillId="0" borderId="0" xfId="6" applyFont="1"/>
    <xf numFmtId="0" fontId="80" fillId="11" borderId="25" xfId="6" applyFont="1" applyFill="1" applyBorder="1"/>
    <xf numFmtId="175" fontId="81" fillId="11" borderId="25" xfId="6" applyNumberFormat="1" applyFont="1" applyFill="1" applyBorder="1" applyAlignment="1">
      <alignment horizontal="right"/>
    </xf>
    <xf numFmtId="0" fontId="80" fillId="11" borderId="0" xfId="6" applyFont="1" applyFill="1"/>
    <xf numFmtId="164" fontId="77" fillId="0" borderId="0" xfId="8" applyNumberFormat="1" applyFont="1"/>
    <xf numFmtId="164" fontId="82" fillId="0" borderId="0" xfId="6" applyNumberFormat="1" applyFont="1"/>
    <xf numFmtId="164" fontId="79" fillId="0" borderId="0" xfId="8" applyNumberFormat="1" applyFont="1"/>
    <xf numFmtId="164" fontId="79" fillId="0" borderId="0" xfId="6" applyNumberFormat="1" applyFont="1"/>
    <xf numFmtId="0" fontId="78" fillId="0" borderId="0" xfId="6" applyFont="1" applyAlignment="1">
      <alignment horizontal="left" indent="1"/>
    </xf>
    <xf numFmtId="164" fontId="78" fillId="0" borderId="0" xfId="8" applyNumberFormat="1" applyFont="1"/>
    <xf numFmtId="0" fontId="77" fillId="7" borderId="0" xfId="6" applyFont="1" applyFill="1"/>
    <xf numFmtId="0" fontId="83" fillId="0" borderId="0" xfId="6" applyFont="1"/>
    <xf numFmtId="164" fontId="83" fillId="0" borderId="0" xfId="8" applyNumberFormat="1" applyFont="1"/>
    <xf numFmtId="10" fontId="78" fillId="0" borderId="0" xfId="9" applyNumberFormat="1" applyFont="1"/>
    <xf numFmtId="164" fontId="78" fillId="0" borderId="0" xfId="6" applyNumberFormat="1" applyFont="1"/>
    <xf numFmtId="164" fontId="83" fillId="0" borderId="0" xfId="6" applyNumberFormat="1" applyFont="1"/>
    <xf numFmtId="0" fontId="84" fillId="0" borderId="0" xfId="6" applyFont="1"/>
    <xf numFmtId="0" fontId="77" fillId="9" borderId="25" xfId="6" applyFont="1" applyFill="1" applyBorder="1"/>
    <xf numFmtId="164" fontId="77" fillId="9" borderId="25" xfId="8" applyNumberFormat="1" applyFont="1" applyFill="1" applyBorder="1"/>
    <xf numFmtId="0" fontId="77" fillId="0" borderId="0" xfId="6" applyFont="1" applyAlignment="1">
      <alignment horizontal="left"/>
    </xf>
    <xf numFmtId="164" fontId="77" fillId="0" borderId="0" xfId="6" applyNumberFormat="1" applyFont="1"/>
    <xf numFmtId="43" fontId="78" fillId="0" borderId="0" xfId="8" applyFont="1"/>
  </cellXfs>
  <cellStyles count="13">
    <cellStyle name="Comma 19" xfId="8" xr:uid="{20FF952C-4D57-B144-A273-9D90E6C5B3B4}"/>
    <cellStyle name="Comma 2" xfId="2" xr:uid="{8340D0A0-EB6C-684A-8924-98AC9DE70A66}"/>
    <cellStyle name="Comma 2 14 3" xfId="10" xr:uid="{49295EE8-C65F-8644-858C-4BF617A61ED3}"/>
    <cellStyle name="Heading 1 3" xfId="12" xr:uid="{9817B2A8-4D24-1643-ACFA-09A18296D80B}"/>
    <cellStyle name="Hyperlink 2" xfId="7" xr:uid="{01F04308-72D1-AF46-BA83-1527716DBC62}"/>
    <cellStyle name="Input 3" xfId="11" xr:uid="{4F3D5B89-67A7-B74A-BE3F-C8C75ED0BF6A}"/>
    <cellStyle name="Normal" xfId="0" builtinId="0"/>
    <cellStyle name="Normal 2" xfId="1" xr:uid="{13D15FAE-92AD-6341-9E4C-D47845C18C0F}"/>
    <cellStyle name="Normal 2 2" xfId="4" xr:uid="{D1E0FD24-425F-DF40-9347-DA6C8812B5A3}"/>
    <cellStyle name="Normal 22" xfId="6" xr:uid="{BEE1D7DF-48BC-1E41-AA31-8E0F3DBF0CEC}"/>
    <cellStyle name="Normal 25" xfId="5" xr:uid="{50136E5C-453B-0948-BB32-F539D8D44565}"/>
    <cellStyle name="Percent 15" xfId="9" xr:uid="{C831DAAF-8511-B34E-B428-68C9E9BAF936}"/>
    <cellStyle name="Percent 2" xfId="3" xr:uid="{E4F6E980-3227-B940-85CC-559E85B6870A}"/>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411575</xdr:colOff>
      <xdr:row>0</xdr:row>
      <xdr:rowOff>0</xdr:rowOff>
    </xdr:from>
    <xdr:to>
      <xdr:col>17</xdr:col>
      <xdr:colOff>582555</xdr:colOff>
      <xdr:row>14</xdr:row>
      <xdr:rowOff>140204</xdr:rowOff>
    </xdr:to>
    <xdr:pic>
      <xdr:nvPicPr>
        <xdr:cNvPr id="2" name="Picture 1">
          <a:extLst>
            <a:ext uri="{FF2B5EF4-FFF2-40B4-BE49-F238E27FC236}">
              <a16:creationId xmlns:a16="http://schemas.microsoft.com/office/drawing/2014/main" id="{47968B0F-FDB9-C145-96C0-8C8053094D4A}"/>
            </a:ext>
          </a:extLst>
        </xdr:cNvPr>
        <xdr:cNvPicPr>
          <a:picLocks noChangeAspect="1"/>
        </xdr:cNvPicPr>
      </xdr:nvPicPr>
      <xdr:blipFill>
        <a:blip xmlns:r="http://schemas.openxmlformats.org/officeDocument/2006/relationships" r:embed="rId1"/>
        <a:stretch>
          <a:fillRect/>
        </a:stretch>
      </xdr:blipFill>
      <xdr:spPr>
        <a:xfrm>
          <a:off x="15092775" y="0"/>
          <a:ext cx="5809780" cy="2807204"/>
        </a:xfrm>
        <a:prstGeom prst="rect">
          <a:avLst/>
        </a:prstGeom>
      </xdr:spPr>
    </xdr:pic>
    <xdr:clientData/>
  </xdr:twoCellAnchor>
  <xdr:twoCellAnchor editAs="oneCell">
    <xdr:from>
      <xdr:col>13</xdr:col>
      <xdr:colOff>246944</xdr:colOff>
      <xdr:row>15</xdr:row>
      <xdr:rowOff>82315</xdr:rowOff>
    </xdr:from>
    <xdr:to>
      <xdr:col>23</xdr:col>
      <xdr:colOff>619819</xdr:colOff>
      <xdr:row>23</xdr:row>
      <xdr:rowOff>182428</xdr:rowOff>
    </xdr:to>
    <xdr:pic>
      <xdr:nvPicPr>
        <xdr:cNvPr id="3" name="Picture 2">
          <a:extLst>
            <a:ext uri="{FF2B5EF4-FFF2-40B4-BE49-F238E27FC236}">
              <a16:creationId xmlns:a16="http://schemas.microsoft.com/office/drawing/2014/main" id="{0519B212-9989-0349-A2F8-AB7C62D1C46E}"/>
            </a:ext>
          </a:extLst>
        </xdr:cNvPr>
        <xdr:cNvPicPr>
          <a:picLocks noChangeAspect="1"/>
        </xdr:cNvPicPr>
      </xdr:nvPicPr>
      <xdr:blipFill>
        <a:blip xmlns:r="http://schemas.openxmlformats.org/officeDocument/2006/relationships" r:embed="rId2"/>
        <a:stretch>
          <a:fillRect/>
        </a:stretch>
      </xdr:blipFill>
      <xdr:spPr>
        <a:xfrm>
          <a:off x="16807744" y="2939815"/>
          <a:ext cx="9770875" cy="16891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Actual%20SAP%20Q3.25%20-%20share/1.%20Cashloan/1.ZALOPAY_CashLoan_Model_SAP&amp;PnL_v9_Q3.2025%202.xlsb" TargetMode="External"/><Relationship Id="rId2" Type="http://schemas.openxmlformats.org/officeDocument/2006/relationships/externalLinkPath" Target="/Users/dam.ho/Downloads/Actual%20SAP%20Q3.25%20-%20share/1.%20Cashloan/1.ZALOPAY_CashLoan_Model_SAP&amp;PnL_v9_Q3.2025%202.xlsb" TargetMode="External"/><Relationship Id="rId1" Type="http://schemas.openxmlformats.org/officeDocument/2006/relationships/externalLinkPath" Target="/Users/dam.ho/Downloads/Actual%20SAP%20Q3.25%20-%20share/1.%20Cashloan/1.ZALOPAY_CashLoan_Model_SAP&amp;PnL_v9_Q3.2025%202.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akedigital-my.sharepoint.com/personal/huong_thieu_cake_vn/Documents/BE/BEF%20accounting%20&amp;%20Finance/Accounting%20Report/BEF%20report/BC%20doanh%20thu/2025/9.%20Sep/SAP%20-%20tosubmit/0.%20UPL_Model_SAP&amp;PnL_v9_Q3.2025.xlsb" TargetMode="External"/><Relationship Id="rId1" Type="http://schemas.openxmlformats.org/officeDocument/2006/relationships/externalLinkPath" Target="https://cakedigital-my.sharepoint.com/personal/tien_nguyen9_cake_vn/Documents/Tien%20-%20Back%20up/5.%20SAP/Actual%20SAP%20Q3.25%20-%20share/1.%20Cashloan/0.%20UPL_Model_SAP&amp;PnL_v9_Q3.2025.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R"/>
      <sheetName val="COF"/>
      <sheetName val="NOTE"/>
      <sheetName val="Leadsheet"/>
      <sheetName val="DATA"/>
      <sheetName val="SAP_Speadsheet"/>
      <sheetName val="Saleplan&amp;PnL"/>
      <sheetName val="PnL_Speadsheet"/>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F"/>
      <sheetName val="NOTE"/>
      <sheetName val="Leadsheet"/>
      <sheetName val="DATA"/>
      <sheetName val="IR"/>
      <sheetName val="SAP_Speadsheet"/>
      <sheetName val="Saleplan&amp;PnL"/>
      <sheetName val="PnL_Speadsheet"/>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dam.ho/Downloads/Actual%20SAP%20Q3.25%20-%20share/1.%20Cashloan/1.ZALOPAY_CashLoan_Model_SAP&amp;PnL_v9_Q3.2025%202.xlsb"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5960.494473726852" createdVersion="8" refreshedVersion="8" minRefreshableVersion="3" recordCount="2245" xr:uid="{52F07F3D-B7E6-8841-9E7E-CAD1A8C8B6FD}">
  <cacheSource type="worksheet">
    <worksheetSource ref="A1:I2246" sheet="IR" r:id="rId2"/>
  </cacheSource>
  <cacheFields count="11">
    <cacheField name="product_final" numFmtId="0">
      <sharedItems/>
    </cacheField>
    <cacheField name="Product" numFmtId="0">
      <sharedItems count="5">
        <s v="BL"/>
        <s v="CL"/>
        <s v="PL"/>
        <s v="OD"/>
        <s v="PD"/>
      </sharedItems>
    </cacheField>
    <cacheField name="Partner" numFmtId="0">
      <sharedItems count="10">
        <s v="BEG"/>
        <s v="CAKE"/>
        <s v="FPT"/>
        <s v="MWG"/>
        <s v="NGS"/>
        <s v="VNPOST"/>
        <s v="VDS"/>
        <s v="VNPAY"/>
        <s v="VNPT"/>
        <s v="ZALOPAY"/>
      </sharedItems>
    </cacheField>
    <cacheField name="report_date" numFmtId="14">
      <sharedItems containsSemiMixedTypes="0" containsNonDate="0" containsDate="1" containsString="0" minDate="2025-07-01T00:00:00" maxDate="2025-10-01T00:00:00" count="92">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sharedItems>
      <fieldGroup par="10"/>
    </cacheField>
    <cacheField name="closing_balance_total" numFmtId="164">
      <sharedItems containsSemiMixedTypes="0" containsString="0" containsNumber="1" containsInteger="1" minValue="0" maxValue="1967667601704"/>
    </cacheField>
    <cacheField name="closing_balance_dpd_above0" numFmtId="164">
      <sharedItems containsSemiMixedTypes="0" containsString="0" containsNumber="1" containsInteger="1" minValue="0" maxValue="513817091764"/>
    </cacheField>
    <cacheField name="closing_balance_dpd_0" numFmtId="164">
      <sharedItems containsSemiMixedTypes="0" containsString="0" containsNumber="1" containsInteger="1" minValue="0" maxValue="1455032284310"/>
    </cacheField>
    <cacheField name="closing_balance_dpd_above10" numFmtId="164">
      <sharedItems containsSemiMixedTypes="0" containsString="0" containsNumber="1" containsInteger="1" minValue="0" maxValue="477508509397"/>
    </cacheField>
    <cacheField name="closing_balance_dpd_under10" numFmtId="164">
      <sharedItems containsSemiMixedTypes="0" containsString="0" containsNumber="1" containsInteger="1" minValue="0" maxValue="1490159092307"/>
    </cacheField>
    <cacheField name="Days (report_date)" numFmtId="0" databaseField="0">
      <fieldGroup base="3">
        <rangePr groupBy="days" startDate="2025-07-01T00:00:00" endDate="2025-10-01T00:00:00"/>
        <groupItems count="368">
          <s v="&lt;7/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025"/>
        </groupItems>
      </fieldGroup>
    </cacheField>
    <cacheField name="Months (report_date)" numFmtId="0" databaseField="0">
      <fieldGroup base="3">
        <rangePr groupBy="months" startDate="2025-07-01T00:00:00" endDate="2025-10-01T00:00:00"/>
        <groupItems count="14">
          <s v="&lt;7/1/2025"/>
          <s v="Jan"/>
          <s v="Feb"/>
          <s v="Mar"/>
          <s v="Apr"/>
          <s v="May"/>
          <s v="Jun"/>
          <s v="Jul"/>
          <s v="Aug"/>
          <s v="Sep"/>
          <s v="Oct"/>
          <s v="Nov"/>
          <s v="Dec"/>
          <s v="&gt;10/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5945.685356365742" createdVersion="8" refreshedVersion="8" minRefreshableVersion="3" recordCount="23" xr:uid="{1D4F79A4-3033-A945-8DE0-080A88B4C0B6}">
  <cacheSource type="worksheet">
    <worksheetSource ref="N58:P81" sheet="DATA" r:id="rId2"/>
  </cacheSource>
  <cacheFields count="3">
    <cacheField name="EOM Bucket" numFmtId="0">
      <sharedItems containsSemiMixedTypes="0" containsString="0" containsNumber="1" containsInteger="1" minValue="0" maxValue="5" count="6">
        <n v="0"/>
        <n v="1"/>
        <n v="2"/>
        <n v="3"/>
        <n v="4"/>
        <n v="5"/>
      </sharedItems>
    </cacheField>
    <cacheField name="report_month" numFmtId="0">
      <sharedItems containsSemiMixedTypes="0" containsString="0" containsNumber="1" containsInteger="1" minValue="202503" maxValue="202510" count="8">
        <n v="202510"/>
        <n v="202508"/>
        <n v="202509"/>
        <n v="202504"/>
        <n v="202506"/>
        <n v="202507"/>
        <n v="202505"/>
        <n v="202503"/>
      </sharedItems>
    </cacheField>
    <cacheField name="principal_balance_at_report_month" numFmtId="0">
      <sharedItems containsSemiMixedTypes="0" containsString="0" containsNumber="1" containsInteger="1" minValue="8294394" maxValue="29441485186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5">
  <r>
    <s v="[BE] - Bikeloan VFS"/>
    <x v="0"/>
    <x v="0"/>
    <x v="0"/>
    <n v="0"/>
    <n v="0"/>
    <n v="0"/>
    <n v="0"/>
    <n v="0"/>
  </r>
  <r>
    <s v="[BE] - Bikeloan VFS"/>
    <x v="0"/>
    <x v="0"/>
    <x v="1"/>
    <n v="0"/>
    <n v="0"/>
    <n v="0"/>
    <n v="0"/>
    <n v="0"/>
  </r>
  <r>
    <s v="[BE] - Bikeloan VFS"/>
    <x v="0"/>
    <x v="0"/>
    <x v="2"/>
    <n v="0"/>
    <n v="0"/>
    <n v="0"/>
    <n v="0"/>
    <n v="0"/>
  </r>
  <r>
    <s v="[BE] - Bikeloan VFS"/>
    <x v="0"/>
    <x v="0"/>
    <x v="3"/>
    <n v="0"/>
    <n v="0"/>
    <n v="0"/>
    <n v="0"/>
    <n v="0"/>
  </r>
  <r>
    <s v="[BE] - Bikeloan VFS"/>
    <x v="0"/>
    <x v="0"/>
    <x v="4"/>
    <n v="0"/>
    <n v="0"/>
    <n v="0"/>
    <n v="0"/>
    <n v="0"/>
  </r>
  <r>
    <s v="[BE] - Bikeloan VFS"/>
    <x v="0"/>
    <x v="0"/>
    <x v="5"/>
    <n v="0"/>
    <n v="0"/>
    <n v="0"/>
    <n v="0"/>
    <n v="0"/>
  </r>
  <r>
    <s v="[BE] - Bikeloan VFS"/>
    <x v="0"/>
    <x v="0"/>
    <x v="6"/>
    <n v="0"/>
    <n v="0"/>
    <n v="0"/>
    <n v="0"/>
    <n v="0"/>
  </r>
  <r>
    <s v="[BE] - Bikeloan VFS"/>
    <x v="0"/>
    <x v="0"/>
    <x v="7"/>
    <n v="0"/>
    <n v="0"/>
    <n v="0"/>
    <n v="0"/>
    <n v="0"/>
  </r>
  <r>
    <s v="[BE] - Bikeloan VFS"/>
    <x v="0"/>
    <x v="0"/>
    <x v="8"/>
    <n v="0"/>
    <n v="0"/>
    <n v="0"/>
    <n v="0"/>
    <n v="0"/>
  </r>
  <r>
    <s v="[BE] - Bikeloan VFS"/>
    <x v="0"/>
    <x v="0"/>
    <x v="9"/>
    <n v="0"/>
    <n v="0"/>
    <n v="0"/>
    <n v="0"/>
    <n v="0"/>
  </r>
  <r>
    <s v="[BE] - Bikeloan VFS"/>
    <x v="0"/>
    <x v="0"/>
    <x v="10"/>
    <n v="0"/>
    <n v="0"/>
    <n v="0"/>
    <n v="0"/>
    <n v="0"/>
  </r>
  <r>
    <s v="[BE] - Bikeloan VFS"/>
    <x v="0"/>
    <x v="0"/>
    <x v="11"/>
    <n v="0"/>
    <n v="0"/>
    <n v="0"/>
    <n v="0"/>
    <n v="0"/>
  </r>
  <r>
    <s v="[BE] - Bikeloan VFS"/>
    <x v="0"/>
    <x v="0"/>
    <x v="12"/>
    <n v="0"/>
    <n v="0"/>
    <n v="0"/>
    <n v="0"/>
    <n v="0"/>
  </r>
  <r>
    <s v="[BE] - Bikeloan VFS"/>
    <x v="0"/>
    <x v="0"/>
    <x v="13"/>
    <n v="0"/>
    <n v="0"/>
    <n v="0"/>
    <n v="0"/>
    <n v="0"/>
  </r>
  <r>
    <s v="[BE] - Bikeloan VFS"/>
    <x v="0"/>
    <x v="0"/>
    <x v="14"/>
    <n v="0"/>
    <n v="0"/>
    <n v="0"/>
    <n v="0"/>
    <n v="0"/>
  </r>
  <r>
    <s v="[BE] - Bikeloan VFS"/>
    <x v="0"/>
    <x v="0"/>
    <x v="15"/>
    <n v="0"/>
    <n v="0"/>
    <n v="0"/>
    <n v="0"/>
    <n v="0"/>
  </r>
  <r>
    <s v="[BE] - Bikeloan VFS"/>
    <x v="0"/>
    <x v="0"/>
    <x v="16"/>
    <n v="0"/>
    <n v="0"/>
    <n v="0"/>
    <n v="0"/>
    <n v="0"/>
  </r>
  <r>
    <s v="[BE] - Bikeloan VFS"/>
    <x v="0"/>
    <x v="0"/>
    <x v="17"/>
    <n v="0"/>
    <n v="0"/>
    <n v="0"/>
    <n v="0"/>
    <n v="0"/>
  </r>
  <r>
    <s v="[BE] - Bikeloan VFS"/>
    <x v="0"/>
    <x v="0"/>
    <x v="18"/>
    <n v="0"/>
    <n v="0"/>
    <n v="0"/>
    <n v="0"/>
    <n v="0"/>
  </r>
  <r>
    <s v="[BE] - Bikeloan VFS"/>
    <x v="0"/>
    <x v="0"/>
    <x v="19"/>
    <n v="0"/>
    <n v="0"/>
    <n v="0"/>
    <n v="0"/>
    <n v="0"/>
  </r>
  <r>
    <s v="[BE] - Bikeloan VFS"/>
    <x v="0"/>
    <x v="0"/>
    <x v="20"/>
    <n v="0"/>
    <n v="0"/>
    <n v="0"/>
    <n v="0"/>
    <n v="0"/>
  </r>
  <r>
    <s v="[BE] - Bikeloan VFS"/>
    <x v="0"/>
    <x v="0"/>
    <x v="21"/>
    <n v="0"/>
    <n v="0"/>
    <n v="0"/>
    <n v="0"/>
    <n v="0"/>
  </r>
  <r>
    <s v="[BE] - Bikeloan VFS"/>
    <x v="0"/>
    <x v="0"/>
    <x v="22"/>
    <n v="0"/>
    <n v="0"/>
    <n v="0"/>
    <n v="0"/>
    <n v="0"/>
  </r>
  <r>
    <s v="[BE] - Bikeloan VFS"/>
    <x v="0"/>
    <x v="0"/>
    <x v="23"/>
    <n v="0"/>
    <n v="0"/>
    <n v="0"/>
    <n v="0"/>
    <n v="0"/>
  </r>
  <r>
    <s v="[BE] - Bikeloan VFS"/>
    <x v="0"/>
    <x v="0"/>
    <x v="24"/>
    <n v="0"/>
    <n v="0"/>
    <n v="0"/>
    <n v="0"/>
    <n v="0"/>
  </r>
  <r>
    <s v="[BE] - Bikeloan VFS"/>
    <x v="0"/>
    <x v="0"/>
    <x v="25"/>
    <n v="0"/>
    <n v="0"/>
    <n v="0"/>
    <n v="0"/>
    <n v="0"/>
  </r>
  <r>
    <s v="[BE] - Bikeloan VFS"/>
    <x v="0"/>
    <x v="0"/>
    <x v="26"/>
    <n v="0"/>
    <n v="0"/>
    <n v="0"/>
    <n v="0"/>
    <n v="0"/>
  </r>
  <r>
    <s v="[BE] - Bikeloan VFS"/>
    <x v="0"/>
    <x v="0"/>
    <x v="27"/>
    <n v="0"/>
    <n v="0"/>
    <n v="0"/>
    <n v="0"/>
    <n v="0"/>
  </r>
  <r>
    <s v="[BE] - Bikeloan VFS"/>
    <x v="0"/>
    <x v="0"/>
    <x v="28"/>
    <n v="0"/>
    <n v="0"/>
    <n v="0"/>
    <n v="0"/>
    <n v="0"/>
  </r>
  <r>
    <s v="[BE] - Bikeloan VFS"/>
    <x v="0"/>
    <x v="0"/>
    <x v="29"/>
    <n v="0"/>
    <n v="0"/>
    <n v="0"/>
    <n v="0"/>
    <n v="0"/>
  </r>
  <r>
    <s v="[BE] - Bikeloan VFS"/>
    <x v="0"/>
    <x v="0"/>
    <x v="30"/>
    <n v="0"/>
    <n v="0"/>
    <n v="0"/>
    <n v="0"/>
    <n v="0"/>
  </r>
  <r>
    <s v="[BE] - Bikeloan VFS"/>
    <x v="0"/>
    <x v="0"/>
    <x v="31"/>
    <n v="0"/>
    <n v="0"/>
    <n v="0"/>
    <n v="0"/>
    <n v="0"/>
  </r>
  <r>
    <s v="[BE] - Bikeloan VFS"/>
    <x v="0"/>
    <x v="0"/>
    <x v="32"/>
    <n v="0"/>
    <n v="0"/>
    <n v="0"/>
    <n v="0"/>
    <n v="0"/>
  </r>
  <r>
    <s v="[BE] - Bikeloan VFS"/>
    <x v="0"/>
    <x v="0"/>
    <x v="33"/>
    <n v="0"/>
    <n v="0"/>
    <n v="0"/>
    <n v="0"/>
    <n v="0"/>
  </r>
  <r>
    <s v="[BE] - Bikeloan VFS"/>
    <x v="0"/>
    <x v="0"/>
    <x v="34"/>
    <n v="0"/>
    <n v="0"/>
    <n v="0"/>
    <n v="0"/>
    <n v="0"/>
  </r>
  <r>
    <s v="[BE] - Bikeloan VFS"/>
    <x v="0"/>
    <x v="0"/>
    <x v="35"/>
    <n v="0"/>
    <n v="0"/>
    <n v="0"/>
    <n v="0"/>
    <n v="0"/>
  </r>
  <r>
    <s v="[BE] - Bikeloan VFS"/>
    <x v="0"/>
    <x v="0"/>
    <x v="36"/>
    <n v="0"/>
    <n v="0"/>
    <n v="0"/>
    <n v="0"/>
    <n v="0"/>
  </r>
  <r>
    <s v="[BE] - Bikeloan VFS"/>
    <x v="0"/>
    <x v="0"/>
    <x v="37"/>
    <n v="0"/>
    <n v="0"/>
    <n v="0"/>
    <n v="0"/>
    <n v="0"/>
  </r>
  <r>
    <s v="[BE] - Bikeloan VFS"/>
    <x v="0"/>
    <x v="0"/>
    <x v="38"/>
    <n v="0"/>
    <n v="0"/>
    <n v="0"/>
    <n v="0"/>
    <n v="0"/>
  </r>
  <r>
    <s v="[BE] - Bikeloan VFS"/>
    <x v="0"/>
    <x v="0"/>
    <x v="39"/>
    <n v="0"/>
    <n v="0"/>
    <n v="0"/>
    <n v="0"/>
    <n v="0"/>
  </r>
  <r>
    <s v="[BE] - Bikeloan VFS"/>
    <x v="0"/>
    <x v="0"/>
    <x v="40"/>
    <n v="0"/>
    <n v="0"/>
    <n v="0"/>
    <n v="0"/>
    <n v="0"/>
  </r>
  <r>
    <s v="[BE] - Bikeloan VFS"/>
    <x v="0"/>
    <x v="0"/>
    <x v="41"/>
    <n v="0"/>
    <n v="0"/>
    <n v="0"/>
    <n v="0"/>
    <n v="0"/>
  </r>
  <r>
    <s v="[BE] - Bikeloan VFS"/>
    <x v="0"/>
    <x v="0"/>
    <x v="42"/>
    <n v="0"/>
    <n v="0"/>
    <n v="0"/>
    <n v="0"/>
    <n v="0"/>
  </r>
  <r>
    <s v="[BE] - Bikeloan VFS"/>
    <x v="0"/>
    <x v="0"/>
    <x v="43"/>
    <n v="0"/>
    <n v="0"/>
    <n v="0"/>
    <n v="0"/>
    <n v="0"/>
  </r>
  <r>
    <s v="[BE] - Bikeloan VFS"/>
    <x v="0"/>
    <x v="0"/>
    <x v="44"/>
    <n v="0"/>
    <n v="0"/>
    <n v="0"/>
    <n v="0"/>
    <n v="0"/>
  </r>
  <r>
    <s v="[BE] - Bikeloan VFS"/>
    <x v="0"/>
    <x v="0"/>
    <x v="45"/>
    <n v="0"/>
    <n v="0"/>
    <n v="0"/>
    <n v="0"/>
    <n v="0"/>
  </r>
  <r>
    <s v="[BE] - Bikeloan VFS"/>
    <x v="0"/>
    <x v="0"/>
    <x v="46"/>
    <n v="0"/>
    <n v="0"/>
    <n v="0"/>
    <n v="0"/>
    <n v="0"/>
  </r>
  <r>
    <s v="[BE] - Bikeloan VFS"/>
    <x v="0"/>
    <x v="0"/>
    <x v="47"/>
    <n v="0"/>
    <n v="0"/>
    <n v="0"/>
    <n v="0"/>
    <n v="0"/>
  </r>
  <r>
    <s v="[BE] - Bikeloan VFS"/>
    <x v="0"/>
    <x v="0"/>
    <x v="48"/>
    <n v="0"/>
    <n v="0"/>
    <n v="0"/>
    <n v="0"/>
    <n v="0"/>
  </r>
  <r>
    <s v="[BE] - Bikeloan VFS"/>
    <x v="0"/>
    <x v="0"/>
    <x v="49"/>
    <n v="0"/>
    <n v="0"/>
    <n v="0"/>
    <n v="0"/>
    <n v="0"/>
  </r>
  <r>
    <s v="[BE] - Bikeloan VFS"/>
    <x v="0"/>
    <x v="0"/>
    <x v="50"/>
    <n v="0"/>
    <n v="0"/>
    <n v="0"/>
    <n v="0"/>
    <n v="0"/>
  </r>
  <r>
    <s v="[BE] - Bikeloan VFS"/>
    <x v="0"/>
    <x v="0"/>
    <x v="51"/>
    <n v="0"/>
    <n v="0"/>
    <n v="0"/>
    <n v="0"/>
    <n v="0"/>
  </r>
  <r>
    <s v="[BE] - Bikeloan VFS"/>
    <x v="0"/>
    <x v="0"/>
    <x v="52"/>
    <n v="0"/>
    <n v="0"/>
    <n v="0"/>
    <n v="0"/>
    <n v="0"/>
  </r>
  <r>
    <s v="[BE] - Bikeloan VFS"/>
    <x v="0"/>
    <x v="0"/>
    <x v="53"/>
    <n v="0"/>
    <n v="0"/>
    <n v="0"/>
    <n v="0"/>
    <n v="0"/>
  </r>
  <r>
    <s v="[BE] - Bikeloan VFS"/>
    <x v="0"/>
    <x v="0"/>
    <x v="54"/>
    <n v="0"/>
    <n v="0"/>
    <n v="0"/>
    <n v="0"/>
    <n v="0"/>
  </r>
  <r>
    <s v="[BE] - Bikeloan VFS"/>
    <x v="0"/>
    <x v="0"/>
    <x v="55"/>
    <n v="0"/>
    <n v="0"/>
    <n v="0"/>
    <n v="0"/>
    <n v="0"/>
  </r>
  <r>
    <s v="[BE] - Bikeloan VFS"/>
    <x v="0"/>
    <x v="0"/>
    <x v="56"/>
    <n v="0"/>
    <n v="0"/>
    <n v="0"/>
    <n v="0"/>
    <n v="0"/>
  </r>
  <r>
    <s v="[BE] - Bikeloan VFS"/>
    <x v="0"/>
    <x v="0"/>
    <x v="57"/>
    <n v="0"/>
    <n v="0"/>
    <n v="0"/>
    <n v="0"/>
    <n v="0"/>
  </r>
  <r>
    <s v="[BE] - Bikeloan VFS"/>
    <x v="0"/>
    <x v="0"/>
    <x v="58"/>
    <n v="0"/>
    <n v="0"/>
    <n v="0"/>
    <n v="0"/>
    <n v="0"/>
  </r>
  <r>
    <s v="[BE] - Bikeloan VFS"/>
    <x v="0"/>
    <x v="0"/>
    <x v="59"/>
    <n v="0"/>
    <n v="0"/>
    <n v="0"/>
    <n v="0"/>
    <n v="0"/>
  </r>
  <r>
    <s v="[BE] - Bikeloan VFS"/>
    <x v="0"/>
    <x v="0"/>
    <x v="60"/>
    <n v="0"/>
    <n v="0"/>
    <n v="0"/>
    <n v="0"/>
    <n v="0"/>
  </r>
  <r>
    <s v="[BE] - Bikeloan VFS"/>
    <x v="0"/>
    <x v="0"/>
    <x v="61"/>
    <n v="0"/>
    <n v="0"/>
    <n v="0"/>
    <n v="0"/>
    <n v="0"/>
  </r>
  <r>
    <s v="[BE] - Bikeloan VFS"/>
    <x v="0"/>
    <x v="0"/>
    <x v="62"/>
    <n v="0"/>
    <n v="0"/>
    <n v="0"/>
    <n v="0"/>
    <n v="0"/>
  </r>
  <r>
    <s v="[BE] - Bikeloan VFS"/>
    <x v="0"/>
    <x v="0"/>
    <x v="63"/>
    <n v="0"/>
    <n v="0"/>
    <n v="0"/>
    <n v="0"/>
    <n v="0"/>
  </r>
  <r>
    <s v="[BE] - Bikeloan VFS"/>
    <x v="0"/>
    <x v="0"/>
    <x v="64"/>
    <n v="0"/>
    <n v="0"/>
    <n v="0"/>
    <n v="0"/>
    <n v="0"/>
  </r>
  <r>
    <s v="[BE] - Bikeloan VFS"/>
    <x v="0"/>
    <x v="0"/>
    <x v="65"/>
    <n v="0"/>
    <n v="0"/>
    <n v="0"/>
    <n v="0"/>
    <n v="0"/>
  </r>
  <r>
    <s v="[BE] - Bikeloan VFS"/>
    <x v="0"/>
    <x v="0"/>
    <x v="66"/>
    <n v="0"/>
    <n v="0"/>
    <n v="0"/>
    <n v="0"/>
    <n v="0"/>
  </r>
  <r>
    <s v="[BE] - Bikeloan VFS"/>
    <x v="0"/>
    <x v="0"/>
    <x v="67"/>
    <n v="0"/>
    <n v="0"/>
    <n v="0"/>
    <n v="0"/>
    <n v="0"/>
  </r>
  <r>
    <s v="[BE] - Bikeloan VFS"/>
    <x v="0"/>
    <x v="0"/>
    <x v="68"/>
    <n v="0"/>
    <n v="0"/>
    <n v="0"/>
    <n v="0"/>
    <n v="0"/>
  </r>
  <r>
    <s v="[BE] - Bikeloan VFS"/>
    <x v="0"/>
    <x v="0"/>
    <x v="69"/>
    <n v="0"/>
    <n v="0"/>
    <n v="0"/>
    <n v="0"/>
    <n v="0"/>
  </r>
  <r>
    <s v="[BE] - Bikeloan VFS"/>
    <x v="0"/>
    <x v="0"/>
    <x v="70"/>
    <n v="0"/>
    <n v="0"/>
    <n v="0"/>
    <n v="0"/>
    <n v="0"/>
  </r>
  <r>
    <s v="[BE] - Bikeloan VFS"/>
    <x v="0"/>
    <x v="0"/>
    <x v="71"/>
    <n v="0"/>
    <n v="0"/>
    <n v="0"/>
    <n v="0"/>
    <n v="0"/>
  </r>
  <r>
    <s v="[BE] - Bikeloan VFS"/>
    <x v="0"/>
    <x v="0"/>
    <x v="72"/>
    <n v="0"/>
    <n v="0"/>
    <n v="0"/>
    <n v="0"/>
    <n v="0"/>
  </r>
  <r>
    <s v="[BE] - Bikeloan VFS"/>
    <x v="0"/>
    <x v="0"/>
    <x v="73"/>
    <n v="0"/>
    <n v="0"/>
    <n v="0"/>
    <n v="0"/>
    <n v="0"/>
  </r>
  <r>
    <s v="[BE] - Bikeloan VFS"/>
    <x v="0"/>
    <x v="0"/>
    <x v="74"/>
    <n v="0"/>
    <n v="0"/>
    <n v="0"/>
    <n v="0"/>
    <n v="0"/>
  </r>
  <r>
    <s v="[BE] - Bikeloan VFS"/>
    <x v="0"/>
    <x v="0"/>
    <x v="75"/>
    <n v="0"/>
    <n v="0"/>
    <n v="0"/>
    <n v="0"/>
    <n v="0"/>
  </r>
  <r>
    <s v="[BE] - Bikeloan VFS"/>
    <x v="0"/>
    <x v="0"/>
    <x v="76"/>
    <n v="0"/>
    <n v="0"/>
    <n v="0"/>
    <n v="0"/>
    <n v="0"/>
  </r>
  <r>
    <s v="[BE] - Bikeloan VFS"/>
    <x v="0"/>
    <x v="0"/>
    <x v="77"/>
    <n v="0"/>
    <n v="0"/>
    <n v="0"/>
    <n v="0"/>
    <n v="0"/>
  </r>
  <r>
    <s v="[BE] - Bikeloan VFS"/>
    <x v="0"/>
    <x v="0"/>
    <x v="78"/>
    <n v="0"/>
    <n v="0"/>
    <n v="0"/>
    <n v="0"/>
    <n v="0"/>
  </r>
  <r>
    <s v="[BE] - Bikeloan VFS"/>
    <x v="0"/>
    <x v="0"/>
    <x v="79"/>
    <n v="0"/>
    <n v="0"/>
    <n v="0"/>
    <n v="0"/>
    <n v="0"/>
  </r>
  <r>
    <s v="[BE] - Bikeloan VFS"/>
    <x v="0"/>
    <x v="0"/>
    <x v="80"/>
    <n v="0"/>
    <n v="0"/>
    <n v="0"/>
    <n v="0"/>
    <n v="0"/>
  </r>
  <r>
    <s v="[BE] - Bikeloan VFS"/>
    <x v="0"/>
    <x v="0"/>
    <x v="81"/>
    <n v="0"/>
    <n v="0"/>
    <n v="0"/>
    <n v="0"/>
    <n v="0"/>
  </r>
  <r>
    <s v="[BE] - Bikeloan VFS"/>
    <x v="0"/>
    <x v="0"/>
    <x v="82"/>
    <n v="0"/>
    <n v="0"/>
    <n v="0"/>
    <n v="0"/>
    <n v="0"/>
  </r>
  <r>
    <s v="[BE] - Bikeloan VFS"/>
    <x v="0"/>
    <x v="0"/>
    <x v="83"/>
    <n v="0"/>
    <n v="0"/>
    <n v="0"/>
    <n v="0"/>
    <n v="0"/>
  </r>
  <r>
    <s v="[BE] - Bikeloan VFS"/>
    <x v="0"/>
    <x v="0"/>
    <x v="84"/>
    <n v="0"/>
    <n v="0"/>
    <n v="0"/>
    <n v="0"/>
    <n v="0"/>
  </r>
  <r>
    <s v="[BE] - Bikeloan VFS"/>
    <x v="0"/>
    <x v="0"/>
    <x v="85"/>
    <n v="0"/>
    <n v="0"/>
    <n v="0"/>
    <n v="0"/>
    <n v="0"/>
  </r>
  <r>
    <s v="[BE] - Bikeloan VFS"/>
    <x v="0"/>
    <x v="0"/>
    <x v="86"/>
    <n v="0"/>
    <n v="0"/>
    <n v="0"/>
    <n v="0"/>
    <n v="0"/>
  </r>
  <r>
    <s v="[BE] - Bikeloan VFS"/>
    <x v="0"/>
    <x v="0"/>
    <x v="87"/>
    <n v="0"/>
    <n v="0"/>
    <n v="0"/>
    <n v="0"/>
    <n v="0"/>
  </r>
  <r>
    <s v="[BE] - Bikeloan VFS"/>
    <x v="0"/>
    <x v="0"/>
    <x v="88"/>
    <n v="0"/>
    <n v="0"/>
    <n v="0"/>
    <n v="0"/>
    <n v="0"/>
  </r>
  <r>
    <s v="[BE] - Bikeloan VFS"/>
    <x v="0"/>
    <x v="0"/>
    <x v="89"/>
    <n v="0"/>
    <n v="0"/>
    <n v="0"/>
    <n v="0"/>
    <n v="0"/>
  </r>
  <r>
    <s v="[BE] - Bikeloan VFS"/>
    <x v="0"/>
    <x v="0"/>
    <x v="90"/>
    <n v="0"/>
    <n v="0"/>
    <n v="0"/>
    <n v="0"/>
    <n v="0"/>
  </r>
  <r>
    <s v="[BE] - Bikeloan VFS"/>
    <x v="0"/>
    <x v="0"/>
    <x v="91"/>
    <n v="0"/>
    <n v="0"/>
    <n v="0"/>
    <n v="0"/>
    <n v="0"/>
  </r>
  <r>
    <s v="[BE] - Cashloan"/>
    <x v="1"/>
    <x v="0"/>
    <x v="0"/>
    <n v="18051663238"/>
    <n v="12206742960"/>
    <n v="5844920278"/>
    <n v="11995715106"/>
    <n v="6055948132"/>
  </r>
  <r>
    <s v="[BE] - Cashloan"/>
    <x v="1"/>
    <x v="0"/>
    <x v="1"/>
    <n v="18011477090"/>
    <n v="12230131832"/>
    <n v="5781345258"/>
    <n v="12018551566"/>
    <n v="5992925524"/>
  </r>
  <r>
    <s v="[BE] - Cashloan"/>
    <x v="1"/>
    <x v="0"/>
    <x v="2"/>
    <n v="18012907859"/>
    <n v="12316529305"/>
    <n v="5696378554"/>
    <n v="12000864240"/>
    <n v="6012043619"/>
  </r>
  <r>
    <s v="[BE] - Cashloan"/>
    <x v="1"/>
    <x v="0"/>
    <x v="3"/>
    <n v="17990249738"/>
    <n v="12308163029"/>
    <n v="5682086709"/>
    <n v="11989239697"/>
    <n v="6001010041"/>
  </r>
  <r>
    <s v="[BE] - Cashloan"/>
    <x v="1"/>
    <x v="0"/>
    <x v="4"/>
    <n v="17980952413"/>
    <n v="12296499227"/>
    <n v="5684453186"/>
    <n v="12004354221"/>
    <n v="5976598192"/>
  </r>
  <r>
    <s v="[BE] - Cashloan"/>
    <x v="1"/>
    <x v="0"/>
    <x v="5"/>
    <n v="17960200943"/>
    <n v="12305385614"/>
    <n v="5654815329"/>
    <n v="12038644913"/>
    <n v="5921556030"/>
  </r>
  <r>
    <s v="[BE] - Cashloan"/>
    <x v="1"/>
    <x v="0"/>
    <x v="6"/>
    <n v="17905292773"/>
    <n v="12266095824"/>
    <n v="5639196949"/>
    <n v="12053730488"/>
    <n v="5851562285"/>
  </r>
  <r>
    <s v="[BE] - Cashloan"/>
    <x v="1"/>
    <x v="0"/>
    <x v="7"/>
    <n v="17863337882"/>
    <n v="12316471673"/>
    <n v="5546866209"/>
    <n v="12066559808"/>
    <n v="5796778074"/>
  </r>
  <r>
    <s v="[BE] - Cashloan"/>
    <x v="1"/>
    <x v="0"/>
    <x v="8"/>
    <n v="17814090141"/>
    <n v="12307809526"/>
    <n v="5506280615"/>
    <n v="12107710934"/>
    <n v="5706379207"/>
  </r>
  <r>
    <s v="[BE] - Cashloan"/>
    <x v="1"/>
    <x v="0"/>
    <x v="9"/>
    <n v="17774547455"/>
    <n v="12258052695"/>
    <n v="5516494760"/>
    <n v="12095453031"/>
    <n v="5679094424"/>
  </r>
  <r>
    <s v="[BE] - Cashloan"/>
    <x v="1"/>
    <x v="0"/>
    <x v="10"/>
    <n v="17732837992"/>
    <n v="12216583008"/>
    <n v="5516254984"/>
    <n v="12076179738"/>
    <n v="5656658254"/>
  </r>
  <r>
    <s v="[BE] - Cashloan"/>
    <x v="1"/>
    <x v="0"/>
    <x v="11"/>
    <n v="17684222231"/>
    <n v="12220119520"/>
    <n v="5464102711"/>
    <n v="12102450961"/>
    <n v="5581771270"/>
  </r>
  <r>
    <s v="[BE] - Cashloan"/>
    <x v="1"/>
    <x v="0"/>
    <x v="12"/>
    <n v="17680683475"/>
    <n v="12230923682"/>
    <n v="5449759793"/>
    <n v="12112522446"/>
    <n v="5568161029"/>
  </r>
  <r>
    <s v="[BE] - Cashloan"/>
    <x v="1"/>
    <x v="0"/>
    <x v="13"/>
    <n v="17647795653"/>
    <n v="12229799330"/>
    <n v="5417996323"/>
    <n v="12117046030"/>
    <n v="5530749623"/>
  </r>
  <r>
    <s v="[BE] - Cashloan"/>
    <x v="1"/>
    <x v="0"/>
    <x v="14"/>
    <n v="17624796189"/>
    <n v="12281170737"/>
    <n v="5343625452"/>
    <n v="12121542003"/>
    <n v="5503254186"/>
  </r>
  <r>
    <s v="[BE] - Cashloan"/>
    <x v="1"/>
    <x v="0"/>
    <x v="15"/>
    <n v="17585819857"/>
    <n v="12278023658"/>
    <n v="5307796199"/>
    <n v="12113449828"/>
    <n v="5472370029"/>
  </r>
  <r>
    <s v="[BE] - Cashloan"/>
    <x v="1"/>
    <x v="0"/>
    <x v="16"/>
    <n v="17538717481"/>
    <n v="12277701414"/>
    <n v="5261016067"/>
    <n v="12113149828"/>
    <n v="5425567653"/>
  </r>
  <r>
    <s v="[BE] - Cashloan"/>
    <x v="1"/>
    <x v="0"/>
    <x v="17"/>
    <n v="17507815437"/>
    <n v="12291071635"/>
    <n v="5216743802"/>
    <n v="12150262018"/>
    <n v="5357553419"/>
  </r>
  <r>
    <s v="[BE] - Cashloan"/>
    <x v="1"/>
    <x v="0"/>
    <x v="18"/>
    <n v="17477667888"/>
    <n v="12299517642"/>
    <n v="5178150246"/>
    <n v="12157539012"/>
    <n v="5320128876"/>
  </r>
  <r>
    <s v="[BE] - Cashloan"/>
    <x v="1"/>
    <x v="0"/>
    <x v="19"/>
    <n v="17470595951"/>
    <n v="12300292521"/>
    <n v="5170303430"/>
    <n v="12147014791"/>
    <n v="5323581160"/>
  </r>
  <r>
    <s v="[BE] - Cashloan"/>
    <x v="1"/>
    <x v="0"/>
    <x v="20"/>
    <n v="17421098460"/>
    <n v="12259034448"/>
    <n v="5162064012"/>
    <n v="12140680173"/>
    <n v="5280418287"/>
  </r>
  <r>
    <s v="[BE] - Cashloan"/>
    <x v="1"/>
    <x v="0"/>
    <x v="21"/>
    <n v="17389330312"/>
    <n v="12317510824"/>
    <n v="5071819488"/>
    <n v="12146761512"/>
    <n v="5242568800"/>
  </r>
  <r>
    <s v="[BE] - Cashloan"/>
    <x v="1"/>
    <x v="0"/>
    <x v="22"/>
    <n v="17363219829"/>
    <n v="12306499175"/>
    <n v="5056720654"/>
    <n v="12146011512"/>
    <n v="5217208317"/>
  </r>
  <r>
    <s v="[BE] - Cashloan"/>
    <x v="1"/>
    <x v="0"/>
    <x v="23"/>
    <n v="17353488586"/>
    <n v="12327691793"/>
    <n v="5025796793"/>
    <n v="12119618336"/>
    <n v="5233870250"/>
  </r>
  <r>
    <s v="[BE] - Cashloan"/>
    <x v="1"/>
    <x v="0"/>
    <x v="24"/>
    <n v="17329954638"/>
    <n v="12297634954"/>
    <n v="5032319684"/>
    <n v="12132834571"/>
    <n v="5197120067"/>
  </r>
  <r>
    <s v="[BE] - Cashloan"/>
    <x v="1"/>
    <x v="0"/>
    <x v="25"/>
    <n v="17257537508"/>
    <n v="12327181988"/>
    <n v="4930355520"/>
    <n v="12126655422"/>
    <n v="5130882086"/>
  </r>
  <r>
    <s v="[BE] - Cashloan"/>
    <x v="1"/>
    <x v="0"/>
    <x v="26"/>
    <n v="17252386790"/>
    <n v="12343732520"/>
    <n v="4908654270"/>
    <n v="12126655422"/>
    <n v="5125731368"/>
  </r>
  <r>
    <s v="[BE] - Cashloan"/>
    <x v="1"/>
    <x v="0"/>
    <x v="27"/>
    <n v="17148499647"/>
    <n v="12275601493"/>
    <n v="4872898154"/>
    <n v="12129811360"/>
    <n v="5018688287"/>
  </r>
  <r>
    <s v="[BE] - Cashloan"/>
    <x v="1"/>
    <x v="0"/>
    <x v="28"/>
    <n v="17140205941"/>
    <n v="12342941965"/>
    <n v="4797263976"/>
    <n v="12135157847"/>
    <n v="5005048094"/>
  </r>
  <r>
    <s v="[BE] - Cashloan"/>
    <x v="1"/>
    <x v="0"/>
    <x v="29"/>
    <n v="17132675490"/>
    <n v="12311466569"/>
    <n v="4821208921"/>
    <n v="12135778172"/>
    <n v="4996897318"/>
  </r>
  <r>
    <s v="[BE] - Cashloan"/>
    <x v="1"/>
    <x v="0"/>
    <x v="30"/>
    <n v="17131897251"/>
    <n v="12309894159"/>
    <n v="4822003092"/>
    <n v="12134205762"/>
    <n v="4997691489"/>
  </r>
  <r>
    <s v="[BE] - Cashloan"/>
    <x v="1"/>
    <x v="0"/>
    <x v="31"/>
    <n v="17115866366"/>
    <n v="12280741685"/>
    <n v="4835124681"/>
    <n v="12118755183"/>
    <n v="4997111183"/>
  </r>
  <r>
    <s v="[BE] - Cashloan"/>
    <x v="1"/>
    <x v="0"/>
    <x v="32"/>
    <n v="17085875422"/>
    <n v="12325909455"/>
    <n v="4759965967"/>
    <n v="12120317887"/>
    <n v="4965557535"/>
  </r>
  <r>
    <s v="[BE] - Cashloan"/>
    <x v="1"/>
    <x v="0"/>
    <x v="33"/>
    <n v="17082143518"/>
    <n v="12390809859"/>
    <n v="4691333659"/>
    <n v="12124907078"/>
    <n v="4957236440"/>
  </r>
  <r>
    <s v="[BE] - Cashloan"/>
    <x v="1"/>
    <x v="0"/>
    <x v="34"/>
    <n v="17039488840"/>
    <n v="12335849401"/>
    <n v="4703639439"/>
    <n v="12112155532"/>
    <n v="4927333308"/>
  </r>
  <r>
    <s v="[BE] - Cashloan"/>
    <x v="1"/>
    <x v="0"/>
    <x v="35"/>
    <n v="17012966326"/>
    <n v="12337791936"/>
    <n v="4675174390"/>
    <n v="12160658510"/>
    <n v="4852307816"/>
  </r>
  <r>
    <s v="[BE] - Cashloan"/>
    <x v="1"/>
    <x v="0"/>
    <x v="36"/>
    <n v="16987769994"/>
    <n v="12332579091"/>
    <n v="4655190903"/>
    <n v="12177513536"/>
    <n v="4810256458"/>
  </r>
  <r>
    <s v="[BE] - Cashloan"/>
    <x v="1"/>
    <x v="0"/>
    <x v="37"/>
    <n v="16953341869"/>
    <n v="12370870621"/>
    <n v="4582471248"/>
    <n v="12177059782"/>
    <n v="4776282087"/>
  </r>
  <r>
    <s v="[BE] - Cashloan"/>
    <x v="1"/>
    <x v="0"/>
    <x v="38"/>
    <n v="16916688995"/>
    <n v="12335613173"/>
    <n v="4581075822"/>
    <n v="12206685387"/>
    <n v="4710003608"/>
  </r>
  <r>
    <s v="[BE] - Cashloan"/>
    <x v="1"/>
    <x v="0"/>
    <x v="39"/>
    <n v="16885511252"/>
    <n v="12326255463"/>
    <n v="4559255789"/>
    <n v="12206685387"/>
    <n v="4678825865"/>
  </r>
  <r>
    <s v="[BE] - Cashloan"/>
    <x v="1"/>
    <x v="0"/>
    <x v="40"/>
    <n v="16882205851"/>
    <n v="12331783970"/>
    <n v="4550421881"/>
    <n v="12198593388"/>
    <n v="4683612463"/>
  </r>
  <r>
    <s v="[BE] - Cashloan"/>
    <x v="1"/>
    <x v="0"/>
    <x v="41"/>
    <n v="16832934651"/>
    <n v="12307084213"/>
    <n v="4525850438"/>
    <n v="12197232030"/>
    <n v="4635702621"/>
  </r>
  <r>
    <s v="[BE] - Cashloan"/>
    <x v="1"/>
    <x v="0"/>
    <x v="42"/>
    <n v="16799680838"/>
    <n v="12278128392"/>
    <n v="4521552446"/>
    <n v="12207784763"/>
    <n v="4591896075"/>
  </r>
  <r>
    <s v="[BE] - Cashloan"/>
    <x v="1"/>
    <x v="0"/>
    <x v="43"/>
    <n v="16767659056"/>
    <n v="12312606692"/>
    <n v="4455052364"/>
    <n v="12204812021"/>
    <n v="4562847035"/>
  </r>
  <r>
    <s v="[BE] - Cashloan"/>
    <x v="1"/>
    <x v="0"/>
    <x v="44"/>
    <n v="16750804464"/>
    <n v="12317987514"/>
    <n v="4432816950"/>
    <n v="12202263710"/>
    <n v="4548540754"/>
  </r>
  <r>
    <s v="[BE] - Cashloan"/>
    <x v="1"/>
    <x v="0"/>
    <x v="45"/>
    <n v="16721475081"/>
    <n v="12316781015"/>
    <n v="4404694066"/>
    <n v="12204709254"/>
    <n v="4516765827"/>
  </r>
  <r>
    <s v="[BE] - Cashloan"/>
    <x v="1"/>
    <x v="0"/>
    <x v="46"/>
    <n v="16703135686"/>
    <n v="12321416701"/>
    <n v="4381718985"/>
    <n v="12207811001"/>
    <n v="4495324685"/>
  </r>
  <r>
    <s v="[BE] - Cashloan"/>
    <x v="1"/>
    <x v="0"/>
    <x v="47"/>
    <n v="16701920826"/>
    <n v="12321414701"/>
    <n v="4380506125"/>
    <n v="12217390853"/>
    <n v="4484529973"/>
  </r>
  <r>
    <s v="[BE] - Cashloan"/>
    <x v="1"/>
    <x v="0"/>
    <x v="48"/>
    <n v="16672790607"/>
    <n v="12296155028"/>
    <n v="4376635579"/>
    <n v="12197327684"/>
    <n v="4475462923"/>
  </r>
  <r>
    <s v="[BE] - Cashloan"/>
    <x v="1"/>
    <x v="0"/>
    <x v="49"/>
    <n v="16646667716"/>
    <n v="12321641378"/>
    <n v="4325026338"/>
    <n v="12185127291"/>
    <n v="4461540425"/>
  </r>
  <r>
    <s v="[BE] - Cashloan"/>
    <x v="1"/>
    <x v="0"/>
    <x v="50"/>
    <n v="16619981400"/>
    <n v="12312155796"/>
    <n v="4307825604"/>
    <n v="12184527291"/>
    <n v="4435454109"/>
  </r>
  <r>
    <s v="[BE] - Cashloan"/>
    <x v="1"/>
    <x v="0"/>
    <x v="51"/>
    <n v="16600869106"/>
    <n v="12316435972"/>
    <n v="4284433134"/>
    <n v="12184378064"/>
    <n v="4416491042"/>
  </r>
  <r>
    <s v="[BE] - Cashloan"/>
    <x v="1"/>
    <x v="0"/>
    <x v="52"/>
    <n v="16577352428"/>
    <n v="12357088199"/>
    <n v="4220264229"/>
    <n v="12184348064"/>
    <n v="4393004364"/>
  </r>
  <r>
    <s v="[BE] - Cashloan"/>
    <x v="1"/>
    <x v="0"/>
    <x v="53"/>
    <n v="16553942866"/>
    <n v="12346218331"/>
    <n v="4207724535"/>
    <n v="12199305490"/>
    <n v="4354637376"/>
  </r>
  <r>
    <s v="[BE] - Cashloan"/>
    <x v="1"/>
    <x v="0"/>
    <x v="54"/>
    <n v="16547882548"/>
    <n v="12389994357"/>
    <n v="4157888191"/>
    <n v="12201578935"/>
    <n v="4346303613"/>
  </r>
  <r>
    <s v="[BE] - Cashloan"/>
    <x v="1"/>
    <x v="0"/>
    <x v="55"/>
    <n v="16504978648"/>
    <n v="12365940261"/>
    <n v="4139038387"/>
    <n v="12217433522"/>
    <n v="4287545126"/>
  </r>
  <r>
    <s v="[BE] - Cashloan"/>
    <x v="1"/>
    <x v="0"/>
    <x v="56"/>
    <n v="16451401544"/>
    <n v="12386669662"/>
    <n v="4064731882"/>
    <n v="12221920409"/>
    <n v="4229481135"/>
  </r>
  <r>
    <s v="[BE] - Cashloan"/>
    <x v="1"/>
    <x v="0"/>
    <x v="57"/>
    <n v="16436393963"/>
    <n v="12371664332"/>
    <n v="4064729631"/>
    <n v="12221531677"/>
    <n v="4214862286"/>
  </r>
  <r>
    <s v="[BE] - Cashloan"/>
    <x v="1"/>
    <x v="0"/>
    <x v="58"/>
    <n v="16359847122"/>
    <n v="12384294704"/>
    <n v="3975552418"/>
    <n v="12215286364"/>
    <n v="4144560758"/>
  </r>
  <r>
    <s v="[BE] - Cashloan"/>
    <x v="1"/>
    <x v="0"/>
    <x v="59"/>
    <n v="16350626660"/>
    <n v="12432420524"/>
    <n v="3918206136"/>
    <n v="12243187137"/>
    <n v="4107439523"/>
  </r>
  <r>
    <s v="[BE] - Cashloan"/>
    <x v="1"/>
    <x v="0"/>
    <x v="60"/>
    <n v="16346934397"/>
    <n v="12400672225"/>
    <n v="3946262172"/>
    <n v="12243272831"/>
    <n v="4103661566"/>
  </r>
  <r>
    <s v="[BE] - Cashloan"/>
    <x v="1"/>
    <x v="0"/>
    <x v="61"/>
    <n v="16346934397"/>
    <n v="12400672225"/>
    <n v="3946262172"/>
    <n v="12243272831"/>
    <n v="4103661566"/>
  </r>
  <r>
    <s v="[BE] - Cashloan"/>
    <x v="1"/>
    <x v="0"/>
    <x v="62"/>
    <n v="16345894604"/>
    <n v="12398556344"/>
    <n v="3947338260"/>
    <n v="12250238791"/>
    <n v="4095655813"/>
  </r>
  <r>
    <s v="[BE] - Cashloan"/>
    <x v="1"/>
    <x v="0"/>
    <x v="63"/>
    <n v="16336850470"/>
    <n v="12352351255"/>
    <n v="3984499215"/>
    <n v="12231638303"/>
    <n v="4105212167"/>
  </r>
  <r>
    <s v="[BE] - Cashloan"/>
    <x v="1"/>
    <x v="0"/>
    <x v="64"/>
    <n v="16279005658"/>
    <n v="12351602204"/>
    <n v="3927403454"/>
    <n v="12250067124"/>
    <n v="4028938534"/>
  </r>
  <r>
    <s v="[BE] - Cashloan"/>
    <x v="1"/>
    <x v="0"/>
    <x v="65"/>
    <n v="16249458859"/>
    <n v="12421167977"/>
    <n v="3828290882"/>
    <n v="12249847124"/>
    <n v="3999611735"/>
  </r>
  <r>
    <s v="[BE] - Cashloan"/>
    <x v="1"/>
    <x v="0"/>
    <x v="66"/>
    <n v="16228579443"/>
    <n v="12419792834"/>
    <n v="3808786609"/>
    <n v="12252636919"/>
    <n v="3975942524"/>
  </r>
  <r>
    <s v="[BE] - Cashloan"/>
    <x v="1"/>
    <x v="0"/>
    <x v="67"/>
    <n v="16217394573"/>
    <n v="12390714877"/>
    <n v="3826679696"/>
    <n v="12255853049"/>
    <n v="3961541524"/>
  </r>
  <r>
    <s v="[BE] - Cashloan"/>
    <x v="1"/>
    <x v="0"/>
    <x v="68"/>
    <n v="16207103360"/>
    <n v="12414301063"/>
    <n v="3792802297"/>
    <n v="12253114936"/>
    <n v="3953988424"/>
  </r>
  <r>
    <s v="[BE] - Cashloan"/>
    <x v="1"/>
    <x v="0"/>
    <x v="69"/>
    <n v="16151012492"/>
    <n v="12382025715"/>
    <n v="3768986777"/>
    <n v="12289701575"/>
    <n v="3861310917"/>
  </r>
  <r>
    <s v="[BE] - Cashloan"/>
    <x v="1"/>
    <x v="0"/>
    <x v="70"/>
    <n v="16121286380"/>
    <n v="12382559942"/>
    <n v="3738726438"/>
    <n v="12252266666"/>
    <n v="3869019714"/>
  </r>
  <r>
    <s v="[BE] - Cashloan"/>
    <x v="1"/>
    <x v="0"/>
    <x v="71"/>
    <n v="16112065048"/>
    <n v="12375622072"/>
    <n v="3736442976"/>
    <n v="12243797919"/>
    <n v="3868267129"/>
  </r>
  <r>
    <s v="[BE] - Cashloan"/>
    <x v="1"/>
    <x v="0"/>
    <x v="72"/>
    <n v="16091542713"/>
    <n v="12371377032"/>
    <n v="3720165681"/>
    <n v="12243267919"/>
    <n v="3848274794"/>
  </r>
  <r>
    <s v="[BE] - Cashloan"/>
    <x v="1"/>
    <x v="0"/>
    <x v="73"/>
    <n v="16072727716"/>
    <n v="12375258058"/>
    <n v="3697469658"/>
    <n v="12243267919"/>
    <n v="3829459797"/>
  </r>
  <r>
    <s v="[BE] - Cashloan"/>
    <x v="1"/>
    <x v="0"/>
    <x v="74"/>
    <n v="16049559936"/>
    <n v="12380673517"/>
    <n v="3668886419"/>
    <n v="12239127686"/>
    <n v="3810432250"/>
  </r>
  <r>
    <s v="[BE] - Cashloan"/>
    <x v="1"/>
    <x v="0"/>
    <x v="75"/>
    <n v="16040861253"/>
    <n v="12377404173"/>
    <n v="3663457080"/>
    <n v="12266328939"/>
    <n v="3774532314"/>
  </r>
  <r>
    <s v="[BE] - Cashloan"/>
    <x v="1"/>
    <x v="0"/>
    <x v="76"/>
    <n v="16007436918"/>
    <n v="12370262169"/>
    <n v="3637174749"/>
    <n v="12265694724"/>
    <n v="3741742194"/>
  </r>
  <r>
    <s v="[BE] - Cashloan"/>
    <x v="1"/>
    <x v="0"/>
    <x v="77"/>
    <n v="16013727085"/>
    <n v="12369197697"/>
    <n v="3644529388"/>
    <n v="12276164579"/>
    <n v="3737562506"/>
  </r>
  <r>
    <s v="[BE] - Cashloan"/>
    <x v="1"/>
    <x v="0"/>
    <x v="78"/>
    <n v="15980019772"/>
    <n v="12370313759"/>
    <n v="3609706013"/>
    <n v="12271448707"/>
    <n v="3708571065"/>
  </r>
  <r>
    <s v="[BE] - Cashloan"/>
    <x v="1"/>
    <x v="0"/>
    <x v="79"/>
    <n v="15960867618"/>
    <n v="12357043569"/>
    <n v="3603824049"/>
    <n v="12263037089"/>
    <n v="3697830529"/>
  </r>
  <r>
    <s v="[BE] - Cashloan"/>
    <x v="1"/>
    <x v="0"/>
    <x v="80"/>
    <n v="15940649594"/>
    <n v="12362386573"/>
    <n v="3578263021"/>
    <n v="12273201013"/>
    <n v="3667448581"/>
  </r>
  <r>
    <s v="[BE] - Cashloan"/>
    <x v="1"/>
    <x v="0"/>
    <x v="81"/>
    <n v="15919611734"/>
    <n v="12361850146"/>
    <n v="3557761588"/>
    <n v="12273201013"/>
    <n v="3646410721"/>
  </r>
  <r>
    <s v="[BE] - Cashloan"/>
    <x v="1"/>
    <x v="0"/>
    <x v="82"/>
    <n v="15915031486"/>
    <n v="12350286429"/>
    <n v="3564745057"/>
    <n v="12263943183"/>
    <n v="3651088303"/>
  </r>
  <r>
    <s v="[BE] - Cashloan"/>
    <x v="1"/>
    <x v="0"/>
    <x v="83"/>
    <n v="15884296533"/>
    <n v="12350273429"/>
    <n v="3534023104"/>
    <n v="12271702809"/>
    <n v="3612593724"/>
  </r>
  <r>
    <s v="[BE] - Cashloan"/>
    <x v="1"/>
    <x v="0"/>
    <x v="84"/>
    <n v="15880631092"/>
    <n v="12418432488"/>
    <n v="3462198604"/>
    <n v="12279520048"/>
    <n v="3601111044"/>
  </r>
  <r>
    <s v="[BE] - Cashloan"/>
    <x v="1"/>
    <x v="0"/>
    <x v="85"/>
    <n v="15854920994"/>
    <n v="12424747900"/>
    <n v="3430173094"/>
    <n v="12293732441"/>
    <n v="3561188553"/>
  </r>
  <r>
    <s v="[BE] - Cashloan"/>
    <x v="1"/>
    <x v="0"/>
    <x v="86"/>
    <n v="15836609818"/>
    <n v="12404300454"/>
    <n v="3432309364"/>
    <n v="12273864299"/>
    <n v="3562745519"/>
  </r>
  <r>
    <s v="[BE] - Cashloan"/>
    <x v="1"/>
    <x v="0"/>
    <x v="87"/>
    <n v="15811254028"/>
    <n v="12393084816"/>
    <n v="3418169212"/>
    <n v="12290087375"/>
    <n v="3521166653"/>
  </r>
  <r>
    <s v="[BE] - Cashloan"/>
    <x v="1"/>
    <x v="0"/>
    <x v="88"/>
    <n v="15795886303"/>
    <n v="12396206736"/>
    <n v="3399679567"/>
    <n v="12285441561"/>
    <n v="3510444742"/>
  </r>
  <r>
    <s v="[BE] - Cashloan"/>
    <x v="1"/>
    <x v="0"/>
    <x v="89"/>
    <n v="15794415339"/>
    <n v="12396250953"/>
    <n v="3398164386"/>
    <n v="12284657218"/>
    <n v="3509758121"/>
  </r>
  <r>
    <s v="[BE] - Cashloan"/>
    <x v="1"/>
    <x v="0"/>
    <x v="90"/>
    <n v="15727029452"/>
    <n v="12372249657"/>
    <n v="3354779795"/>
    <n v="12268907218"/>
    <n v="3458122234"/>
  </r>
  <r>
    <s v="[BE] - Cashloan"/>
    <x v="1"/>
    <x v="0"/>
    <x v="91"/>
    <n v="15713816080"/>
    <n v="12408649540"/>
    <n v="3305166540"/>
    <n v="12267838457"/>
    <n v="3445977623"/>
  </r>
  <r>
    <s v="[BE] - Paylater"/>
    <x v="2"/>
    <x v="0"/>
    <x v="0"/>
    <n v="13156848792"/>
    <n v="3729223138"/>
    <n v="9427625654"/>
    <n v="3729223138"/>
    <n v="9427625654"/>
  </r>
  <r>
    <s v="[BE] - Paylater"/>
    <x v="2"/>
    <x v="0"/>
    <x v="1"/>
    <n v="13170087242"/>
    <n v="3718465381"/>
    <n v="9451621861"/>
    <n v="3718465381"/>
    <n v="9451621861"/>
  </r>
  <r>
    <s v="[BE] - Paylater"/>
    <x v="2"/>
    <x v="0"/>
    <x v="2"/>
    <n v="13125190782"/>
    <n v="3711081182"/>
    <n v="9414109600"/>
    <n v="3711081182"/>
    <n v="9414109600"/>
  </r>
  <r>
    <s v="[BE] - Paylater"/>
    <x v="2"/>
    <x v="0"/>
    <x v="3"/>
    <n v="12960882660"/>
    <n v="3694961902"/>
    <n v="9265920758"/>
    <n v="3694961902"/>
    <n v="9265920758"/>
  </r>
  <r>
    <s v="[BE] - Paylater"/>
    <x v="2"/>
    <x v="0"/>
    <x v="4"/>
    <n v="12558053874"/>
    <n v="3678321987"/>
    <n v="8879731887"/>
    <n v="3678321987"/>
    <n v="8879731887"/>
  </r>
  <r>
    <s v="[BE] - Paylater"/>
    <x v="2"/>
    <x v="0"/>
    <x v="5"/>
    <n v="12680947472"/>
    <n v="5310714564"/>
    <n v="7370232908"/>
    <n v="3672660809"/>
    <n v="9008286663"/>
  </r>
  <r>
    <s v="[BE] - Paylater"/>
    <x v="2"/>
    <x v="0"/>
    <x v="6"/>
    <n v="12754764576"/>
    <n v="4875390410"/>
    <n v="7879374166"/>
    <n v="3664774293"/>
    <n v="9089990283"/>
  </r>
  <r>
    <s v="[BE] - Paylater"/>
    <x v="2"/>
    <x v="0"/>
    <x v="7"/>
    <n v="12901265617"/>
    <n v="4727454468"/>
    <n v="8173811149"/>
    <n v="3659306090"/>
    <n v="9241959527"/>
  </r>
  <r>
    <s v="[BE] - Paylater"/>
    <x v="2"/>
    <x v="0"/>
    <x v="8"/>
    <n v="13105318147"/>
    <n v="4624171703"/>
    <n v="8481146444"/>
    <n v="3652491029"/>
    <n v="9452827118"/>
  </r>
  <r>
    <s v="[BE] - Paylater"/>
    <x v="2"/>
    <x v="0"/>
    <x v="9"/>
    <n v="13300189775"/>
    <n v="4507152920"/>
    <n v="8793036855"/>
    <n v="3642649944"/>
    <n v="9657539831"/>
  </r>
  <r>
    <s v="[BE] - Paylater"/>
    <x v="2"/>
    <x v="0"/>
    <x v="10"/>
    <n v="13447326118"/>
    <n v="4433179336"/>
    <n v="9014146782"/>
    <n v="3638963818"/>
    <n v="9808362300"/>
  </r>
  <r>
    <s v="[BE] - Paylater"/>
    <x v="2"/>
    <x v="0"/>
    <x v="11"/>
    <n v="13614386992"/>
    <n v="4388039623"/>
    <n v="9226347369"/>
    <n v="3634811371"/>
    <n v="9979575621"/>
  </r>
  <r>
    <s v="[BE] - Paylater"/>
    <x v="2"/>
    <x v="0"/>
    <x v="12"/>
    <n v="13773045069"/>
    <n v="4367190946"/>
    <n v="9405854123"/>
    <n v="3630300125"/>
    <n v="10142744944"/>
  </r>
  <r>
    <s v="[BE] - Paylater"/>
    <x v="2"/>
    <x v="0"/>
    <x v="13"/>
    <n v="13927418186"/>
    <n v="4335443618"/>
    <n v="9591974568"/>
    <n v="3621622109"/>
    <n v="10305796077"/>
  </r>
  <r>
    <s v="[BE] - Paylater"/>
    <x v="2"/>
    <x v="0"/>
    <x v="14"/>
    <n v="14074392099"/>
    <n v="4290923015"/>
    <n v="9783469084"/>
    <n v="3616308708"/>
    <n v="10458083391"/>
  </r>
  <r>
    <s v="[BE] - Paylater"/>
    <x v="2"/>
    <x v="0"/>
    <x v="15"/>
    <n v="14206702953"/>
    <n v="4262131918"/>
    <n v="9944571035"/>
    <n v="4262131918"/>
    <n v="9944571035"/>
  </r>
  <r>
    <s v="[BE] - Paylater"/>
    <x v="2"/>
    <x v="0"/>
    <x v="16"/>
    <n v="14340575147"/>
    <n v="4244541515"/>
    <n v="10096033632"/>
    <n v="4244541515"/>
    <n v="10096033632"/>
  </r>
  <r>
    <s v="[BE] - Paylater"/>
    <x v="2"/>
    <x v="0"/>
    <x v="17"/>
    <n v="14481877002"/>
    <n v="4223908173"/>
    <n v="10257968829"/>
    <n v="4223908173"/>
    <n v="10257968829"/>
  </r>
  <r>
    <s v="[BE] - Paylater"/>
    <x v="2"/>
    <x v="0"/>
    <x v="18"/>
    <n v="14610156083"/>
    <n v="4207164548"/>
    <n v="10402991535"/>
    <n v="4207164548"/>
    <n v="10402991535"/>
  </r>
  <r>
    <s v="[BE] - Paylater"/>
    <x v="2"/>
    <x v="0"/>
    <x v="19"/>
    <n v="14766793735"/>
    <n v="4197163994"/>
    <n v="10569629741"/>
    <n v="4197163994"/>
    <n v="10569629741"/>
  </r>
  <r>
    <s v="[BE] - Paylater"/>
    <x v="2"/>
    <x v="0"/>
    <x v="20"/>
    <n v="14778014449"/>
    <n v="4176867372"/>
    <n v="10601147077"/>
    <n v="4176867372"/>
    <n v="10601147077"/>
  </r>
  <r>
    <s v="[BE] - Paylater"/>
    <x v="2"/>
    <x v="0"/>
    <x v="21"/>
    <n v="14834240281"/>
    <n v="4165925359"/>
    <n v="10668314922"/>
    <n v="4165925359"/>
    <n v="10668314922"/>
  </r>
  <r>
    <s v="[BE] - Paylater"/>
    <x v="2"/>
    <x v="0"/>
    <x v="22"/>
    <n v="14931029084"/>
    <n v="4161928693"/>
    <n v="10769100391"/>
    <n v="4161928693"/>
    <n v="10769100391"/>
  </r>
  <r>
    <s v="[BE] - Paylater"/>
    <x v="2"/>
    <x v="0"/>
    <x v="23"/>
    <n v="15034394736"/>
    <n v="4152895741"/>
    <n v="10881498995"/>
    <n v="4152895741"/>
    <n v="10881498995"/>
  </r>
  <r>
    <s v="[BE] - Paylater"/>
    <x v="2"/>
    <x v="0"/>
    <x v="24"/>
    <n v="15100159744"/>
    <n v="4137663532"/>
    <n v="10962496212"/>
    <n v="4137663532"/>
    <n v="10962496212"/>
  </r>
  <r>
    <s v="[BE] - Paylater"/>
    <x v="2"/>
    <x v="0"/>
    <x v="25"/>
    <n v="15205376372"/>
    <n v="4120666412"/>
    <n v="11084709960"/>
    <n v="4120666412"/>
    <n v="11084709960"/>
  </r>
  <r>
    <s v="[BE] - Paylater"/>
    <x v="2"/>
    <x v="0"/>
    <x v="26"/>
    <n v="15334235907"/>
    <n v="4115465875"/>
    <n v="11218770032"/>
    <n v="4115465875"/>
    <n v="11218770032"/>
  </r>
  <r>
    <s v="[BE] - Paylater"/>
    <x v="2"/>
    <x v="0"/>
    <x v="27"/>
    <n v="15388687420"/>
    <n v="4105471425"/>
    <n v="11283215995"/>
    <n v="4105471425"/>
    <n v="11283215995"/>
  </r>
  <r>
    <s v="[BE] - Paylater"/>
    <x v="2"/>
    <x v="0"/>
    <x v="28"/>
    <n v="15418979778"/>
    <n v="4102338887"/>
    <n v="11316640891"/>
    <n v="4102338887"/>
    <n v="11316640891"/>
  </r>
  <r>
    <s v="[BE] - Paylater"/>
    <x v="2"/>
    <x v="0"/>
    <x v="29"/>
    <n v="15453694042"/>
    <n v="4094764973"/>
    <n v="11358929069"/>
    <n v="4094764973"/>
    <n v="11358929069"/>
  </r>
  <r>
    <s v="[BE] - Paylater"/>
    <x v="2"/>
    <x v="0"/>
    <x v="30"/>
    <n v="15461756531"/>
    <n v="4083063304"/>
    <n v="11378693227"/>
    <n v="4083063304"/>
    <n v="11378693227"/>
  </r>
  <r>
    <s v="[BE] - Paylater"/>
    <x v="2"/>
    <x v="0"/>
    <x v="31"/>
    <n v="15420446962"/>
    <n v="4075425237"/>
    <n v="11345021725"/>
    <n v="4075425237"/>
    <n v="11345021725"/>
  </r>
  <r>
    <s v="[BE] - Paylater"/>
    <x v="2"/>
    <x v="0"/>
    <x v="32"/>
    <n v="15455579840"/>
    <n v="4067866086"/>
    <n v="11387713754"/>
    <n v="4067866086"/>
    <n v="11387713754"/>
  </r>
  <r>
    <s v="[BE] - Paylater"/>
    <x v="2"/>
    <x v="0"/>
    <x v="33"/>
    <n v="15429884726"/>
    <n v="4064815942"/>
    <n v="11365068784"/>
    <n v="4064815942"/>
    <n v="11365068784"/>
  </r>
  <r>
    <s v="[BE] - Paylater"/>
    <x v="2"/>
    <x v="0"/>
    <x v="34"/>
    <n v="15022991042"/>
    <n v="4050983020"/>
    <n v="10972008022"/>
    <n v="4050983020"/>
    <n v="10972008022"/>
  </r>
  <r>
    <s v="[BE] - Paylater"/>
    <x v="2"/>
    <x v="0"/>
    <x v="35"/>
    <n v="15028455142"/>
    <n v="5703080420"/>
    <n v="9325374722"/>
    <n v="4040752979"/>
    <n v="10987702163"/>
  </r>
  <r>
    <s v="[BE] - Paylater"/>
    <x v="2"/>
    <x v="0"/>
    <x v="36"/>
    <n v="15129967612"/>
    <n v="5445867596"/>
    <n v="9684100016"/>
    <n v="4037128896"/>
    <n v="11092838716"/>
  </r>
  <r>
    <s v="[BE] - Paylater"/>
    <x v="2"/>
    <x v="0"/>
    <x v="37"/>
    <n v="15247258659"/>
    <n v="5301065521"/>
    <n v="9946193138"/>
    <n v="4030897622"/>
    <n v="11216361037"/>
  </r>
  <r>
    <s v="[BE] - Paylater"/>
    <x v="2"/>
    <x v="0"/>
    <x v="38"/>
    <n v="15349817823"/>
    <n v="5202048503"/>
    <n v="10147769320"/>
    <n v="4020541131"/>
    <n v="11329276692"/>
  </r>
  <r>
    <s v="[BE] - Paylater"/>
    <x v="2"/>
    <x v="0"/>
    <x v="39"/>
    <n v="15472250473"/>
    <n v="5041951847"/>
    <n v="10430298626"/>
    <n v="4015917344"/>
    <n v="11456333129"/>
  </r>
  <r>
    <s v="[BE] - Paylater"/>
    <x v="2"/>
    <x v="0"/>
    <x v="40"/>
    <n v="15600410467"/>
    <n v="4973745376"/>
    <n v="10626665091"/>
    <n v="4010177106"/>
    <n v="11590233361"/>
  </r>
  <r>
    <s v="[BE] - Paylater"/>
    <x v="2"/>
    <x v="0"/>
    <x v="41"/>
    <n v="15730526675"/>
    <n v="4925095901"/>
    <n v="10805430774"/>
    <n v="4005627404"/>
    <n v="11724899271"/>
  </r>
  <r>
    <s v="[BE] - Paylater"/>
    <x v="2"/>
    <x v="0"/>
    <x v="42"/>
    <n v="15877107594"/>
    <n v="4866354089"/>
    <n v="11010753505"/>
    <n v="4000361585"/>
    <n v="11876746009"/>
  </r>
  <r>
    <s v="[BE] - Paylater"/>
    <x v="2"/>
    <x v="0"/>
    <x v="43"/>
    <n v="15998586318"/>
    <n v="4824741897"/>
    <n v="11173844421"/>
    <n v="3997504936"/>
    <n v="12001081382"/>
  </r>
  <r>
    <s v="[BE] - Paylater"/>
    <x v="2"/>
    <x v="0"/>
    <x v="44"/>
    <n v="16140008207"/>
    <n v="4758217807"/>
    <n v="11381790400"/>
    <n v="3993238024"/>
    <n v="12146770183"/>
  </r>
  <r>
    <s v="[BE] - Paylater"/>
    <x v="2"/>
    <x v="0"/>
    <x v="45"/>
    <n v="16272256703"/>
    <n v="4717696977"/>
    <n v="11554559726"/>
    <n v="4717696977"/>
    <n v="11554559726"/>
  </r>
  <r>
    <s v="[BE] - Paylater"/>
    <x v="2"/>
    <x v="0"/>
    <x v="46"/>
    <n v="16417118525"/>
    <n v="4699878023"/>
    <n v="11717240502"/>
    <n v="4699878023"/>
    <n v="11717240502"/>
  </r>
  <r>
    <s v="[BE] - Paylater"/>
    <x v="2"/>
    <x v="0"/>
    <x v="47"/>
    <n v="16538136842"/>
    <n v="4688082577"/>
    <n v="11850054265"/>
    <n v="4688082577"/>
    <n v="11850054265"/>
  </r>
  <r>
    <s v="[BE] - Paylater"/>
    <x v="2"/>
    <x v="0"/>
    <x v="48"/>
    <n v="16644646135"/>
    <n v="4664873692"/>
    <n v="11979772443"/>
    <n v="4664873692"/>
    <n v="11979772443"/>
  </r>
  <r>
    <s v="[BE] - Paylater"/>
    <x v="2"/>
    <x v="0"/>
    <x v="49"/>
    <n v="16761159680"/>
    <n v="4649474172"/>
    <n v="12111685508"/>
    <n v="4649474172"/>
    <n v="12111685508"/>
  </r>
  <r>
    <s v="[BE] - Paylater"/>
    <x v="2"/>
    <x v="0"/>
    <x v="50"/>
    <n v="16885654244"/>
    <n v="4641286085"/>
    <n v="12244368159"/>
    <n v="4641286085"/>
    <n v="12244368159"/>
  </r>
  <r>
    <s v="[BE] - Paylater"/>
    <x v="2"/>
    <x v="0"/>
    <x v="51"/>
    <n v="16949793085"/>
    <n v="4631763829"/>
    <n v="12318029256"/>
    <n v="4631763829"/>
    <n v="12318029256"/>
  </r>
  <r>
    <s v="[BE] - Paylater"/>
    <x v="2"/>
    <x v="0"/>
    <x v="52"/>
    <n v="17027747202"/>
    <n v="4622748278"/>
    <n v="12404998924"/>
    <n v="4622748278"/>
    <n v="12404998924"/>
  </r>
  <r>
    <s v="[BE] - Paylater"/>
    <x v="2"/>
    <x v="0"/>
    <x v="53"/>
    <n v="17123946074"/>
    <n v="4615901578"/>
    <n v="12508044496"/>
    <n v="4615901578"/>
    <n v="12508044496"/>
  </r>
  <r>
    <s v="[BE] - Paylater"/>
    <x v="2"/>
    <x v="0"/>
    <x v="54"/>
    <n v="17227820979"/>
    <n v="4610826385"/>
    <n v="12616994594"/>
    <n v="4610826385"/>
    <n v="12616994594"/>
  </r>
  <r>
    <s v="[BE] - Paylater"/>
    <x v="2"/>
    <x v="0"/>
    <x v="55"/>
    <n v="17196039619"/>
    <n v="4595870654"/>
    <n v="12600168965"/>
    <n v="4595870654"/>
    <n v="12600168965"/>
  </r>
  <r>
    <s v="[BE] - Paylater"/>
    <x v="2"/>
    <x v="0"/>
    <x v="56"/>
    <n v="17250020213"/>
    <n v="4589600703"/>
    <n v="12660419510"/>
    <n v="4589600703"/>
    <n v="12660419510"/>
  </r>
  <r>
    <s v="[BE] - Paylater"/>
    <x v="2"/>
    <x v="0"/>
    <x v="57"/>
    <n v="17322765979"/>
    <n v="4582558245"/>
    <n v="12740207734"/>
    <n v="4582558245"/>
    <n v="12740207734"/>
  </r>
  <r>
    <s v="[BE] - Paylater"/>
    <x v="2"/>
    <x v="0"/>
    <x v="58"/>
    <n v="17347565818"/>
    <n v="4577209883"/>
    <n v="12770355935"/>
    <n v="4577209883"/>
    <n v="12770355935"/>
  </r>
  <r>
    <s v="[BE] - Paylater"/>
    <x v="2"/>
    <x v="0"/>
    <x v="59"/>
    <n v="17363260156"/>
    <n v="4565092651"/>
    <n v="12798167505"/>
    <n v="4565092651"/>
    <n v="12798167505"/>
  </r>
  <r>
    <s v="[BE] - Paylater"/>
    <x v="2"/>
    <x v="0"/>
    <x v="60"/>
    <n v="17439167941"/>
    <n v="4553908509"/>
    <n v="12885259432"/>
    <n v="4553908509"/>
    <n v="12885259432"/>
  </r>
  <r>
    <s v="[BE] - Paylater"/>
    <x v="2"/>
    <x v="0"/>
    <x v="61"/>
    <n v="17508750374"/>
    <n v="4540468744"/>
    <n v="12968281630"/>
    <n v="4540468744"/>
    <n v="12968281630"/>
  </r>
  <r>
    <s v="[BE] - Paylater"/>
    <x v="2"/>
    <x v="0"/>
    <x v="62"/>
    <n v="17513258312"/>
    <n v="4539035685"/>
    <n v="12974222627"/>
    <n v="4539035685"/>
    <n v="12974222627"/>
  </r>
  <r>
    <s v="[BE] - Paylater"/>
    <x v="2"/>
    <x v="0"/>
    <x v="63"/>
    <n v="17535468117"/>
    <n v="4535424253"/>
    <n v="13000043864"/>
    <n v="4535424253"/>
    <n v="13000043864"/>
  </r>
  <r>
    <s v="[BE] - Paylater"/>
    <x v="2"/>
    <x v="0"/>
    <x v="64"/>
    <n v="17367643126"/>
    <n v="4527568388"/>
    <n v="12840074738"/>
    <n v="4527568388"/>
    <n v="12840074738"/>
  </r>
  <r>
    <s v="[BE] - Paylater"/>
    <x v="2"/>
    <x v="0"/>
    <x v="65"/>
    <n v="16972859278"/>
    <n v="4518329122"/>
    <n v="12454530156"/>
    <n v="4518329122"/>
    <n v="12454530156"/>
  </r>
  <r>
    <s v="[BE] - Paylater"/>
    <x v="2"/>
    <x v="0"/>
    <x v="66"/>
    <n v="16961478452"/>
    <n v="6545521425"/>
    <n v="10415957027"/>
    <n v="4509591966"/>
    <n v="12451886486"/>
  </r>
  <r>
    <s v="[BE] - Paylater"/>
    <x v="2"/>
    <x v="0"/>
    <x v="67"/>
    <n v="17119238651"/>
    <n v="6306243093"/>
    <n v="10812995558"/>
    <n v="4500679076"/>
    <n v="12618559575"/>
  </r>
  <r>
    <s v="[BE] - Paylater"/>
    <x v="2"/>
    <x v="0"/>
    <x v="68"/>
    <n v="17266223746"/>
    <n v="6187065310"/>
    <n v="11079158436"/>
    <n v="4493434404"/>
    <n v="12772789342"/>
  </r>
  <r>
    <s v="[BE] - Paylater"/>
    <x v="2"/>
    <x v="0"/>
    <x v="69"/>
    <n v="17394294785"/>
    <n v="6060409507"/>
    <n v="11333885278"/>
    <n v="4488056789"/>
    <n v="12906237996"/>
  </r>
  <r>
    <s v="[BE] - Paylater"/>
    <x v="2"/>
    <x v="0"/>
    <x v="70"/>
    <n v="17523294550"/>
    <n v="5898787585"/>
    <n v="11624506965"/>
    <n v="4475038624"/>
    <n v="13048255926"/>
  </r>
  <r>
    <s v="[BE] - Paylater"/>
    <x v="2"/>
    <x v="0"/>
    <x v="71"/>
    <n v="17662045129"/>
    <n v="5736130331"/>
    <n v="11925914798"/>
    <n v="4461386593"/>
    <n v="13200658536"/>
  </r>
  <r>
    <s v="[BE] - Paylater"/>
    <x v="2"/>
    <x v="0"/>
    <x v="72"/>
    <n v="17773727881"/>
    <n v="5647436502"/>
    <n v="12126291379"/>
    <n v="4449482275"/>
    <n v="13324245606"/>
  </r>
  <r>
    <s v="[BE] - Paylater"/>
    <x v="2"/>
    <x v="0"/>
    <x v="73"/>
    <n v="17875051414"/>
    <n v="5612905504"/>
    <n v="12262145910"/>
    <n v="4441446510"/>
    <n v="13433604904"/>
  </r>
  <r>
    <s v="[BE] - Paylater"/>
    <x v="2"/>
    <x v="0"/>
    <x v="74"/>
    <n v="18020426945"/>
    <n v="5559972293"/>
    <n v="12460454652"/>
    <n v="4434099194"/>
    <n v="13586327751"/>
  </r>
  <r>
    <s v="[BE] - Paylater"/>
    <x v="2"/>
    <x v="0"/>
    <x v="75"/>
    <n v="18140752892"/>
    <n v="5522670444"/>
    <n v="12618082448"/>
    <n v="4434027194"/>
    <n v="13706725698"/>
  </r>
  <r>
    <s v="[BE] - Paylater"/>
    <x v="2"/>
    <x v="0"/>
    <x v="76"/>
    <n v="18272029713"/>
    <n v="5487874842"/>
    <n v="12784154871"/>
    <n v="5487874842"/>
    <n v="12784154871"/>
  </r>
  <r>
    <s v="[BE] - Paylater"/>
    <x v="2"/>
    <x v="0"/>
    <x v="77"/>
    <n v="18383209761"/>
    <n v="5456732323"/>
    <n v="12926477438"/>
    <n v="5456732323"/>
    <n v="12926477438"/>
  </r>
  <r>
    <s v="[BE] - Paylater"/>
    <x v="2"/>
    <x v="0"/>
    <x v="78"/>
    <n v="18500628697"/>
    <n v="5447822597"/>
    <n v="13052806100"/>
    <n v="5447822597"/>
    <n v="13052806100"/>
  </r>
  <r>
    <s v="[BE] - Paylater"/>
    <x v="2"/>
    <x v="0"/>
    <x v="79"/>
    <n v="18605795797"/>
    <n v="5419462393"/>
    <n v="13186333404"/>
    <n v="5419462393"/>
    <n v="13186333404"/>
  </r>
  <r>
    <s v="[BE] - Paylater"/>
    <x v="2"/>
    <x v="0"/>
    <x v="80"/>
    <n v="18724637367"/>
    <n v="5393247398"/>
    <n v="13331389969"/>
    <n v="5393247398"/>
    <n v="13331389969"/>
  </r>
  <r>
    <s v="[BE] - Paylater"/>
    <x v="2"/>
    <x v="0"/>
    <x v="81"/>
    <n v="18851645252"/>
    <n v="5372897838"/>
    <n v="13478747414"/>
    <n v="5372897838"/>
    <n v="13478747414"/>
  </r>
  <r>
    <s v="[BE] - Paylater"/>
    <x v="2"/>
    <x v="0"/>
    <x v="82"/>
    <n v="18894797039"/>
    <n v="5358118046"/>
    <n v="13536678993"/>
    <n v="5358118046"/>
    <n v="13536678993"/>
  </r>
  <r>
    <s v="[BE] - Paylater"/>
    <x v="2"/>
    <x v="0"/>
    <x v="83"/>
    <n v="18973391814"/>
    <n v="5338489748"/>
    <n v="13634902066"/>
    <n v="5338489748"/>
    <n v="13634902066"/>
  </r>
  <r>
    <s v="[BE] - Paylater"/>
    <x v="2"/>
    <x v="0"/>
    <x v="84"/>
    <n v="19068777117"/>
    <n v="5328549462"/>
    <n v="13740227655"/>
    <n v="5328549462"/>
    <n v="13740227655"/>
  </r>
  <r>
    <s v="[BE] - Paylater"/>
    <x v="2"/>
    <x v="0"/>
    <x v="85"/>
    <n v="19156189970"/>
    <n v="5319822231"/>
    <n v="13836367739"/>
    <n v="5319822231"/>
    <n v="13836367739"/>
  </r>
  <r>
    <s v="[BE] - Paylater"/>
    <x v="2"/>
    <x v="0"/>
    <x v="86"/>
    <n v="19175024373"/>
    <n v="5301924601"/>
    <n v="13873099772"/>
    <n v="5301924601"/>
    <n v="13873099772"/>
  </r>
  <r>
    <s v="[BE] - Paylater"/>
    <x v="2"/>
    <x v="0"/>
    <x v="87"/>
    <n v="19259051984"/>
    <n v="5291286355"/>
    <n v="13967765629"/>
    <n v="5291286355"/>
    <n v="13967765629"/>
  </r>
  <r>
    <s v="[BE] - Paylater"/>
    <x v="2"/>
    <x v="0"/>
    <x v="88"/>
    <n v="19389549183"/>
    <n v="5276670115"/>
    <n v="14112879068"/>
    <n v="5276670115"/>
    <n v="14112879068"/>
  </r>
  <r>
    <s v="[BE] - Paylater"/>
    <x v="2"/>
    <x v="0"/>
    <x v="89"/>
    <n v="19481425278"/>
    <n v="5267731308"/>
    <n v="14213693970"/>
    <n v="5267731308"/>
    <n v="14213693970"/>
  </r>
  <r>
    <s v="[BE] - Paylater"/>
    <x v="2"/>
    <x v="0"/>
    <x v="90"/>
    <n v="19539024107"/>
    <n v="5264836308"/>
    <n v="14274187799"/>
    <n v="5264836308"/>
    <n v="14274187799"/>
  </r>
  <r>
    <s v="[BE] - Paylater"/>
    <x v="2"/>
    <x v="0"/>
    <x v="91"/>
    <n v="19473181026"/>
    <n v="5248327061"/>
    <n v="14224853965"/>
    <n v="5248327061"/>
    <n v="14224853965"/>
  </r>
  <r>
    <s v="[Cake] - Cashloan"/>
    <x v="1"/>
    <x v="1"/>
    <x v="0"/>
    <n v="1104876939974"/>
    <n v="182527685693"/>
    <n v="922349254281"/>
    <n v="162897782301"/>
    <n v="941979157673"/>
  </r>
  <r>
    <s v="[Cake] - Cashloan"/>
    <x v="1"/>
    <x v="1"/>
    <x v="1"/>
    <n v="1113711108206"/>
    <n v="184059151740"/>
    <n v="929651956466"/>
    <n v="163626935354"/>
    <n v="950084172852"/>
  </r>
  <r>
    <s v="[Cake] - Cashloan"/>
    <x v="1"/>
    <x v="1"/>
    <x v="2"/>
    <n v="1121388761253"/>
    <n v="185437210025"/>
    <n v="935951551228"/>
    <n v="163270485789"/>
    <n v="958118275464"/>
  </r>
  <r>
    <s v="[Cake] - Cashloan"/>
    <x v="1"/>
    <x v="1"/>
    <x v="3"/>
    <n v="1128091517687"/>
    <n v="186284483652"/>
    <n v="941807034035"/>
    <n v="165682590452"/>
    <n v="962408927235"/>
  </r>
  <r>
    <s v="[Cake] - Cashloan"/>
    <x v="1"/>
    <x v="1"/>
    <x v="4"/>
    <n v="1135525274812"/>
    <n v="187651309650"/>
    <n v="947873965162"/>
    <n v="166413622211"/>
    <n v="969111652601"/>
  </r>
  <r>
    <s v="[Cake] - Cashloan"/>
    <x v="1"/>
    <x v="1"/>
    <x v="5"/>
    <n v="1143223972520"/>
    <n v="190010320818"/>
    <n v="953213651702"/>
    <n v="167489402315"/>
    <n v="975734570205"/>
  </r>
  <r>
    <s v="[Cake] - Cashloan"/>
    <x v="1"/>
    <x v="1"/>
    <x v="6"/>
    <n v="1148549081794"/>
    <n v="186799503897"/>
    <n v="961749577897"/>
    <n v="168638734020"/>
    <n v="979910347774"/>
  </r>
  <r>
    <s v="[Cake] - Cashloan"/>
    <x v="1"/>
    <x v="1"/>
    <x v="7"/>
    <n v="1156745778725"/>
    <n v="191625157871"/>
    <n v="965120620854"/>
    <n v="169404378604"/>
    <n v="987341400121"/>
  </r>
  <r>
    <s v="[Cake] - Cashloan"/>
    <x v="1"/>
    <x v="1"/>
    <x v="8"/>
    <n v="1163877613187"/>
    <n v="192232995626"/>
    <n v="971644617561"/>
    <n v="173380001751"/>
    <n v="990497611436"/>
  </r>
  <r>
    <s v="[Cake] - Cashloan"/>
    <x v="1"/>
    <x v="1"/>
    <x v="9"/>
    <n v="1172159468878"/>
    <n v="192581264782"/>
    <n v="979578204096"/>
    <n v="172512764731"/>
    <n v="999646704147"/>
  </r>
  <r>
    <s v="[Cake] - Cashloan"/>
    <x v="1"/>
    <x v="1"/>
    <x v="10"/>
    <n v="1179331107156"/>
    <n v="192964525315"/>
    <n v="986366581841"/>
    <n v="171569238023"/>
    <n v="1007761869133"/>
  </r>
  <r>
    <s v="[Cake] - Cashloan"/>
    <x v="1"/>
    <x v="1"/>
    <x v="11"/>
    <n v="1185379573116"/>
    <n v="194805308760"/>
    <n v="990574264356"/>
    <n v="172559113043"/>
    <n v="1012820460073"/>
  </r>
  <r>
    <s v="[Cake] - Cashloan"/>
    <x v="1"/>
    <x v="1"/>
    <x v="12"/>
    <n v="1192795620324"/>
    <n v="197590835995"/>
    <n v="995204784329"/>
    <n v="173614965007"/>
    <n v="1019180655317"/>
  </r>
  <r>
    <s v="[Cake] - Cashloan"/>
    <x v="1"/>
    <x v="1"/>
    <x v="13"/>
    <n v="1197607308729"/>
    <n v="194400553181"/>
    <n v="1003206755548"/>
    <n v="174479666373"/>
    <n v="1023127642356"/>
  </r>
  <r>
    <s v="[Cake] - Cashloan"/>
    <x v="1"/>
    <x v="1"/>
    <x v="14"/>
    <n v="1205856289685"/>
    <n v="198532874030"/>
    <n v="1007323415655"/>
    <n v="175522826669"/>
    <n v="1030333463016"/>
  </r>
  <r>
    <s v="[Cake] - Cashloan"/>
    <x v="1"/>
    <x v="1"/>
    <x v="15"/>
    <n v="1212213467708"/>
    <n v="198343211134"/>
    <n v="1013870256574"/>
    <n v="176365491781"/>
    <n v="1035847975927"/>
  </r>
  <r>
    <s v="[Cake] - Cashloan"/>
    <x v="1"/>
    <x v="1"/>
    <x v="16"/>
    <n v="1218017159058"/>
    <n v="198557387325"/>
    <n v="1019459771733"/>
    <n v="175553154832"/>
    <n v="1042464004226"/>
  </r>
  <r>
    <s v="[Cake] - Cashloan"/>
    <x v="1"/>
    <x v="1"/>
    <x v="17"/>
    <n v="1224372707258"/>
    <n v="198983676034"/>
    <n v="1025389031224"/>
    <n v="177664754829"/>
    <n v="1046707952429"/>
  </r>
  <r>
    <s v="[Cake] - Cashloan"/>
    <x v="1"/>
    <x v="1"/>
    <x v="18"/>
    <n v="1230573034153"/>
    <n v="200770619520"/>
    <n v="1029802414633"/>
    <n v="178623392492"/>
    <n v="1051949641661"/>
  </r>
  <r>
    <s v="[Cake] - Cashloan"/>
    <x v="1"/>
    <x v="1"/>
    <x v="19"/>
    <n v="1238369744679"/>
    <n v="203557584076"/>
    <n v="1034812160603"/>
    <n v="180155477467"/>
    <n v="1058214267212"/>
  </r>
  <r>
    <s v="[Cake] - Cashloan"/>
    <x v="1"/>
    <x v="1"/>
    <x v="20"/>
    <n v="1243128684886"/>
    <n v="200440798077"/>
    <n v="1042687886809"/>
    <n v="181232313722"/>
    <n v="1061896371164"/>
  </r>
  <r>
    <s v="[Cake] - Cashloan"/>
    <x v="1"/>
    <x v="1"/>
    <x v="21"/>
    <n v="1250706117730"/>
    <n v="205434480732"/>
    <n v="1045271636998"/>
    <n v="182400845237"/>
    <n v="1068305272493"/>
  </r>
  <r>
    <s v="[Cake] - Cashloan"/>
    <x v="1"/>
    <x v="1"/>
    <x v="22"/>
    <n v="1258233487448"/>
    <n v="205452852113"/>
    <n v="1052780635335"/>
    <n v="183413984333"/>
    <n v="1074819503115"/>
  </r>
  <r>
    <s v="[Cake] - Cashloan"/>
    <x v="1"/>
    <x v="1"/>
    <x v="23"/>
    <n v="1264428351369"/>
    <n v="207216968046"/>
    <n v="1057211383323"/>
    <n v="182997304983"/>
    <n v="1081431046386"/>
  </r>
  <r>
    <s v="[Cake] - Cashloan"/>
    <x v="1"/>
    <x v="1"/>
    <x v="24"/>
    <n v="1270660121807"/>
    <n v="207110442358"/>
    <n v="1063549679449"/>
    <n v="185719206152"/>
    <n v="1084940915655"/>
  </r>
  <r>
    <s v="[Cake] - Cashloan"/>
    <x v="1"/>
    <x v="1"/>
    <x v="25"/>
    <n v="1275654387751"/>
    <n v="207944699543"/>
    <n v="1067709688208"/>
    <n v="186755985959"/>
    <n v="1088898401792"/>
  </r>
  <r>
    <s v="[Cake] - Cashloan"/>
    <x v="1"/>
    <x v="1"/>
    <x v="26"/>
    <n v="1283381122800"/>
    <n v="209909450476"/>
    <n v="1073471672324"/>
    <n v="187614520399"/>
    <n v="1095766602401"/>
  </r>
  <r>
    <s v="[Cake] - Cashloan"/>
    <x v="1"/>
    <x v="1"/>
    <x v="27"/>
    <n v="1283166497464"/>
    <n v="206298854639"/>
    <n v="1076867642825"/>
    <n v="188449592685"/>
    <n v="1094716904779"/>
  </r>
  <r>
    <s v="[Cake] - Cashloan"/>
    <x v="1"/>
    <x v="1"/>
    <x v="28"/>
    <n v="1291242742750"/>
    <n v="218798948517"/>
    <n v="1072443794233"/>
    <n v="189501217120"/>
    <n v="1101741525630"/>
  </r>
  <r>
    <s v="[Cake] - Cashloan"/>
    <x v="1"/>
    <x v="1"/>
    <x v="29"/>
    <n v="1299122048166"/>
    <n v="214422445351"/>
    <n v="1084699602815"/>
    <n v="190620766366"/>
    <n v="1108501281800"/>
  </r>
  <r>
    <s v="[Cake] - Cashloan"/>
    <x v="1"/>
    <x v="1"/>
    <x v="30"/>
    <n v="1307867369068"/>
    <n v="210680012642"/>
    <n v="1097187356426"/>
    <n v="189619915547"/>
    <n v="1118247453521"/>
  </r>
  <r>
    <s v="[Cake] - Cashloan"/>
    <x v="1"/>
    <x v="1"/>
    <x v="31"/>
    <n v="1315801763784"/>
    <n v="208892031133"/>
    <n v="1106909732651"/>
    <n v="191975046776"/>
    <n v="1123826717008"/>
  </r>
  <r>
    <s v="[Cake] - Cashloan"/>
    <x v="1"/>
    <x v="1"/>
    <x v="32"/>
    <n v="1321911246209"/>
    <n v="213495597271"/>
    <n v="1108415648938"/>
    <n v="192926653600"/>
    <n v="1128984592609"/>
  </r>
  <r>
    <s v="[Cake] - Cashloan"/>
    <x v="1"/>
    <x v="1"/>
    <x v="33"/>
    <n v="1328786540681"/>
    <n v="216877448206"/>
    <n v="1111909092475"/>
    <n v="194038015245"/>
    <n v="1134748525436"/>
  </r>
  <r>
    <s v="[Cake] - Cashloan"/>
    <x v="1"/>
    <x v="1"/>
    <x v="34"/>
    <n v="1332253830532"/>
    <n v="212959472438"/>
    <n v="1119294358094"/>
    <n v="194697977906"/>
    <n v="1137555852626"/>
  </r>
  <r>
    <s v="[Cake] - Cashloan"/>
    <x v="1"/>
    <x v="1"/>
    <x v="35"/>
    <n v="1337538916499"/>
    <n v="220141272638"/>
    <n v="1117397643861"/>
    <n v="195154513354"/>
    <n v="1142384403145"/>
  </r>
  <r>
    <s v="[Cake] - Cashloan"/>
    <x v="1"/>
    <x v="1"/>
    <x v="36"/>
    <n v="1343227046581"/>
    <n v="221203389621"/>
    <n v="1122023656960"/>
    <n v="196009997419"/>
    <n v="1147217049162"/>
  </r>
  <r>
    <s v="[Cake] - Cashloan"/>
    <x v="1"/>
    <x v="1"/>
    <x v="37"/>
    <n v="1346894881000"/>
    <n v="221444760970"/>
    <n v="1125450120030"/>
    <n v="195418098559"/>
    <n v="1151476782441"/>
  </r>
  <r>
    <s v="[Cake] - Cashloan"/>
    <x v="1"/>
    <x v="1"/>
    <x v="38"/>
    <n v="1351910679431"/>
    <n v="221726565857"/>
    <n v="1130184113574"/>
    <n v="201170868985"/>
    <n v="1150739810446"/>
  </r>
  <r>
    <s v="[Cake] - Cashloan"/>
    <x v="1"/>
    <x v="1"/>
    <x v="39"/>
    <n v="1357014095179"/>
    <n v="222523747939"/>
    <n v="1134490347240"/>
    <n v="200558847559"/>
    <n v="1156455247620"/>
  </r>
  <r>
    <s v="[Cake] - Cashloan"/>
    <x v="1"/>
    <x v="1"/>
    <x v="40"/>
    <n v="1364731817742"/>
    <n v="224628986530"/>
    <n v="1140102831212"/>
    <n v="200138076458"/>
    <n v="1164593741284"/>
  </r>
  <r>
    <s v="[Cake] - Cashloan"/>
    <x v="1"/>
    <x v="1"/>
    <x v="41"/>
    <n v="1367414176551"/>
    <n v="220797705724"/>
    <n v="1146616470827"/>
    <n v="199187184431"/>
    <n v="1168226992120"/>
  </r>
  <r>
    <s v="[Cake] - Cashloan"/>
    <x v="1"/>
    <x v="1"/>
    <x v="42"/>
    <n v="1371950413572"/>
    <n v="227399555662"/>
    <n v="1144550857910"/>
    <n v="200701443721"/>
    <n v="1171248969851"/>
  </r>
  <r>
    <s v="[Cake] - Cashloan"/>
    <x v="1"/>
    <x v="1"/>
    <x v="43"/>
    <n v="1377214888167"/>
    <n v="228262342604"/>
    <n v="1148952545563"/>
    <n v="201861711894"/>
    <n v="1175353176273"/>
  </r>
  <r>
    <s v="[Cake] - Cashloan"/>
    <x v="1"/>
    <x v="1"/>
    <x v="44"/>
    <n v="1382038781706"/>
    <n v="228452102996"/>
    <n v="1153586678710"/>
    <n v="201188688174"/>
    <n v="1180850093532"/>
  </r>
  <r>
    <s v="[Cake] - Cashloan"/>
    <x v="1"/>
    <x v="1"/>
    <x v="45"/>
    <n v="1386901694106"/>
    <n v="228790119883"/>
    <n v="1158111574223"/>
    <n v="203678178478"/>
    <n v="1183223515628"/>
  </r>
  <r>
    <s v="[Cake] - Cashloan"/>
    <x v="1"/>
    <x v="1"/>
    <x v="46"/>
    <n v="1391468165380"/>
    <n v="230569979401"/>
    <n v="1160898185979"/>
    <n v="205173716463"/>
    <n v="1186294448917"/>
  </r>
  <r>
    <s v="[Cake] - Cashloan"/>
    <x v="1"/>
    <x v="1"/>
    <x v="47"/>
    <n v="1397507676366"/>
    <n v="232517721818"/>
    <n v="1164989954548"/>
    <n v="206295324196"/>
    <n v="1191212352170"/>
  </r>
  <r>
    <s v="[Cake] - Cashloan"/>
    <x v="1"/>
    <x v="1"/>
    <x v="48"/>
    <n v="1400264057737"/>
    <n v="229580927116"/>
    <n v="1170683130621"/>
    <n v="207357390395"/>
    <n v="1192906667342"/>
  </r>
  <r>
    <s v="[Cake] - Cashloan"/>
    <x v="1"/>
    <x v="1"/>
    <x v="49"/>
    <n v="1405879944589"/>
    <n v="235446232183"/>
    <n v="1170433712406"/>
    <n v="208506586791"/>
    <n v="1197373357798"/>
  </r>
  <r>
    <s v="[Cake] - Cashloan"/>
    <x v="1"/>
    <x v="1"/>
    <x v="50"/>
    <n v="1411769363424"/>
    <n v="236048881681"/>
    <n v="1175720481743"/>
    <n v="209796625810"/>
    <n v="1201972737614"/>
  </r>
  <r>
    <s v="[Cake] - Cashloan"/>
    <x v="1"/>
    <x v="1"/>
    <x v="51"/>
    <n v="1417213637463"/>
    <n v="236926885404"/>
    <n v="1180286752059"/>
    <n v="209298721086"/>
    <n v="1207914916377"/>
  </r>
  <r>
    <s v="[Cake] - Cashloan"/>
    <x v="1"/>
    <x v="1"/>
    <x v="52"/>
    <n v="1420951485041"/>
    <n v="238491450291"/>
    <n v="1182460034750"/>
    <n v="212640859423"/>
    <n v="1208310625618"/>
  </r>
  <r>
    <s v="[Cake] - Cashloan"/>
    <x v="1"/>
    <x v="1"/>
    <x v="53"/>
    <n v="1426056074268"/>
    <n v="241418838082"/>
    <n v="1184637236186"/>
    <n v="214261207146"/>
    <n v="1211794867122"/>
  </r>
  <r>
    <s v="[Cake] - Cashloan"/>
    <x v="1"/>
    <x v="1"/>
    <x v="54"/>
    <n v="1432120199526"/>
    <n v="244919360578"/>
    <n v="1187200838948"/>
    <n v="215791326136"/>
    <n v="1216328873390"/>
  </r>
  <r>
    <s v="[Cake] - Cashloan"/>
    <x v="1"/>
    <x v="1"/>
    <x v="55"/>
    <n v="1435752872723"/>
    <n v="241158319469"/>
    <n v="1194594553254"/>
    <n v="217205690048"/>
    <n v="1218547182675"/>
  </r>
  <r>
    <s v="[Cake] - Cashloan"/>
    <x v="1"/>
    <x v="1"/>
    <x v="56"/>
    <n v="1442455108612"/>
    <n v="248118827069"/>
    <n v="1194336281543"/>
    <n v="218546992305"/>
    <n v="1223908116307"/>
  </r>
  <r>
    <s v="[Cake] - Cashloan"/>
    <x v="1"/>
    <x v="1"/>
    <x v="57"/>
    <n v="1449212267485"/>
    <n v="250231575190"/>
    <n v="1198980692295"/>
    <n v="219759442553"/>
    <n v="1229452824932"/>
  </r>
  <r>
    <s v="[Cake] - Cashloan"/>
    <x v="1"/>
    <x v="1"/>
    <x v="58"/>
    <n v="1448750003094"/>
    <n v="251511158923"/>
    <n v="1197238844171"/>
    <n v="219219057904"/>
    <n v="1229530945190"/>
  </r>
  <r>
    <s v="[Cake] - Cashloan"/>
    <x v="1"/>
    <x v="1"/>
    <x v="59"/>
    <n v="1452801985004"/>
    <n v="263633542433"/>
    <n v="1189168442571"/>
    <n v="222294964132"/>
    <n v="1230507020872"/>
  </r>
  <r>
    <s v="[Cake] - Cashloan"/>
    <x v="1"/>
    <x v="1"/>
    <x v="60"/>
    <n v="1461461885151"/>
    <n v="257851745529"/>
    <n v="1203610139622"/>
    <n v="223959035373"/>
    <n v="1237502849778"/>
  </r>
  <r>
    <s v="[Cake] - Cashloan"/>
    <x v="1"/>
    <x v="1"/>
    <x v="61"/>
    <n v="1468037016547"/>
    <n v="255116291263"/>
    <n v="1212920725284"/>
    <n v="225287360949"/>
    <n v="1242749655598"/>
  </r>
  <r>
    <s v="[Cake] - Cashloan"/>
    <x v="1"/>
    <x v="1"/>
    <x v="62"/>
    <n v="1474628379793"/>
    <n v="253182563405"/>
    <n v="1221445816388"/>
    <n v="226832536524"/>
    <n v="1247795843269"/>
  </r>
  <r>
    <s v="[Cake] - Cashloan"/>
    <x v="1"/>
    <x v="1"/>
    <x v="63"/>
    <n v="1480459945420"/>
    <n v="251948306524"/>
    <n v="1228511638896"/>
    <n v="228842129693"/>
    <n v="1251617815727"/>
  </r>
  <r>
    <s v="[Cake] - Cashloan"/>
    <x v="1"/>
    <x v="1"/>
    <x v="64"/>
    <n v="1483071963101"/>
    <n v="249669551395"/>
    <n v="1233402411706"/>
    <n v="230496242595"/>
    <n v="1252575720506"/>
  </r>
  <r>
    <s v="[Cake] - Cashloan"/>
    <x v="1"/>
    <x v="1"/>
    <x v="65"/>
    <n v="1495900275982"/>
    <n v="262394544481"/>
    <n v="1233505731501"/>
    <n v="229770862906"/>
    <n v="1266129413076"/>
  </r>
  <r>
    <s v="[Cake] - Cashloan"/>
    <x v="1"/>
    <x v="1"/>
    <x v="66"/>
    <n v="1509432536239"/>
    <n v="261562602005"/>
    <n v="1247869934234"/>
    <n v="233486319793"/>
    <n v="1275946216446"/>
  </r>
  <r>
    <s v="[Cake] - Cashloan"/>
    <x v="1"/>
    <x v="1"/>
    <x v="67"/>
    <n v="1520506837745"/>
    <n v="263475978689"/>
    <n v="1257030859056"/>
    <n v="235036702408"/>
    <n v="1285470135337"/>
  </r>
  <r>
    <s v="[Cake] - Cashloan"/>
    <x v="1"/>
    <x v="1"/>
    <x v="68"/>
    <n v="1532984597169"/>
    <n v="265816945796"/>
    <n v="1267167651373"/>
    <n v="236362676857"/>
    <n v="1296621920312"/>
  </r>
  <r>
    <s v="[Cake] - Cashloan"/>
    <x v="1"/>
    <x v="1"/>
    <x v="69"/>
    <n v="1542764890793"/>
    <n v="261472807855"/>
    <n v="1281292082938"/>
    <n v="242746796762"/>
    <n v="1300018094031"/>
  </r>
  <r>
    <s v="[Cake] - Cashloan"/>
    <x v="1"/>
    <x v="1"/>
    <x v="70"/>
    <n v="1557448092044"/>
    <n v="269528392674"/>
    <n v="1287919699370"/>
    <n v="242186178295"/>
    <n v="1315261913749"/>
  </r>
  <r>
    <s v="[Cake] - Cashloan"/>
    <x v="1"/>
    <x v="1"/>
    <x v="71"/>
    <n v="1570569953312"/>
    <n v="268558779404"/>
    <n v="1302011173908"/>
    <n v="241125371535"/>
    <n v="1329444581777"/>
  </r>
  <r>
    <s v="[Cake] - Cashloan"/>
    <x v="1"/>
    <x v="1"/>
    <x v="72"/>
    <n v="1581236622705"/>
    <n v="268710819839"/>
    <n v="1312525802866"/>
    <n v="239993189976"/>
    <n v="1341243432729"/>
  </r>
  <r>
    <s v="[Cake] - Cashloan"/>
    <x v="1"/>
    <x v="1"/>
    <x v="73"/>
    <n v="1589295651815"/>
    <n v="269776997222"/>
    <n v="1319518654593"/>
    <n v="239296815849"/>
    <n v="1349998835966"/>
  </r>
  <r>
    <s v="[Cake] - Cashloan"/>
    <x v="1"/>
    <x v="1"/>
    <x v="74"/>
    <n v="1598669463816"/>
    <n v="272299982480"/>
    <n v="1326369481336"/>
    <n v="238834841059"/>
    <n v="1359834622757"/>
  </r>
  <r>
    <s v="[Cake] - Cashloan"/>
    <x v="1"/>
    <x v="1"/>
    <x v="75"/>
    <n v="1608558104867"/>
    <n v="274816763346"/>
    <n v="1333741341521"/>
    <n v="244480871006"/>
    <n v="1364077233861"/>
  </r>
  <r>
    <s v="[Cake] - Cashloan"/>
    <x v="1"/>
    <x v="1"/>
    <x v="76"/>
    <n v="1614616342548"/>
    <n v="270565499867"/>
    <n v="1344050842681"/>
    <n v="245537838625"/>
    <n v="1369078503923"/>
  </r>
  <r>
    <s v="[Cake] - Cashloan"/>
    <x v="1"/>
    <x v="1"/>
    <x v="77"/>
    <n v="1623880516331"/>
    <n v="276806620014"/>
    <n v="1347073896317"/>
    <n v="246928455073"/>
    <n v="1376952061258"/>
  </r>
  <r>
    <s v="[Cake] - Cashloan"/>
    <x v="1"/>
    <x v="1"/>
    <x v="78"/>
    <n v="1632769758682"/>
    <n v="277764867183"/>
    <n v="1355004891499"/>
    <n v="248180014991"/>
    <n v="1384589743691"/>
  </r>
  <r>
    <s v="[Cake] - Cashloan"/>
    <x v="1"/>
    <x v="1"/>
    <x v="79"/>
    <n v="1642209272387"/>
    <n v="279229496068"/>
    <n v="1362979776319"/>
    <n v="247623601862"/>
    <n v="1394585670525"/>
  </r>
  <r>
    <s v="[Cake] - Cashloan"/>
    <x v="1"/>
    <x v="1"/>
    <x v="80"/>
    <n v="1650843557859"/>
    <n v="281088417491"/>
    <n v="1369755140368"/>
    <n v="250891308104"/>
    <n v="1399952249755"/>
  </r>
  <r>
    <s v="[Cake] - Cashloan"/>
    <x v="1"/>
    <x v="1"/>
    <x v="81"/>
    <n v="1659256567105"/>
    <n v="283469930809"/>
    <n v="1375786636296"/>
    <n v="252818939780"/>
    <n v="1406437627325"/>
  </r>
  <r>
    <s v="[Cake] - Cashloan"/>
    <x v="1"/>
    <x v="1"/>
    <x v="82"/>
    <n v="1668203654987"/>
    <n v="286132285824"/>
    <n v="1382071369163"/>
    <n v="254555900201"/>
    <n v="1413647754786"/>
  </r>
  <r>
    <s v="[Cake] - Cashloan"/>
    <x v="1"/>
    <x v="1"/>
    <x v="83"/>
    <n v="1675231474009"/>
    <n v="282555015686"/>
    <n v="1392676458323"/>
    <n v="256372248111"/>
    <n v="1418859225898"/>
  </r>
  <r>
    <s v="[Cake] - Cashloan"/>
    <x v="1"/>
    <x v="1"/>
    <x v="84"/>
    <n v="1684434835276"/>
    <n v="289329603569"/>
    <n v="1395105231707"/>
    <n v="257800533790"/>
    <n v="1426634301486"/>
  </r>
  <r>
    <s v="[Cake] - Cashloan"/>
    <x v="1"/>
    <x v="1"/>
    <x v="85"/>
    <n v="1693731734779"/>
    <n v="290989177571"/>
    <n v="1402742557208"/>
    <n v="259232009525"/>
    <n v="1434499725254"/>
  </r>
  <r>
    <s v="[Cake] - Cashloan"/>
    <x v="1"/>
    <x v="1"/>
    <x v="86"/>
    <n v="1702947715364"/>
    <n v="292510895866"/>
    <n v="1410436819498"/>
    <n v="258696258861"/>
    <n v="1444251456503"/>
  </r>
  <r>
    <s v="[Cake] - Cashloan"/>
    <x v="1"/>
    <x v="1"/>
    <x v="87"/>
    <n v="1711555585149"/>
    <n v="293115023363"/>
    <n v="1418440561786"/>
    <n v="262524707439"/>
    <n v="1449030877710"/>
  </r>
  <r>
    <s v="[Cake] - Cashloan"/>
    <x v="1"/>
    <x v="1"/>
    <x v="88"/>
    <n v="1719696152049"/>
    <n v="296511853314"/>
    <n v="1423184298735"/>
    <n v="264097445535"/>
    <n v="1455598706514"/>
  </r>
  <r>
    <s v="[Cake] - Cashloan"/>
    <x v="1"/>
    <x v="1"/>
    <x v="89"/>
    <n v="1728785211597"/>
    <n v="299841251805"/>
    <n v="1428943959792"/>
    <n v="266008245021"/>
    <n v="1462776966576"/>
  </r>
  <r>
    <s v="[Cake] - Cashloan"/>
    <x v="1"/>
    <x v="1"/>
    <x v="90"/>
    <n v="1731073359140"/>
    <n v="295527868083"/>
    <n v="1435545491057"/>
    <n v="267533275568"/>
    <n v="1463540083572"/>
  </r>
  <r>
    <s v="[Cake] - Cashloan"/>
    <x v="1"/>
    <x v="1"/>
    <x v="91"/>
    <n v="1743138334200"/>
    <n v="309907378567"/>
    <n v="1433230955633"/>
    <n v="269163490830"/>
    <n v="1473974843370"/>
  </r>
  <r>
    <s v="[Cake] - Overdraft"/>
    <x v="3"/>
    <x v="1"/>
    <x v="0"/>
    <n v="298111120654"/>
    <n v="72657248975"/>
    <n v="225453871679"/>
    <n v="71443051634"/>
    <n v="226668069020"/>
  </r>
  <r>
    <s v="[Cake] - Overdraft"/>
    <x v="3"/>
    <x v="1"/>
    <x v="1"/>
    <n v="300349813784"/>
    <n v="72740803298"/>
    <n v="227609010486"/>
    <n v="71527376665"/>
    <n v="228822437119"/>
  </r>
  <r>
    <s v="[Cake] - Overdraft"/>
    <x v="3"/>
    <x v="1"/>
    <x v="2"/>
    <n v="301241216205"/>
    <n v="72807940634"/>
    <n v="228433275571"/>
    <n v="71566908407"/>
    <n v="229674307798"/>
  </r>
  <r>
    <s v="[Cake] - Overdraft"/>
    <x v="3"/>
    <x v="1"/>
    <x v="3"/>
    <n v="301906433587"/>
    <n v="78561192280"/>
    <n v="223345241307"/>
    <n v="71594050805"/>
    <n v="230312382782"/>
  </r>
  <r>
    <s v="[Cake] - Overdraft"/>
    <x v="3"/>
    <x v="1"/>
    <x v="4"/>
    <n v="302731823557"/>
    <n v="78524089550"/>
    <n v="224207734007"/>
    <n v="71630153206"/>
    <n v="231101670351"/>
  </r>
  <r>
    <s v="[Cake] - Overdraft"/>
    <x v="3"/>
    <x v="1"/>
    <x v="5"/>
    <n v="303616537367"/>
    <n v="78759845285"/>
    <n v="224856692082"/>
    <n v="71686249424"/>
    <n v="231930287943"/>
  </r>
  <r>
    <s v="[Cake] - Overdraft"/>
    <x v="3"/>
    <x v="1"/>
    <x v="6"/>
    <n v="304416736818"/>
    <n v="78768610254"/>
    <n v="225648126564"/>
    <n v="71711566594"/>
    <n v="232705170224"/>
  </r>
  <r>
    <s v="[Cake] - Overdraft"/>
    <x v="3"/>
    <x v="1"/>
    <x v="7"/>
    <n v="304524859480"/>
    <n v="78614741464"/>
    <n v="225910118016"/>
    <n v="71682696481"/>
    <n v="232842162999"/>
  </r>
  <r>
    <s v="[Cake] - Overdraft"/>
    <x v="3"/>
    <x v="1"/>
    <x v="8"/>
    <n v="304896243408"/>
    <n v="78597339494"/>
    <n v="226298903914"/>
    <n v="71769859526"/>
    <n v="233126383882"/>
  </r>
  <r>
    <s v="[Cake] - Overdraft"/>
    <x v="3"/>
    <x v="1"/>
    <x v="9"/>
    <n v="304860340348"/>
    <n v="78639861002"/>
    <n v="226220479346"/>
    <n v="71850486140"/>
    <n v="233009854208"/>
  </r>
  <r>
    <s v="[Cake] - Overdraft"/>
    <x v="3"/>
    <x v="1"/>
    <x v="10"/>
    <n v="304531287732"/>
    <n v="78704188663"/>
    <n v="225827099069"/>
    <n v="71899665407"/>
    <n v="232631622325"/>
  </r>
  <r>
    <s v="[Cake] - Overdraft"/>
    <x v="3"/>
    <x v="1"/>
    <x v="11"/>
    <n v="305048348227"/>
    <n v="78734355535"/>
    <n v="226313992692"/>
    <n v="71922328335"/>
    <n v="233126019892"/>
  </r>
  <r>
    <s v="[Cake] - Overdraft"/>
    <x v="3"/>
    <x v="1"/>
    <x v="12"/>
    <n v="306151750331"/>
    <n v="78866842636"/>
    <n v="227284907695"/>
    <n v="72040361730"/>
    <n v="234111388601"/>
  </r>
  <r>
    <s v="[Cake] - Overdraft"/>
    <x v="3"/>
    <x v="1"/>
    <x v="13"/>
    <n v="306870751556"/>
    <n v="78830916727"/>
    <n v="228039834829"/>
    <n v="77684222086"/>
    <n v="229186529470"/>
  </r>
  <r>
    <s v="[Cake] - Overdraft"/>
    <x v="3"/>
    <x v="1"/>
    <x v="14"/>
    <n v="306996407937"/>
    <n v="78873207982"/>
    <n v="228123199955"/>
    <n v="77749083376"/>
    <n v="229247324561"/>
  </r>
  <r>
    <s v="[Cake] - Overdraft"/>
    <x v="3"/>
    <x v="1"/>
    <x v="15"/>
    <n v="307424534295"/>
    <n v="78868841212"/>
    <n v="228555693083"/>
    <n v="77821655004"/>
    <n v="229602879291"/>
  </r>
  <r>
    <s v="[Cake] - Overdraft"/>
    <x v="3"/>
    <x v="1"/>
    <x v="16"/>
    <n v="307369773102"/>
    <n v="78760988044"/>
    <n v="228608785058"/>
    <n v="77761712872"/>
    <n v="229608060230"/>
  </r>
  <r>
    <s v="[Cake] - Overdraft"/>
    <x v="3"/>
    <x v="1"/>
    <x v="17"/>
    <n v="307606174918"/>
    <n v="78772558494"/>
    <n v="228833616424"/>
    <n v="77753138834"/>
    <n v="229853036084"/>
  </r>
  <r>
    <s v="[Cake] - Overdraft"/>
    <x v="3"/>
    <x v="1"/>
    <x v="18"/>
    <n v="308318689018"/>
    <n v="78844092657"/>
    <n v="229474596361"/>
    <n v="77787506172"/>
    <n v="230531182846"/>
  </r>
  <r>
    <s v="[Cake] - Overdraft"/>
    <x v="3"/>
    <x v="1"/>
    <x v="19"/>
    <n v="308962525874"/>
    <n v="78926120662"/>
    <n v="230036405212"/>
    <n v="77858288123"/>
    <n v="231104237751"/>
  </r>
  <r>
    <s v="[Cake] - Overdraft"/>
    <x v="3"/>
    <x v="1"/>
    <x v="20"/>
    <n v="308951222700"/>
    <n v="78924765660"/>
    <n v="230026457040"/>
    <n v="77908361908"/>
    <n v="231042860792"/>
  </r>
  <r>
    <s v="[Cake] - Overdraft"/>
    <x v="3"/>
    <x v="1"/>
    <x v="21"/>
    <n v="308416331444"/>
    <n v="78848257918"/>
    <n v="229568073526"/>
    <n v="77958393480"/>
    <n v="230457937964"/>
  </r>
  <r>
    <s v="[Cake] - Overdraft"/>
    <x v="3"/>
    <x v="1"/>
    <x v="22"/>
    <n v="308237732740"/>
    <n v="78870852833"/>
    <n v="229366879907"/>
    <n v="78001437071"/>
    <n v="230236295669"/>
  </r>
  <r>
    <s v="[Cake] - Overdraft"/>
    <x v="3"/>
    <x v="1"/>
    <x v="23"/>
    <n v="308231491559"/>
    <n v="78755622906"/>
    <n v="229475868653"/>
    <n v="77988348825"/>
    <n v="230243142734"/>
  </r>
  <r>
    <s v="[Cake] - Overdraft"/>
    <x v="3"/>
    <x v="1"/>
    <x v="24"/>
    <n v="307954724341"/>
    <n v="78822519367"/>
    <n v="229132204974"/>
    <n v="78021327355"/>
    <n v="229933396986"/>
  </r>
  <r>
    <s v="[Cake] - Overdraft"/>
    <x v="3"/>
    <x v="1"/>
    <x v="25"/>
    <n v="307849743625"/>
    <n v="78900614370"/>
    <n v="228949129255"/>
    <n v="78083463142"/>
    <n v="229766280483"/>
  </r>
  <r>
    <s v="[Cake] - Overdraft"/>
    <x v="3"/>
    <x v="1"/>
    <x v="26"/>
    <n v="307952964965"/>
    <n v="78957899461"/>
    <n v="228995065504"/>
    <n v="78087991233"/>
    <n v="229864973732"/>
  </r>
  <r>
    <s v="[Cake] - Overdraft"/>
    <x v="3"/>
    <x v="1"/>
    <x v="27"/>
    <n v="307377776051"/>
    <n v="78850716514"/>
    <n v="228527059537"/>
    <n v="78080776780"/>
    <n v="229296999271"/>
  </r>
  <r>
    <s v="[Cake] - Overdraft"/>
    <x v="3"/>
    <x v="1"/>
    <x v="28"/>
    <n v="305885502860"/>
    <n v="78860637496"/>
    <n v="227024865364"/>
    <n v="78059999257"/>
    <n v="227825503603"/>
  </r>
  <r>
    <s v="[Cake] - Overdraft"/>
    <x v="3"/>
    <x v="1"/>
    <x v="29"/>
    <n v="303821088664"/>
    <n v="78960198237"/>
    <n v="224860890427"/>
    <n v="78062127053"/>
    <n v="225758961611"/>
  </r>
  <r>
    <s v="[Cake] - Overdraft"/>
    <x v="3"/>
    <x v="1"/>
    <x v="30"/>
    <n v="300619607926"/>
    <n v="78934143811"/>
    <n v="221685464115"/>
    <n v="77998393933"/>
    <n v="222621213993"/>
  </r>
  <r>
    <s v="[Cake] - Overdraft"/>
    <x v="3"/>
    <x v="1"/>
    <x v="31"/>
    <n v="299479416924"/>
    <n v="78923059680"/>
    <n v="220556357244"/>
    <n v="77946642239"/>
    <n v="221532774685"/>
  </r>
  <r>
    <s v="[Cake] - Overdraft"/>
    <x v="3"/>
    <x v="1"/>
    <x v="32"/>
    <n v="300579118892"/>
    <n v="84342167642"/>
    <n v="216236951250"/>
    <n v="77954915348"/>
    <n v="222624203544"/>
  </r>
  <r>
    <s v="[Cake] - Overdraft"/>
    <x v="3"/>
    <x v="1"/>
    <x v="33"/>
    <n v="301624931048"/>
    <n v="84300413468"/>
    <n v="217324517580"/>
    <n v="77929523826"/>
    <n v="223695407222"/>
  </r>
  <r>
    <s v="[Cake] - Overdraft"/>
    <x v="3"/>
    <x v="1"/>
    <x v="34"/>
    <n v="302900976920"/>
    <n v="84235090475"/>
    <n v="218665886445"/>
    <n v="77967646938"/>
    <n v="224933329982"/>
  </r>
  <r>
    <s v="[Cake] - Overdraft"/>
    <x v="3"/>
    <x v="1"/>
    <x v="35"/>
    <n v="302689463668"/>
    <n v="84119314351"/>
    <n v="218570149317"/>
    <n v="77967421467"/>
    <n v="224722042201"/>
  </r>
  <r>
    <s v="[Cake] - Overdraft"/>
    <x v="3"/>
    <x v="1"/>
    <x v="36"/>
    <n v="302305370572"/>
    <n v="84156285894"/>
    <n v="218149084678"/>
    <n v="77950021367"/>
    <n v="224355349205"/>
  </r>
  <r>
    <s v="[Cake] - Overdraft"/>
    <x v="3"/>
    <x v="1"/>
    <x v="37"/>
    <n v="301931398453"/>
    <n v="84094374010"/>
    <n v="217837024443"/>
    <n v="77923486369"/>
    <n v="224007912084"/>
  </r>
  <r>
    <s v="[Cake] - Overdraft"/>
    <x v="3"/>
    <x v="1"/>
    <x v="38"/>
    <n v="301225266006"/>
    <n v="84143085775"/>
    <n v="217082180231"/>
    <n v="77926613140"/>
    <n v="223298652866"/>
  </r>
  <r>
    <s v="[Cake] - Overdraft"/>
    <x v="3"/>
    <x v="1"/>
    <x v="39"/>
    <n v="301204707472"/>
    <n v="84146454719"/>
    <n v="217058252753"/>
    <n v="77976925103"/>
    <n v="223227782369"/>
  </r>
  <r>
    <s v="[Cake] - Overdraft"/>
    <x v="3"/>
    <x v="1"/>
    <x v="40"/>
    <n v="301517291744"/>
    <n v="84221688684"/>
    <n v="217295603060"/>
    <n v="77998322856"/>
    <n v="223518968888"/>
  </r>
  <r>
    <s v="[Cake] - Overdraft"/>
    <x v="3"/>
    <x v="1"/>
    <x v="41"/>
    <n v="301006518182"/>
    <n v="84171398632"/>
    <n v="216835119550"/>
    <n v="78024940597"/>
    <n v="222981577585"/>
  </r>
  <r>
    <s v="[Cake] - Overdraft"/>
    <x v="3"/>
    <x v="1"/>
    <x v="42"/>
    <n v="300578076643"/>
    <n v="84089956208"/>
    <n v="216488120435"/>
    <n v="83297827467"/>
    <n v="217280249176"/>
  </r>
  <r>
    <s v="[Cake] - Overdraft"/>
    <x v="3"/>
    <x v="1"/>
    <x v="43"/>
    <n v="299911261895"/>
    <n v="84078626762"/>
    <n v="215832635133"/>
    <n v="83272582928"/>
    <n v="216638678967"/>
  </r>
  <r>
    <s v="[Cake] - Overdraft"/>
    <x v="3"/>
    <x v="1"/>
    <x v="44"/>
    <n v="299829671562"/>
    <n v="84091577369"/>
    <n v="215738094193"/>
    <n v="83254503002"/>
    <n v="216575168560"/>
  </r>
  <r>
    <s v="[Cake] - Overdraft"/>
    <x v="3"/>
    <x v="1"/>
    <x v="45"/>
    <n v="299919164509"/>
    <n v="84087901931"/>
    <n v="215831262578"/>
    <n v="83216064181"/>
    <n v="216703100328"/>
  </r>
  <r>
    <s v="[Cake] - Overdraft"/>
    <x v="3"/>
    <x v="1"/>
    <x v="46"/>
    <n v="300055219759"/>
    <n v="84115057085"/>
    <n v="215940162674"/>
    <n v="83237875214"/>
    <n v="216817344545"/>
  </r>
  <r>
    <s v="[Cake] - Overdraft"/>
    <x v="3"/>
    <x v="1"/>
    <x v="47"/>
    <n v="300228937192"/>
    <n v="84189296216"/>
    <n v="216039640976"/>
    <n v="83293462396"/>
    <n v="216935474796"/>
  </r>
  <r>
    <s v="[Cake] - Overdraft"/>
    <x v="3"/>
    <x v="1"/>
    <x v="48"/>
    <n v="299887108777"/>
    <n v="84217335156"/>
    <n v="215669773621"/>
    <n v="83290281819"/>
    <n v="216596826958"/>
  </r>
  <r>
    <s v="[Cake] - Overdraft"/>
    <x v="3"/>
    <x v="1"/>
    <x v="49"/>
    <n v="299786590816"/>
    <n v="84233898999"/>
    <n v="215552691817"/>
    <n v="83271461519"/>
    <n v="216515129297"/>
  </r>
  <r>
    <s v="[Cake] - Overdraft"/>
    <x v="3"/>
    <x v="1"/>
    <x v="50"/>
    <n v="299425331277"/>
    <n v="84162442424"/>
    <n v="215262888853"/>
    <n v="83214718688"/>
    <n v="216210612589"/>
  </r>
  <r>
    <s v="[Cake] - Overdraft"/>
    <x v="3"/>
    <x v="1"/>
    <x v="51"/>
    <n v="298945944055"/>
    <n v="84154960103"/>
    <n v="214790983952"/>
    <n v="83219717602"/>
    <n v="215726226453"/>
  </r>
  <r>
    <s v="[Cake] - Overdraft"/>
    <x v="3"/>
    <x v="1"/>
    <x v="52"/>
    <n v="298337509771"/>
    <n v="84126281052"/>
    <n v="214211228719"/>
    <n v="83190669199"/>
    <n v="215146840572"/>
  </r>
  <r>
    <s v="[Cake] - Overdraft"/>
    <x v="3"/>
    <x v="1"/>
    <x v="53"/>
    <n v="298233190087"/>
    <n v="84169401375"/>
    <n v="214063788712"/>
    <n v="83261364150"/>
    <n v="214971825937"/>
  </r>
  <r>
    <s v="[Cake] - Overdraft"/>
    <x v="3"/>
    <x v="1"/>
    <x v="54"/>
    <n v="298200784691"/>
    <n v="84305389644"/>
    <n v="213895395047"/>
    <n v="83286777649"/>
    <n v="214914007042"/>
  </r>
  <r>
    <s v="[Cake] - Overdraft"/>
    <x v="3"/>
    <x v="1"/>
    <x v="55"/>
    <n v="297978748856"/>
    <n v="84423232526"/>
    <n v="213555516330"/>
    <n v="83340141479"/>
    <n v="214638607377"/>
  </r>
  <r>
    <s v="[Cake] - Overdraft"/>
    <x v="3"/>
    <x v="1"/>
    <x v="56"/>
    <n v="297692506261"/>
    <n v="84441958864"/>
    <n v="213250547397"/>
    <n v="83363602309"/>
    <n v="214328903952"/>
  </r>
  <r>
    <s v="[Cake] - Overdraft"/>
    <x v="3"/>
    <x v="1"/>
    <x v="57"/>
    <n v="297169359120"/>
    <n v="84520719130"/>
    <n v="212648639990"/>
    <n v="83374405853"/>
    <n v="213794953267"/>
  </r>
  <r>
    <s v="[Cake] - Overdraft"/>
    <x v="3"/>
    <x v="1"/>
    <x v="58"/>
    <n v="295881485447"/>
    <n v="84589840765"/>
    <n v="211291644682"/>
    <n v="83414763278"/>
    <n v="212466722169"/>
  </r>
  <r>
    <s v="[Cake] - Overdraft"/>
    <x v="3"/>
    <x v="1"/>
    <x v="59"/>
    <n v="292362235667"/>
    <n v="84565567352"/>
    <n v="207796668315"/>
    <n v="83433799508"/>
    <n v="208928436159"/>
  </r>
  <r>
    <s v="[Cake] - Overdraft"/>
    <x v="3"/>
    <x v="1"/>
    <x v="60"/>
    <n v="290398963255"/>
    <n v="84617245898"/>
    <n v="205781717357"/>
    <n v="83464702488"/>
    <n v="206934260767"/>
  </r>
  <r>
    <s v="[Cake] - Overdraft"/>
    <x v="3"/>
    <x v="1"/>
    <x v="61"/>
    <n v="289284950835"/>
    <n v="84724483940"/>
    <n v="204560466895"/>
    <n v="83498281662"/>
    <n v="205786669173"/>
  </r>
  <r>
    <s v="[Cake] - Overdraft"/>
    <x v="3"/>
    <x v="1"/>
    <x v="62"/>
    <n v="288913504986"/>
    <n v="84835602330"/>
    <n v="204077902656"/>
    <n v="83527520136"/>
    <n v="205385984850"/>
  </r>
  <r>
    <s v="[Cake] - Overdraft"/>
    <x v="3"/>
    <x v="1"/>
    <x v="63"/>
    <n v="290220892194"/>
    <n v="90974854266"/>
    <n v="199246037928"/>
    <n v="83568341427"/>
    <n v="206652550767"/>
  </r>
  <r>
    <s v="[Cake] - Overdraft"/>
    <x v="3"/>
    <x v="1"/>
    <x v="64"/>
    <n v="290868356649"/>
    <n v="90901145471"/>
    <n v="199967211178"/>
    <n v="83605056710"/>
    <n v="207263299939"/>
  </r>
  <r>
    <s v="[Cake] - Overdraft"/>
    <x v="3"/>
    <x v="1"/>
    <x v="65"/>
    <n v="291093629181"/>
    <n v="90763815689"/>
    <n v="200329813492"/>
    <n v="83682648971"/>
    <n v="207410980210"/>
  </r>
  <r>
    <s v="[Cake] - Overdraft"/>
    <x v="3"/>
    <x v="1"/>
    <x v="66"/>
    <n v="290978827785"/>
    <n v="90780190476"/>
    <n v="200198637309"/>
    <n v="83664696983"/>
    <n v="207314130802"/>
  </r>
  <r>
    <s v="[Cake] - Overdraft"/>
    <x v="3"/>
    <x v="1"/>
    <x v="67"/>
    <n v="290614276648"/>
    <n v="90850331423"/>
    <n v="199763945225"/>
    <n v="83724026856"/>
    <n v="206890249792"/>
  </r>
  <r>
    <s v="[Cake] - Overdraft"/>
    <x v="3"/>
    <x v="1"/>
    <x v="68"/>
    <n v="290867101527"/>
    <n v="90912634132"/>
    <n v="199954467395"/>
    <n v="83793073171"/>
    <n v="207074028356"/>
  </r>
  <r>
    <s v="[Cake] - Overdraft"/>
    <x v="3"/>
    <x v="1"/>
    <x v="69"/>
    <n v="290396784485"/>
    <n v="90865892152"/>
    <n v="199530892333"/>
    <n v="83829974077"/>
    <n v="206566810408"/>
  </r>
  <r>
    <s v="[Cake] - Overdraft"/>
    <x v="3"/>
    <x v="1"/>
    <x v="70"/>
    <n v="290701647530"/>
    <n v="90869795511"/>
    <n v="199831852019"/>
    <n v="83863468378"/>
    <n v="206838179152"/>
  </r>
  <r>
    <s v="[Cake] - Overdraft"/>
    <x v="3"/>
    <x v="1"/>
    <x v="71"/>
    <n v="289655011453"/>
    <n v="90826723353"/>
    <n v="198828288100"/>
    <n v="83844836906"/>
    <n v="205810174547"/>
  </r>
  <r>
    <s v="[Cake] - Overdraft"/>
    <x v="3"/>
    <x v="1"/>
    <x v="72"/>
    <n v="288784301094"/>
    <n v="90839544207"/>
    <n v="197944756887"/>
    <n v="83903806247"/>
    <n v="204880494847"/>
  </r>
  <r>
    <s v="[Cake] - Overdraft"/>
    <x v="3"/>
    <x v="1"/>
    <x v="73"/>
    <n v="287897860994"/>
    <n v="90825651271"/>
    <n v="197072209723"/>
    <n v="89753765687"/>
    <n v="198144095307"/>
  </r>
  <r>
    <s v="[Cake] - Overdraft"/>
    <x v="3"/>
    <x v="1"/>
    <x v="74"/>
    <n v="287779390959"/>
    <n v="90805604759"/>
    <n v="196973786200"/>
    <n v="89742056931"/>
    <n v="198037334028"/>
  </r>
  <r>
    <s v="[Cake] - Overdraft"/>
    <x v="3"/>
    <x v="1"/>
    <x v="75"/>
    <n v="288125943025"/>
    <n v="90882389929"/>
    <n v="197243553096"/>
    <n v="89774344193"/>
    <n v="198351598832"/>
  </r>
  <r>
    <s v="[Cake] - Overdraft"/>
    <x v="3"/>
    <x v="1"/>
    <x v="76"/>
    <n v="287355820986"/>
    <n v="90833839988"/>
    <n v="196521980998"/>
    <n v="89779203273"/>
    <n v="197576617713"/>
  </r>
  <r>
    <s v="[Cake] - Overdraft"/>
    <x v="3"/>
    <x v="1"/>
    <x v="77"/>
    <n v="286863357941"/>
    <n v="90795042935"/>
    <n v="196068315006"/>
    <n v="89778154276"/>
    <n v="197085203665"/>
  </r>
  <r>
    <s v="[Cake] - Overdraft"/>
    <x v="3"/>
    <x v="1"/>
    <x v="78"/>
    <n v="286231559540"/>
    <n v="90810593936"/>
    <n v="195420965604"/>
    <n v="89835973065"/>
    <n v="196395586475"/>
  </r>
  <r>
    <s v="[Cake] - Overdraft"/>
    <x v="3"/>
    <x v="1"/>
    <x v="79"/>
    <n v="285891283725"/>
    <n v="90761326065"/>
    <n v="195129957660"/>
    <n v="89799917954"/>
    <n v="196091365771"/>
  </r>
  <r>
    <s v="[Cake] - Overdraft"/>
    <x v="3"/>
    <x v="1"/>
    <x v="80"/>
    <n v="285566652140"/>
    <n v="90804084362"/>
    <n v="194762567778"/>
    <n v="89778836729"/>
    <n v="195787815411"/>
  </r>
  <r>
    <s v="[Cake] - Overdraft"/>
    <x v="3"/>
    <x v="1"/>
    <x v="81"/>
    <n v="285391897237"/>
    <n v="90798118890"/>
    <n v="194593778347"/>
    <n v="89834537509"/>
    <n v="195557359728"/>
  </r>
  <r>
    <s v="[Cake] - Overdraft"/>
    <x v="3"/>
    <x v="1"/>
    <x v="82"/>
    <n v="285058957832"/>
    <n v="90893597615"/>
    <n v="194165360217"/>
    <n v="89918413880"/>
    <n v="195140543952"/>
  </r>
  <r>
    <s v="[Cake] - Overdraft"/>
    <x v="3"/>
    <x v="1"/>
    <x v="83"/>
    <n v="284891126325"/>
    <n v="90917704302"/>
    <n v="193973422023"/>
    <n v="89952767889"/>
    <n v="194938358436"/>
  </r>
  <r>
    <s v="[Cake] - Overdraft"/>
    <x v="3"/>
    <x v="1"/>
    <x v="84"/>
    <n v="284847170763"/>
    <n v="90925182749"/>
    <n v="193921988014"/>
    <n v="89982633627"/>
    <n v="194864537136"/>
  </r>
  <r>
    <s v="[Cake] - Overdraft"/>
    <x v="3"/>
    <x v="1"/>
    <x v="85"/>
    <n v="284289915158"/>
    <n v="90909503916"/>
    <n v="193380411242"/>
    <n v="89970079233"/>
    <n v="194319835925"/>
  </r>
  <r>
    <s v="[Cake] - Overdraft"/>
    <x v="3"/>
    <x v="1"/>
    <x v="86"/>
    <n v="283702504767"/>
    <n v="90873821741"/>
    <n v="192828683026"/>
    <n v="89985162763"/>
    <n v="193717342004"/>
  </r>
  <r>
    <s v="[Cake] - Overdraft"/>
    <x v="3"/>
    <x v="1"/>
    <x v="87"/>
    <n v="282893942665"/>
    <n v="90903004659"/>
    <n v="191990938006"/>
    <n v="89959444300"/>
    <n v="192934498365"/>
  </r>
  <r>
    <s v="[Cake] - Overdraft"/>
    <x v="3"/>
    <x v="1"/>
    <x v="88"/>
    <n v="282752235470"/>
    <n v="90953904981"/>
    <n v="191798330489"/>
    <n v="89945277756"/>
    <n v="192806957714"/>
  </r>
  <r>
    <s v="[Cake] - Overdraft"/>
    <x v="3"/>
    <x v="1"/>
    <x v="89"/>
    <n v="282257682989"/>
    <n v="91007263247"/>
    <n v="191250419742"/>
    <n v="89990225841"/>
    <n v="192267457148"/>
  </r>
  <r>
    <s v="[Cake] - Overdraft"/>
    <x v="3"/>
    <x v="1"/>
    <x v="90"/>
    <n v="281101821502"/>
    <n v="91134131692"/>
    <n v="189967689810"/>
    <n v="90013423381"/>
    <n v="191088398121"/>
  </r>
  <r>
    <s v="[Cake] - Overdraft"/>
    <x v="3"/>
    <x v="1"/>
    <x v="91"/>
    <n v="277132402651"/>
    <n v="91111818258"/>
    <n v="186020584393"/>
    <n v="89980325668"/>
    <n v="187152076983"/>
  </r>
  <r>
    <s v="[Cake] - Overdraft Odim"/>
    <x v="3"/>
    <x v="1"/>
    <x v="0"/>
    <n v="0"/>
    <n v="0"/>
    <n v="0"/>
    <n v="0"/>
    <n v="0"/>
  </r>
  <r>
    <s v="[Cake] - Overdraft Odim"/>
    <x v="3"/>
    <x v="1"/>
    <x v="1"/>
    <n v="0"/>
    <n v="0"/>
    <n v="0"/>
    <n v="0"/>
    <n v="0"/>
  </r>
  <r>
    <s v="[Cake] - Overdraft Odim"/>
    <x v="3"/>
    <x v="1"/>
    <x v="2"/>
    <n v="0"/>
    <n v="0"/>
    <n v="0"/>
    <n v="0"/>
    <n v="0"/>
  </r>
  <r>
    <s v="[Cake] - Overdraft Odim"/>
    <x v="3"/>
    <x v="1"/>
    <x v="3"/>
    <n v="0"/>
    <n v="0"/>
    <n v="0"/>
    <n v="0"/>
    <n v="0"/>
  </r>
  <r>
    <s v="[Cake] - Overdraft Odim"/>
    <x v="3"/>
    <x v="1"/>
    <x v="4"/>
    <n v="0"/>
    <n v="0"/>
    <n v="0"/>
    <n v="0"/>
    <n v="0"/>
  </r>
  <r>
    <s v="[Cake] - Overdraft Odim"/>
    <x v="3"/>
    <x v="1"/>
    <x v="5"/>
    <n v="0"/>
    <n v="0"/>
    <n v="0"/>
    <n v="0"/>
    <n v="0"/>
  </r>
  <r>
    <s v="[Cake] - Overdraft Odim"/>
    <x v="3"/>
    <x v="1"/>
    <x v="6"/>
    <n v="0"/>
    <n v="0"/>
    <n v="0"/>
    <n v="0"/>
    <n v="0"/>
  </r>
  <r>
    <s v="[Cake] - Overdraft Odim"/>
    <x v="3"/>
    <x v="1"/>
    <x v="7"/>
    <n v="0"/>
    <n v="0"/>
    <n v="0"/>
    <n v="0"/>
    <n v="0"/>
  </r>
  <r>
    <s v="[Cake] - Overdraft Odim"/>
    <x v="3"/>
    <x v="1"/>
    <x v="8"/>
    <n v="0"/>
    <n v="0"/>
    <n v="0"/>
    <n v="0"/>
    <n v="0"/>
  </r>
  <r>
    <s v="[Cake] - Overdraft Odim"/>
    <x v="3"/>
    <x v="1"/>
    <x v="9"/>
    <n v="0"/>
    <n v="0"/>
    <n v="0"/>
    <n v="0"/>
    <n v="0"/>
  </r>
  <r>
    <s v="[Cake] - Overdraft Odim"/>
    <x v="3"/>
    <x v="1"/>
    <x v="10"/>
    <n v="0"/>
    <n v="0"/>
    <n v="0"/>
    <n v="0"/>
    <n v="0"/>
  </r>
  <r>
    <s v="[Cake] - Overdraft Odim"/>
    <x v="3"/>
    <x v="1"/>
    <x v="11"/>
    <n v="0"/>
    <n v="0"/>
    <n v="0"/>
    <n v="0"/>
    <n v="0"/>
  </r>
  <r>
    <s v="[Cake] - Overdraft Odim"/>
    <x v="3"/>
    <x v="1"/>
    <x v="12"/>
    <n v="0"/>
    <n v="0"/>
    <n v="0"/>
    <n v="0"/>
    <n v="0"/>
  </r>
  <r>
    <s v="[Cake] - Overdraft Odim"/>
    <x v="3"/>
    <x v="1"/>
    <x v="13"/>
    <n v="0"/>
    <n v="0"/>
    <n v="0"/>
    <n v="0"/>
    <n v="0"/>
  </r>
  <r>
    <s v="[Cake] - Overdraft Odim"/>
    <x v="3"/>
    <x v="1"/>
    <x v="14"/>
    <n v="0"/>
    <n v="0"/>
    <n v="0"/>
    <n v="0"/>
    <n v="0"/>
  </r>
  <r>
    <s v="[Cake] - Overdraft Odim"/>
    <x v="3"/>
    <x v="1"/>
    <x v="15"/>
    <n v="0"/>
    <n v="0"/>
    <n v="0"/>
    <n v="0"/>
    <n v="0"/>
  </r>
  <r>
    <s v="[Cake] - Overdraft Odim"/>
    <x v="3"/>
    <x v="1"/>
    <x v="16"/>
    <n v="0"/>
    <n v="0"/>
    <n v="0"/>
    <n v="0"/>
    <n v="0"/>
  </r>
  <r>
    <s v="[Cake] - Overdraft Odim"/>
    <x v="3"/>
    <x v="1"/>
    <x v="17"/>
    <n v="0"/>
    <n v="0"/>
    <n v="0"/>
    <n v="0"/>
    <n v="0"/>
  </r>
  <r>
    <s v="[Cake] - Overdraft Odim"/>
    <x v="3"/>
    <x v="1"/>
    <x v="18"/>
    <n v="0"/>
    <n v="0"/>
    <n v="0"/>
    <n v="0"/>
    <n v="0"/>
  </r>
  <r>
    <s v="[Cake] - Overdraft Odim"/>
    <x v="3"/>
    <x v="1"/>
    <x v="19"/>
    <n v="0"/>
    <n v="0"/>
    <n v="0"/>
    <n v="0"/>
    <n v="0"/>
  </r>
  <r>
    <s v="[Cake] - Overdraft Odim"/>
    <x v="3"/>
    <x v="1"/>
    <x v="20"/>
    <n v="0"/>
    <n v="0"/>
    <n v="0"/>
    <n v="0"/>
    <n v="0"/>
  </r>
  <r>
    <s v="[Cake] - Overdraft Odim"/>
    <x v="3"/>
    <x v="1"/>
    <x v="21"/>
    <n v="0"/>
    <n v="0"/>
    <n v="0"/>
    <n v="0"/>
    <n v="0"/>
  </r>
  <r>
    <s v="[Cake] - Overdraft Odim"/>
    <x v="3"/>
    <x v="1"/>
    <x v="22"/>
    <n v="0"/>
    <n v="0"/>
    <n v="0"/>
    <n v="0"/>
    <n v="0"/>
  </r>
  <r>
    <s v="[Cake] - Overdraft Odim"/>
    <x v="3"/>
    <x v="1"/>
    <x v="23"/>
    <n v="0"/>
    <n v="0"/>
    <n v="0"/>
    <n v="0"/>
    <n v="0"/>
  </r>
  <r>
    <s v="[Cake] - Overdraft Odim"/>
    <x v="3"/>
    <x v="1"/>
    <x v="24"/>
    <n v="0"/>
    <n v="0"/>
    <n v="0"/>
    <n v="0"/>
    <n v="0"/>
  </r>
  <r>
    <s v="[Cake] - Overdraft Odim"/>
    <x v="3"/>
    <x v="1"/>
    <x v="25"/>
    <n v="0"/>
    <n v="0"/>
    <n v="0"/>
    <n v="0"/>
    <n v="0"/>
  </r>
  <r>
    <s v="[Cake] - Overdraft Odim"/>
    <x v="3"/>
    <x v="1"/>
    <x v="26"/>
    <n v="0"/>
    <n v="0"/>
    <n v="0"/>
    <n v="0"/>
    <n v="0"/>
  </r>
  <r>
    <s v="[Cake] - Overdraft Odim"/>
    <x v="3"/>
    <x v="1"/>
    <x v="27"/>
    <n v="0"/>
    <n v="0"/>
    <n v="0"/>
    <n v="0"/>
    <n v="0"/>
  </r>
  <r>
    <s v="[Cake] - Overdraft Odim"/>
    <x v="3"/>
    <x v="1"/>
    <x v="28"/>
    <n v="0"/>
    <n v="0"/>
    <n v="0"/>
    <n v="0"/>
    <n v="0"/>
  </r>
  <r>
    <s v="[Cake] - Overdraft Odim"/>
    <x v="3"/>
    <x v="1"/>
    <x v="29"/>
    <n v="0"/>
    <n v="0"/>
    <n v="0"/>
    <n v="0"/>
    <n v="0"/>
  </r>
  <r>
    <s v="[Cake] - Overdraft Odim"/>
    <x v="3"/>
    <x v="1"/>
    <x v="30"/>
    <n v="0"/>
    <n v="0"/>
    <n v="0"/>
    <n v="0"/>
    <n v="0"/>
  </r>
  <r>
    <s v="[Cake] - Overdraft Odim"/>
    <x v="3"/>
    <x v="1"/>
    <x v="31"/>
    <n v="0"/>
    <n v="0"/>
    <n v="0"/>
    <n v="0"/>
    <n v="0"/>
  </r>
  <r>
    <s v="[Cake] - Overdraft Odim"/>
    <x v="3"/>
    <x v="1"/>
    <x v="32"/>
    <n v="0"/>
    <n v="0"/>
    <n v="0"/>
    <n v="0"/>
    <n v="0"/>
  </r>
  <r>
    <s v="[Cake] - Overdraft Odim"/>
    <x v="3"/>
    <x v="1"/>
    <x v="33"/>
    <n v="0"/>
    <n v="0"/>
    <n v="0"/>
    <n v="0"/>
    <n v="0"/>
  </r>
  <r>
    <s v="[Cake] - Overdraft Odim"/>
    <x v="3"/>
    <x v="1"/>
    <x v="34"/>
    <n v="0"/>
    <n v="0"/>
    <n v="0"/>
    <n v="0"/>
    <n v="0"/>
  </r>
  <r>
    <s v="[Cake] - Overdraft Odim"/>
    <x v="3"/>
    <x v="1"/>
    <x v="35"/>
    <n v="0"/>
    <n v="0"/>
    <n v="0"/>
    <n v="0"/>
    <n v="0"/>
  </r>
  <r>
    <s v="[Cake] - Overdraft Odim"/>
    <x v="3"/>
    <x v="1"/>
    <x v="36"/>
    <n v="0"/>
    <n v="0"/>
    <n v="0"/>
    <n v="0"/>
    <n v="0"/>
  </r>
  <r>
    <s v="[Cake] - Overdraft Odim"/>
    <x v="3"/>
    <x v="1"/>
    <x v="37"/>
    <n v="0"/>
    <n v="0"/>
    <n v="0"/>
    <n v="0"/>
    <n v="0"/>
  </r>
  <r>
    <s v="[Cake] - Overdraft Odim"/>
    <x v="3"/>
    <x v="1"/>
    <x v="38"/>
    <n v="0"/>
    <n v="0"/>
    <n v="0"/>
    <n v="0"/>
    <n v="0"/>
  </r>
  <r>
    <s v="[Cake] - Overdraft Odim"/>
    <x v="3"/>
    <x v="1"/>
    <x v="39"/>
    <n v="0"/>
    <n v="0"/>
    <n v="0"/>
    <n v="0"/>
    <n v="0"/>
  </r>
  <r>
    <s v="[Cake] - Overdraft Odim"/>
    <x v="3"/>
    <x v="1"/>
    <x v="40"/>
    <n v="0"/>
    <n v="0"/>
    <n v="0"/>
    <n v="0"/>
    <n v="0"/>
  </r>
  <r>
    <s v="[Cake] - Overdraft Odim"/>
    <x v="3"/>
    <x v="1"/>
    <x v="41"/>
    <n v="0"/>
    <n v="0"/>
    <n v="0"/>
    <n v="0"/>
    <n v="0"/>
  </r>
  <r>
    <s v="[Cake] - Overdraft Odim"/>
    <x v="3"/>
    <x v="1"/>
    <x v="42"/>
    <n v="0"/>
    <n v="0"/>
    <n v="0"/>
    <n v="0"/>
    <n v="0"/>
  </r>
  <r>
    <s v="[Cake] - Overdraft Odim"/>
    <x v="3"/>
    <x v="1"/>
    <x v="43"/>
    <n v="0"/>
    <n v="0"/>
    <n v="0"/>
    <n v="0"/>
    <n v="0"/>
  </r>
  <r>
    <s v="[Cake] - Overdraft Odim"/>
    <x v="3"/>
    <x v="1"/>
    <x v="44"/>
    <n v="0"/>
    <n v="0"/>
    <n v="0"/>
    <n v="0"/>
    <n v="0"/>
  </r>
  <r>
    <s v="[Cake] - Overdraft Odim"/>
    <x v="3"/>
    <x v="1"/>
    <x v="45"/>
    <n v="0"/>
    <n v="0"/>
    <n v="0"/>
    <n v="0"/>
    <n v="0"/>
  </r>
  <r>
    <s v="[Cake] - Overdraft Odim"/>
    <x v="3"/>
    <x v="1"/>
    <x v="46"/>
    <n v="0"/>
    <n v="0"/>
    <n v="0"/>
    <n v="0"/>
    <n v="0"/>
  </r>
  <r>
    <s v="[Cake] - Overdraft Odim"/>
    <x v="3"/>
    <x v="1"/>
    <x v="47"/>
    <n v="0"/>
    <n v="0"/>
    <n v="0"/>
    <n v="0"/>
    <n v="0"/>
  </r>
  <r>
    <s v="[Cake] - Overdraft Odim"/>
    <x v="3"/>
    <x v="1"/>
    <x v="48"/>
    <n v="0"/>
    <n v="0"/>
    <n v="0"/>
    <n v="0"/>
    <n v="0"/>
  </r>
  <r>
    <s v="[Cake] - Overdraft Odim"/>
    <x v="3"/>
    <x v="1"/>
    <x v="49"/>
    <n v="0"/>
    <n v="0"/>
    <n v="0"/>
    <n v="0"/>
    <n v="0"/>
  </r>
  <r>
    <s v="[Cake] - Overdraft Odim"/>
    <x v="3"/>
    <x v="1"/>
    <x v="50"/>
    <n v="0"/>
    <n v="0"/>
    <n v="0"/>
    <n v="0"/>
    <n v="0"/>
  </r>
  <r>
    <s v="[Cake] - Overdraft Odim"/>
    <x v="3"/>
    <x v="1"/>
    <x v="51"/>
    <n v="0"/>
    <n v="0"/>
    <n v="0"/>
    <n v="0"/>
    <n v="0"/>
  </r>
  <r>
    <s v="[Cake] - Overdraft Odim"/>
    <x v="3"/>
    <x v="1"/>
    <x v="52"/>
    <n v="0"/>
    <n v="0"/>
    <n v="0"/>
    <n v="0"/>
    <n v="0"/>
  </r>
  <r>
    <s v="[Cake] - Overdraft Odim"/>
    <x v="3"/>
    <x v="1"/>
    <x v="53"/>
    <n v="0"/>
    <n v="0"/>
    <n v="0"/>
    <n v="0"/>
    <n v="0"/>
  </r>
  <r>
    <s v="[Cake] - Overdraft Odim"/>
    <x v="3"/>
    <x v="1"/>
    <x v="54"/>
    <n v="0"/>
    <n v="0"/>
    <n v="0"/>
    <n v="0"/>
    <n v="0"/>
  </r>
  <r>
    <s v="[Cake] - Overdraft Odim"/>
    <x v="3"/>
    <x v="1"/>
    <x v="55"/>
    <n v="0"/>
    <n v="0"/>
    <n v="0"/>
    <n v="0"/>
    <n v="0"/>
  </r>
  <r>
    <s v="[Cake] - Overdraft Odim"/>
    <x v="3"/>
    <x v="1"/>
    <x v="56"/>
    <n v="0"/>
    <n v="0"/>
    <n v="0"/>
    <n v="0"/>
    <n v="0"/>
  </r>
  <r>
    <s v="[Cake] - Overdraft Odim"/>
    <x v="3"/>
    <x v="1"/>
    <x v="57"/>
    <n v="0"/>
    <n v="0"/>
    <n v="0"/>
    <n v="0"/>
    <n v="0"/>
  </r>
  <r>
    <s v="[Cake] - Overdraft Odim"/>
    <x v="3"/>
    <x v="1"/>
    <x v="58"/>
    <n v="0"/>
    <n v="0"/>
    <n v="0"/>
    <n v="0"/>
    <n v="0"/>
  </r>
  <r>
    <s v="[Cake] - Overdraft Odim"/>
    <x v="3"/>
    <x v="1"/>
    <x v="59"/>
    <n v="0"/>
    <n v="0"/>
    <n v="0"/>
    <n v="0"/>
    <n v="0"/>
  </r>
  <r>
    <s v="[Cake] - Overdraft Odim"/>
    <x v="3"/>
    <x v="1"/>
    <x v="60"/>
    <n v="0"/>
    <n v="0"/>
    <n v="0"/>
    <n v="0"/>
    <n v="0"/>
  </r>
  <r>
    <s v="[Cake] - Overdraft Odim"/>
    <x v="3"/>
    <x v="1"/>
    <x v="61"/>
    <n v="0"/>
    <n v="0"/>
    <n v="0"/>
    <n v="0"/>
    <n v="0"/>
  </r>
  <r>
    <s v="[Cake] - Overdraft Odim"/>
    <x v="3"/>
    <x v="1"/>
    <x v="62"/>
    <n v="0"/>
    <n v="0"/>
    <n v="0"/>
    <n v="0"/>
    <n v="0"/>
  </r>
  <r>
    <s v="[Cake] - Overdraft Odim"/>
    <x v="3"/>
    <x v="1"/>
    <x v="63"/>
    <n v="0"/>
    <n v="0"/>
    <n v="0"/>
    <n v="0"/>
    <n v="0"/>
  </r>
  <r>
    <s v="[Cake] - Overdraft Odim"/>
    <x v="3"/>
    <x v="1"/>
    <x v="64"/>
    <n v="0"/>
    <n v="0"/>
    <n v="0"/>
    <n v="0"/>
    <n v="0"/>
  </r>
  <r>
    <s v="[Cake] - Overdraft Odim"/>
    <x v="3"/>
    <x v="1"/>
    <x v="65"/>
    <n v="0"/>
    <n v="0"/>
    <n v="0"/>
    <n v="0"/>
    <n v="0"/>
  </r>
  <r>
    <s v="[Cake] - Overdraft Odim"/>
    <x v="3"/>
    <x v="1"/>
    <x v="66"/>
    <n v="0"/>
    <n v="0"/>
    <n v="0"/>
    <n v="0"/>
    <n v="0"/>
  </r>
  <r>
    <s v="[Cake] - Overdraft Odim"/>
    <x v="3"/>
    <x v="1"/>
    <x v="67"/>
    <n v="0"/>
    <n v="0"/>
    <n v="0"/>
    <n v="0"/>
    <n v="0"/>
  </r>
  <r>
    <s v="[Cake] - Overdraft Odim"/>
    <x v="3"/>
    <x v="1"/>
    <x v="68"/>
    <n v="0"/>
    <n v="0"/>
    <n v="0"/>
    <n v="0"/>
    <n v="0"/>
  </r>
  <r>
    <s v="[Cake] - Overdraft Odim"/>
    <x v="3"/>
    <x v="1"/>
    <x v="69"/>
    <n v="0"/>
    <n v="0"/>
    <n v="0"/>
    <n v="0"/>
    <n v="0"/>
  </r>
  <r>
    <s v="[Cake] - Overdraft Odim"/>
    <x v="3"/>
    <x v="1"/>
    <x v="70"/>
    <n v="0"/>
    <n v="0"/>
    <n v="0"/>
    <n v="0"/>
    <n v="0"/>
  </r>
  <r>
    <s v="[Cake] - Overdraft Odim"/>
    <x v="3"/>
    <x v="1"/>
    <x v="71"/>
    <n v="0"/>
    <n v="0"/>
    <n v="0"/>
    <n v="0"/>
    <n v="0"/>
  </r>
  <r>
    <s v="[Cake] - Overdraft Odim"/>
    <x v="3"/>
    <x v="1"/>
    <x v="72"/>
    <n v="0"/>
    <n v="0"/>
    <n v="0"/>
    <n v="0"/>
    <n v="0"/>
  </r>
  <r>
    <s v="[Cake] - Overdraft Odim"/>
    <x v="3"/>
    <x v="1"/>
    <x v="73"/>
    <n v="0"/>
    <n v="0"/>
    <n v="0"/>
    <n v="0"/>
    <n v="0"/>
  </r>
  <r>
    <s v="[Cake] - Overdraft Odim"/>
    <x v="3"/>
    <x v="1"/>
    <x v="74"/>
    <n v="0"/>
    <n v="0"/>
    <n v="0"/>
    <n v="0"/>
    <n v="0"/>
  </r>
  <r>
    <s v="[Cake] - Overdraft Odim"/>
    <x v="3"/>
    <x v="1"/>
    <x v="75"/>
    <n v="0"/>
    <n v="0"/>
    <n v="0"/>
    <n v="0"/>
    <n v="0"/>
  </r>
  <r>
    <s v="[Cake] - Overdraft Odim"/>
    <x v="3"/>
    <x v="1"/>
    <x v="76"/>
    <n v="0"/>
    <n v="0"/>
    <n v="0"/>
    <n v="0"/>
    <n v="0"/>
  </r>
  <r>
    <s v="[Cake] - Overdraft Odim"/>
    <x v="3"/>
    <x v="1"/>
    <x v="77"/>
    <n v="0"/>
    <n v="0"/>
    <n v="0"/>
    <n v="0"/>
    <n v="0"/>
  </r>
  <r>
    <s v="[Cake] - Overdraft Odim"/>
    <x v="3"/>
    <x v="1"/>
    <x v="78"/>
    <n v="0"/>
    <n v="0"/>
    <n v="0"/>
    <n v="0"/>
    <n v="0"/>
  </r>
  <r>
    <s v="[Cake] - Overdraft Odim"/>
    <x v="3"/>
    <x v="1"/>
    <x v="79"/>
    <n v="0"/>
    <n v="0"/>
    <n v="0"/>
    <n v="0"/>
    <n v="0"/>
  </r>
  <r>
    <s v="[Cake] - Overdraft Odim"/>
    <x v="3"/>
    <x v="1"/>
    <x v="80"/>
    <n v="0"/>
    <n v="0"/>
    <n v="0"/>
    <n v="0"/>
    <n v="0"/>
  </r>
  <r>
    <s v="[Cake] - Overdraft Odim"/>
    <x v="3"/>
    <x v="1"/>
    <x v="81"/>
    <n v="0"/>
    <n v="0"/>
    <n v="0"/>
    <n v="0"/>
    <n v="0"/>
  </r>
  <r>
    <s v="[Cake] - Overdraft Odim"/>
    <x v="3"/>
    <x v="1"/>
    <x v="82"/>
    <n v="0"/>
    <n v="0"/>
    <n v="0"/>
    <n v="0"/>
    <n v="0"/>
  </r>
  <r>
    <s v="[Cake] - Overdraft Odim"/>
    <x v="3"/>
    <x v="1"/>
    <x v="83"/>
    <n v="0"/>
    <n v="0"/>
    <n v="0"/>
    <n v="0"/>
    <n v="0"/>
  </r>
  <r>
    <s v="[Cake] - Overdraft Odim"/>
    <x v="3"/>
    <x v="1"/>
    <x v="84"/>
    <n v="0"/>
    <n v="0"/>
    <n v="0"/>
    <n v="0"/>
    <n v="0"/>
  </r>
  <r>
    <s v="[Cake] - Overdraft Odim"/>
    <x v="3"/>
    <x v="1"/>
    <x v="85"/>
    <n v="0"/>
    <n v="0"/>
    <n v="0"/>
    <n v="0"/>
    <n v="0"/>
  </r>
  <r>
    <s v="[Cake] - Overdraft Odim"/>
    <x v="3"/>
    <x v="1"/>
    <x v="86"/>
    <n v="0"/>
    <n v="0"/>
    <n v="0"/>
    <n v="0"/>
    <n v="0"/>
  </r>
  <r>
    <s v="[Cake] - Overdraft Odim"/>
    <x v="3"/>
    <x v="1"/>
    <x v="87"/>
    <n v="0"/>
    <n v="0"/>
    <n v="0"/>
    <n v="0"/>
    <n v="0"/>
  </r>
  <r>
    <s v="[Cake] - Overdraft Odim"/>
    <x v="3"/>
    <x v="1"/>
    <x v="88"/>
    <n v="0"/>
    <n v="0"/>
    <n v="0"/>
    <n v="0"/>
    <n v="0"/>
  </r>
  <r>
    <s v="[Cake] - Overdraft Odim"/>
    <x v="3"/>
    <x v="1"/>
    <x v="89"/>
    <n v="0"/>
    <n v="0"/>
    <n v="0"/>
    <n v="0"/>
    <n v="0"/>
  </r>
  <r>
    <s v="[Cake] - Overdraft Odim"/>
    <x v="3"/>
    <x v="1"/>
    <x v="90"/>
    <n v="0"/>
    <n v="0"/>
    <n v="0"/>
    <n v="0"/>
    <n v="0"/>
  </r>
  <r>
    <s v="[Cake] - Overdraft Odim"/>
    <x v="3"/>
    <x v="1"/>
    <x v="91"/>
    <n v="0"/>
    <n v="0"/>
    <n v="0"/>
    <n v="0"/>
    <n v="0"/>
  </r>
  <r>
    <s v="[Cake] - Payday"/>
    <x v="4"/>
    <x v="1"/>
    <x v="20"/>
    <n v="16200000"/>
    <n v="0"/>
    <n v="16200000"/>
    <n v="0"/>
    <n v="16200000"/>
  </r>
  <r>
    <s v="[Cake] - Payday"/>
    <x v="4"/>
    <x v="1"/>
    <x v="21"/>
    <n v="5660854637"/>
    <n v="0"/>
    <n v="5660854637"/>
    <n v="0"/>
    <n v="5660854637"/>
  </r>
  <r>
    <s v="[Cake] - Payday"/>
    <x v="4"/>
    <x v="1"/>
    <x v="22"/>
    <n v="14356393957"/>
    <n v="0"/>
    <n v="14356393957"/>
    <n v="0"/>
    <n v="14356393957"/>
  </r>
  <r>
    <s v="[Cake] - Payday"/>
    <x v="4"/>
    <x v="1"/>
    <x v="23"/>
    <n v="21216377418"/>
    <n v="0"/>
    <n v="21216377418"/>
    <n v="0"/>
    <n v="21216377418"/>
  </r>
  <r>
    <s v="[Cake] - Payday"/>
    <x v="4"/>
    <x v="1"/>
    <x v="24"/>
    <n v="26727006341"/>
    <n v="0"/>
    <n v="26727006341"/>
    <n v="0"/>
    <n v="26727006341"/>
  </r>
  <r>
    <s v="[Cake] - Payday"/>
    <x v="4"/>
    <x v="1"/>
    <x v="25"/>
    <n v="30644705954"/>
    <n v="0"/>
    <n v="30644705954"/>
    <n v="0"/>
    <n v="30644705954"/>
  </r>
  <r>
    <s v="[Cake] - Payday"/>
    <x v="4"/>
    <x v="1"/>
    <x v="26"/>
    <n v="34208873945"/>
    <n v="0"/>
    <n v="34208873945"/>
    <n v="0"/>
    <n v="34208873945"/>
  </r>
  <r>
    <s v="[Cake] - Payday"/>
    <x v="4"/>
    <x v="1"/>
    <x v="27"/>
    <n v="38840172019"/>
    <n v="0"/>
    <n v="38840172019"/>
    <n v="0"/>
    <n v="38840172019"/>
  </r>
  <r>
    <s v="[Cake] - Payday"/>
    <x v="4"/>
    <x v="1"/>
    <x v="28"/>
    <n v="42666706398"/>
    <n v="0"/>
    <n v="42666706398"/>
    <n v="0"/>
    <n v="42666706398"/>
  </r>
  <r>
    <s v="[Cake] - Payday"/>
    <x v="4"/>
    <x v="1"/>
    <x v="29"/>
    <n v="45735033375"/>
    <n v="0"/>
    <n v="45735033375"/>
    <n v="0"/>
    <n v="45735033375"/>
  </r>
  <r>
    <s v="[Cake] - Payday"/>
    <x v="4"/>
    <x v="1"/>
    <x v="30"/>
    <n v="48634267021"/>
    <n v="0"/>
    <n v="48634267021"/>
    <n v="0"/>
    <n v="48634267021"/>
  </r>
  <r>
    <s v="[Cake] - Payday"/>
    <x v="4"/>
    <x v="1"/>
    <x v="31"/>
    <n v="52224195000"/>
    <n v="0"/>
    <n v="52224195000"/>
    <n v="0"/>
    <n v="52224195000"/>
  </r>
  <r>
    <s v="[Cake] - Payday"/>
    <x v="4"/>
    <x v="1"/>
    <x v="32"/>
    <n v="54543454414"/>
    <n v="0"/>
    <n v="54543454414"/>
    <n v="0"/>
    <n v="54543454414"/>
  </r>
  <r>
    <s v="[Cake] - Payday"/>
    <x v="4"/>
    <x v="1"/>
    <x v="33"/>
    <n v="57070425983"/>
    <n v="0"/>
    <n v="57070425983"/>
    <n v="0"/>
    <n v="57070425983"/>
  </r>
  <r>
    <s v="[Cake] - Payday"/>
    <x v="4"/>
    <x v="1"/>
    <x v="34"/>
    <n v="59880451748"/>
    <n v="0"/>
    <n v="59880451748"/>
    <n v="0"/>
    <n v="59880451748"/>
  </r>
  <r>
    <s v="[Cake] - Payday"/>
    <x v="4"/>
    <x v="1"/>
    <x v="35"/>
    <n v="62617388016"/>
    <n v="0"/>
    <n v="62617388016"/>
    <n v="0"/>
    <n v="62617388016"/>
  </r>
  <r>
    <s v="[Cake] - Payday"/>
    <x v="4"/>
    <x v="1"/>
    <x v="36"/>
    <n v="64895114941"/>
    <n v="0"/>
    <n v="64895114941"/>
    <n v="0"/>
    <n v="64895114941"/>
  </r>
  <r>
    <s v="[Cake] - Payday"/>
    <x v="4"/>
    <x v="1"/>
    <x v="37"/>
    <n v="66802665587"/>
    <n v="0"/>
    <n v="66802665587"/>
    <n v="0"/>
    <n v="66802665587"/>
  </r>
  <r>
    <s v="[Cake] - Payday"/>
    <x v="4"/>
    <x v="1"/>
    <x v="38"/>
    <n v="68704672489"/>
    <n v="0"/>
    <n v="68704672489"/>
    <n v="0"/>
    <n v="68704672489"/>
  </r>
  <r>
    <s v="[Cake] - Payday"/>
    <x v="4"/>
    <x v="1"/>
    <x v="39"/>
    <n v="70680096796"/>
    <n v="0"/>
    <n v="70680096796"/>
    <n v="0"/>
    <n v="70680096796"/>
  </r>
  <r>
    <s v="[Cake] - Payday"/>
    <x v="4"/>
    <x v="1"/>
    <x v="40"/>
    <n v="72762999894"/>
    <n v="0"/>
    <n v="72762999894"/>
    <n v="0"/>
    <n v="72762999894"/>
  </r>
  <r>
    <s v="[Cake] - Payday"/>
    <x v="4"/>
    <x v="1"/>
    <x v="41"/>
    <n v="74264083700"/>
    <n v="0"/>
    <n v="74264083700"/>
    <n v="0"/>
    <n v="74264083700"/>
  </r>
  <r>
    <s v="[Cake] - Payday"/>
    <x v="4"/>
    <x v="1"/>
    <x v="42"/>
    <n v="75609640646"/>
    <n v="0"/>
    <n v="75609640646"/>
    <n v="0"/>
    <n v="75609640646"/>
  </r>
  <r>
    <s v="[Cake] - Payday"/>
    <x v="4"/>
    <x v="1"/>
    <x v="43"/>
    <n v="77105819573"/>
    <n v="0"/>
    <n v="77105819573"/>
    <n v="0"/>
    <n v="77105819573"/>
  </r>
  <r>
    <s v="[Cake] - Payday"/>
    <x v="4"/>
    <x v="1"/>
    <x v="44"/>
    <n v="78623716308"/>
    <n v="0"/>
    <n v="78623716308"/>
    <n v="0"/>
    <n v="78623716308"/>
  </r>
  <r>
    <s v="[Cake] - Payday"/>
    <x v="4"/>
    <x v="1"/>
    <x v="45"/>
    <n v="80011974414"/>
    <n v="0"/>
    <n v="80011974414"/>
    <n v="0"/>
    <n v="80011974414"/>
  </r>
  <r>
    <s v="[Cake] - Payday"/>
    <x v="4"/>
    <x v="1"/>
    <x v="46"/>
    <n v="81500171691"/>
    <n v="0"/>
    <n v="81500171691"/>
    <n v="0"/>
    <n v="81500171691"/>
  </r>
  <r>
    <s v="[Cake] - Payday"/>
    <x v="4"/>
    <x v="1"/>
    <x v="47"/>
    <n v="82828938056"/>
    <n v="0"/>
    <n v="82828938056"/>
    <n v="0"/>
    <n v="82828938056"/>
  </r>
  <r>
    <s v="[Cake] - Payday"/>
    <x v="4"/>
    <x v="1"/>
    <x v="48"/>
    <n v="84114826597"/>
    <n v="0"/>
    <n v="84114826597"/>
    <n v="0"/>
    <n v="84114826597"/>
  </r>
  <r>
    <s v="[Cake] - Payday"/>
    <x v="4"/>
    <x v="1"/>
    <x v="49"/>
    <n v="84794244565"/>
    <n v="0"/>
    <n v="84794244565"/>
    <n v="0"/>
    <n v="84794244565"/>
  </r>
  <r>
    <s v="[Cake] - Payday"/>
    <x v="4"/>
    <x v="1"/>
    <x v="50"/>
    <n v="84881249198"/>
    <n v="0"/>
    <n v="84881249198"/>
    <n v="0"/>
    <n v="84881249198"/>
  </r>
  <r>
    <s v="[Cake] - Payday"/>
    <x v="4"/>
    <x v="1"/>
    <x v="51"/>
    <n v="84775225765"/>
    <n v="0"/>
    <n v="84775225765"/>
    <n v="0"/>
    <n v="84775225765"/>
  </r>
  <r>
    <s v="[Cake] - Payday"/>
    <x v="4"/>
    <x v="1"/>
    <x v="52"/>
    <n v="85004175891"/>
    <n v="1285330845"/>
    <n v="83718845046"/>
    <n v="0"/>
    <n v="85004175891"/>
  </r>
  <r>
    <s v="[Cake] - Payday"/>
    <x v="4"/>
    <x v="1"/>
    <x v="53"/>
    <n v="86201731152"/>
    <n v="3054190415"/>
    <n v="83147540737"/>
    <n v="0"/>
    <n v="86201731152"/>
  </r>
  <r>
    <s v="[Cake] - Payday"/>
    <x v="4"/>
    <x v="1"/>
    <x v="54"/>
    <n v="87402350986"/>
    <n v="4033330781"/>
    <n v="83369020205"/>
    <n v="0"/>
    <n v="87402350986"/>
  </r>
  <r>
    <s v="[Cake] - Payday"/>
    <x v="4"/>
    <x v="1"/>
    <x v="55"/>
    <n v="88716392822"/>
    <n v="4761725971"/>
    <n v="83954666851"/>
    <n v="0"/>
    <n v="88716392822"/>
  </r>
  <r>
    <s v="[Cake] - Payday"/>
    <x v="4"/>
    <x v="1"/>
    <x v="56"/>
    <n v="89901064197"/>
    <n v="5193681823"/>
    <n v="84707382374"/>
    <n v="0"/>
    <n v="89901064197"/>
  </r>
  <r>
    <s v="[Cake] - Payday"/>
    <x v="4"/>
    <x v="1"/>
    <x v="57"/>
    <n v="91286860384"/>
    <n v="5488815796"/>
    <n v="85798044588"/>
    <n v="0"/>
    <n v="91286860384"/>
  </r>
  <r>
    <s v="[Cake] - Payday"/>
    <x v="4"/>
    <x v="1"/>
    <x v="58"/>
    <n v="92814110910"/>
    <n v="5915826515"/>
    <n v="86898284395"/>
    <n v="0"/>
    <n v="92814110910"/>
  </r>
  <r>
    <s v="[Cake] - Payday"/>
    <x v="4"/>
    <x v="1"/>
    <x v="59"/>
    <n v="93661682314"/>
    <n v="6196616615"/>
    <n v="87465065699"/>
    <n v="0"/>
    <n v="93661682314"/>
  </r>
  <r>
    <s v="[Cake] - Payday"/>
    <x v="4"/>
    <x v="1"/>
    <x v="60"/>
    <n v="94858896793"/>
    <n v="6483095105"/>
    <n v="88375801688"/>
    <n v="0"/>
    <n v="94858896793"/>
  </r>
  <r>
    <s v="[Cake] - Payday"/>
    <x v="4"/>
    <x v="1"/>
    <x v="61"/>
    <n v="96267633529"/>
    <n v="6749116378"/>
    <n v="89518517151"/>
    <n v="0"/>
    <n v="96267633529"/>
  </r>
  <r>
    <s v="[Cake] - Payday"/>
    <x v="4"/>
    <x v="1"/>
    <x v="62"/>
    <n v="97716351503"/>
    <n v="7136616464"/>
    <n v="90579735039"/>
    <n v="927732063"/>
    <n v="96788619440"/>
  </r>
  <r>
    <s v="[Cake] - Payday"/>
    <x v="4"/>
    <x v="1"/>
    <x v="63"/>
    <n v="98966023673"/>
    <n v="6995804829"/>
    <n v="91970218844"/>
    <n v="2354400607"/>
    <n v="96611623066"/>
  </r>
  <r>
    <s v="[Cake] - Payday"/>
    <x v="4"/>
    <x v="1"/>
    <x v="64"/>
    <n v="99469664770"/>
    <n v="6770755689"/>
    <n v="92698909081"/>
    <n v="3054999636"/>
    <n v="96414665134"/>
  </r>
  <r>
    <s v="[Cake] - Payday"/>
    <x v="4"/>
    <x v="1"/>
    <x v="65"/>
    <n v="101002060659"/>
    <n v="7832150192"/>
    <n v="93169910467"/>
    <n v="3669053245"/>
    <n v="97333007414"/>
  </r>
  <r>
    <s v="[Cake] - Payday"/>
    <x v="4"/>
    <x v="1"/>
    <x v="66"/>
    <n v="101939268848"/>
    <n v="7918857362"/>
    <n v="94020411486"/>
    <n v="4036229639"/>
    <n v="97903039209"/>
  </r>
  <r>
    <s v="[Cake] - Payday"/>
    <x v="4"/>
    <x v="1"/>
    <x v="67"/>
    <n v="102979461832"/>
    <n v="8082846386"/>
    <n v="94896615446"/>
    <n v="4311742751"/>
    <n v="98667719081"/>
  </r>
  <r>
    <s v="[Cake] - Payday"/>
    <x v="4"/>
    <x v="1"/>
    <x v="68"/>
    <n v="104060234308"/>
    <n v="8277637294"/>
    <n v="95782597014"/>
    <n v="4683546127"/>
    <n v="99376688181"/>
  </r>
  <r>
    <s v="[Cake] - Payday"/>
    <x v="4"/>
    <x v="1"/>
    <x v="69"/>
    <n v="104874648835"/>
    <n v="8454306499"/>
    <n v="96420342336"/>
    <n v="5018601019"/>
    <n v="99856047816"/>
  </r>
  <r>
    <s v="[Cake] - Payday"/>
    <x v="4"/>
    <x v="1"/>
    <x v="70"/>
    <n v="107632864045"/>
    <n v="8563042504"/>
    <n v="99069821541"/>
    <n v="5289291088"/>
    <n v="102343572957"/>
  </r>
  <r>
    <s v="[Cake] - Payday"/>
    <x v="4"/>
    <x v="1"/>
    <x v="71"/>
    <n v="110362075313"/>
    <n v="8566922580"/>
    <n v="101795152733"/>
    <n v="5465741518"/>
    <n v="104896333795"/>
  </r>
  <r>
    <s v="[Cake] - Payday"/>
    <x v="4"/>
    <x v="1"/>
    <x v="72"/>
    <n v="113398738313"/>
    <n v="8607267126"/>
    <n v="104791471187"/>
    <n v="5733584700"/>
    <n v="107665153613"/>
  </r>
  <r>
    <s v="[Cake] - Payday"/>
    <x v="4"/>
    <x v="1"/>
    <x v="73"/>
    <n v="116382197504"/>
    <n v="8713765887"/>
    <n v="107668431617"/>
    <n v="5662208473"/>
    <n v="110719989031"/>
  </r>
  <r>
    <s v="[Cake] - Payday"/>
    <x v="4"/>
    <x v="1"/>
    <x v="74"/>
    <n v="119397024764"/>
    <n v="8891492537"/>
    <n v="110505532227"/>
    <n v="5611188744"/>
    <n v="113785836020"/>
  </r>
  <r>
    <s v="[Cake] - Payday"/>
    <x v="4"/>
    <x v="1"/>
    <x v="75"/>
    <n v="122698053574"/>
    <n v="9025449761"/>
    <n v="113672603813"/>
    <n v="6392933543"/>
    <n v="116305120031"/>
  </r>
  <r>
    <s v="[Cake] - Payday"/>
    <x v="4"/>
    <x v="1"/>
    <x v="76"/>
    <n v="126000567933"/>
    <n v="9111569097"/>
    <n v="116888998836"/>
    <n v="6593998210"/>
    <n v="119406569723"/>
  </r>
  <r>
    <s v="[Cake] - Payday"/>
    <x v="4"/>
    <x v="1"/>
    <x v="77"/>
    <n v="129242280560"/>
    <n v="9191184907"/>
    <n v="120051095653"/>
    <n v="6725524806"/>
    <n v="122516755754"/>
  </r>
  <r>
    <s v="[Cake] - Payday"/>
    <x v="4"/>
    <x v="1"/>
    <x v="78"/>
    <n v="132849669766"/>
    <n v="9288771275"/>
    <n v="123560898491"/>
    <n v="6889812299"/>
    <n v="125959857467"/>
  </r>
  <r>
    <s v="[Cake] - Payday"/>
    <x v="4"/>
    <x v="1"/>
    <x v="79"/>
    <n v="137105045680"/>
    <n v="9505955565"/>
    <n v="127599090115"/>
    <n v="7098986572"/>
    <n v="130006059108"/>
  </r>
  <r>
    <s v="[Cake] - Payday"/>
    <x v="4"/>
    <x v="1"/>
    <x v="80"/>
    <n v="140109969641"/>
    <n v="9682795984"/>
    <n v="130427173657"/>
    <n v="7236832132"/>
    <n v="132873137509"/>
  </r>
  <r>
    <s v="[Cake] - Payday"/>
    <x v="4"/>
    <x v="1"/>
    <x v="81"/>
    <n v="143069585446"/>
    <n v="9897673755"/>
    <n v="133171911691"/>
    <n v="7423976493"/>
    <n v="135645608953"/>
  </r>
  <r>
    <s v="[Cake] - Payday"/>
    <x v="4"/>
    <x v="1"/>
    <x v="82"/>
    <n v="145799799783"/>
    <n v="10207373615"/>
    <n v="135592426168"/>
    <n v="7571713463"/>
    <n v="138228086320"/>
  </r>
  <r>
    <s v="[Cake] - Payday"/>
    <x v="4"/>
    <x v="1"/>
    <x v="83"/>
    <n v="148520216586"/>
    <n v="10415772796"/>
    <n v="138104443790"/>
    <n v="7742003975"/>
    <n v="140778212611"/>
  </r>
  <r>
    <s v="[Cake] - Payday"/>
    <x v="4"/>
    <x v="1"/>
    <x v="84"/>
    <n v="151284393082"/>
    <n v="10581833027"/>
    <n v="140702560055"/>
    <n v="7921742340"/>
    <n v="143362650742"/>
  </r>
  <r>
    <s v="[Cake] - Payday"/>
    <x v="4"/>
    <x v="1"/>
    <x v="85"/>
    <n v="153877688925"/>
    <n v="10752052239"/>
    <n v="143125636686"/>
    <n v="8053028652"/>
    <n v="145824660273"/>
  </r>
  <r>
    <s v="[Cake] - Payday"/>
    <x v="4"/>
    <x v="1"/>
    <x v="86"/>
    <n v="156725444032"/>
    <n v="10952068397"/>
    <n v="145773375635"/>
    <n v="8193364705"/>
    <n v="148532079327"/>
  </r>
  <r>
    <s v="[Cake] - Payday"/>
    <x v="4"/>
    <x v="1"/>
    <x v="87"/>
    <n v="159371333927"/>
    <n v="11222829379"/>
    <n v="148148504548"/>
    <n v="8329621043"/>
    <n v="151041712884"/>
  </r>
  <r>
    <s v="[Cake] - Payday"/>
    <x v="4"/>
    <x v="1"/>
    <x v="88"/>
    <n v="162442816103"/>
    <n v="11452495720"/>
    <n v="150990320383"/>
    <n v="8485083034"/>
    <n v="153957733069"/>
  </r>
  <r>
    <s v="[Cake] - Payday"/>
    <x v="4"/>
    <x v="1"/>
    <x v="89"/>
    <n v="165207157768"/>
    <n v="11785572353"/>
    <n v="153421585415"/>
    <n v="8662966199"/>
    <n v="156544191569"/>
  </r>
  <r>
    <s v="[Cake] - Payday"/>
    <x v="4"/>
    <x v="1"/>
    <x v="90"/>
    <n v="167614688036"/>
    <n v="12089237756"/>
    <n v="155525450280"/>
    <n v="8837977357"/>
    <n v="158776710679"/>
  </r>
  <r>
    <s v="[Cake] - Payday"/>
    <x v="4"/>
    <x v="1"/>
    <x v="91"/>
    <n v="170712874053"/>
    <n v="12179406852"/>
    <n v="158533467201"/>
    <n v="9039564531"/>
    <n v="161673309522"/>
  </r>
  <r>
    <s v="[FPT] - Paylater"/>
    <x v="2"/>
    <x v="2"/>
    <x v="0"/>
    <n v="1931617999"/>
    <n v="494898976"/>
    <n v="1436719023"/>
    <n v="494898976"/>
    <n v="1436719023"/>
  </r>
  <r>
    <s v="[FPT] - Paylater"/>
    <x v="2"/>
    <x v="2"/>
    <x v="1"/>
    <n v="1900028234"/>
    <n v="494898976"/>
    <n v="1405129258"/>
    <n v="494898976"/>
    <n v="1405129258"/>
  </r>
  <r>
    <s v="[FPT] - Paylater"/>
    <x v="2"/>
    <x v="2"/>
    <x v="2"/>
    <n v="1917898097"/>
    <n v="494898976"/>
    <n v="1422999121"/>
    <n v="494898976"/>
    <n v="1422999121"/>
  </r>
  <r>
    <s v="[FPT] - Paylater"/>
    <x v="2"/>
    <x v="2"/>
    <x v="3"/>
    <n v="1925402726"/>
    <n v="494898976"/>
    <n v="1430503750"/>
    <n v="494898976"/>
    <n v="1430503750"/>
  </r>
  <r>
    <s v="[FPT] - Paylater"/>
    <x v="2"/>
    <x v="2"/>
    <x v="4"/>
    <n v="1928048062"/>
    <n v="492776729"/>
    <n v="1435271333"/>
    <n v="492776729"/>
    <n v="1435271333"/>
  </r>
  <r>
    <s v="[FPT] - Paylater"/>
    <x v="2"/>
    <x v="2"/>
    <x v="5"/>
    <n v="1933114135"/>
    <n v="751061599"/>
    <n v="1182052536"/>
    <n v="492776729"/>
    <n v="1440337406"/>
  </r>
  <r>
    <s v="[FPT] - Paylater"/>
    <x v="2"/>
    <x v="2"/>
    <x v="6"/>
    <n v="1941383373"/>
    <n v="689801696"/>
    <n v="1251581677"/>
    <n v="488785661"/>
    <n v="1452597712"/>
  </r>
  <r>
    <s v="[FPT] - Paylater"/>
    <x v="2"/>
    <x v="2"/>
    <x v="7"/>
    <n v="1965847776"/>
    <n v="681687358"/>
    <n v="1284160418"/>
    <n v="488419013"/>
    <n v="1477428763"/>
  </r>
  <r>
    <s v="[FPT] - Paylater"/>
    <x v="2"/>
    <x v="2"/>
    <x v="8"/>
    <n v="1984654575"/>
    <n v="669365794"/>
    <n v="1315288781"/>
    <n v="488419013"/>
    <n v="1496235562"/>
  </r>
  <r>
    <s v="[FPT] - Paylater"/>
    <x v="2"/>
    <x v="2"/>
    <x v="9"/>
    <n v="2006877725"/>
    <n v="651824000"/>
    <n v="1355053725"/>
    <n v="487376513"/>
    <n v="1519501212"/>
  </r>
  <r>
    <s v="[FPT] - Paylater"/>
    <x v="2"/>
    <x v="2"/>
    <x v="10"/>
    <n v="2013343166"/>
    <n v="642256969"/>
    <n v="1371086197"/>
    <n v="487376513"/>
    <n v="1525966653"/>
  </r>
  <r>
    <s v="[FPT] - Paylater"/>
    <x v="2"/>
    <x v="2"/>
    <x v="11"/>
    <n v="2010366500"/>
    <n v="627907618"/>
    <n v="1382458882"/>
    <n v="483424355"/>
    <n v="1526942145"/>
  </r>
  <r>
    <s v="[FPT] - Paylater"/>
    <x v="2"/>
    <x v="2"/>
    <x v="12"/>
    <n v="2019745005"/>
    <n v="627907618"/>
    <n v="1391837387"/>
    <n v="483424355"/>
    <n v="1536320650"/>
  </r>
  <r>
    <s v="[FPT] - Paylater"/>
    <x v="2"/>
    <x v="2"/>
    <x v="13"/>
    <n v="2035390515"/>
    <n v="626407618"/>
    <n v="1408982897"/>
    <n v="483424355"/>
    <n v="1551966160"/>
  </r>
  <r>
    <s v="[FPT] - Paylater"/>
    <x v="2"/>
    <x v="2"/>
    <x v="14"/>
    <n v="2046241029"/>
    <n v="613093221"/>
    <n v="1433147808"/>
    <n v="482820887"/>
    <n v="1563420142"/>
  </r>
  <r>
    <s v="[FPT] - Paylater"/>
    <x v="2"/>
    <x v="2"/>
    <x v="15"/>
    <n v="2046384878"/>
    <n v="613093221"/>
    <n v="1433291657"/>
    <n v="613093221"/>
    <n v="1433291657"/>
  </r>
  <r>
    <s v="[FPT] - Paylater"/>
    <x v="2"/>
    <x v="2"/>
    <x v="16"/>
    <n v="2056994642"/>
    <n v="613093221"/>
    <n v="1443901421"/>
    <n v="613093221"/>
    <n v="1443901421"/>
  </r>
  <r>
    <s v="[FPT] - Paylater"/>
    <x v="2"/>
    <x v="2"/>
    <x v="17"/>
    <n v="2070061197"/>
    <n v="610501323"/>
    <n v="1459559874"/>
    <n v="610501323"/>
    <n v="1459559874"/>
  </r>
  <r>
    <s v="[FPT] - Paylater"/>
    <x v="2"/>
    <x v="2"/>
    <x v="18"/>
    <n v="2074353875"/>
    <n v="610270377"/>
    <n v="1464083498"/>
    <n v="610270377"/>
    <n v="1464083498"/>
  </r>
  <r>
    <s v="[FPT] - Paylater"/>
    <x v="2"/>
    <x v="2"/>
    <x v="19"/>
    <n v="2096369812"/>
    <n v="610253377"/>
    <n v="1486116435"/>
    <n v="610253377"/>
    <n v="1486116435"/>
  </r>
  <r>
    <s v="[FPT] - Paylater"/>
    <x v="2"/>
    <x v="2"/>
    <x v="20"/>
    <n v="2095136714"/>
    <n v="610253377"/>
    <n v="1484883337"/>
    <n v="610253377"/>
    <n v="1484883337"/>
  </r>
  <r>
    <s v="[FPT] - Paylater"/>
    <x v="2"/>
    <x v="2"/>
    <x v="21"/>
    <n v="2082096683"/>
    <n v="610253377"/>
    <n v="1471843306"/>
    <n v="610253377"/>
    <n v="1471843306"/>
  </r>
  <r>
    <s v="[FPT] - Paylater"/>
    <x v="2"/>
    <x v="2"/>
    <x v="22"/>
    <n v="2082473606"/>
    <n v="610253377"/>
    <n v="1472220229"/>
    <n v="610253377"/>
    <n v="1472220229"/>
  </r>
  <r>
    <s v="[FPT] - Paylater"/>
    <x v="2"/>
    <x v="2"/>
    <x v="23"/>
    <n v="2085335347"/>
    <n v="606347426"/>
    <n v="1478987921"/>
    <n v="606347426"/>
    <n v="1478987921"/>
  </r>
  <r>
    <s v="[FPT] - Paylater"/>
    <x v="2"/>
    <x v="2"/>
    <x v="24"/>
    <n v="2091521131"/>
    <n v="606347426"/>
    <n v="1485173705"/>
    <n v="606347426"/>
    <n v="1485173705"/>
  </r>
  <r>
    <s v="[FPT] - Paylater"/>
    <x v="2"/>
    <x v="2"/>
    <x v="25"/>
    <n v="2099458963"/>
    <n v="606347426"/>
    <n v="1493111537"/>
    <n v="606347426"/>
    <n v="1493111537"/>
  </r>
  <r>
    <s v="[FPT] - Paylater"/>
    <x v="2"/>
    <x v="2"/>
    <x v="26"/>
    <n v="2110720287"/>
    <n v="606347426"/>
    <n v="1504372861"/>
    <n v="606347426"/>
    <n v="1504372861"/>
  </r>
  <r>
    <s v="[FPT] - Paylater"/>
    <x v="2"/>
    <x v="2"/>
    <x v="27"/>
    <n v="2107408666"/>
    <n v="606347426"/>
    <n v="1501061240"/>
    <n v="606347426"/>
    <n v="1501061240"/>
  </r>
  <r>
    <s v="[FPT] - Paylater"/>
    <x v="2"/>
    <x v="2"/>
    <x v="28"/>
    <n v="2097641073"/>
    <n v="606347426"/>
    <n v="1491293647"/>
    <n v="606347426"/>
    <n v="1491293647"/>
  </r>
  <r>
    <s v="[FPT] - Paylater"/>
    <x v="2"/>
    <x v="2"/>
    <x v="29"/>
    <n v="2091070374"/>
    <n v="601147985"/>
    <n v="1489922389"/>
    <n v="601147985"/>
    <n v="1489922389"/>
  </r>
  <r>
    <s v="[FPT] - Paylater"/>
    <x v="2"/>
    <x v="2"/>
    <x v="30"/>
    <n v="2087409662"/>
    <n v="601147985"/>
    <n v="1486261677"/>
    <n v="601147985"/>
    <n v="1486261677"/>
  </r>
  <r>
    <s v="[FPT] - Paylater"/>
    <x v="2"/>
    <x v="2"/>
    <x v="31"/>
    <n v="2076848548"/>
    <n v="601147985"/>
    <n v="1475700563"/>
    <n v="601147985"/>
    <n v="1475700563"/>
  </r>
  <r>
    <s v="[FPT] - Paylater"/>
    <x v="2"/>
    <x v="2"/>
    <x v="32"/>
    <n v="2088264763"/>
    <n v="601147985"/>
    <n v="1487116778"/>
    <n v="601147985"/>
    <n v="1487116778"/>
  </r>
  <r>
    <s v="[FPT] - Paylater"/>
    <x v="2"/>
    <x v="2"/>
    <x v="33"/>
    <n v="2094874906"/>
    <n v="601147985"/>
    <n v="1493726921"/>
    <n v="601147985"/>
    <n v="1493726921"/>
  </r>
  <r>
    <s v="[FPT] - Paylater"/>
    <x v="2"/>
    <x v="2"/>
    <x v="34"/>
    <n v="2072038568"/>
    <n v="597169690"/>
    <n v="1474868878"/>
    <n v="597169690"/>
    <n v="1474868878"/>
  </r>
  <r>
    <s v="[FPT] - Paylater"/>
    <x v="2"/>
    <x v="2"/>
    <x v="35"/>
    <n v="2074050714"/>
    <n v="788229949"/>
    <n v="1285820765"/>
    <n v="597169690"/>
    <n v="1476881024"/>
  </r>
  <r>
    <s v="[FPT] - Paylater"/>
    <x v="2"/>
    <x v="2"/>
    <x v="36"/>
    <n v="2094960306"/>
    <n v="762307939"/>
    <n v="1332652367"/>
    <n v="597169690"/>
    <n v="1497790616"/>
  </r>
  <r>
    <s v="[FPT] - Paylater"/>
    <x v="2"/>
    <x v="2"/>
    <x v="37"/>
    <n v="2115452461"/>
    <n v="750102101"/>
    <n v="1365350360"/>
    <n v="597169690"/>
    <n v="1518282771"/>
  </r>
  <r>
    <s v="[FPT] - Paylater"/>
    <x v="2"/>
    <x v="2"/>
    <x v="38"/>
    <n v="2148127533"/>
    <n v="743198210"/>
    <n v="1404929323"/>
    <n v="597169690"/>
    <n v="1550957843"/>
  </r>
  <r>
    <s v="[FPT] - Paylater"/>
    <x v="2"/>
    <x v="2"/>
    <x v="39"/>
    <n v="2157195334"/>
    <n v="742211814"/>
    <n v="1414983520"/>
    <n v="596966490"/>
    <n v="1560228844"/>
  </r>
  <r>
    <s v="[FPT] - Paylater"/>
    <x v="2"/>
    <x v="2"/>
    <x v="40"/>
    <n v="2174729814"/>
    <n v="738017920"/>
    <n v="1436711894"/>
    <n v="596966490"/>
    <n v="1577763324"/>
  </r>
  <r>
    <s v="[FPT] - Paylater"/>
    <x v="2"/>
    <x v="2"/>
    <x v="41"/>
    <n v="2201884140"/>
    <n v="725651166"/>
    <n v="1476232974"/>
    <n v="596380377"/>
    <n v="1605503763"/>
  </r>
  <r>
    <s v="[FPT] - Paylater"/>
    <x v="2"/>
    <x v="2"/>
    <x v="42"/>
    <n v="2212677587"/>
    <n v="720805997"/>
    <n v="1491871590"/>
    <n v="596380377"/>
    <n v="1616297210"/>
  </r>
  <r>
    <s v="[FPT] - Paylater"/>
    <x v="2"/>
    <x v="2"/>
    <x v="43"/>
    <n v="2219085077"/>
    <n v="720805997"/>
    <n v="1498279080"/>
    <n v="596380377"/>
    <n v="1622704700"/>
  </r>
  <r>
    <s v="[FPT] - Paylater"/>
    <x v="2"/>
    <x v="2"/>
    <x v="44"/>
    <n v="2243293838"/>
    <n v="717831725"/>
    <n v="1525462113"/>
    <n v="596380377"/>
    <n v="1646913461"/>
  </r>
  <r>
    <s v="[FPT] - Paylater"/>
    <x v="2"/>
    <x v="2"/>
    <x v="45"/>
    <n v="2264956477"/>
    <n v="717831725"/>
    <n v="1547124752"/>
    <n v="717831725"/>
    <n v="1547124752"/>
  </r>
  <r>
    <s v="[FPT] - Paylater"/>
    <x v="2"/>
    <x v="2"/>
    <x v="46"/>
    <n v="2282620783"/>
    <n v="713308327"/>
    <n v="1569312456"/>
    <n v="713308327"/>
    <n v="1569312456"/>
  </r>
  <r>
    <s v="[FPT] - Paylater"/>
    <x v="2"/>
    <x v="2"/>
    <x v="47"/>
    <n v="2286191535"/>
    <n v="713308327"/>
    <n v="1572883208"/>
    <n v="713308327"/>
    <n v="1572883208"/>
  </r>
  <r>
    <s v="[FPT] - Paylater"/>
    <x v="2"/>
    <x v="2"/>
    <x v="48"/>
    <n v="2301848220"/>
    <n v="713308327"/>
    <n v="1588539893"/>
    <n v="713308327"/>
    <n v="1588539893"/>
  </r>
  <r>
    <s v="[FPT] - Paylater"/>
    <x v="2"/>
    <x v="2"/>
    <x v="49"/>
    <n v="2305155189"/>
    <n v="710316596"/>
    <n v="1594838593"/>
    <n v="710316596"/>
    <n v="1594838593"/>
  </r>
  <r>
    <s v="[FPT] - Paylater"/>
    <x v="2"/>
    <x v="2"/>
    <x v="50"/>
    <n v="2317534319"/>
    <n v="706060947"/>
    <n v="1611473372"/>
    <n v="706060947"/>
    <n v="1611473372"/>
  </r>
  <r>
    <s v="[FPT] - Paylater"/>
    <x v="2"/>
    <x v="2"/>
    <x v="51"/>
    <n v="2308011148"/>
    <n v="701074073"/>
    <n v="1606937075"/>
    <n v="701074073"/>
    <n v="1606937075"/>
  </r>
  <r>
    <s v="[FPT] - Paylater"/>
    <x v="2"/>
    <x v="2"/>
    <x v="52"/>
    <n v="2311818034"/>
    <n v="701074073"/>
    <n v="1610743961"/>
    <n v="701074073"/>
    <n v="1610743961"/>
  </r>
  <r>
    <s v="[FPT] - Paylater"/>
    <x v="2"/>
    <x v="2"/>
    <x v="53"/>
    <n v="2314532344"/>
    <n v="701074073"/>
    <n v="1613458271"/>
    <n v="701074073"/>
    <n v="1613458271"/>
  </r>
  <r>
    <s v="[FPT] - Paylater"/>
    <x v="2"/>
    <x v="2"/>
    <x v="54"/>
    <n v="2316389943"/>
    <n v="701074073"/>
    <n v="1615315870"/>
    <n v="701074073"/>
    <n v="1615315870"/>
  </r>
  <r>
    <s v="[FPT] - Paylater"/>
    <x v="2"/>
    <x v="2"/>
    <x v="55"/>
    <n v="2307398754"/>
    <n v="701074073"/>
    <n v="1606324681"/>
    <n v="701074073"/>
    <n v="1606324681"/>
  </r>
  <r>
    <s v="[FPT] - Paylater"/>
    <x v="2"/>
    <x v="2"/>
    <x v="56"/>
    <n v="2310799645"/>
    <n v="697090853"/>
    <n v="1613708792"/>
    <n v="697090853"/>
    <n v="1613708792"/>
  </r>
  <r>
    <s v="[FPT] - Paylater"/>
    <x v="2"/>
    <x v="2"/>
    <x v="57"/>
    <n v="2302808082"/>
    <n v="693095402"/>
    <n v="1609712680"/>
    <n v="693095402"/>
    <n v="1609712680"/>
  </r>
  <r>
    <s v="[FPT] - Paylater"/>
    <x v="2"/>
    <x v="2"/>
    <x v="58"/>
    <n v="2294270651"/>
    <n v="693095402"/>
    <n v="1601175249"/>
    <n v="693095402"/>
    <n v="1601175249"/>
  </r>
  <r>
    <s v="[FPT] - Paylater"/>
    <x v="2"/>
    <x v="2"/>
    <x v="59"/>
    <n v="2295486026"/>
    <n v="693095402"/>
    <n v="1602390624"/>
    <n v="693095402"/>
    <n v="1602390624"/>
  </r>
  <r>
    <s v="[FPT] - Paylater"/>
    <x v="2"/>
    <x v="2"/>
    <x v="60"/>
    <n v="2302084822"/>
    <n v="690440063"/>
    <n v="1611644759"/>
    <n v="690440063"/>
    <n v="1611644759"/>
  </r>
  <r>
    <s v="[FPT] - Paylater"/>
    <x v="2"/>
    <x v="2"/>
    <x v="61"/>
    <n v="2304540197"/>
    <n v="689949412"/>
    <n v="1614590785"/>
    <n v="689949412"/>
    <n v="1614590785"/>
  </r>
  <r>
    <s v="[FPT] - Paylater"/>
    <x v="2"/>
    <x v="2"/>
    <x v="62"/>
    <n v="2300653140"/>
    <n v="689876930"/>
    <n v="1610776210"/>
    <n v="689876930"/>
    <n v="1610776210"/>
  </r>
  <r>
    <s v="[FPT] - Paylater"/>
    <x v="2"/>
    <x v="2"/>
    <x v="63"/>
    <n v="2298769757"/>
    <n v="689876930"/>
    <n v="1608892827"/>
    <n v="689876930"/>
    <n v="1608892827"/>
  </r>
  <r>
    <s v="[FPT] - Paylater"/>
    <x v="2"/>
    <x v="2"/>
    <x v="64"/>
    <n v="2304136777"/>
    <n v="685880514"/>
    <n v="1618256263"/>
    <n v="685880514"/>
    <n v="1618256263"/>
  </r>
  <r>
    <s v="[FPT] - Paylater"/>
    <x v="2"/>
    <x v="2"/>
    <x v="65"/>
    <n v="2277582873"/>
    <n v="685880514"/>
    <n v="1591702359"/>
    <n v="685880514"/>
    <n v="1591702359"/>
  </r>
  <r>
    <s v="[FPT] - Paylater"/>
    <x v="2"/>
    <x v="2"/>
    <x v="66"/>
    <n v="2315836812"/>
    <n v="931647774"/>
    <n v="1384189038"/>
    <n v="685418514"/>
    <n v="1630418298"/>
  </r>
  <r>
    <s v="[FPT] - Paylater"/>
    <x v="2"/>
    <x v="2"/>
    <x v="67"/>
    <n v="2343096175"/>
    <n v="908477255"/>
    <n v="1434618920"/>
    <n v="685118514"/>
    <n v="1657977661"/>
  </r>
  <r>
    <s v="[FPT] - Paylater"/>
    <x v="2"/>
    <x v="2"/>
    <x v="68"/>
    <n v="2376375414"/>
    <n v="904216118"/>
    <n v="1472159296"/>
    <n v="685118514"/>
    <n v="1691256900"/>
  </r>
  <r>
    <s v="[FPT] - Paylater"/>
    <x v="2"/>
    <x v="2"/>
    <x v="69"/>
    <n v="2394327534"/>
    <n v="882737432"/>
    <n v="1511590102"/>
    <n v="684263514"/>
    <n v="1710064020"/>
  </r>
  <r>
    <s v="[FPT] - Paylater"/>
    <x v="2"/>
    <x v="2"/>
    <x v="70"/>
    <n v="2414644748"/>
    <n v="861566167"/>
    <n v="1553078581"/>
    <n v="682610064"/>
    <n v="1732034684"/>
  </r>
  <r>
    <s v="[FPT] - Paylater"/>
    <x v="2"/>
    <x v="2"/>
    <x v="71"/>
    <n v="2425016661"/>
    <n v="858349986"/>
    <n v="1566666675"/>
    <n v="682610064"/>
    <n v="1742406597"/>
  </r>
  <r>
    <s v="[FPT] - Paylater"/>
    <x v="2"/>
    <x v="2"/>
    <x v="72"/>
    <n v="2431962963"/>
    <n v="843197234"/>
    <n v="1588765729"/>
    <n v="679613513"/>
    <n v="1752349450"/>
  </r>
  <r>
    <s v="[FPT] - Paylater"/>
    <x v="2"/>
    <x v="2"/>
    <x v="73"/>
    <n v="2445798263"/>
    <n v="835309509"/>
    <n v="1610488754"/>
    <n v="675651275"/>
    <n v="1770146988"/>
  </r>
  <r>
    <s v="[FPT] - Paylater"/>
    <x v="2"/>
    <x v="2"/>
    <x v="74"/>
    <n v="2452150468"/>
    <n v="835309509"/>
    <n v="1616840959"/>
    <n v="675651275"/>
    <n v="1776499193"/>
  </r>
  <r>
    <s v="[FPT] - Paylater"/>
    <x v="2"/>
    <x v="2"/>
    <x v="75"/>
    <n v="2464952017"/>
    <n v="835309509"/>
    <n v="1629642508"/>
    <n v="675651275"/>
    <n v="1789300742"/>
  </r>
  <r>
    <s v="[FPT] - Paylater"/>
    <x v="2"/>
    <x v="2"/>
    <x v="76"/>
    <n v="2476055746"/>
    <n v="826687616"/>
    <n v="1649368130"/>
    <n v="826687616"/>
    <n v="1649368130"/>
  </r>
  <r>
    <s v="[FPT] - Paylater"/>
    <x v="2"/>
    <x v="2"/>
    <x v="77"/>
    <n v="2494363932"/>
    <n v="826687616"/>
    <n v="1667676316"/>
    <n v="826687616"/>
    <n v="1667676316"/>
  </r>
  <r>
    <s v="[FPT] - Paylater"/>
    <x v="2"/>
    <x v="2"/>
    <x v="78"/>
    <n v="2497411182"/>
    <n v="826687616"/>
    <n v="1670723566"/>
    <n v="826687616"/>
    <n v="1670723566"/>
  </r>
  <r>
    <s v="[FPT] - Paylater"/>
    <x v="2"/>
    <x v="2"/>
    <x v="79"/>
    <n v="2497290835"/>
    <n v="824124416"/>
    <n v="1673166419"/>
    <n v="824124416"/>
    <n v="1673166419"/>
  </r>
  <r>
    <s v="[FPT] - Paylater"/>
    <x v="2"/>
    <x v="2"/>
    <x v="80"/>
    <n v="2498138335"/>
    <n v="824124416"/>
    <n v="1674013919"/>
    <n v="824124416"/>
    <n v="1674013919"/>
  </r>
  <r>
    <s v="[FPT] - Paylater"/>
    <x v="2"/>
    <x v="2"/>
    <x v="81"/>
    <n v="2506526731"/>
    <n v="824124416"/>
    <n v="1682402315"/>
    <n v="824124416"/>
    <n v="1682402315"/>
  </r>
  <r>
    <s v="[FPT] - Paylater"/>
    <x v="2"/>
    <x v="2"/>
    <x v="82"/>
    <n v="2485694640"/>
    <n v="823666916"/>
    <n v="1662027724"/>
    <n v="823666916"/>
    <n v="1662027724"/>
  </r>
  <r>
    <s v="[FPT] - Paylater"/>
    <x v="2"/>
    <x v="2"/>
    <x v="83"/>
    <n v="2493210334"/>
    <n v="823666916"/>
    <n v="1669543418"/>
    <n v="823666916"/>
    <n v="1669543418"/>
  </r>
  <r>
    <s v="[FPT] - Paylater"/>
    <x v="2"/>
    <x v="2"/>
    <x v="84"/>
    <n v="2499493814"/>
    <n v="823432675"/>
    <n v="1676061139"/>
    <n v="823432675"/>
    <n v="1676061139"/>
  </r>
  <r>
    <s v="[FPT] - Paylater"/>
    <x v="2"/>
    <x v="2"/>
    <x v="85"/>
    <n v="2495971185"/>
    <n v="823432675"/>
    <n v="1672538510"/>
    <n v="823432675"/>
    <n v="1672538510"/>
  </r>
  <r>
    <s v="[FPT] - Paylater"/>
    <x v="2"/>
    <x v="2"/>
    <x v="86"/>
    <n v="2487169161"/>
    <n v="823246475"/>
    <n v="1663922686"/>
    <n v="823246475"/>
    <n v="1663922686"/>
  </r>
  <r>
    <s v="[FPT] - Paylater"/>
    <x v="2"/>
    <x v="2"/>
    <x v="87"/>
    <n v="2467489241"/>
    <n v="813999547"/>
    <n v="1653489694"/>
    <n v="813999547"/>
    <n v="1653489694"/>
  </r>
  <r>
    <s v="[FPT] - Paylater"/>
    <x v="2"/>
    <x v="2"/>
    <x v="88"/>
    <n v="2472569740"/>
    <n v="806021111"/>
    <n v="1666548629"/>
    <n v="806021111"/>
    <n v="1666548629"/>
  </r>
  <r>
    <s v="[FPT] - Paylater"/>
    <x v="2"/>
    <x v="2"/>
    <x v="89"/>
    <n v="2472067217"/>
    <n v="804139230"/>
    <n v="1667927987"/>
    <n v="804139230"/>
    <n v="1667927987"/>
  </r>
  <r>
    <s v="[FPT] - Paylater"/>
    <x v="2"/>
    <x v="2"/>
    <x v="90"/>
    <n v="2473417547"/>
    <n v="799148046"/>
    <n v="1674269501"/>
    <n v="799148046"/>
    <n v="1674269501"/>
  </r>
  <r>
    <s v="[FPT] - Paylater"/>
    <x v="2"/>
    <x v="2"/>
    <x v="91"/>
    <n v="2482090495"/>
    <n v="799148046"/>
    <n v="1682942449"/>
    <n v="799148046"/>
    <n v="1682942449"/>
  </r>
  <r>
    <s v="[MWG] - Cashloan"/>
    <x v="1"/>
    <x v="3"/>
    <x v="0"/>
    <n v="144222183992"/>
    <n v="12891152226"/>
    <n v="131331031766"/>
    <n v="10090687286"/>
    <n v="134131496706"/>
  </r>
  <r>
    <s v="[MWG] - Cashloan"/>
    <x v="1"/>
    <x v="3"/>
    <x v="1"/>
    <n v="144698536057"/>
    <n v="13021081962"/>
    <n v="131677454095"/>
    <n v="10226511410"/>
    <n v="134472024647"/>
  </r>
  <r>
    <s v="[MWG] - Cashloan"/>
    <x v="1"/>
    <x v="3"/>
    <x v="2"/>
    <n v="144911048419"/>
    <n v="13223593678"/>
    <n v="131687454741"/>
    <n v="10191557522"/>
    <n v="134719490897"/>
  </r>
  <r>
    <s v="[MWG] - Cashloan"/>
    <x v="1"/>
    <x v="3"/>
    <x v="3"/>
    <n v="146246497593"/>
    <n v="13380941526"/>
    <n v="132865556067"/>
    <n v="10540808716"/>
    <n v="135705688877"/>
  </r>
  <r>
    <s v="[MWG] - Cashloan"/>
    <x v="1"/>
    <x v="3"/>
    <x v="4"/>
    <n v="147481240132"/>
    <n v="13695223650"/>
    <n v="133786016482"/>
    <n v="10647975135"/>
    <n v="136833264997"/>
  </r>
  <r>
    <s v="[MWG] - Cashloan"/>
    <x v="1"/>
    <x v="3"/>
    <x v="5"/>
    <n v="149069630155"/>
    <n v="14088052345"/>
    <n v="134981577810"/>
    <n v="10772370493"/>
    <n v="138297259662"/>
  </r>
  <r>
    <s v="[MWG] - Cashloan"/>
    <x v="1"/>
    <x v="3"/>
    <x v="6"/>
    <n v="150565038077"/>
    <n v="13618400962"/>
    <n v="136946637115"/>
    <n v="10912915887"/>
    <n v="139652122190"/>
  </r>
  <r>
    <s v="[MWG] - Cashloan"/>
    <x v="1"/>
    <x v="3"/>
    <x v="7"/>
    <n v="151917512848"/>
    <n v="14373106055"/>
    <n v="137544406793"/>
    <n v="11066213700"/>
    <n v="140851299148"/>
  </r>
  <r>
    <s v="[MWG] - Cashloan"/>
    <x v="1"/>
    <x v="3"/>
    <x v="8"/>
    <n v="153590608925"/>
    <n v="14642586420"/>
    <n v="138948022505"/>
    <n v="11572049466"/>
    <n v="142018559459"/>
  </r>
  <r>
    <s v="[MWG] - Cashloan"/>
    <x v="1"/>
    <x v="3"/>
    <x v="9"/>
    <n v="155148146274"/>
    <n v="14612391228"/>
    <n v="140535755046"/>
    <n v="11412662419"/>
    <n v="143735483855"/>
  </r>
  <r>
    <s v="[MWG] - Cashloan"/>
    <x v="1"/>
    <x v="3"/>
    <x v="10"/>
    <n v="156636992525"/>
    <n v="14617624502"/>
    <n v="142019368023"/>
    <n v="11250119454"/>
    <n v="145386873071"/>
  </r>
  <r>
    <s v="[MWG] - Cashloan"/>
    <x v="1"/>
    <x v="3"/>
    <x v="11"/>
    <n v="158140478843"/>
    <n v="14816679352"/>
    <n v="143323799491"/>
    <n v="11335522052"/>
    <n v="146804956791"/>
  </r>
  <r>
    <s v="[MWG] - Cashloan"/>
    <x v="1"/>
    <x v="3"/>
    <x v="12"/>
    <n v="160504523048"/>
    <n v="15028978111"/>
    <n v="145475544937"/>
    <n v="11456480049"/>
    <n v="149048042999"/>
  </r>
  <r>
    <s v="[MWG] - Cashloan"/>
    <x v="1"/>
    <x v="3"/>
    <x v="13"/>
    <n v="161846339802"/>
    <n v="14541724680"/>
    <n v="147304615122"/>
    <n v="11542552439"/>
    <n v="150303787363"/>
  </r>
  <r>
    <s v="[MWG] - Cashloan"/>
    <x v="1"/>
    <x v="3"/>
    <x v="14"/>
    <n v="163203884473"/>
    <n v="15536391772"/>
    <n v="147667492701"/>
    <n v="11692637768"/>
    <n v="151511246705"/>
  </r>
  <r>
    <s v="[MWG] - Cashloan"/>
    <x v="1"/>
    <x v="3"/>
    <x v="15"/>
    <n v="164615193408"/>
    <n v="15154991316"/>
    <n v="149460202092"/>
    <n v="11835441479"/>
    <n v="152779751929"/>
  </r>
  <r>
    <s v="[MWG] - Cashloan"/>
    <x v="1"/>
    <x v="3"/>
    <x v="16"/>
    <n v="165781272110"/>
    <n v="15379238784"/>
    <n v="150402033326"/>
    <n v="11774278215"/>
    <n v="154006993895"/>
  </r>
  <r>
    <s v="[MWG] - Cashloan"/>
    <x v="1"/>
    <x v="3"/>
    <x v="17"/>
    <n v="167370634290"/>
    <n v="15625851797"/>
    <n v="151744782493"/>
    <n v="11994473672"/>
    <n v="155376160618"/>
  </r>
  <r>
    <s v="[MWG] - Cashloan"/>
    <x v="1"/>
    <x v="3"/>
    <x v="18"/>
    <n v="168530044599"/>
    <n v="15847179259"/>
    <n v="152682865340"/>
    <n v="12226695337"/>
    <n v="156303349262"/>
  </r>
  <r>
    <s v="[MWG] - Cashloan"/>
    <x v="1"/>
    <x v="3"/>
    <x v="19"/>
    <n v="170247883444"/>
    <n v="16275579057"/>
    <n v="153972304387"/>
    <n v="12359603877"/>
    <n v="157888279567"/>
  </r>
  <r>
    <s v="[MWG] - Cashloan"/>
    <x v="1"/>
    <x v="3"/>
    <x v="20"/>
    <n v="171344518422"/>
    <n v="15661687599"/>
    <n v="155682830823"/>
    <n v="12447122362"/>
    <n v="158897396060"/>
  </r>
  <r>
    <s v="[MWG] - Cashloan"/>
    <x v="1"/>
    <x v="3"/>
    <x v="21"/>
    <n v="172099054364"/>
    <n v="16541922292"/>
    <n v="155557132072"/>
    <n v="12509862026"/>
    <n v="159589192338"/>
  </r>
  <r>
    <s v="[MWG] - Cashloan"/>
    <x v="1"/>
    <x v="3"/>
    <x v="22"/>
    <n v="173335859516"/>
    <n v="16453322927"/>
    <n v="156882536589"/>
    <n v="12651071827"/>
    <n v="160684787689"/>
  </r>
  <r>
    <s v="[MWG] - Cashloan"/>
    <x v="1"/>
    <x v="3"/>
    <x v="23"/>
    <n v="174252720310"/>
    <n v="16839262709"/>
    <n v="157413457601"/>
    <n v="12588609411"/>
    <n v="161664110899"/>
  </r>
  <r>
    <s v="[MWG] - Cashloan"/>
    <x v="1"/>
    <x v="3"/>
    <x v="24"/>
    <n v="175194024178"/>
    <n v="16741997756"/>
    <n v="158452026422"/>
    <n v="13016076852"/>
    <n v="162177947326"/>
  </r>
  <r>
    <s v="[MWG] - Cashloan"/>
    <x v="1"/>
    <x v="3"/>
    <x v="25"/>
    <n v="176026065524"/>
    <n v="16595902418"/>
    <n v="159430163106"/>
    <n v="13117008077"/>
    <n v="162909057447"/>
  </r>
  <r>
    <s v="[MWG] - Cashloan"/>
    <x v="1"/>
    <x v="3"/>
    <x v="26"/>
    <n v="177629212780"/>
    <n v="16476083004"/>
    <n v="161153129776"/>
    <n v="13062141138"/>
    <n v="164567071642"/>
  </r>
  <r>
    <s v="[MWG] - Cashloan"/>
    <x v="1"/>
    <x v="3"/>
    <x v="27"/>
    <n v="178148288250"/>
    <n v="15899641494"/>
    <n v="162248646756"/>
    <n v="13211695330"/>
    <n v="164936592920"/>
  </r>
  <r>
    <s v="[MWG] - Cashloan"/>
    <x v="1"/>
    <x v="3"/>
    <x v="28"/>
    <n v="179627463034"/>
    <n v="18052249880"/>
    <n v="161575213154"/>
    <n v="13309440603"/>
    <n v="166318022431"/>
  </r>
  <r>
    <s v="[MWG] - Cashloan"/>
    <x v="1"/>
    <x v="3"/>
    <x v="29"/>
    <n v="180969284286"/>
    <n v="17189441213"/>
    <n v="163779843073"/>
    <n v="13409229599"/>
    <n v="167560054687"/>
  </r>
  <r>
    <s v="[MWG] - Cashloan"/>
    <x v="1"/>
    <x v="3"/>
    <x v="30"/>
    <n v="182682145901"/>
    <n v="16695833588"/>
    <n v="165986312313"/>
    <n v="13315808881"/>
    <n v="169366337020"/>
  </r>
  <r>
    <s v="[MWG] - Cashloan"/>
    <x v="1"/>
    <x v="3"/>
    <x v="31"/>
    <n v="184347768293"/>
    <n v="16293630969"/>
    <n v="168054137324"/>
    <n v="13665551117"/>
    <n v="170682217176"/>
  </r>
  <r>
    <s v="[MWG] - Cashloan"/>
    <x v="1"/>
    <x v="3"/>
    <x v="32"/>
    <n v="186095401947"/>
    <n v="16752358713"/>
    <n v="169343043234"/>
    <n v="13915932124"/>
    <n v="172179469823"/>
  </r>
  <r>
    <s v="[MWG] - Cashloan"/>
    <x v="1"/>
    <x v="3"/>
    <x v="33"/>
    <n v="187946309024"/>
    <n v="17372207757"/>
    <n v="170574101267"/>
    <n v="14097722261"/>
    <n v="173848586763"/>
  </r>
  <r>
    <s v="[MWG] - Cashloan"/>
    <x v="1"/>
    <x v="3"/>
    <x v="34"/>
    <n v="189172085215"/>
    <n v="16977007836"/>
    <n v="172195077379"/>
    <n v="14170775311"/>
    <n v="175001309904"/>
  </r>
  <r>
    <s v="[MWG] - Cashloan"/>
    <x v="1"/>
    <x v="3"/>
    <x v="35"/>
    <n v="190533611349"/>
    <n v="18544096717"/>
    <n v="171989514632"/>
    <n v="14318698262"/>
    <n v="176214913087"/>
  </r>
  <r>
    <s v="[MWG] - Cashloan"/>
    <x v="1"/>
    <x v="3"/>
    <x v="36"/>
    <n v="192365992964"/>
    <n v="18593932445"/>
    <n v="173772060519"/>
    <n v="14427721972"/>
    <n v="177938270992"/>
  </r>
  <r>
    <s v="[MWG] - Cashloan"/>
    <x v="1"/>
    <x v="3"/>
    <x v="37"/>
    <n v="194037786564"/>
    <n v="18516611250"/>
    <n v="175521175314"/>
    <n v="14240115109"/>
    <n v="179797671455"/>
  </r>
  <r>
    <s v="[MWG] - Cashloan"/>
    <x v="1"/>
    <x v="3"/>
    <x v="38"/>
    <n v="195591341020"/>
    <n v="18603254466"/>
    <n v="176988086554"/>
    <n v="15110626045"/>
    <n v="180480714975"/>
  </r>
  <r>
    <s v="[MWG] - Cashloan"/>
    <x v="1"/>
    <x v="3"/>
    <x v="39"/>
    <n v="197115701785"/>
    <n v="18457490124"/>
    <n v="178658211661"/>
    <n v="14982727747"/>
    <n v="182132974038"/>
  </r>
  <r>
    <s v="[MWG] - Cashloan"/>
    <x v="1"/>
    <x v="3"/>
    <x v="40"/>
    <n v="199880518477"/>
    <n v="18871549934"/>
    <n v="181008968543"/>
    <n v="14874678984"/>
    <n v="185005839493"/>
  </r>
  <r>
    <s v="[MWG] - Cashloan"/>
    <x v="1"/>
    <x v="3"/>
    <x v="41"/>
    <n v="200936397793"/>
    <n v="18213489688"/>
    <n v="182722908105"/>
    <n v="14714629155"/>
    <n v="186221768638"/>
  </r>
  <r>
    <s v="[MWG] - Cashloan"/>
    <x v="1"/>
    <x v="3"/>
    <x v="42"/>
    <n v="202982703870"/>
    <n v="19143634161"/>
    <n v="183839069709"/>
    <n v="14788183555"/>
    <n v="188194520315"/>
  </r>
  <r>
    <s v="[MWG] - Cashloan"/>
    <x v="1"/>
    <x v="3"/>
    <x v="43"/>
    <n v="204562110519"/>
    <n v="19519525150"/>
    <n v="185042585369"/>
    <n v="15035281941"/>
    <n v="189526828578"/>
  </r>
  <r>
    <s v="[MWG] - Cashloan"/>
    <x v="1"/>
    <x v="3"/>
    <x v="44"/>
    <n v="206237675533"/>
    <n v="19560650082"/>
    <n v="186677025451"/>
    <n v="14922689164"/>
    <n v="191314986369"/>
  </r>
  <r>
    <s v="[MWG] - Cashloan"/>
    <x v="1"/>
    <x v="3"/>
    <x v="45"/>
    <n v="207331162959"/>
    <n v="19423705431"/>
    <n v="187907457528"/>
    <n v="15509700447"/>
    <n v="191821462512"/>
  </r>
  <r>
    <s v="[MWG] - Cashloan"/>
    <x v="1"/>
    <x v="3"/>
    <x v="46"/>
    <n v="208790410811"/>
    <n v="19328208210"/>
    <n v="189462202601"/>
    <n v="15564079041"/>
    <n v="193226331770"/>
  </r>
  <r>
    <s v="[MWG] - Cashloan"/>
    <x v="1"/>
    <x v="3"/>
    <x v="47"/>
    <n v="210980855956"/>
    <n v="19595491061"/>
    <n v="191385364895"/>
    <n v="15670063265"/>
    <n v="195310792691"/>
  </r>
  <r>
    <s v="[MWG] - Cashloan"/>
    <x v="1"/>
    <x v="3"/>
    <x v="48"/>
    <n v="211930447481"/>
    <n v="18850393792"/>
    <n v="193080053689"/>
    <n v="15843100530"/>
    <n v="196087346951"/>
  </r>
  <r>
    <s v="[MWG] - Cashloan"/>
    <x v="1"/>
    <x v="3"/>
    <x v="49"/>
    <n v="213272371259"/>
    <n v="19899709599"/>
    <n v="193372661660"/>
    <n v="15921559364"/>
    <n v="197350811895"/>
  </r>
  <r>
    <s v="[MWG] - Cashloan"/>
    <x v="1"/>
    <x v="3"/>
    <x v="50"/>
    <n v="214592948883"/>
    <n v="20049734212"/>
    <n v="194543214671"/>
    <n v="16070236566"/>
    <n v="198522712317"/>
  </r>
  <r>
    <s v="[MWG] - Cashloan"/>
    <x v="1"/>
    <x v="3"/>
    <x v="51"/>
    <n v="216044247157"/>
    <n v="20113426518"/>
    <n v="195930820639"/>
    <n v="15878467803"/>
    <n v="200165779354"/>
  </r>
  <r>
    <s v="[MWG] - Cashloan"/>
    <x v="1"/>
    <x v="3"/>
    <x v="52"/>
    <n v="217157636521"/>
    <n v="20228706262"/>
    <n v="196928930259"/>
    <n v="16130276717"/>
    <n v="201027359804"/>
  </r>
  <r>
    <s v="[MWG] - Cashloan"/>
    <x v="1"/>
    <x v="3"/>
    <x v="53"/>
    <n v="218548056075"/>
    <n v="20278798771"/>
    <n v="198269257304"/>
    <n v="16264789353"/>
    <n v="202283266722"/>
  </r>
  <r>
    <s v="[MWG] - Cashloan"/>
    <x v="1"/>
    <x v="3"/>
    <x v="54"/>
    <n v="220962701136"/>
    <n v="20582958713"/>
    <n v="200379742423"/>
    <n v="16537347596"/>
    <n v="204425353540"/>
  </r>
  <r>
    <s v="[MWG] - Cashloan"/>
    <x v="1"/>
    <x v="3"/>
    <x v="55"/>
    <n v="222230272448"/>
    <n v="19966805446"/>
    <n v="202263467002"/>
    <n v="16632753434"/>
    <n v="205597519014"/>
  </r>
  <r>
    <s v="[MWG] - Cashloan"/>
    <x v="1"/>
    <x v="3"/>
    <x v="56"/>
    <n v="223880779087"/>
    <n v="20844998315"/>
    <n v="203035780772"/>
    <n v="16798666167"/>
    <n v="207082112920"/>
  </r>
  <r>
    <s v="[MWG] - Cashloan"/>
    <x v="1"/>
    <x v="3"/>
    <x v="57"/>
    <n v="225199448606"/>
    <n v="21143503687"/>
    <n v="204055944919"/>
    <n v="17067815486"/>
    <n v="208131633120"/>
  </r>
  <r>
    <s v="[MWG] - Cashloan"/>
    <x v="1"/>
    <x v="3"/>
    <x v="58"/>
    <n v="225752108232"/>
    <n v="21269300636"/>
    <n v="204482807596"/>
    <n v="16927991713"/>
    <n v="208824116519"/>
  </r>
  <r>
    <s v="[MWG] - Cashloan"/>
    <x v="1"/>
    <x v="3"/>
    <x v="59"/>
    <n v="227177682547"/>
    <n v="23731669003"/>
    <n v="203446013544"/>
    <n v="17261012420"/>
    <n v="209916670127"/>
  </r>
  <r>
    <s v="[MWG] - Cashloan"/>
    <x v="1"/>
    <x v="3"/>
    <x v="60"/>
    <n v="228901483247"/>
    <n v="22504891909"/>
    <n v="206396591338"/>
    <n v="17466495686"/>
    <n v="211434987561"/>
  </r>
  <r>
    <s v="[MWG] - Cashloan"/>
    <x v="1"/>
    <x v="3"/>
    <x v="61"/>
    <n v="230345078898"/>
    <n v="21886174223"/>
    <n v="208458904675"/>
    <n v="17643118464"/>
    <n v="212701960434"/>
  </r>
  <r>
    <s v="[MWG] - Cashloan"/>
    <x v="1"/>
    <x v="3"/>
    <x v="62"/>
    <n v="231988046826"/>
    <n v="21579408752"/>
    <n v="210408638074"/>
    <n v="17835371499"/>
    <n v="214152675327"/>
  </r>
  <r>
    <s v="[MWG] - Cashloan"/>
    <x v="1"/>
    <x v="3"/>
    <x v="63"/>
    <n v="233163436534"/>
    <n v="21453063387"/>
    <n v="211710373147"/>
    <n v="18121690238"/>
    <n v="215041746296"/>
  </r>
  <r>
    <s v="[MWG] - Cashloan"/>
    <x v="1"/>
    <x v="3"/>
    <x v="64"/>
    <n v="234586455049"/>
    <n v="21153996540"/>
    <n v="213432458509"/>
    <n v="18291668367"/>
    <n v="216294786682"/>
  </r>
  <r>
    <s v="[MWG] - Cashloan"/>
    <x v="1"/>
    <x v="3"/>
    <x v="65"/>
    <n v="236773404734"/>
    <n v="23250247976"/>
    <n v="213523156758"/>
    <n v="18203087079"/>
    <n v="218570317655"/>
  </r>
  <r>
    <s v="[MWG] - Cashloan"/>
    <x v="1"/>
    <x v="3"/>
    <x v="66"/>
    <n v="239196201725"/>
    <n v="23540966697"/>
    <n v="215655235028"/>
    <n v="18678252214"/>
    <n v="220517949511"/>
  </r>
  <r>
    <s v="[MWG] - Cashloan"/>
    <x v="1"/>
    <x v="3"/>
    <x v="67"/>
    <n v="241729794538"/>
    <n v="23907337416"/>
    <n v="217822457122"/>
    <n v="19048557303"/>
    <n v="222681237235"/>
  </r>
  <r>
    <s v="[MWG] - Cashloan"/>
    <x v="1"/>
    <x v="3"/>
    <x v="68"/>
    <n v="244497020968"/>
    <n v="24479513327"/>
    <n v="220017507641"/>
    <n v="19172776820"/>
    <n v="225324244148"/>
  </r>
  <r>
    <s v="[MWG] - Cashloan"/>
    <x v="1"/>
    <x v="3"/>
    <x v="69"/>
    <n v="247047691511"/>
    <n v="23453863884"/>
    <n v="223593827627"/>
    <n v="20175142862"/>
    <n v="226872548649"/>
  </r>
  <r>
    <s v="[MWG] - Cashloan"/>
    <x v="1"/>
    <x v="3"/>
    <x v="70"/>
    <n v="250327563357"/>
    <n v="25104731364"/>
    <n v="225222831993"/>
    <n v="20058967953"/>
    <n v="230268595404"/>
  </r>
  <r>
    <s v="[MWG] - Cashloan"/>
    <x v="1"/>
    <x v="3"/>
    <x v="71"/>
    <n v="253952431569"/>
    <n v="24826005981"/>
    <n v="229126425588"/>
    <n v="19718036524"/>
    <n v="234234395045"/>
  </r>
  <r>
    <s v="[MWG] - Cashloan"/>
    <x v="1"/>
    <x v="3"/>
    <x v="72"/>
    <n v="256816765523"/>
    <n v="24958182025"/>
    <n v="231858583498"/>
    <n v="19512778982"/>
    <n v="237303986541"/>
  </r>
  <r>
    <s v="[MWG] - Cashloan"/>
    <x v="1"/>
    <x v="3"/>
    <x v="73"/>
    <n v="260319893813"/>
    <n v="24996934735"/>
    <n v="235322959078"/>
    <n v="19394708882"/>
    <n v="240925184931"/>
  </r>
  <r>
    <s v="[MWG] - Cashloan"/>
    <x v="1"/>
    <x v="3"/>
    <x v="74"/>
    <n v="263416525622"/>
    <n v="25505807210"/>
    <n v="237910718412"/>
    <n v="19300972461"/>
    <n v="244115553161"/>
  </r>
  <r>
    <s v="[MWG] - Cashloan"/>
    <x v="1"/>
    <x v="3"/>
    <x v="75"/>
    <n v="267695369496"/>
    <n v="25958869945"/>
    <n v="241736499551"/>
    <n v="20058156611"/>
    <n v="247637212885"/>
  </r>
  <r>
    <s v="[MWG] - Cashloan"/>
    <x v="1"/>
    <x v="3"/>
    <x v="76"/>
    <n v="271280263567"/>
    <n v="25065122785"/>
    <n v="246215140782"/>
    <n v="20362876192"/>
    <n v="250917387375"/>
  </r>
  <r>
    <s v="[MWG] - Cashloan"/>
    <x v="1"/>
    <x v="3"/>
    <x v="77"/>
    <n v="274524257636"/>
    <n v="26295699272"/>
    <n v="248228558364"/>
    <n v="20490052115"/>
    <n v="254034205521"/>
  </r>
  <r>
    <s v="[MWG] - Cashloan"/>
    <x v="1"/>
    <x v="3"/>
    <x v="78"/>
    <n v="277024537231"/>
    <n v="26639220795"/>
    <n v="250385316436"/>
    <n v="20687982412"/>
    <n v="256336554819"/>
  </r>
  <r>
    <s v="[MWG] - Cashloan"/>
    <x v="1"/>
    <x v="3"/>
    <x v="79"/>
    <n v="279307778170"/>
    <n v="26820942918"/>
    <n v="252486835252"/>
    <n v="20606884215"/>
    <n v="258700893955"/>
  </r>
  <r>
    <s v="[MWG] - Cashloan"/>
    <x v="1"/>
    <x v="3"/>
    <x v="80"/>
    <n v="282573288089"/>
    <n v="27459606973"/>
    <n v="255113681116"/>
    <n v="21341682248"/>
    <n v="261231605841"/>
  </r>
  <r>
    <s v="[MWG] - Cashloan"/>
    <x v="1"/>
    <x v="3"/>
    <x v="81"/>
    <n v="285473242930"/>
    <n v="27911558882"/>
    <n v="257561684048"/>
    <n v="21524593152"/>
    <n v="263948649778"/>
  </r>
  <r>
    <s v="[MWG] - Cashloan"/>
    <x v="1"/>
    <x v="3"/>
    <x v="82"/>
    <n v="289038895124"/>
    <n v="28490399047"/>
    <n v="260548496077"/>
    <n v="21871924426"/>
    <n v="267166970698"/>
  </r>
  <r>
    <s v="[MWG] - Cashloan"/>
    <x v="1"/>
    <x v="3"/>
    <x v="83"/>
    <n v="290864246316"/>
    <n v="27555748854"/>
    <n v="263308497462"/>
    <n v="22132607347"/>
    <n v="268731638969"/>
  </r>
  <r>
    <s v="[MWG] - Cashloan"/>
    <x v="1"/>
    <x v="3"/>
    <x v="84"/>
    <n v="293254155291"/>
    <n v="28508746068"/>
    <n v="264745409223"/>
    <n v="22467556892"/>
    <n v="270786598399"/>
  </r>
  <r>
    <s v="[MWG] - Cashloan"/>
    <x v="1"/>
    <x v="3"/>
    <x v="85"/>
    <n v="296046519966"/>
    <n v="28678382969"/>
    <n v="267368136997"/>
    <n v="22802182401"/>
    <n v="273244337565"/>
  </r>
  <r>
    <s v="[MWG] - Cashloan"/>
    <x v="1"/>
    <x v="3"/>
    <x v="86"/>
    <n v="298719122518"/>
    <n v="28822922536"/>
    <n v="269896199982"/>
    <n v="22646785082"/>
    <n v="276072337436"/>
  </r>
  <r>
    <s v="[MWG] - Cashloan"/>
    <x v="1"/>
    <x v="3"/>
    <x v="87"/>
    <n v="300803815488"/>
    <n v="28784966448"/>
    <n v="272018849040"/>
    <n v="23142311614"/>
    <n v="277661503874"/>
  </r>
  <r>
    <s v="[MWG] - Cashloan"/>
    <x v="1"/>
    <x v="3"/>
    <x v="88"/>
    <n v="303419004444"/>
    <n v="29127050606"/>
    <n v="274291953838"/>
    <n v="23294136031"/>
    <n v="280124868413"/>
  </r>
  <r>
    <s v="[MWG] - Cashloan"/>
    <x v="1"/>
    <x v="3"/>
    <x v="89"/>
    <n v="306406770991"/>
    <n v="29761314410"/>
    <n v="276645456581"/>
    <n v="23453962316"/>
    <n v="282952808675"/>
  </r>
  <r>
    <s v="[MWG] - Cashloan"/>
    <x v="1"/>
    <x v="3"/>
    <x v="90"/>
    <n v="308690589907"/>
    <n v="29038288996"/>
    <n v="279652300911"/>
    <n v="23875875178"/>
    <n v="284814714729"/>
  </r>
  <r>
    <s v="[MWG] - Cashloan"/>
    <x v="1"/>
    <x v="3"/>
    <x v="91"/>
    <n v="312086013845"/>
    <n v="31277877910"/>
    <n v="280808135935"/>
    <n v="24482646312"/>
    <n v="287603367533"/>
  </r>
  <r>
    <s v="[MWG] - Paylater"/>
    <x v="2"/>
    <x v="3"/>
    <x v="0"/>
    <n v="6145674819"/>
    <n v="3639508065"/>
    <n v="2506166754"/>
    <n v="3639508065"/>
    <n v="2506166754"/>
  </r>
  <r>
    <s v="[MWG] - Paylater"/>
    <x v="2"/>
    <x v="3"/>
    <x v="1"/>
    <n v="6310291989"/>
    <n v="3639508065"/>
    <n v="2670783924"/>
    <n v="3639508065"/>
    <n v="2670783924"/>
  </r>
  <r>
    <s v="[MWG] - Paylater"/>
    <x v="2"/>
    <x v="3"/>
    <x v="2"/>
    <n v="6418636099"/>
    <n v="3639208065"/>
    <n v="2779428034"/>
    <n v="3639208065"/>
    <n v="2779428034"/>
  </r>
  <r>
    <s v="[MWG] - Paylater"/>
    <x v="2"/>
    <x v="3"/>
    <x v="3"/>
    <n v="6502047528"/>
    <n v="3634297675"/>
    <n v="2867749853"/>
    <n v="3634297675"/>
    <n v="2867749853"/>
  </r>
  <r>
    <s v="[MWG] - Paylater"/>
    <x v="2"/>
    <x v="3"/>
    <x v="4"/>
    <n v="6550694926"/>
    <n v="3632730058"/>
    <n v="2917964868"/>
    <n v="3632730058"/>
    <n v="2917964868"/>
  </r>
  <r>
    <s v="[MWG] - Paylater"/>
    <x v="2"/>
    <x v="3"/>
    <x v="5"/>
    <n v="6622950441"/>
    <n v="3764071619"/>
    <n v="2858878822"/>
    <n v="3615800920"/>
    <n v="3007149521"/>
  </r>
  <r>
    <s v="[MWG] - Paylater"/>
    <x v="2"/>
    <x v="3"/>
    <x v="6"/>
    <n v="6669921237"/>
    <n v="3732557414"/>
    <n v="2937363823"/>
    <n v="3614800920"/>
    <n v="3055120317"/>
  </r>
  <r>
    <s v="[MWG] - Paylater"/>
    <x v="2"/>
    <x v="3"/>
    <x v="7"/>
    <n v="6775362395"/>
    <n v="3726380996"/>
    <n v="3048981399"/>
    <n v="3614375920"/>
    <n v="3160986475"/>
  </r>
  <r>
    <s v="[MWG] - Paylater"/>
    <x v="2"/>
    <x v="3"/>
    <x v="8"/>
    <n v="6845313810"/>
    <n v="3719298790"/>
    <n v="3126015020"/>
    <n v="3612004870"/>
    <n v="3233308940"/>
  </r>
  <r>
    <s v="[MWG] - Paylater"/>
    <x v="2"/>
    <x v="3"/>
    <x v="9"/>
    <n v="6904968501"/>
    <n v="3705845481"/>
    <n v="3199123020"/>
    <n v="3598551561"/>
    <n v="3306416940"/>
  </r>
  <r>
    <s v="[MWG] - Paylater"/>
    <x v="2"/>
    <x v="3"/>
    <x v="10"/>
    <n v="6974380911"/>
    <n v="3692662819"/>
    <n v="3281718092"/>
    <n v="3597824264"/>
    <n v="3376556647"/>
  </r>
  <r>
    <s v="[MWG] - Paylater"/>
    <x v="2"/>
    <x v="3"/>
    <x v="11"/>
    <n v="7017473461"/>
    <n v="3692662819"/>
    <n v="3324810642"/>
    <n v="3597824264"/>
    <n v="3419649197"/>
  </r>
  <r>
    <s v="[MWG] - Paylater"/>
    <x v="2"/>
    <x v="3"/>
    <x v="12"/>
    <n v="7073199461"/>
    <n v="3692662819"/>
    <n v="3380536642"/>
    <n v="3597824264"/>
    <n v="3475375197"/>
  </r>
  <r>
    <s v="[MWG] - Paylater"/>
    <x v="2"/>
    <x v="3"/>
    <x v="13"/>
    <n v="7095314837"/>
    <n v="3681995496"/>
    <n v="3413319341"/>
    <n v="3587156941"/>
    <n v="3508157896"/>
  </r>
  <r>
    <s v="[MWG] - Paylater"/>
    <x v="2"/>
    <x v="3"/>
    <x v="14"/>
    <n v="7153756037"/>
    <n v="3681995496"/>
    <n v="3471760541"/>
    <n v="3587156941"/>
    <n v="3566599096"/>
  </r>
  <r>
    <s v="[MWG] - Paylater"/>
    <x v="2"/>
    <x v="3"/>
    <x v="15"/>
    <n v="7180568091"/>
    <n v="3674591550"/>
    <n v="3505976541"/>
    <n v="3674591550"/>
    <n v="3505976541"/>
  </r>
  <r>
    <s v="[MWG] - Paylater"/>
    <x v="2"/>
    <x v="3"/>
    <x v="16"/>
    <n v="7221175731"/>
    <n v="3671424190"/>
    <n v="3549751541"/>
    <n v="3671424190"/>
    <n v="3549751541"/>
  </r>
  <r>
    <s v="[MWG] - Paylater"/>
    <x v="2"/>
    <x v="3"/>
    <x v="17"/>
    <n v="7263562657"/>
    <n v="3663811828"/>
    <n v="3599750829"/>
    <n v="3663811828"/>
    <n v="3599750829"/>
  </r>
  <r>
    <s v="[MWG] - Paylater"/>
    <x v="2"/>
    <x v="3"/>
    <x v="18"/>
    <n v="7325681657"/>
    <n v="3660303828"/>
    <n v="3665377829"/>
    <n v="3660303828"/>
    <n v="3665377829"/>
  </r>
  <r>
    <s v="[MWG] - Paylater"/>
    <x v="2"/>
    <x v="3"/>
    <x v="19"/>
    <n v="7358547280"/>
    <n v="3660303828"/>
    <n v="3698243452"/>
    <n v="3660303828"/>
    <n v="3698243452"/>
  </r>
  <r>
    <s v="[MWG] - Paylater"/>
    <x v="2"/>
    <x v="3"/>
    <x v="20"/>
    <n v="7416096003"/>
    <n v="3656677621"/>
    <n v="3759418382"/>
    <n v="3656677621"/>
    <n v="3759418382"/>
  </r>
  <r>
    <s v="[MWG] - Paylater"/>
    <x v="2"/>
    <x v="3"/>
    <x v="21"/>
    <n v="7443251356"/>
    <n v="3649758858"/>
    <n v="3793492498"/>
    <n v="3649758858"/>
    <n v="3793492498"/>
  </r>
  <r>
    <s v="[MWG] - Paylater"/>
    <x v="2"/>
    <x v="3"/>
    <x v="22"/>
    <n v="7565818918"/>
    <n v="3646773920"/>
    <n v="3919044998"/>
    <n v="3646773920"/>
    <n v="3919044998"/>
  </r>
  <r>
    <s v="[MWG] - Paylater"/>
    <x v="2"/>
    <x v="3"/>
    <x v="23"/>
    <n v="7757921074"/>
    <n v="3640937899"/>
    <n v="4116983175"/>
    <n v="3640937899"/>
    <n v="4116983175"/>
  </r>
  <r>
    <s v="[MWG] - Paylater"/>
    <x v="2"/>
    <x v="3"/>
    <x v="24"/>
    <n v="7892263858"/>
    <n v="3635663821"/>
    <n v="4256600037"/>
    <n v="3635663821"/>
    <n v="4256600037"/>
  </r>
  <r>
    <s v="[MWG] - Paylater"/>
    <x v="2"/>
    <x v="3"/>
    <x v="25"/>
    <n v="8185062709"/>
    <n v="3635663821"/>
    <n v="4549398888"/>
    <n v="3635663821"/>
    <n v="4549398888"/>
  </r>
  <r>
    <s v="[MWG] - Paylater"/>
    <x v="2"/>
    <x v="3"/>
    <x v="26"/>
    <n v="8489933728"/>
    <n v="3635663821"/>
    <n v="4854269907"/>
    <n v="3635663821"/>
    <n v="4854269907"/>
  </r>
  <r>
    <s v="[MWG] - Paylater"/>
    <x v="2"/>
    <x v="3"/>
    <x v="27"/>
    <n v="8636792642"/>
    <n v="3635663821"/>
    <n v="5001128821"/>
    <n v="3635663821"/>
    <n v="5001128821"/>
  </r>
  <r>
    <s v="[MWG] - Paylater"/>
    <x v="2"/>
    <x v="3"/>
    <x v="28"/>
    <n v="8863696611"/>
    <n v="3633663821"/>
    <n v="5230032790"/>
    <n v="3633663821"/>
    <n v="5230032790"/>
  </r>
  <r>
    <s v="[MWG] - Paylater"/>
    <x v="2"/>
    <x v="3"/>
    <x v="29"/>
    <n v="9179617252"/>
    <n v="3633279518"/>
    <n v="5546337734"/>
    <n v="3633279518"/>
    <n v="5546337734"/>
  </r>
  <r>
    <s v="[MWG] - Paylater"/>
    <x v="2"/>
    <x v="3"/>
    <x v="30"/>
    <n v="9413042567"/>
    <n v="3633279518"/>
    <n v="5779763049"/>
    <n v="3633279518"/>
    <n v="5779763049"/>
  </r>
  <r>
    <s v="[MWG] - Paylater"/>
    <x v="2"/>
    <x v="3"/>
    <x v="31"/>
    <n v="9740289280"/>
    <n v="3633279518"/>
    <n v="6107009762"/>
    <n v="3633279518"/>
    <n v="6107009762"/>
  </r>
  <r>
    <s v="[MWG] - Paylater"/>
    <x v="2"/>
    <x v="3"/>
    <x v="32"/>
    <n v="9944895231"/>
    <n v="3626761703"/>
    <n v="6318133528"/>
    <n v="3626761703"/>
    <n v="6318133528"/>
  </r>
  <r>
    <s v="[MWG] - Paylater"/>
    <x v="2"/>
    <x v="3"/>
    <x v="33"/>
    <n v="10207217561"/>
    <n v="3622226614"/>
    <n v="6584990947"/>
    <n v="3622226614"/>
    <n v="6584990947"/>
  </r>
  <r>
    <s v="[MWG] - Paylater"/>
    <x v="2"/>
    <x v="3"/>
    <x v="34"/>
    <n v="10366956642"/>
    <n v="3622069122"/>
    <n v="6744887520"/>
    <n v="3622069122"/>
    <n v="6744887520"/>
  </r>
  <r>
    <s v="[MWG] - Paylater"/>
    <x v="2"/>
    <x v="3"/>
    <x v="35"/>
    <n v="10574630742"/>
    <n v="4738043269"/>
    <n v="5836587473"/>
    <n v="3611007614"/>
    <n v="6963623128"/>
  </r>
  <r>
    <s v="[MWG] - Paylater"/>
    <x v="2"/>
    <x v="3"/>
    <x v="36"/>
    <n v="10847739659"/>
    <n v="4667802222"/>
    <n v="6179937437"/>
    <n v="3595076257"/>
    <n v="7252663402"/>
  </r>
  <r>
    <s v="[MWG] - Paylater"/>
    <x v="2"/>
    <x v="3"/>
    <x v="37"/>
    <n v="11043512174"/>
    <n v="4588920832"/>
    <n v="6454591342"/>
    <n v="3584758804"/>
    <n v="7458753370"/>
  </r>
  <r>
    <s v="[MWG] - Paylater"/>
    <x v="2"/>
    <x v="3"/>
    <x v="38"/>
    <n v="11330690880"/>
    <n v="4560068642"/>
    <n v="6770622238"/>
    <n v="3582214737"/>
    <n v="7748476143"/>
  </r>
  <r>
    <s v="[MWG] - Paylater"/>
    <x v="2"/>
    <x v="3"/>
    <x v="39"/>
    <n v="11523125868"/>
    <n v="4518887982"/>
    <n v="7004237886"/>
    <n v="3582214737"/>
    <n v="7940911131"/>
  </r>
  <r>
    <s v="[MWG] - Paylater"/>
    <x v="2"/>
    <x v="3"/>
    <x v="40"/>
    <n v="11701092762"/>
    <n v="4504030851"/>
    <n v="7197061911"/>
    <n v="3581774764"/>
    <n v="8119317998"/>
  </r>
  <r>
    <s v="[MWG] - Paylater"/>
    <x v="2"/>
    <x v="3"/>
    <x v="41"/>
    <n v="11952596974"/>
    <n v="4488153198"/>
    <n v="7464443776"/>
    <n v="3581195911"/>
    <n v="8371401063"/>
  </r>
  <r>
    <s v="[MWG] - Paylater"/>
    <x v="2"/>
    <x v="3"/>
    <x v="42"/>
    <n v="12192616380"/>
    <n v="4459839894"/>
    <n v="7732776486"/>
    <n v="3578903607"/>
    <n v="8613712773"/>
  </r>
  <r>
    <s v="[MWG] - Paylater"/>
    <x v="2"/>
    <x v="3"/>
    <x v="43"/>
    <n v="12405090246"/>
    <n v="4443863361"/>
    <n v="7961226885"/>
    <n v="3576521074"/>
    <n v="8828569172"/>
  </r>
  <r>
    <s v="[MWG] - Paylater"/>
    <x v="2"/>
    <x v="3"/>
    <x v="44"/>
    <n v="12624986500"/>
    <n v="4398596268"/>
    <n v="8226390232"/>
    <n v="3573257141"/>
    <n v="9051729359"/>
  </r>
  <r>
    <s v="[MWG] - Paylater"/>
    <x v="2"/>
    <x v="3"/>
    <x v="45"/>
    <n v="12742782258"/>
    <n v="4375106371"/>
    <n v="8367675887"/>
    <n v="4375106371"/>
    <n v="8367675887"/>
  </r>
  <r>
    <s v="[MWG] - Paylater"/>
    <x v="2"/>
    <x v="3"/>
    <x v="46"/>
    <n v="12847796579"/>
    <n v="4370545621"/>
    <n v="8477250958"/>
    <n v="4370545621"/>
    <n v="8477250958"/>
  </r>
  <r>
    <s v="[MWG] - Paylater"/>
    <x v="2"/>
    <x v="3"/>
    <x v="47"/>
    <n v="12989874996"/>
    <n v="4365023621"/>
    <n v="8624851375"/>
    <n v="4365023621"/>
    <n v="8624851375"/>
  </r>
  <r>
    <s v="[MWG] - Paylater"/>
    <x v="2"/>
    <x v="3"/>
    <x v="48"/>
    <n v="13013758209"/>
    <n v="4351938027"/>
    <n v="8661820182"/>
    <n v="4351938027"/>
    <n v="8661820182"/>
  </r>
  <r>
    <s v="[MWG] - Paylater"/>
    <x v="2"/>
    <x v="3"/>
    <x v="49"/>
    <n v="13150602804"/>
    <n v="4329000505"/>
    <n v="8821602299"/>
    <n v="4329000505"/>
    <n v="8821602299"/>
  </r>
  <r>
    <s v="[MWG] - Paylater"/>
    <x v="2"/>
    <x v="3"/>
    <x v="50"/>
    <n v="13278901843"/>
    <n v="4305296415"/>
    <n v="8973605428"/>
    <n v="4305296415"/>
    <n v="8973605428"/>
  </r>
  <r>
    <s v="[MWG] - Paylater"/>
    <x v="2"/>
    <x v="3"/>
    <x v="51"/>
    <n v="13415335726"/>
    <n v="4300206415"/>
    <n v="9115129311"/>
    <n v="4300206415"/>
    <n v="9115129311"/>
  </r>
  <r>
    <s v="[MWG] - Paylater"/>
    <x v="2"/>
    <x v="3"/>
    <x v="52"/>
    <n v="13670665192"/>
    <n v="4300206415"/>
    <n v="9370458777"/>
    <n v="4300206415"/>
    <n v="9370458777"/>
  </r>
  <r>
    <s v="[MWG] - Paylater"/>
    <x v="2"/>
    <x v="3"/>
    <x v="53"/>
    <n v="13824530834"/>
    <n v="4300206415"/>
    <n v="9524324419"/>
    <n v="4300206415"/>
    <n v="9524324419"/>
  </r>
  <r>
    <s v="[MWG] - Paylater"/>
    <x v="2"/>
    <x v="3"/>
    <x v="54"/>
    <n v="14065413715"/>
    <n v="4300206415"/>
    <n v="9765207300"/>
    <n v="4300206415"/>
    <n v="9765207300"/>
  </r>
  <r>
    <s v="[MWG] - Paylater"/>
    <x v="2"/>
    <x v="3"/>
    <x v="55"/>
    <n v="9270807471"/>
    <n v="4860990137"/>
    <n v="4409817334"/>
    <n v="4860990137"/>
    <n v="4409817334"/>
  </r>
  <r>
    <s v="[MWG] - Paylater"/>
    <x v="2"/>
    <x v="3"/>
    <x v="56"/>
    <n v="9285173475"/>
    <n v="4860990137"/>
    <n v="4424183338"/>
    <n v="4860990137"/>
    <n v="4424183338"/>
  </r>
  <r>
    <s v="[MWG] - Paylater"/>
    <x v="2"/>
    <x v="3"/>
    <x v="57"/>
    <n v="9308542934"/>
    <n v="4860990137"/>
    <n v="4447552797"/>
    <n v="4860990137"/>
    <n v="4447552797"/>
  </r>
  <r>
    <s v="[MWG] - Paylater"/>
    <x v="2"/>
    <x v="3"/>
    <x v="58"/>
    <n v="9338797088"/>
    <n v="4839601241"/>
    <n v="4499195847"/>
    <n v="4839601241"/>
    <n v="4499195847"/>
  </r>
  <r>
    <s v="[MWG] - Paylater"/>
    <x v="2"/>
    <x v="3"/>
    <x v="59"/>
    <n v="9365871876"/>
    <n v="4834911826"/>
    <n v="4530960050"/>
    <n v="4834911826"/>
    <n v="4530960050"/>
  </r>
  <r>
    <s v="[MWG] - Paylater"/>
    <x v="2"/>
    <x v="3"/>
    <x v="60"/>
    <n v="9402369035"/>
    <n v="4834911826"/>
    <n v="4567457209"/>
    <n v="4834911826"/>
    <n v="4567457209"/>
  </r>
  <r>
    <s v="[MWG] - Paylater"/>
    <x v="2"/>
    <x v="3"/>
    <x v="61"/>
    <n v="9435713304"/>
    <n v="4817963854"/>
    <n v="4617749450"/>
    <n v="4817963854"/>
    <n v="4617749450"/>
  </r>
  <r>
    <s v="[MWG] - Paylater"/>
    <x v="2"/>
    <x v="3"/>
    <x v="62"/>
    <n v="9419382027"/>
    <n v="4817963854"/>
    <n v="4601418173"/>
    <n v="4817963854"/>
    <n v="4601418173"/>
  </r>
  <r>
    <s v="[MWG] - Paylater"/>
    <x v="2"/>
    <x v="3"/>
    <x v="63"/>
    <n v="9439875174"/>
    <n v="4817963854"/>
    <n v="4621911320"/>
    <n v="4817963854"/>
    <n v="4621911320"/>
  </r>
  <r>
    <s v="[MWG] - Paylater"/>
    <x v="2"/>
    <x v="3"/>
    <x v="64"/>
    <n v="9398008804"/>
    <n v="4812862376"/>
    <n v="4585146428"/>
    <n v="4812862376"/>
    <n v="4585146428"/>
  </r>
  <r>
    <s v="[MWG] - Paylater"/>
    <x v="2"/>
    <x v="3"/>
    <x v="65"/>
    <n v="9270465057"/>
    <n v="4788627015"/>
    <n v="4481838042"/>
    <n v="4788627015"/>
    <n v="4481838042"/>
  </r>
  <r>
    <s v="[MWG] - Paylater"/>
    <x v="2"/>
    <x v="3"/>
    <x v="66"/>
    <n v="9285048046"/>
    <n v="5892469161"/>
    <n v="3392578885"/>
    <n v="4767522096"/>
    <n v="4517525950"/>
  </r>
  <r>
    <s v="[MWG] - Paylater"/>
    <x v="2"/>
    <x v="3"/>
    <x v="67"/>
    <n v="9324240618"/>
    <n v="5787062264"/>
    <n v="3537178354"/>
    <n v="4767522096"/>
    <n v="4556718522"/>
  </r>
  <r>
    <s v="[MWG] - Paylater"/>
    <x v="2"/>
    <x v="3"/>
    <x v="68"/>
    <n v="9343892366"/>
    <n v="5749268945"/>
    <n v="3594623421"/>
    <n v="4767522096"/>
    <n v="4576370270"/>
  </r>
  <r>
    <s v="[MWG] - Paylater"/>
    <x v="2"/>
    <x v="3"/>
    <x v="69"/>
    <n v="9359489199"/>
    <n v="5728194945"/>
    <n v="3631294254"/>
    <n v="4767522096"/>
    <n v="4591967103"/>
  </r>
  <r>
    <s v="[MWG] - Paylater"/>
    <x v="2"/>
    <x v="3"/>
    <x v="70"/>
    <n v="9359851285"/>
    <n v="5674651805"/>
    <n v="3685199480"/>
    <n v="4762110096"/>
    <n v="4597741189"/>
  </r>
  <r>
    <s v="[MWG] - Paylater"/>
    <x v="2"/>
    <x v="3"/>
    <x v="71"/>
    <n v="9369509553"/>
    <n v="5643533859"/>
    <n v="3725975694"/>
    <n v="4748688435"/>
    <n v="4620821118"/>
  </r>
  <r>
    <s v="[MWG] - Paylater"/>
    <x v="2"/>
    <x v="3"/>
    <x v="72"/>
    <n v="9368494920"/>
    <n v="5600672129"/>
    <n v="3767822791"/>
    <n v="4748688435"/>
    <n v="4619806485"/>
  </r>
  <r>
    <s v="[MWG] - Paylater"/>
    <x v="2"/>
    <x v="3"/>
    <x v="73"/>
    <n v="9375858427"/>
    <n v="5583721463"/>
    <n v="3792136964"/>
    <n v="4748488435"/>
    <n v="4627369992"/>
  </r>
  <r>
    <s v="[MWG] - Paylater"/>
    <x v="2"/>
    <x v="3"/>
    <x v="74"/>
    <n v="9375007683"/>
    <n v="5548868318"/>
    <n v="3826139365"/>
    <n v="4744887178"/>
    <n v="4630120505"/>
  </r>
  <r>
    <s v="[MWG] - Paylater"/>
    <x v="2"/>
    <x v="3"/>
    <x v="75"/>
    <n v="9388709472"/>
    <n v="5521803268"/>
    <n v="3866906204"/>
    <n v="4744887178"/>
    <n v="4643822294"/>
  </r>
  <r>
    <s v="[MWG] - Paylater"/>
    <x v="2"/>
    <x v="3"/>
    <x v="76"/>
    <n v="9400195582"/>
    <n v="5510316601"/>
    <n v="3889878981"/>
    <n v="5510316601"/>
    <n v="3889878981"/>
  </r>
  <r>
    <s v="[MWG] - Paylater"/>
    <x v="2"/>
    <x v="3"/>
    <x v="77"/>
    <n v="9402661052"/>
    <n v="5486575541"/>
    <n v="3916085511"/>
    <n v="5486575541"/>
    <n v="3916085511"/>
  </r>
  <r>
    <s v="[MWG] - Paylater"/>
    <x v="2"/>
    <x v="3"/>
    <x v="78"/>
    <n v="9405558729"/>
    <n v="5465177541"/>
    <n v="3940381188"/>
    <n v="5465177541"/>
    <n v="3940381188"/>
  </r>
  <r>
    <s v="[MWG] - Paylater"/>
    <x v="2"/>
    <x v="3"/>
    <x v="79"/>
    <n v="9418799341"/>
    <n v="5454540353"/>
    <n v="3964258988"/>
    <n v="5454540353"/>
    <n v="3964258988"/>
  </r>
  <r>
    <s v="[MWG] - Paylater"/>
    <x v="2"/>
    <x v="3"/>
    <x v="80"/>
    <n v="9443268524"/>
    <n v="5453777241"/>
    <n v="3989491283"/>
    <n v="5453777241"/>
    <n v="3989491283"/>
  </r>
  <r>
    <s v="[MWG] - Paylater"/>
    <x v="2"/>
    <x v="3"/>
    <x v="81"/>
    <n v="9500545867"/>
    <n v="5446525234"/>
    <n v="4054020633"/>
    <n v="5446525234"/>
    <n v="4054020633"/>
  </r>
  <r>
    <s v="[MWG] - Paylater"/>
    <x v="2"/>
    <x v="3"/>
    <x v="82"/>
    <n v="9571188075"/>
    <n v="5446497007"/>
    <n v="4124691068"/>
    <n v="5446497007"/>
    <n v="4124691068"/>
  </r>
  <r>
    <s v="[MWG] - Paylater"/>
    <x v="2"/>
    <x v="3"/>
    <x v="83"/>
    <n v="9597245615"/>
    <n v="5443212371"/>
    <n v="4154033244"/>
    <n v="5443212371"/>
    <n v="4154033244"/>
  </r>
  <r>
    <s v="[MWG] - Paylater"/>
    <x v="2"/>
    <x v="3"/>
    <x v="84"/>
    <n v="9584426337"/>
    <n v="5435780630"/>
    <n v="4148645707"/>
    <n v="5435780630"/>
    <n v="4148645707"/>
  </r>
  <r>
    <s v="[MWG] - Paylater"/>
    <x v="2"/>
    <x v="3"/>
    <x v="85"/>
    <n v="9599718886"/>
    <n v="5429179121"/>
    <n v="4170539765"/>
    <n v="5429179121"/>
    <n v="4170539765"/>
  </r>
  <r>
    <s v="[MWG] - Paylater"/>
    <x v="2"/>
    <x v="3"/>
    <x v="86"/>
    <n v="9599461477"/>
    <n v="5427693794"/>
    <n v="4171767683"/>
    <n v="5427693794"/>
    <n v="4171767683"/>
  </r>
  <r>
    <s v="[MWG] - Paylater"/>
    <x v="2"/>
    <x v="3"/>
    <x v="87"/>
    <n v="9596128249"/>
    <n v="5422732994"/>
    <n v="4173395255"/>
    <n v="5422732994"/>
    <n v="4173395255"/>
  </r>
  <r>
    <s v="[MWG] - Paylater"/>
    <x v="2"/>
    <x v="3"/>
    <x v="88"/>
    <n v="9593943815"/>
    <n v="5422732994"/>
    <n v="4171210821"/>
    <n v="5422732994"/>
    <n v="4171210821"/>
  </r>
  <r>
    <s v="[MWG] - Paylater"/>
    <x v="2"/>
    <x v="3"/>
    <x v="89"/>
    <n v="9591837086"/>
    <n v="5415649603"/>
    <n v="4176187483"/>
    <n v="5415649603"/>
    <n v="4176187483"/>
  </r>
  <r>
    <s v="[MWG] - Paylater"/>
    <x v="2"/>
    <x v="3"/>
    <x v="90"/>
    <n v="9583520999"/>
    <n v="5415649603"/>
    <n v="4167871396"/>
    <n v="5415649603"/>
    <n v="4167871396"/>
  </r>
  <r>
    <s v="[MWG] - Paylater"/>
    <x v="2"/>
    <x v="3"/>
    <x v="91"/>
    <n v="9596116144"/>
    <n v="5408395387"/>
    <n v="4187720757"/>
    <n v="5408395387"/>
    <n v="4187720757"/>
  </r>
  <r>
    <s v="[MWG] - Paylater (QTV)"/>
    <x v="2"/>
    <x v="3"/>
    <x v="55"/>
    <n v="14737251216"/>
    <n v="593049202"/>
    <n v="14144202014"/>
    <n v="593049202"/>
    <n v="14144202014"/>
  </r>
  <r>
    <s v="[MWG] - Paylater (QTV)"/>
    <x v="2"/>
    <x v="3"/>
    <x v="56"/>
    <n v="14968219556"/>
    <n v="593049202"/>
    <n v="14375170354"/>
    <n v="593049202"/>
    <n v="14375170354"/>
  </r>
  <r>
    <s v="[MWG] - Paylater (QTV)"/>
    <x v="2"/>
    <x v="3"/>
    <x v="57"/>
    <n v="15142320995"/>
    <n v="592571202"/>
    <n v="14549749793"/>
    <n v="592571202"/>
    <n v="14549749793"/>
  </r>
  <r>
    <s v="[MWG] - Paylater (QTV)"/>
    <x v="2"/>
    <x v="3"/>
    <x v="58"/>
    <n v="15385400127"/>
    <n v="591465191"/>
    <n v="14793934936"/>
    <n v="591465191"/>
    <n v="14793934936"/>
  </r>
  <r>
    <s v="[MWG] - Paylater (QTV)"/>
    <x v="2"/>
    <x v="3"/>
    <x v="59"/>
    <n v="15511293484"/>
    <n v="590779636"/>
    <n v="14920513848"/>
    <n v="590779636"/>
    <n v="14920513848"/>
  </r>
  <r>
    <s v="[MWG] - Paylater (QTV)"/>
    <x v="2"/>
    <x v="3"/>
    <x v="60"/>
    <n v="15741060398"/>
    <n v="590779636"/>
    <n v="15150280762"/>
    <n v="590779636"/>
    <n v="15150280762"/>
  </r>
  <r>
    <s v="[MWG] - Paylater (QTV)"/>
    <x v="2"/>
    <x v="3"/>
    <x v="61"/>
    <n v="16031834959"/>
    <n v="590779636"/>
    <n v="15441055323"/>
    <n v="590779636"/>
    <n v="15441055323"/>
  </r>
  <r>
    <s v="[MWG] - Paylater (QTV)"/>
    <x v="2"/>
    <x v="3"/>
    <x v="62"/>
    <n v="16174840164"/>
    <n v="590779635"/>
    <n v="15584060529"/>
    <n v="590779635"/>
    <n v="15584060529"/>
  </r>
  <r>
    <s v="[MWG] - Paylater (QTV)"/>
    <x v="2"/>
    <x v="3"/>
    <x v="63"/>
    <n v="16361079595"/>
    <n v="590779635"/>
    <n v="15770299960"/>
    <n v="590779635"/>
    <n v="15770299960"/>
  </r>
  <r>
    <s v="[MWG] - Paylater (QTV)"/>
    <x v="2"/>
    <x v="3"/>
    <x v="64"/>
    <n v="16376198231"/>
    <n v="585779635"/>
    <n v="15790418596"/>
    <n v="585779635"/>
    <n v="15790418596"/>
  </r>
  <r>
    <s v="[MWG] - Paylater (QTV)"/>
    <x v="2"/>
    <x v="3"/>
    <x v="65"/>
    <n v="15964499397"/>
    <n v="584431302"/>
    <n v="15380068095"/>
    <n v="584431302"/>
    <n v="15380068095"/>
  </r>
  <r>
    <s v="[MWG] - Paylater (QTV)"/>
    <x v="2"/>
    <x v="3"/>
    <x v="66"/>
    <n v="16021308779"/>
    <n v="3458549619"/>
    <n v="12562759160"/>
    <n v="584003083"/>
    <n v="15437305696"/>
  </r>
  <r>
    <s v="[MWG] - Paylater (QTV)"/>
    <x v="2"/>
    <x v="3"/>
    <x v="67"/>
    <n v="16488378165"/>
    <n v="3219852148"/>
    <n v="13268526017"/>
    <n v="584003083"/>
    <n v="15904375082"/>
  </r>
  <r>
    <s v="[MWG] - Paylater (QTV)"/>
    <x v="2"/>
    <x v="3"/>
    <x v="68"/>
    <n v="16903338399"/>
    <n v="3113221288"/>
    <n v="13790117111"/>
    <n v="579003083"/>
    <n v="16324335316"/>
  </r>
  <r>
    <s v="[MWG] - Paylater (QTV)"/>
    <x v="2"/>
    <x v="3"/>
    <x v="69"/>
    <n v="17256241583"/>
    <n v="3005677081"/>
    <n v="14250564502"/>
    <n v="578476416"/>
    <n v="16677765167"/>
  </r>
  <r>
    <s v="[MWG] - Paylater (QTV)"/>
    <x v="2"/>
    <x v="3"/>
    <x v="70"/>
    <n v="17621603198"/>
    <n v="2787404845"/>
    <n v="14834198353"/>
    <n v="568056539"/>
    <n v="17053546659"/>
  </r>
  <r>
    <s v="[MWG] - Paylater (QTV)"/>
    <x v="2"/>
    <x v="3"/>
    <x v="71"/>
    <n v="17889959785"/>
    <n v="2677433164"/>
    <n v="15212526621"/>
    <n v="568056539"/>
    <n v="17321903246"/>
  </r>
  <r>
    <s v="[MWG] - Paylater (QTV)"/>
    <x v="2"/>
    <x v="3"/>
    <x v="72"/>
    <n v="18109049057"/>
    <n v="2591947957"/>
    <n v="15517101100"/>
    <n v="568056539"/>
    <n v="17540992518"/>
  </r>
  <r>
    <s v="[MWG] - Paylater (QTV)"/>
    <x v="2"/>
    <x v="3"/>
    <x v="73"/>
    <n v="18448316318"/>
    <n v="2519550999"/>
    <n v="15928765319"/>
    <n v="568056539"/>
    <n v="17880259779"/>
  </r>
  <r>
    <s v="[MWG] - Paylater (QTV)"/>
    <x v="2"/>
    <x v="3"/>
    <x v="74"/>
    <n v="18784692470"/>
    <n v="2497734833"/>
    <n v="16286957637"/>
    <n v="568056539"/>
    <n v="18216635931"/>
  </r>
  <r>
    <s v="[MWG] - Paylater (QTV)"/>
    <x v="2"/>
    <x v="3"/>
    <x v="75"/>
    <n v="19188217815"/>
    <n v="2433742855"/>
    <n v="16754474960"/>
    <n v="568056539"/>
    <n v="18620161276"/>
  </r>
  <r>
    <s v="[MWG] - Paylater (QTV)"/>
    <x v="2"/>
    <x v="3"/>
    <x v="76"/>
    <n v="19401079345"/>
    <n v="2380578157"/>
    <n v="17020501188"/>
    <n v="2380578157"/>
    <n v="17020501188"/>
  </r>
  <r>
    <s v="[MWG] - Paylater (QTV)"/>
    <x v="2"/>
    <x v="3"/>
    <x v="77"/>
    <n v="19680437205"/>
    <n v="2349635049"/>
    <n v="17330802156"/>
    <n v="2349635049"/>
    <n v="17330802156"/>
  </r>
  <r>
    <s v="[MWG] - Paylater (QTV)"/>
    <x v="2"/>
    <x v="3"/>
    <x v="78"/>
    <n v="20016600252"/>
    <n v="2325258361"/>
    <n v="17691341891"/>
    <n v="2325258361"/>
    <n v="17691341891"/>
  </r>
  <r>
    <s v="[MWG] - Paylater (QTV)"/>
    <x v="2"/>
    <x v="3"/>
    <x v="79"/>
    <n v="20284582071"/>
    <n v="2286808719"/>
    <n v="17997773352"/>
    <n v="2286808719"/>
    <n v="17997773352"/>
  </r>
  <r>
    <s v="[MWG] - Paylater (QTV)"/>
    <x v="2"/>
    <x v="3"/>
    <x v="80"/>
    <n v="20687841927"/>
    <n v="2252609624"/>
    <n v="18435232303"/>
    <n v="2252609624"/>
    <n v="18435232303"/>
  </r>
  <r>
    <s v="[MWG] - Paylater (QTV)"/>
    <x v="2"/>
    <x v="3"/>
    <x v="81"/>
    <n v="20978327690"/>
    <n v="2230362438"/>
    <n v="18747965252"/>
    <n v="2230362438"/>
    <n v="18747965252"/>
  </r>
  <r>
    <s v="[MWG] - Paylater (QTV)"/>
    <x v="2"/>
    <x v="3"/>
    <x v="82"/>
    <n v="21243727524"/>
    <n v="2218195046"/>
    <n v="19025532478"/>
    <n v="2218195046"/>
    <n v="19025532478"/>
  </r>
  <r>
    <s v="[MWG] - Paylater (QTV)"/>
    <x v="2"/>
    <x v="3"/>
    <x v="83"/>
    <n v="21385092561"/>
    <n v="2214319489"/>
    <n v="19170773072"/>
    <n v="2214319489"/>
    <n v="19170773072"/>
  </r>
  <r>
    <s v="[MWG] - Paylater (QTV)"/>
    <x v="2"/>
    <x v="3"/>
    <x v="84"/>
    <n v="21691997527"/>
    <n v="2207172822"/>
    <n v="19484824705"/>
    <n v="2207172822"/>
    <n v="19484824705"/>
  </r>
  <r>
    <s v="[MWG] - Paylater (QTV)"/>
    <x v="2"/>
    <x v="3"/>
    <x v="85"/>
    <n v="22127649201"/>
    <n v="2194372901"/>
    <n v="19933276300"/>
    <n v="2194372901"/>
    <n v="19933276300"/>
  </r>
  <r>
    <s v="[MWG] - Paylater (QTV)"/>
    <x v="2"/>
    <x v="3"/>
    <x v="86"/>
    <n v="22476644263"/>
    <n v="2179581573"/>
    <n v="20297062690"/>
    <n v="2179581573"/>
    <n v="20297062690"/>
  </r>
  <r>
    <s v="[MWG] - Paylater (QTV)"/>
    <x v="2"/>
    <x v="3"/>
    <x v="87"/>
    <n v="22730254704"/>
    <n v="2169852977"/>
    <n v="20560401727"/>
    <n v="2169852977"/>
    <n v="20560401727"/>
  </r>
  <r>
    <s v="[MWG] - Paylater (QTV)"/>
    <x v="2"/>
    <x v="3"/>
    <x v="88"/>
    <n v="23062024563"/>
    <n v="2169620948"/>
    <n v="20892403615"/>
    <n v="2169620948"/>
    <n v="20892403615"/>
  </r>
  <r>
    <s v="[MWG] - Paylater (QTV)"/>
    <x v="2"/>
    <x v="3"/>
    <x v="89"/>
    <n v="23398679441"/>
    <n v="2140343089"/>
    <n v="21258336352"/>
    <n v="2140343089"/>
    <n v="21258336352"/>
  </r>
  <r>
    <s v="[MWG] - Paylater (QTV)"/>
    <x v="2"/>
    <x v="3"/>
    <x v="90"/>
    <n v="23397750293"/>
    <n v="2131657163"/>
    <n v="21266093130"/>
    <n v="2131657163"/>
    <n v="21266093130"/>
  </r>
  <r>
    <s v="[MWG] - Paylater (QTV)"/>
    <x v="2"/>
    <x v="3"/>
    <x v="91"/>
    <n v="23508491478"/>
    <n v="2122675179"/>
    <n v="21385816299"/>
    <n v="2122675179"/>
    <n v="21385816299"/>
  </r>
  <r>
    <s v="[NGS] - Cashloan"/>
    <x v="1"/>
    <x v="4"/>
    <x v="0"/>
    <n v="59973906716"/>
    <n v="44153732926"/>
    <n v="15820173790"/>
    <n v="43524925949"/>
    <n v="16448980767"/>
  </r>
  <r>
    <s v="[NGS] - Cashloan"/>
    <x v="1"/>
    <x v="4"/>
    <x v="1"/>
    <n v="59888815311"/>
    <n v="44198195445"/>
    <n v="15690619866"/>
    <n v="43564157951"/>
    <n v="16324657360"/>
  </r>
  <r>
    <s v="[NGS] - Cashloan"/>
    <x v="1"/>
    <x v="4"/>
    <x v="2"/>
    <n v="59812710994"/>
    <n v="44195107945"/>
    <n v="15617603049"/>
    <n v="43514082964"/>
    <n v="16298628030"/>
  </r>
  <r>
    <s v="[NGS] - Cashloan"/>
    <x v="1"/>
    <x v="4"/>
    <x v="3"/>
    <n v="59768784214"/>
    <n v="44161507953"/>
    <n v="15607276261"/>
    <n v="43499107912"/>
    <n v="16269676302"/>
  </r>
  <r>
    <s v="[NGS] - Cashloan"/>
    <x v="1"/>
    <x v="4"/>
    <x v="4"/>
    <n v="59699968807"/>
    <n v="44154002044"/>
    <n v="15545966763"/>
    <n v="43524724449"/>
    <n v="16175244358"/>
  </r>
  <r>
    <s v="[NGS] - Cashloan"/>
    <x v="1"/>
    <x v="4"/>
    <x v="5"/>
    <n v="59647122201"/>
    <n v="44233131869"/>
    <n v="15413990332"/>
    <n v="43573017773"/>
    <n v="16074104428"/>
  </r>
  <r>
    <s v="[NGS] - Cashloan"/>
    <x v="1"/>
    <x v="4"/>
    <x v="6"/>
    <n v="59510058657"/>
    <n v="44170159199"/>
    <n v="15339899458"/>
    <n v="43591178996"/>
    <n v="15918879661"/>
  </r>
  <r>
    <s v="[NGS] - Cashloan"/>
    <x v="1"/>
    <x v="4"/>
    <x v="7"/>
    <n v="59421222036"/>
    <n v="44253444017"/>
    <n v="15167778019"/>
    <n v="43611449550"/>
    <n v="15809772486"/>
  </r>
  <r>
    <s v="[NGS] - Cashloan"/>
    <x v="1"/>
    <x v="4"/>
    <x v="8"/>
    <n v="59350696443"/>
    <n v="44302788377"/>
    <n v="15047908066"/>
    <n v="43705932288"/>
    <n v="15644764155"/>
  </r>
  <r>
    <s v="[NGS] - Cashloan"/>
    <x v="1"/>
    <x v="4"/>
    <x v="9"/>
    <n v="59229799921"/>
    <n v="44240463709"/>
    <n v="14989336212"/>
    <n v="43618765885"/>
    <n v="15611034036"/>
  </r>
  <r>
    <s v="[NGS] - Cashloan"/>
    <x v="1"/>
    <x v="4"/>
    <x v="10"/>
    <n v="59154250618"/>
    <n v="44162184137"/>
    <n v="14992066481"/>
    <n v="43564338740"/>
    <n v="15589911878"/>
  </r>
  <r>
    <s v="[NGS] - Cashloan"/>
    <x v="1"/>
    <x v="4"/>
    <x v="11"/>
    <n v="59041624546"/>
    <n v="44096705660"/>
    <n v="14944918886"/>
    <n v="43533920902"/>
    <n v="15507703644"/>
  </r>
  <r>
    <s v="[NGS] - Cashloan"/>
    <x v="1"/>
    <x v="4"/>
    <x v="12"/>
    <n v="59022396276"/>
    <n v="44185659425"/>
    <n v="14836736851"/>
    <n v="43539357808"/>
    <n v="15483038468"/>
  </r>
  <r>
    <s v="[NGS] - Cashloan"/>
    <x v="1"/>
    <x v="4"/>
    <x v="13"/>
    <n v="58829921142"/>
    <n v="44058158269"/>
    <n v="14771762873"/>
    <n v="43505638135"/>
    <n v="15324283007"/>
  </r>
  <r>
    <s v="[NGS] - Cashloan"/>
    <x v="1"/>
    <x v="4"/>
    <x v="14"/>
    <n v="58698027216"/>
    <n v="44141959556"/>
    <n v="14556067660"/>
    <n v="43521785200"/>
    <n v="15176242016"/>
  </r>
  <r>
    <s v="[NGS] - Cashloan"/>
    <x v="1"/>
    <x v="4"/>
    <x v="15"/>
    <n v="58594527991"/>
    <n v="44153832221"/>
    <n v="14440695770"/>
    <n v="43508122714"/>
    <n v="15086405277"/>
  </r>
  <r>
    <s v="[NGS] - Cashloan"/>
    <x v="1"/>
    <x v="4"/>
    <x v="16"/>
    <n v="58521990774"/>
    <n v="44083194890"/>
    <n v="14438795884"/>
    <n v="43485646242"/>
    <n v="15036344532"/>
  </r>
  <r>
    <s v="[NGS] - Cashloan"/>
    <x v="1"/>
    <x v="4"/>
    <x v="17"/>
    <n v="58448528556"/>
    <n v="44185067061"/>
    <n v="14263461495"/>
    <n v="43539245036"/>
    <n v="14909283520"/>
  </r>
  <r>
    <s v="[NGS] - Cashloan"/>
    <x v="1"/>
    <x v="4"/>
    <x v="18"/>
    <n v="58361737420"/>
    <n v="44248307103"/>
    <n v="14113430317"/>
    <n v="43527774706"/>
    <n v="14833962714"/>
  </r>
  <r>
    <s v="[NGS] - Cashloan"/>
    <x v="1"/>
    <x v="4"/>
    <x v="19"/>
    <n v="58340573871"/>
    <n v="44378857376"/>
    <n v="13961716495"/>
    <n v="43542798489"/>
    <n v="14797775382"/>
  </r>
  <r>
    <s v="[NGS] - Cashloan"/>
    <x v="1"/>
    <x v="4"/>
    <x v="20"/>
    <n v="58215389919"/>
    <n v="44229525441"/>
    <n v="13985864478"/>
    <n v="43558375790"/>
    <n v="14657014129"/>
  </r>
  <r>
    <s v="[NGS] - Cashloan"/>
    <x v="1"/>
    <x v="4"/>
    <x v="21"/>
    <n v="58120025377"/>
    <n v="44341025007"/>
    <n v="13779000370"/>
    <n v="43571010036"/>
    <n v="14549015341"/>
  </r>
  <r>
    <s v="[NGS] - Cashloan"/>
    <x v="1"/>
    <x v="4"/>
    <x v="22"/>
    <n v="58067019161"/>
    <n v="44337511792"/>
    <n v="13729507369"/>
    <n v="43592900264"/>
    <n v="14474118897"/>
  </r>
  <r>
    <s v="[NGS] - Cashloan"/>
    <x v="1"/>
    <x v="4"/>
    <x v="23"/>
    <n v="58018196149"/>
    <n v="44347130365"/>
    <n v="13671065784"/>
    <n v="43576712488"/>
    <n v="14441483661"/>
  </r>
  <r>
    <s v="[NGS] - Cashloan"/>
    <x v="1"/>
    <x v="4"/>
    <x v="24"/>
    <n v="57950653913"/>
    <n v="44257911712"/>
    <n v="13692742201"/>
    <n v="43606412418"/>
    <n v="14344241495"/>
  </r>
  <r>
    <s v="[NGS] - Cashloan"/>
    <x v="1"/>
    <x v="4"/>
    <x v="25"/>
    <n v="57890204424"/>
    <n v="44298683142"/>
    <n v="13591521282"/>
    <n v="43620245093"/>
    <n v="14269959331"/>
  </r>
  <r>
    <s v="[NGS] - Cashloan"/>
    <x v="1"/>
    <x v="4"/>
    <x v="26"/>
    <n v="57864267740"/>
    <n v="44271626658"/>
    <n v="13592641082"/>
    <n v="43614049052"/>
    <n v="14250218688"/>
  </r>
  <r>
    <s v="[NGS] - Cashloan"/>
    <x v="1"/>
    <x v="4"/>
    <x v="27"/>
    <n v="57686117834"/>
    <n v="44177213768"/>
    <n v="13508904066"/>
    <n v="43661241444"/>
    <n v="14024876390"/>
  </r>
  <r>
    <s v="[NGS] - Cashloan"/>
    <x v="1"/>
    <x v="4"/>
    <x v="28"/>
    <n v="57659982757"/>
    <n v="44560386967"/>
    <n v="13099595790"/>
    <n v="43703387392"/>
    <n v="13956595365"/>
  </r>
  <r>
    <s v="[NGS] - Cashloan"/>
    <x v="1"/>
    <x v="4"/>
    <x v="29"/>
    <n v="57636023961"/>
    <n v="44406852136"/>
    <n v="13229171825"/>
    <n v="43712038735"/>
    <n v="13923985226"/>
  </r>
  <r>
    <s v="[NGS] - Cashloan"/>
    <x v="1"/>
    <x v="4"/>
    <x v="30"/>
    <n v="57612739468"/>
    <n v="44276806143"/>
    <n v="13335933325"/>
    <n v="43685766586"/>
    <n v="13926972882"/>
  </r>
  <r>
    <s v="[NGS] - Cashloan"/>
    <x v="1"/>
    <x v="4"/>
    <x v="31"/>
    <n v="57577174497"/>
    <n v="44215992760"/>
    <n v="13361181737"/>
    <n v="43741683246"/>
    <n v="13835491251"/>
  </r>
  <r>
    <s v="[NGS] - Cashloan"/>
    <x v="1"/>
    <x v="4"/>
    <x v="32"/>
    <n v="57518702833"/>
    <n v="44304694279"/>
    <n v="13214008554"/>
    <n v="43814058935"/>
    <n v="13704643898"/>
  </r>
  <r>
    <s v="[NGS] - Cashloan"/>
    <x v="1"/>
    <x v="4"/>
    <x v="33"/>
    <n v="57515883660"/>
    <n v="44403974448"/>
    <n v="13111909212"/>
    <n v="43837217380"/>
    <n v="13678666280"/>
  </r>
  <r>
    <s v="[NGS] - Cashloan"/>
    <x v="1"/>
    <x v="4"/>
    <x v="34"/>
    <n v="57454573357"/>
    <n v="44341541489"/>
    <n v="13113031868"/>
    <n v="43836148300"/>
    <n v="13618425057"/>
  </r>
  <r>
    <s v="[NGS] - Cashloan"/>
    <x v="1"/>
    <x v="4"/>
    <x v="35"/>
    <n v="57404346937"/>
    <n v="44417063087"/>
    <n v="12987283850"/>
    <n v="43865202433"/>
    <n v="13539144504"/>
  </r>
  <r>
    <s v="[NGS] - Cashloan"/>
    <x v="1"/>
    <x v="4"/>
    <x v="36"/>
    <n v="57354827722"/>
    <n v="44456702224"/>
    <n v="12898125498"/>
    <n v="43853210735"/>
    <n v="13501616987"/>
  </r>
  <r>
    <s v="[NGS] - Cashloan"/>
    <x v="1"/>
    <x v="4"/>
    <x v="37"/>
    <n v="57281780784"/>
    <n v="44431695988"/>
    <n v="12850084796"/>
    <n v="43830109604"/>
    <n v="13451671180"/>
  </r>
  <r>
    <s v="[NGS] - Cashloan"/>
    <x v="1"/>
    <x v="4"/>
    <x v="38"/>
    <n v="57204537187"/>
    <n v="44329455285"/>
    <n v="12875081902"/>
    <n v="43952618494"/>
    <n v="13251918693"/>
  </r>
  <r>
    <s v="[NGS] - Cashloan"/>
    <x v="1"/>
    <x v="4"/>
    <x v="39"/>
    <n v="57135337431"/>
    <n v="44345950064"/>
    <n v="12789387367"/>
    <n v="43907754565"/>
    <n v="13227582866"/>
  </r>
  <r>
    <s v="[NGS] - Cashloan"/>
    <x v="1"/>
    <x v="4"/>
    <x v="40"/>
    <n v="57120772184"/>
    <n v="44465668859"/>
    <n v="12655103325"/>
    <n v="43897060216"/>
    <n v="13223711968"/>
  </r>
  <r>
    <s v="[NGS] - Cashloan"/>
    <x v="1"/>
    <x v="4"/>
    <x v="41"/>
    <n v="57024717904"/>
    <n v="44278140618"/>
    <n v="12746577286"/>
    <n v="43819405384"/>
    <n v="13205312520"/>
  </r>
  <r>
    <s v="[NGS] - Cashloan"/>
    <x v="1"/>
    <x v="4"/>
    <x v="42"/>
    <n v="56868649806"/>
    <n v="44337361215"/>
    <n v="12531288591"/>
    <n v="43810636385"/>
    <n v="13058013421"/>
  </r>
  <r>
    <s v="[NGS] - Cashloan"/>
    <x v="1"/>
    <x v="4"/>
    <x v="43"/>
    <n v="56785238523"/>
    <n v="44365543696"/>
    <n v="12419694827"/>
    <n v="43816839407"/>
    <n v="12968399116"/>
  </r>
  <r>
    <s v="[NGS] - Cashloan"/>
    <x v="1"/>
    <x v="4"/>
    <x v="44"/>
    <n v="56683572980"/>
    <n v="44447638513"/>
    <n v="12235934467"/>
    <n v="43792700553"/>
    <n v="12890872427"/>
  </r>
  <r>
    <s v="[NGS] - Cashloan"/>
    <x v="1"/>
    <x v="4"/>
    <x v="45"/>
    <n v="56590115931"/>
    <n v="44457464936"/>
    <n v="12132650995"/>
    <n v="43837573547"/>
    <n v="12752542384"/>
  </r>
  <r>
    <s v="[NGS] - Cashloan"/>
    <x v="1"/>
    <x v="4"/>
    <x v="46"/>
    <n v="56505923439"/>
    <n v="44502268484"/>
    <n v="12003654955"/>
    <n v="43874337850"/>
    <n v="12631585589"/>
  </r>
  <r>
    <s v="[NGS] - Cashloan"/>
    <x v="1"/>
    <x v="4"/>
    <x v="47"/>
    <n v="56491232212"/>
    <n v="44507168724"/>
    <n v="11984063488"/>
    <n v="43904918399"/>
    <n v="12586313813"/>
  </r>
  <r>
    <s v="[NGS] - Cashloan"/>
    <x v="1"/>
    <x v="4"/>
    <x v="48"/>
    <n v="56421971849"/>
    <n v="44365182016"/>
    <n v="12056789833"/>
    <n v="43853795814"/>
    <n v="12568176035"/>
  </r>
  <r>
    <s v="[NGS] - Cashloan"/>
    <x v="1"/>
    <x v="4"/>
    <x v="49"/>
    <n v="56342045985"/>
    <n v="44550478670"/>
    <n v="11791567315"/>
    <n v="43884318815"/>
    <n v="12457727170"/>
  </r>
  <r>
    <s v="[NGS] - Cashloan"/>
    <x v="1"/>
    <x v="4"/>
    <x v="50"/>
    <n v="56283016448"/>
    <n v="44663533659"/>
    <n v="11619482789"/>
    <n v="43919200361"/>
    <n v="12363816087"/>
  </r>
  <r>
    <s v="[NGS] - Cashloan"/>
    <x v="1"/>
    <x v="4"/>
    <x v="51"/>
    <n v="56214427322"/>
    <n v="44623074397"/>
    <n v="11591352925"/>
    <n v="43904651889"/>
    <n v="12309775433"/>
  </r>
  <r>
    <s v="[NGS] - Cashloan"/>
    <x v="1"/>
    <x v="4"/>
    <x v="52"/>
    <n v="56160269436"/>
    <n v="44620959648"/>
    <n v="11539309788"/>
    <n v="43994262443"/>
    <n v="12166006993"/>
  </r>
  <r>
    <s v="[NGS] - Cashloan"/>
    <x v="1"/>
    <x v="4"/>
    <x v="53"/>
    <n v="56140123081"/>
    <n v="44700243651"/>
    <n v="11439879430"/>
    <n v="44007071870"/>
    <n v="12133051211"/>
  </r>
  <r>
    <s v="[NGS] - Cashloan"/>
    <x v="1"/>
    <x v="4"/>
    <x v="54"/>
    <n v="56130040453"/>
    <n v="44681145859"/>
    <n v="11448894594"/>
    <n v="44051388725"/>
    <n v="12078651728"/>
  </r>
  <r>
    <s v="[NGS] - Cashloan"/>
    <x v="1"/>
    <x v="4"/>
    <x v="55"/>
    <n v="56086059366"/>
    <n v="44618305753"/>
    <n v="11467753613"/>
    <n v="44049665090"/>
    <n v="12036394276"/>
  </r>
  <r>
    <s v="[NGS] - Cashloan"/>
    <x v="1"/>
    <x v="4"/>
    <x v="56"/>
    <n v="56028116245"/>
    <n v="44686812224"/>
    <n v="11341304021"/>
    <n v="44067605305"/>
    <n v="11960510940"/>
  </r>
  <r>
    <s v="[NGS] - Cashloan"/>
    <x v="1"/>
    <x v="4"/>
    <x v="57"/>
    <n v="55976289280"/>
    <n v="44648635547"/>
    <n v="11327653733"/>
    <n v="44086554563"/>
    <n v="11889734717"/>
  </r>
  <r>
    <s v="[NGS] - Cashloan"/>
    <x v="1"/>
    <x v="4"/>
    <x v="58"/>
    <n v="55906456378"/>
    <n v="44762601883"/>
    <n v="11143854495"/>
    <n v="44047255131"/>
    <n v="11859201247"/>
  </r>
  <r>
    <s v="[NGS] - Cashloan"/>
    <x v="1"/>
    <x v="4"/>
    <x v="59"/>
    <n v="55877950512"/>
    <n v="44804539118"/>
    <n v="11073411394"/>
    <n v="44066753980"/>
    <n v="11811196532"/>
  </r>
  <r>
    <s v="[NGS] - Cashloan"/>
    <x v="1"/>
    <x v="4"/>
    <x v="60"/>
    <n v="55869099448"/>
    <n v="44705475296"/>
    <n v="11163624152"/>
    <n v="44149204562"/>
    <n v="11719894886"/>
  </r>
  <r>
    <s v="[NGS] - Cashloan"/>
    <x v="1"/>
    <x v="4"/>
    <x v="61"/>
    <n v="55863330966"/>
    <n v="44623566206"/>
    <n v="11239764760"/>
    <n v="44161696558"/>
    <n v="11701634408"/>
  </r>
  <r>
    <s v="[NGS] - Cashloan"/>
    <x v="1"/>
    <x v="4"/>
    <x v="62"/>
    <n v="55854662500"/>
    <n v="44614346897"/>
    <n v="11240315603"/>
    <n v="44200008962"/>
    <n v="11654653538"/>
  </r>
  <r>
    <s v="[NGS] - Cashloan"/>
    <x v="1"/>
    <x v="4"/>
    <x v="63"/>
    <n v="55850978615"/>
    <n v="44605260088"/>
    <n v="11245718527"/>
    <n v="44235599678"/>
    <n v="11615378937"/>
  </r>
  <r>
    <s v="[NGS] - Cashloan"/>
    <x v="1"/>
    <x v="4"/>
    <x v="64"/>
    <n v="55786275006"/>
    <n v="44531340900"/>
    <n v="11254934106"/>
    <n v="44191646941"/>
    <n v="11594628065"/>
  </r>
  <r>
    <s v="[NGS] - Cashloan"/>
    <x v="1"/>
    <x v="4"/>
    <x v="65"/>
    <n v="55762922206"/>
    <n v="44812520685"/>
    <n v="10950401521"/>
    <n v="44185748413"/>
    <n v="11577173793"/>
  </r>
  <r>
    <s v="[NGS] - Cashloan"/>
    <x v="1"/>
    <x v="4"/>
    <x v="66"/>
    <n v="55729267471"/>
    <n v="44776019029"/>
    <n v="10953248442"/>
    <n v="44246866217"/>
    <n v="11482401254"/>
  </r>
  <r>
    <s v="[NGS] - Cashloan"/>
    <x v="1"/>
    <x v="4"/>
    <x v="67"/>
    <n v="55695009865"/>
    <n v="44833258113"/>
    <n v="10861751752"/>
    <n v="44257505003"/>
    <n v="11437504862"/>
  </r>
  <r>
    <s v="[NGS] - Cashloan"/>
    <x v="1"/>
    <x v="4"/>
    <x v="68"/>
    <n v="55680970617"/>
    <n v="44870580277"/>
    <n v="10810390340"/>
    <n v="44316962468"/>
    <n v="11364008149"/>
  </r>
  <r>
    <s v="[NGS] - Cashloan"/>
    <x v="1"/>
    <x v="4"/>
    <x v="69"/>
    <n v="55605371352"/>
    <n v="44791131607"/>
    <n v="10814239745"/>
    <n v="44425961624"/>
    <n v="11179409728"/>
  </r>
  <r>
    <s v="[NGS] - Cashloan"/>
    <x v="1"/>
    <x v="4"/>
    <x v="70"/>
    <n v="55535434169"/>
    <n v="44926985332"/>
    <n v="10608448837"/>
    <n v="44385717104"/>
    <n v="11149717065"/>
  </r>
  <r>
    <s v="[NGS] - Cashloan"/>
    <x v="1"/>
    <x v="4"/>
    <x v="71"/>
    <n v="55463072076"/>
    <n v="44843255076"/>
    <n v="10619817000"/>
    <n v="44365976873"/>
    <n v="11097095203"/>
  </r>
  <r>
    <s v="[NGS] - Cashloan"/>
    <x v="1"/>
    <x v="4"/>
    <x v="72"/>
    <n v="55405061296"/>
    <n v="44826184775"/>
    <n v="10578876521"/>
    <n v="44334721654"/>
    <n v="11070339642"/>
  </r>
  <r>
    <s v="[NGS] - Cashloan"/>
    <x v="1"/>
    <x v="4"/>
    <x v="73"/>
    <n v="55340237927"/>
    <n v="44810665576"/>
    <n v="10529572351"/>
    <n v="44297592339"/>
    <n v="11042645588"/>
  </r>
  <r>
    <s v="[NGS] - Cashloan"/>
    <x v="1"/>
    <x v="4"/>
    <x v="74"/>
    <n v="55269834253"/>
    <n v="44888417263"/>
    <n v="10381416990"/>
    <n v="44276005550"/>
    <n v="10993828703"/>
  </r>
  <r>
    <s v="[NGS] - Cashloan"/>
    <x v="1"/>
    <x v="4"/>
    <x v="75"/>
    <n v="55258039023"/>
    <n v="45001615021"/>
    <n v="10256424002"/>
    <n v="44350062276"/>
    <n v="10907976747"/>
  </r>
  <r>
    <s v="[NGS] - Cashloan"/>
    <x v="1"/>
    <x v="4"/>
    <x v="76"/>
    <n v="55156329907"/>
    <n v="44822753290"/>
    <n v="10333576617"/>
    <n v="44363867472"/>
    <n v="10792462435"/>
  </r>
  <r>
    <s v="[NGS] - Cashloan"/>
    <x v="1"/>
    <x v="4"/>
    <x v="77"/>
    <n v="55104693129"/>
    <n v="44940617748"/>
    <n v="10164075381"/>
    <n v="44375977589"/>
    <n v="10728715540"/>
  </r>
  <r>
    <s v="[NGS] - Cashloan"/>
    <x v="1"/>
    <x v="4"/>
    <x v="78"/>
    <n v="55057455070"/>
    <n v="44855600898"/>
    <n v="10201854172"/>
    <n v="44395284653"/>
    <n v="10662170417"/>
  </r>
  <r>
    <s v="[NGS] - Cashloan"/>
    <x v="1"/>
    <x v="4"/>
    <x v="79"/>
    <n v="54990929207"/>
    <n v="44913579074"/>
    <n v="10077350133"/>
    <n v="44362459934"/>
    <n v="10628469273"/>
  </r>
  <r>
    <s v="[NGS] - Cashloan"/>
    <x v="1"/>
    <x v="4"/>
    <x v="80"/>
    <n v="54930555306"/>
    <n v="44989529050"/>
    <n v="9941026256"/>
    <n v="44371395877"/>
    <n v="10559159429"/>
  </r>
  <r>
    <s v="[NGS] - Cashloan"/>
    <x v="1"/>
    <x v="4"/>
    <x v="81"/>
    <n v="54890221245"/>
    <n v="45051076895"/>
    <n v="9839144350"/>
    <n v="44354884336"/>
    <n v="10535336909"/>
  </r>
  <r>
    <s v="[NGS] - Cashloan"/>
    <x v="1"/>
    <x v="4"/>
    <x v="82"/>
    <n v="54885536976"/>
    <n v="45093530665"/>
    <n v="9792006311"/>
    <n v="44408192739"/>
    <n v="10477344237"/>
  </r>
  <r>
    <s v="[NGS] - Cashloan"/>
    <x v="1"/>
    <x v="4"/>
    <x v="83"/>
    <n v="54836728760"/>
    <n v="44946609304"/>
    <n v="9890119456"/>
    <n v="44379986450"/>
    <n v="10456742310"/>
  </r>
  <r>
    <s v="[NGS] - Cashloan"/>
    <x v="1"/>
    <x v="4"/>
    <x v="84"/>
    <n v="54805172562"/>
    <n v="45071471411"/>
    <n v="9733701151"/>
    <n v="44414854163"/>
    <n v="10390318399"/>
  </r>
  <r>
    <s v="[NGS] - Cashloan"/>
    <x v="1"/>
    <x v="4"/>
    <x v="85"/>
    <n v="54762674042"/>
    <n v="45078357699"/>
    <n v="9684316343"/>
    <n v="44419569952"/>
    <n v="10343104090"/>
  </r>
  <r>
    <s v="[NGS] - Cashloan"/>
    <x v="1"/>
    <x v="4"/>
    <x v="86"/>
    <n v="54716630721"/>
    <n v="45044556248"/>
    <n v="9672074473"/>
    <n v="44405268728"/>
    <n v="10311361993"/>
  </r>
  <r>
    <s v="[NGS] - Cashloan"/>
    <x v="1"/>
    <x v="4"/>
    <x v="87"/>
    <n v="54658332365"/>
    <n v="45115250294"/>
    <n v="9543082071"/>
    <n v="44481170251"/>
    <n v="10177162114"/>
  </r>
  <r>
    <s v="[NGS] - Cashloan"/>
    <x v="1"/>
    <x v="4"/>
    <x v="88"/>
    <n v="54628076176"/>
    <n v="45117941790"/>
    <n v="9510134386"/>
    <n v="44472006945"/>
    <n v="10156069231"/>
  </r>
  <r>
    <s v="[NGS] - Cashloan"/>
    <x v="1"/>
    <x v="4"/>
    <x v="89"/>
    <n v="54623289222"/>
    <n v="45198718972"/>
    <n v="9424570250"/>
    <n v="44532890172"/>
    <n v="10090399050"/>
  </r>
  <r>
    <s v="[NGS] - Cashloan"/>
    <x v="1"/>
    <x v="4"/>
    <x v="90"/>
    <n v="54502358597"/>
    <n v="45111344689"/>
    <n v="9391013908"/>
    <n v="44618053817"/>
    <n v="9884304780"/>
  </r>
  <r>
    <s v="[NGS] - Cashloan"/>
    <x v="1"/>
    <x v="4"/>
    <x v="91"/>
    <n v="54490744969"/>
    <n v="45279330259"/>
    <n v="9211414710"/>
    <n v="44702750452"/>
    <n v="9787994517"/>
  </r>
  <r>
    <s v="[NORTHSTAR] - Cashloan"/>
    <x v="1"/>
    <x v="5"/>
    <x v="1"/>
    <n v="725893662"/>
    <n v="0"/>
    <n v="725893662"/>
    <n v="0"/>
    <n v="725893662"/>
  </r>
  <r>
    <s v="[NORTHSTAR] - Cashloan"/>
    <x v="1"/>
    <x v="5"/>
    <x v="2"/>
    <n v="725893662"/>
    <n v="0"/>
    <n v="725893662"/>
    <n v="0"/>
    <n v="725893662"/>
  </r>
  <r>
    <s v="[NORTHSTAR] - Cashloan"/>
    <x v="1"/>
    <x v="5"/>
    <x v="3"/>
    <n v="737482039"/>
    <n v="0"/>
    <n v="737482039"/>
    <n v="0"/>
    <n v="737482039"/>
  </r>
  <r>
    <s v="[NORTHSTAR] - Cashloan"/>
    <x v="1"/>
    <x v="5"/>
    <x v="4"/>
    <n v="780324356"/>
    <n v="0"/>
    <n v="780324356"/>
    <n v="0"/>
    <n v="780324356"/>
  </r>
  <r>
    <s v="[NORTHSTAR] - Cashloan"/>
    <x v="1"/>
    <x v="5"/>
    <x v="5"/>
    <n v="792924356"/>
    <n v="0"/>
    <n v="792924356"/>
    <n v="0"/>
    <n v="792924356"/>
  </r>
  <r>
    <s v="[NORTHSTAR] - Cashloan"/>
    <x v="1"/>
    <x v="5"/>
    <x v="6"/>
    <n v="794179131"/>
    <n v="0"/>
    <n v="794179131"/>
    <n v="0"/>
    <n v="794179131"/>
  </r>
  <r>
    <s v="[NORTHSTAR] - Cashloan"/>
    <x v="1"/>
    <x v="5"/>
    <x v="7"/>
    <n v="840930911"/>
    <n v="12600000"/>
    <n v="828330911"/>
    <n v="0"/>
    <n v="840930911"/>
  </r>
  <r>
    <s v="[NORTHSTAR] - Cashloan"/>
    <x v="1"/>
    <x v="5"/>
    <x v="8"/>
    <n v="839617878"/>
    <n v="12600000"/>
    <n v="827017878"/>
    <n v="0"/>
    <n v="839617878"/>
  </r>
  <r>
    <s v="[NORTHSTAR] - Cashloan"/>
    <x v="1"/>
    <x v="5"/>
    <x v="9"/>
    <n v="848575271"/>
    <n v="12600000"/>
    <n v="835975271"/>
    <n v="0"/>
    <n v="848575271"/>
  </r>
  <r>
    <s v="[NORTHSTAR] - Cashloan"/>
    <x v="1"/>
    <x v="5"/>
    <x v="10"/>
    <n v="859075271"/>
    <n v="12600000"/>
    <n v="846475271"/>
    <n v="0"/>
    <n v="859075271"/>
  </r>
  <r>
    <s v="[NORTHSTAR] - Cashloan"/>
    <x v="1"/>
    <x v="5"/>
    <x v="11"/>
    <n v="857345816"/>
    <n v="12600000"/>
    <n v="844745816"/>
    <n v="0"/>
    <n v="857345816"/>
  </r>
  <r>
    <s v="[NORTHSTAR] - Cashloan"/>
    <x v="1"/>
    <x v="5"/>
    <x v="12"/>
    <n v="857345816"/>
    <n v="25200000"/>
    <n v="832145816"/>
    <n v="0"/>
    <n v="857345816"/>
  </r>
  <r>
    <s v="[NORTHSTAR] - Cashloan"/>
    <x v="1"/>
    <x v="5"/>
    <x v="13"/>
    <n v="869945816"/>
    <n v="25200000"/>
    <n v="844745816"/>
    <n v="0"/>
    <n v="869945816"/>
  </r>
  <r>
    <s v="[NORTHSTAR] - Cashloan"/>
    <x v="1"/>
    <x v="5"/>
    <x v="14"/>
    <n v="914469866"/>
    <n v="25200000"/>
    <n v="889269866"/>
    <n v="0"/>
    <n v="914469866"/>
  </r>
  <r>
    <s v="[NORTHSTAR] - Cashloan"/>
    <x v="1"/>
    <x v="5"/>
    <x v="15"/>
    <n v="969429849"/>
    <n v="12600000"/>
    <n v="956829849"/>
    <n v="0"/>
    <n v="969429849"/>
  </r>
  <r>
    <s v="[NORTHSTAR] - Cashloan"/>
    <x v="1"/>
    <x v="5"/>
    <x v="16"/>
    <n v="962230778"/>
    <n v="0"/>
    <n v="962230778"/>
    <n v="0"/>
    <n v="962230778"/>
  </r>
  <r>
    <s v="[NORTHSTAR] - Cashloan"/>
    <x v="1"/>
    <x v="5"/>
    <x v="17"/>
    <n v="982026227"/>
    <n v="0"/>
    <n v="982026227"/>
    <n v="0"/>
    <n v="982026227"/>
  </r>
  <r>
    <s v="[NORTHSTAR] - Cashloan"/>
    <x v="1"/>
    <x v="5"/>
    <x v="18"/>
    <n v="980717069"/>
    <n v="11963838"/>
    <n v="968753231"/>
    <n v="0"/>
    <n v="980717069"/>
  </r>
  <r>
    <s v="[NORTHSTAR] - Cashloan"/>
    <x v="1"/>
    <x v="5"/>
    <x v="19"/>
    <n v="980382875"/>
    <n v="0"/>
    <n v="980382875"/>
    <n v="0"/>
    <n v="980382875"/>
  </r>
  <r>
    <s v="[NORTHSTAR] - Cashloan"/>
    <x v="1"/>
    <x v="5"/>
    <x v="20"/>
    <n v="988441573"/>
    <n v="0"/>
    <n v="988441573"/>
    <n v="0"/>
    <n v="988441573"/>
  </r>
  <r>
    <s v="[NORTHSTAR] - Cashloan"/>
    <x v="1"/>
    <x v="5"/>
    <x v="21"/>
    <n v="1032541573"/>
    <n v="0"/>
    <n v="1032541573"/>
    <n v="0"/>
    <n v="1032541573"/>
  </r>
  <r>
    <s v="[NORTHSTAR] - Cashloan"/>
    <x v="1"/>
    <x v="5"/>
    <x v="22"/>
    <n v="1040842832"/>
    <n v="0"/>
    <n v="1040842832"/>
    <n v="0"/>
    <n v="1040842832"/>
  </r>
  <r>
    <s v="[NORTHSTAR] - Cashloan"/>
    <x v="1"/>
    <x v="5"/>
    <x v="23"/>
    <n v="1079541616"/>
    <n v="0"/>
    <n v="1079541616"/>
    <n v="0"/>
    <n v="1079541616"/>
  </r>
  <r>
    <s v="[NORTHSTAR] - Cashloan"/>
    <x v="1"/>
    <x v="5"/>
    <x v="24"/>
    <n v="1111041616"/>
    <n v="0"/>
    <n v="1111041616"/>
    <n v="0"/>
    <n v="1111041616"/>
  </r>
  <r>
    <s v="[NORTHSTAR] - Cashloan"/>
    <x v="1"/>
    <x v="5"/>
    <x v="25"/>
    <n v="1131257449"/>
    <n v="10500000"/>
    <n v="1120757449"/>
    <n v="0"/>
    <n v="1131257449"/>
  </r>
  <r>
    <s v="[NORTHSTAR] - Cashloan"/>
    <x v="1"/>
    <x v="5"/>
    <x v="26"/>
    <n v="1131257449"/>
    <n v="10500000"/>
    <n v="1120757449"/>
    <n v="0"/>
    <n v="1131257449"/>
  </r>
  <r>
    <s v="[NORTHSTAR] - Cashloan"/>
    <x v="1"/>
    <x v="5"/>
    <x v="27"/>
    <n v="1164959907"/>
    <n v="0"/>
    <n v="1164959907"/>
    <n v="0"/>
    <n v="1164959907"/>
  </r>
  <r>
    <s v="[NORTHSTAR] - Cashloan"/>
    <x v="1"/>
    <x v="5"/>
    <x v="28"/>
    <n v="1163462306"/>
    <n v="12238956"/>
    <n v="1151223350"/>
    <n v="0"/>
    <n v="1163462306"/>
  </r>
  <r>
    <s v="[NORTHSTAR] - Cashloan"/>
    <x v="1"/>
    <x v="5"/>
    <x v="29"/>
    <n v="1220160912"/>
    <n v="0"/>
    <n v="1220160912"/>
    <n v="0"/>
    <n v="1220160912"/>
  </r>
  <r>
    <s v="[NORTHSTAR] - Cashloan"/>
    <x v="1"/>
    <x v="5"/>
    <x v="30"/>
    <n v="1249560912"/>
    <n v="0"/>
    <n v="1249560912"/>
    <n v="0"/>
    <n v="1249560912"/>
  </r>
  <r>
    <s v="[NORTHSTAR] - Cashloan"/>
    <x v="1"/>
    <x v="5"/>
    <x v="31"/>
    <n v="1249120776"/>
    <n v="0"/>
    <n v="1249120776"/>
    <n v="0"/>
    <n v="1249120776"/>
  </r>
  <r>
    <s v="[NORTHSTAR] - Cashloan"/>
    <x v="1"/>
    <x v="5"/>
    <x v="32"/>
    <n v="1253507418"/>
    <n v="0"/>
    <n v="1253507418"/>
    <n v="0"/>
    <n v="1253507418"/>
  </r>
  <r>
    <s v="[NORTHSTAR] - Cashloan"/>
    <x v="1"/>
    <x v="5"/>
    <x v="33"/>
    <n v="1284567282"/>
    <n v="10500000"/>
    <n v="1274067282"/>
    <n v="0"/>
    <n v="1284567282"/>
  </r>
  <r>
    <s v="[NORTHSTAR] - Cashloan"/>
    <x v="1"/>
    <x v="5"/>
    <x v="34"/>
    <n v="1304032334"/>
    <n v="0"/>
    <n v="1304032334"/>
    <n v="0"/>
    <n v="1304032334"/>
  </r>
  <r>
    <s v="[NORTHSTAR] - Cashloan"/>
    <x v="1"/>
    <x v="5"/>
    <x v="35"/>
    <n v="1328381261"/>
    <n v="12000000"/>
    <n v="1316381261"/>
    <n v="0"/>
    <n v="1328381261"/>
  </r>
  <r>
    <s v="[NORTHSTAR] - Cashloan"/>
    <x v="1"/>
    <x v="5"/>
    <x v="36"/>
    <n v="1325304892"/>
    <n v="12000000"/>
    <n v="1313304892"/>
    <n v="0"/>
    <n v="1325304892"/>
  </r>
  <r>
    <s v="[NORTHSTAR] - Cashloan"/>
    <x v="1"/>
    <x v="5"/>
    <x v="37"/>
    <n v="1324394217"/>
    <n v="12000000"/>
    <n v="1312394217"/>
    <n v="0"/>
    <n v="1324394217"/>
  </r>
  <r>
    <s v="[NORTHSTAR] - Cashloan"/>
    <x v="1"/>
    <x v="5"/>
    <x v="38"/>
    <n v="1349467269"/>
    <n v="12000000"/>
    <n v="1337467269"/>
    <n v="0"/>
    <n v="1349467269"/>
  </r>
  <r>
    <s v="[NORTHSTAR] - Cashloan"/>
    <x v="1"/>
    <x v="5"/>
    <x v="39"/>
    <n v="1360264933"/>
    <n v="12000000"/>
    <n v="1348264933"/>
    <n v="0"/>
    <n v="1360264933"/>
  </r>
  <r>
    <s v="[NORTHSTAR] - Cashloan"/>
    <x v="1"/>
    <x v="5"/>
    <x v="40"/>
    <n v="1359258697"/>
    <n v="12000000"/>
    <n v="1347258697"/>
    <n v="0"/>
    <n v="1359258697"/>
  </r>
  <r>
    <s v="[NORTHSTAR] - Cashloan"/>
    <x v="1"/>
    <x v="5"/>
    <x v="41"/>
    <n v="1355651035"/>
    <n v="12000000"/>
    <n v="1343651035"/>
    <n v="0"/>
    <n v="1355651035"/>
  </r>
  <r>
    <s v="[NORTHSTAR] - Cashloan"/>
    <x v="1"/>
    <x v="5"/>
    <x v="42"/>
    <n v="1395041224"/>
    <n v="12000000"/>
    <n v="1383041224"/>
    <n v="0"/>
    <n v="1395041224"/>
  </r>
  <r>
    <s v="[NORTHSTAR] - Cashloan"/>
    <x v="1"/>
    <x v="5"/>
    <x v="43"/>
    <n v="1457541224"/>
    <n v="12000000"/>
    <n v="1445541224"/>
    <n v="0"/>
    <n v="1457541224"/>
  </r>
  <r>
    <s v="[NORTHSTAR] - Cashloan"/>
    <x v="1"/>
    <x v="5"/>
    <x v="44"/>
    <n v="1488010352"/>
    <n v="12000000"/>
    <n v="1476010352"/>
    <n v="0"/>
    <n v="1488010352"/>
  </r>
  <r>
    <s v="[NORTHSTAR] - Cashloan"/>
    <x v="1"/>
    <x v="5"/>
    <x v="45"/>
    <n v="1497975265"/>
    <n v="0"/>
    <n v="1497975265"/>
    <n v="0"/>
    <n v="1497975265"/>
  </r>
  <r>
    <s v="[NORTHSTAR] - Cashloan"/>
    <x v="1"/>
    <x v="5"/>
    <x v="46"/>
    <n v="1506388904"/>
    <n v="0"/>
    <n v="1506388904"/>
    <n v="0"/>
    <n v="1506388904"/>
  </r>
  <r>
    <s v="[NORTHSTAR] - Cashloan"/>
    <x v="1"/>
    <x v="5"/>
    <x v="47"/>
    <n v="1503024011"/>
    <n v="0"/>
    <n v="1503024011"/>
    <n v="0"/>
    <n v="1503024011"/>
  </r>
  <r>
    <s v="[NORTHSTAR] - Cashloan"/>
    <x v="1"/>
    <x v="5"/>
    <x v="48"/>
    <n v="1495938948"/>
    <n v="0"/>
    <n v="1495938948"/>
    <n v="0"/>
    <n v="1495938948"/>
  </r>
  <r>
    <s v="[NORTHSTAR] - Cashloan"/>
    <x v="1"/>
    <x v="5"/>
    <x v="49"/>
    <n v="1515125730"/>
    <n v="33428764"/>
    <n v="1481696966"/>
    <n v="0"/>
    <n v="1515125730"/>
  </r>
  <r>
    <s v="[NORTHSTAR] - Cashloan"/>
    <x v="1"/>
    <x v="5"/>
    <x v="50"/>
    <n v="1523280236"/>
    <n v="23633315"/>
    <n v="1499646921"/>
    <n v="0"/>
    <n v="1523280236"/>
  </r>
  <r>
    <s v="[NORTHSTAR] - Cashloan"/>
    <x v="1"/>
    <x v="5"/>
    <x v="51"/>
    <n v="1542865401"/>
    <n v="10000000"/>
    <n v="1532865401"/>
    <n v="0"/>
    <n v="1542865401"/>
  </r>
  <r>
    <s v="[NORTHSTAR] - Cashloan"/>
    <x v="1"/>
    <x v="5"/>
    <x v="52"/>
    <n v="1589042190"/>
    <n v="0"/>
    <n v="1589042190"/>
    <n v="0"/>
    <n v="1589042190"/>
  </r>
  <r>
    <s v="[NORTHSTAR] - Cashloan"/>
    <x v="1"/>
    <x v="5"/>
    <x v="53"/>
    <n v="1605510426"/>
    <n v="12600000"/>
    <n v="1592910426"/>
    <n v="0"/>
    <n v="1605510426"/>
  </r>
  <r>
    <s v="[NORTHSTAR] - Cashloan"/>
    <x v="1"/>
    <x v="5"/>
    <x v="54"/>
    <n v="1616010426"/>
    <n v="12600000"/>
    <n v="1603410426"/>
    <n v="0"/>
    <n v="1616010426"/>
  </r>
  <r>
    <s v="[NORTHSTAR] - Cashloan"/>
    <x v="1"/>
    <x v="5"/>
    <x v="55"/>
    <n v="1646309213"/>
    <n v="12600000"/>
    <n v="1633709213"/>
    <n v="0"/>
    <n v="1646309213"/>
  </r>
  <r>
    <s v="[NORTHSTAR] - Cashloan"/>
    <x v="1"/>
    <x v="5"/>
    <x v="56"/>
    <n v="1674051465"/>
    <n v="0"/>
    <n v="1674051465"/>
    <n v="0"/>
    <n v="1674051465"/>
  </r>
  <r>
    <s v="[NORTHSTAR] - Cashloan"/>
    <x v="1"/>
    <x v="5"/>
    <x v="57"/>
    <n v="1722717073"/>
    <n v="0"/>
    <n v="1722717073"/>
    <n v="0"/>
    <n v="1722717073"/>
  </r>
  <r>
    <s v="[NORTHSTAR] - Cashloan"/>
    <x v="1"/>
    <x v="5"/>
    <x v="58"/>
    <n v="1737784406"/>
    <n v="9983673"/>
    <n v="1727800733"/>
    <n v="0"/>
    <n v="1737784406"/>
  </r>
  <r>
    <s v="[NORTHSTAR] - Cashloan"/>
    <x v="1"/>
    <x v="5"/>
    <x v="59"/>
    <n v="1770946014"/>
    <n v="50584049"/>
    <n v="1720361965"/>
    <n v="0"/>
    <n v="1770946014"/>
  </r>
  <r>
    <s v="[NORTHSTAR] - Cashloan"/>
    <x v="1"/>
    <x v="5"/>
    <x v="60"/>
    <n v="1770760165"/>
    <n v="37984049"/>
    <n v="1732776116"/>
    <n v="0"/>
    <n v="1770760165"/>
  </r>
  <r>
    <s v="[NORTHSTAR] - Cashloan"/>
    <x v="1"/>
    <x v="5"/>
    <x v="61"/>
    <n v="1781017598"/>
    <n v="27484049"/>
    <n v="1753533549"/>
    <n v="0"/>
    <n v="1781017598"/>
  </r>
  <r>
    <s v="[NORTHSTAR] - Cashloan"/>
    <x v="1"/>
    <x v="5"/>
    <x v="62"/>
    <n v="1781017598"/>
    <n v="27484049"/>
    <n v="1753533549"/>
    <n v="0"/>
    <n v="1781017598"/>
  </r>
  <r>
    <s v="[NORTHSTAR] - Cashloan"/>
    <x v="1"/>
    <x v="5"/>
    <x v="63"/>
    <n v="1811917598"/>
    <n v="27484049"/>
    <n v="1784433549"/>
    <n v="0"/>
    <n v="1811917598"/>
  </r>
  <r>
    <s v="[NORTHSTAR] - Cashloan"/>
    <x v="1"/>
    <x v="5"/>
    <x v="64"/>
    <n v="1815106030"/>
    <n v="27484049"/>
    <n v="1787621981"/>
    <n v="0"/>
    <n v="1815106030"/>
  </r>
  <r>
    <s v="[NORTHSTAR] - Cashloan"/>
    <x v="1"/>
    <x v="5"/>
    <x v="65"/>
    <n v="1849588032"/>
    <n v="38375230"/>
    <n v="1811212802"/>
    <n v="0"/>
    <n v="1849588032"/>
  </r>
  <r>
    <s v="[NORTHSTAR] - Cashloan"/>
    <x v="1"/>
    <x v="5"/>
    <x v="66"/>
    <n v="1871417186"/>
    <n v="38913239"/>
    <n v="1832503947"/>
    <n v="0"/>
    <n v="1871417186"/>
  </r>
  <r>
    <s v="[NORTHSTAR] - Cashloan"/>
    <x v="1"/>
    <x v="5"/>
    <x v="67"/>
    <n v="1910826103"/>
    <n v="38913239"/>
    <n v="1871912864"/>
    <n v="0"/>
    <n v="1910826103"/>
  </r>
  <r>
    <s v="[NORTHSTAR] - Cashloan"/>
    <x v="1"/>
    <x v="5"/>
    <x v="68"/>
    <n v="1910826103"/>
    <n v="38913239"/>
    <n v="1871912864"/>
    <n v="9983673"/>
    <n v="1900842430"/>
  </r>
  <r>
    <s v="[NORTHSTAR] - Cashloan"/>
    <x v="1"/>
    <x v="5"/>
    <x v="69"/>
    <n v="1940204161"/>
    <n v="38913239"/>
    <n v="1901290922"/>
    <n v="27484049"/>
    <n v="1912720112"/>
  </r>
  <r>
    <s v="[NORTHSTAR] - Cashloan"/>
    <x v="1"/>
    <x v="5"/>
    <x v="70"/>
    <n v="1988973317"/>
    <n v="59782843"/>
    <n v="1929190474"/>
    <n v="27484049"/>
    <n v="1961489268"/>
  </r>
  <r>
    <s v="[NORTHSTAR] - Cashloan"/>
    <x v="1"/>
    <x v="5"/>
    <x v="71"/>
    <n v="2015728667"/>
    <n v="63867817"/>
    <n v="1951860850"/>
    <n v="27484049"/>
    <n v="1988244618"/>
  </r>
  <r>
    <s v="[NORTHSTAR] - Cashloan"/>
    <x v="1"/>
    <x v="5"/>
    <x v="72"/>
    <n v="2094487150"/>
    <n v="60855269"/>
    <n v="2033631881"/>
    <n v="27484049"/>
    <n v="2067003101"/>
  </r>
  <r>
    <s v="[NORTHSTAR] - Cashloan"/>
    <x v="1"/>
    <x v="5"/>
    <x v="73"/>
    <n v="2268805757"/>
    <n v="60855269"/>
    <n v="2207950488"/>
    <n v="27484049"/>
    <n v="2241321708"/>
  </r>
  <r>
    <s v="[NORTHSTAR] - Cashloan"/>
    <x v="1"/>
    <x v="5"/>
    <x v="74"/>
    <n v="2376965129"/>
    <n v="50857788"/>
    <n v="2326107341"/>
    <n v="27484049"/>
    <n v="2349481080"/>
  </r>
  <r>
    <s v="[NORTHSTAR] - Cashloan"/>
    <x v="1"/>
    <x v="5"/>
    <x v="75"/>
    <n v="2455715129"/>
    <n v="103357788"/>
    <n v="2352357341"/>
    <n v="27484049"/>
    <n v="2428231080"/>
  </r>
  <r>
    <s v="[NORTHSTAR] - Cashloan"/>
    <x v="1"/>
    <x v="5"/>
    <x v="76"/>
    <n v="2533674505"/>
    <n v="92857788"/>
    <n v="2440816717"/>
    <n v="38913239"/>
    <n v="2494761266"/>
  </r>
  <r>
    <s v="[NORTHSTAR] - Cashloan"/>
    <x v="1"/>
    <x v="5"/>
    <x v="77"/>
    <n v="2670154371"/>
    <n v="50605747"/>
    <n v="2619548624"/>
    <n v="9983673"/>
    <n v="2660170698"/>
  </r>
  <r>
    <s v="[NORTHSTAR] - Cashloan"/>
    <x v="1"/>
    <x v="5"/>
    <x v="78"/>
    <n v="2832249233"/>
    <n v="20483673"/>
    <n v="2811765560"/>
    <n v="9983673"/>
    <n v="2822265560"/>
  </r>
  <r>
    <s v="[NORTHSTAR] - Cashloan"/>
    <x v="1"/>
    <x v="5"/>
    <x v="79"/>
    <n v="2906105597"/>
    <n v="9983673"/>
    <n v="2896121924"/>
    <n v="9983673"/>
    <n v="2896121924"/>
  </r>
  <r>
    <s v="[NORTHSTAR] - Cashloan"/>
    <x v="1"/>
    <x v="5"/>
    <x v="80"/>
    <n v="3024147621"/>
    <n v="19616893"/>
    <n v="3004530728"/>
    <n v="9983673"/>
    <n v="3014163948"/>
  </r>
  <r>
    <s v="[NORTHSTAR] - Cashloan"/>
    <x v="1"/>
    <x v="5"/>
    <x v="81"/>
    <n v="3022484068"/>
    <n v="19616893"/>
    <n v="3002867175"/>
    <n v="9983673"/>
    <n v="3012500395"/>
  </r>
  <r>
    <s v="[NORTHSTAR] - Cashloan"/>
    <x v="1"/>
    <x v="5"/>
    <x v="82"/>
    <n v="3039714080"/>
    <n v="19616893"/>
    <n v="3020097187"/>
    <n v="9983673"/>
    <n v="3029730407"/>
  </r>
  <r>
    <s v="[NORTHSTAR] - Cashloan"/>
    <x v="1"/>
    <x v="5"/>
    <x v="83"/>
    <n v="3211879733"/>
    <n v="19616893"/>
    <n v="3192262840"/>
    <n v="9983673"/>
    <n v="3201896060"/>
  </r>
  <r>
    <s v="[NORTHSTAR] - Cashloan"/>
    <x v="1"/>
    <x v="5"/>
    <x v="84"/>
    <n v="3333567389"/>
    <n v="37616893"/>
    <n v="3295950496"/>
    <n v="9983673"/>
    <n v="3323583716"/>
  </r>
  <r>
    <s v="[NORTHSTAR] - Cashloan"/>
    <x v="1"/>
    <x v="5"/>
    <x v="85"/>
    <n v="3431262325"/>
    <n v="47376150"/>
    <n v="3383886175"/>
    <n v="9983673"/>
    <n v="3421278652"/>
  </r>
  <r>
    <s v="[NORTHSTAR] - Cashloan"/>
    <x v="1"/>
    <x v="5"/>
    <x v="86"/>
    <n v="3591429686"/>
    <n v="19616893"/>
    <n v="3571812793"/>
    <n v="9983673"/>
    <n v="3581446013"/>
  </r>
  <r>
    <s v="[NORTHSTAR] - Cashloan"/>
    <x v="1"/>
    <x v="5"/>
    <x v="87"/>
    <n v="3733985613"/>
    <n v="19616893"/>
    <n v="3714368720"/>
    <n v="9983673"/>
    <n v="3724001940"/>
  </r>
  <r>
    <s v="[NORTHSTAR] - Cashloan"/>
    <x v="1"/>
    <x v="5"/>
    <x v="88"/>
    <n v="3789423443"/>
    <n v="19616893"/>
    <n v="3769806550"/>
    <n v="9983673"/>
    <n v="3779439770"/>
  </r>
  <r>
    <s v="[NORTHSTAR] - Cashloan"/>
    <x v="1"/>
    <x v="5"/>
    <x v="89"/>
    <n v="3878251072"/>
    <n v="29616893"/>
    <n v="3848634179"/>
    <n v="9983673"/>
    <n v="3868267399"/>
  </r>
  <r>
    <s v="[NORTHSTAR] - Cashloan"/>
    <x v="1"/>
    <x v="5"/>
    <x v="90"/>
    <n v="3955225519"/>
    <n v="19616893"/>
    <n v="3935608626"/>
    <n v="19616893"/>
    <n v="3935608626"/>
  </r>
  <r>
    <s v="[NORTHSTAR] - Cashloan"/>
    <x v="1"/>
    <x v="5"/>
    <x v="91"/>
    <n v="4151089766"/>
    <n v="57746124"/>
    <n v="4093343642"/>
    <n v="19616893"/>
    <n v="4131472873"/>
  </r>
  <r>
    <s v="[VDS] - Bikeloan VFS"/>
    <x v="0"/>
    <x v="6"/>
    <x v="0"/>
    <n v="14756199"/>
    <n v="9366003"/>
    <n v="5390196"/>
    <n v="0"/>
    <n v="14756199"/>
  </r>
  <r>
    <s v="[VDS] - Bikeloan VFS"/>
    <x v="0"/>
    <x v="6"/>
    <x v="1"/>
    <n v="14756199"/>
    <n v="9366003"/>
    <n v="5390196"/>
    <n v="0"/>
    <n v="14756199"/>
  </r>
  <r>
    <s v="[VDS] - Bikeloan VFS"/>
    <x v="0"/>
    <x v="6"/>
    <x v="2"/>
    <n v="14756199"/>
    <n v="9366003"/>
    <n v="5390196"/>
    <n v="0"/>
    <n v="14756199"/>
  </r>
  <r>
    <s v="[VDS] - Bikeloan VFS"/>
    <x v="0"/>
    <x v="6"/>
    <x v="3"/>
    <n v="14756199"/>
    <n v="9366003"/>
    <n v="5390196"/>
    <n v="0"/>
    <n v="14756199"/>
  </r>
  <r>
    <s v="[VDS] - Bikeloan VFS"/>
    <x v="0"/>
    <x v="6"/>
    <x v="4"/>
    <n v="14756199"/>
    <n v="9366003"/>
    <n v="5390196"/>
    <n v="0"/>
    <n v="14756199"/>
  </r>
  <r>
    <s v="[VDS] - Bikeloan VFS"/>
    <x v="0"/>
    <x v="6"/>
    <x v="5"/>
    <n v="14756199"/>
    <n v="9366003"/>
    <n v="5390196"/>
    <n v="0"/>
    <n v="14756199"/>
  </r>
  <r>
    <s v="[VDS] - Bikeloan VFS"/>
    <x v="0"/>
    <x v="6"/>
    <x v="6"/>
    <n v="14756199"/>
    <n v="9366003"/>
    <n v="5390196"/>
    <n v="0"/>
    <n v="14756199"/>
  </r>
  <r>
    <s v="[VDS] - Bikeloan VFS"/>
    <x v="0"/>
    <x v="6"/>
    <x v="7"/>
    <n v="14756199"/>
    <n v="9366003"/>
    <n v="5390196"/>
    <n v="0"/>
    <n v="14756199"/>
  </r>
  <r>
    <s v="[VDS] - Bikeloan VFS"/>
    <x v="0"/>
    <x v="6"/>
    <x v="8"/>
    <n v="14756199"/>
    <n v="9366003"/>
    <n v="5390196"/>
    <n v="9366003"/>
    <n v="5390196"/>
  </r>
  <r>
    <s v="[VDS] - Bikeloan VFS"/>
    <x v="0"/>
    <x v="6"/>
    <x v="9"/>
    <n v="14756199"/>
    <n v="9366003"/>
    <n v="5390196"/>
    <n v="9366003"/>
    <n v="5390196"/>
  </r>
  <r>
    <s v="[VDS] - Bikeloan VFS"/>
    <x v="0"/>
    <x v="6"/>
    <x v="10"/>
    <n v="14756199"/>
    <n v="9366003"/>
    <n v="5390196"/>
    <n v="9366003"/>
    <n v="5390196"/>
  </r>
  <r>
    <s v="[VDS] - Bikeloan VFS"/>
    <x v="0"/>
    <x v="6"/>
    <x v="11"/>
    <n v="14756199"/>
    <n v="9366003"/>
    <n v="5390196"/>
    <n v="9366003"/>
    <n v="5390196"/>
  </r>
  <r>
    <s v="[VDS] - Bikeloan VFS"/>
    <x v="0"/>
    <x v="6"/>
    <x v="12"/>
    <n v="14756199"/>
    <n v="9366003"/>
    <n v="5390196"/>
    <n v="9366003"/>
    <n v="5390196"/>
  </r>
  <r>
    <s v="[VDS] - Bikeloan VFS"/>
    <x v="0"/>
    <x v="6"/>
    <x v="13"/>
    <n v="14756199"/>
    <n v="9366003"/>
    <n v="5390196"/>
    <n v="9366003"/>
    <n v="5390196"/>
  </r>
  <r>
    <s v="[VDS] - Bikeloan VFS"/>
    <x v="0"/>
    <x v="6"/>
    <x v="14"/>
    <n v="14756199"/>
    <n v="9366003"/>
    <n v="5390196"/>
    <n v="9366003"/>
    <n v="5390196"/>
  </r>
  <r>
    <s v="[VDS] - Bikeloan VFS"/>
    <x v="0"/>
    <x v="6"/>
    <x v="15"/>
    <n v="14756199"/>
    <n v="9366003"/>
    <n v="5390196"/>
    <n v="9366003"/>
    <n v="5390196"/>
  </r>
  <r>
    <s v="[VDS] - Bikeloan VFS"/>
    <x v="0"/>
    <x v="6"/>
    <x v="16"/>
    <n v="14756199"/>
    <n v="9366003"/>
    <n v="5390196"/>
    <n v="9366003"/>
    <n v="5390196"/>
  </r>
  <r>
    <s v="[VDS] - Bikeloan VFS"/>
    <x v="0"/>
    <x v="6"/>
    <x v="17"/>
    <n v="14756199"/>
    <n v="9366003"/>
    <n v="5390196"/>
    <n v="9366003"/>
    <n v="5390196"/>
  </r>
  <r>
    <s v="[VDS] - Bikeloan VFS"/>
    <x v="0"/>
    <x v="6"/>
    <x v="18"/>
    <n v="14756199"/>
    <n v="9366003"/>
    <n v="5390196"/>
    <n v="9366003"/>
    <n v="5390196"/>
  </r>
  <r>
    <s v="[VDS] - Bikeloan VFS"/>
    <x v="0"/>
    <x v="6"/>
    <x v="19"/>
    <n v="14756199"/>
    <n v="9366003"/>
    <n v="5390196"/>
    <n v="9366003"/>
    <n v="5390196"/>
  </r>
  <r>
    <s v="[VDS] - Bikeloan VFS"/>
    <x v="0"/>
    <x v="6"/>
    <x v="20"/>
    <n v="14756199"/>
    <n v="9366003"/>
    <n v="5390196"/>
    <n v="9366003"/>
    <n v="5390196"/>
  </r>
  <r>
    <s v="[VDS] - Bikeloan VFS"/>
    <x v="0"/>
    <x v="6"/>
    <x v="21"/>
    <n v="14756199"/>
    <n v="9366003"/>
    <n v="5390196"/>
    <n v="9366003"/>
    <n v="5390196"/>
  </r>
  <r>
    <s v="[VDS] - Bikeloan VFS"/>
    <x v="0"/>
    <x v="6"/>
    <x v="22"/>
    <n v="14756199"/>
    <n v="9366003"/>
    <n v="5390196"/>
    <n v="9366003"/>
    <n v="5390196"/>
  </r>
  <r>
    <s v="[VDS] - Bikeloan VFS"/>
    <x v="0"/>
    <x v="6"/>
    <x v="23"/>
    <n v="14756199"/>
    <n v="9366003"/>
    <n v="5390196"/>
    <n v="9366003"/>
    <n v="5390196"/>
  </r>
  <r>
    <s v="[VDS] - Bikeloan VFS"/>
    <x v="0"/>
    <x v="6"/>
    <x v="24"/>
    <n v="14756199"/>
    <n v="9366003"/>
    <n v="5390196"/>
    <n v="9366003"/>
    <n v="5390196"/>
  </r>
  <r>
    <s v="[VDS] - Bikeloan VFS"/>
    <x v="0"/>
    <x v="6"/>
    <x v="25"/>
    <n v="14756199"/>
    <n v="9366003"/>
    <n v="5390196"/>
    <n v="9366003"/>
    <n v="5390196"/>
  </r>
  <r>
    <s v="[VDS] - Bikeloan VFS"/>
    <x v="0"/>
    <x v="6"/>
    <x v="26"/>
    <n v="14756199"/>
    <n v="9366003"/>
    <n v="5390196"/>
    <n v="9366003"/>
    <n v="5390196"/>
  </r>
  <r>
    <s v="[VDS] - Bikeloan VFS"/>
    <x v="0"/>
    <x v="6"/>
    <x v="27"/>
    <n v="14203249"/>
    <n v="9366003"/>
    <n v="4837246"/>
    <n v="9366003"/>
    <n v="4837246"/>
  </r>
  <r>
    <s v="[VDS] - Bikeloan VFS"/>
    <x v="0"/>
    <x v="6"/>
    <x v="28"/>
    <n v="14203249"/>
    <n v="9366003"/>
    <n v="4837246"/>
    <n v="9366003"/>
    <n v="4837246"/>
  </r>
  <r>
    <s v="[VDS] - Bikeloan VFS"/>
    <x v="0"/>
    <x v="6"/>
    <x v="29"/>
    <n v="14203249"/>
    <n v="9366003"/>
    <n v="4837246"/>
    <n v="9366003"/>
    <n v="4837246"/>
  </r>
  <r>
    <s v="[VDS] - Bikeloan VFS"/>
    <x v="0"/>
    <x v="6"/>
    <x v="30"/>
    <n v="14203249"/>
    <n v="9366003"/>
    <n v="4837246"/>
    <n v="9366003"/>
    <n v="4837246"/>
  </r>
  <r>
    <s v="[VDS] - Bikeloan VFS"/>
    <x v="0"/>
    <x v="6"/>
    <x v="31"/>
    <n v="14203249"/>
    <n v="9366003"/>
    <n v="4837246"/>
    <n v="9366003"/>
    <n v="4837246"/>
  </r>
  <r>
    <s v="[VDS] - Bikeloan VFS"/>
    <x v="0"/>
    <x v="6"/>
    <x v="32"/>
    <n v="14203249"/>
    <n v="9366003"/>
    <n v="4837246"/>
    <n v="9366003"/>
    <n v="4837246"/>
  </r>
  <r>
    <s v="[VDS] - Bikeloan VFS"/>
    <x v="0"/>
    <x v="6"/>
    <x v="33"/>
    <n v="14203249"/>
    <n v="9366003"/>
    <n v="4837246"/>
    <n v="9366003"/>
    <n v="4837246"/>
  </r>
  <r>
    <s v="[VDS] - Bikeloan VFS"/>
    <x v="0"/>
    <x v="6"/>
    <x v="34"/>
    <n v="14203249"/>
    <n v="9366003"/>
    <n v="4837246"/>
    <n v="9366003"/>
    <n v="4837246"/>
  </r>
  <r>
    <s v="[VDS] - Bikeloan VFS"/>
    <x v="0"/>
    <x v="6"/>
    <x v="35"/>
    <n v="14203249"/>
    <n v="9366003"/>
    <n v="4837246"/>
    <n v="9366003"/>
    <n v="4837246"/>
  </r>
  <r>
    <s v="[VDS] - Bikeloan VFS"/>
    <x v="0"/>
    <x v="6"/>
    <x v="36"/>
    <n v="14203249"/>
    <n v="9366003"/>
    <n v="4837246"/>
    <n v="9366003"/>
    <n v="4837246"/>
  </r>
  <r>
    <s v="[VDS] - Bikeloan VFS"/>
    <x v="0"/>
    <x v="6"/>
    <x v="37"/>
    <n v="14203249"/>
    <n v="9366003"/>
    <n v="4837246"/>
    <n v="9366003"/>
    <n v="4837246"/>
  </r>
  <r>
    <s v="[VDS] - Bikeloan VFS"/>
    <x v="0"/>
    <x v="6"/>
    <x v="38"/>
    <n v="14203249"/>
    <n v="9366003"/>
    <n v="4837246"/>
    <n v="9366003"/>
    <n v="4837246"/>
  </r>
  <r>
    <s v="[VDS] - Bikeloan VFS"/>
    <x v="0"/>
    <x v="6"/>
    <x v="39"/>
    <n v="14203249"/>
    <n v="9366003"/>
    <n v="4837246"/>
    <n v="9366003"/>
    <n v="4837246"/>
  </r>
  <r>
    <s v="[VDS] - Bikeloan VFS"/>
    <x v="0"/>
    <x v="6"/>
    <x v="40"/>
    <n v="14203249"/>
    <n v="9366003"/>
    <n v="4837246"/>
    <n v="9366003"/>
    <n v="4837246"/>
  </r>
  <r>
    <s v="[VDS] - Bikeloan VFS"/>
    <x v="0"/>
    <x v="6"/>
    <x v="41"/>
    <n v="14203249"/>
    <n v="9366003"/>
    <n v="4837246"/>
    <n v="9366003"/>
    <n v="4837246"/>
  </r>
  <r>
    <s v="[VDS] - Bikeloan VFS"/>
    <x v="0"/>
    <x v="6"/>
    <x v="42"/>
    <n v="14203249"/>
    <n v="9366003"/>
    <n v="4837246"/>
    <n v="9366003"/>
    <n v="4837246"/>
  </r>
  <r>
    <s v="[VDS] - Bikeloan VFS"/>
    <x v="0"/>
    <x v="6"/>
    <x v="43"/>
    <n v="14203249"/>
    <n v="9366003"/>
    <n v="4837246"/>
    <n v="9366003"/>
    <n v="4837246"/>
  </r>
  <r>
    <s v="[VDS] - Bikeloan VFS"/>
    <x v="0"/>
    <x v="6"/>
    <x v="44"/>
    <n v="14203249"/>
    <n v="9366003"/>
    <n v="4837246"/>
    <n v="9366003"/>
    <n v="4837246"/>
  </r>
  <r>
    <s v="[VDS] - Bikeloan VFS"/>
    <x v="0"/>
    <x v="6"/>
    <x v="45"/>
    <n v="14203249"/>
    <n v="9366003"/>
    <n v="4837246"/>
    <n v="9366003"/>
    <n v="4837246"/>
  </r>
  <r>
    <s v="[VDS] - Bikeloan VFS"/>
    <x v="0"/>
    <x v="6"/>
    <x v="46"/>
    <n v="14203249"/>
    <n v="9366003"/>
    <n v="4837246"/>
    <n v="9366003"/>
    <n v="4837246"/>
  </r>
  <r>
    <s v="[VDS] - Bikeloan VFS"/>
    <x v="0"/>
    <x v="6"/>
    <x v="47"/>
    <n v="14203249"/>
    <n v="9366003"/>
    <n v="4837246"/>
    <n v="9366003"/>
    <n v="4837246"/>
  </r>
  <r>
    <s v="[VDS] - Bikeloan VFS"/>
    <x v="0"/>
    <x v="6"/>
    <x v="48"/>
    <n v="14203249"/>
    <n v="9366003"/>
    <n v="4837246"/>
    <n v="9366003"/>
    <n v="4837246"/>
  </r>
  <r>
    <s v="[VDS] - Bikeloan VFS"/>
    <x v="0"/>
    <x v="6"/>
    <x v="49"/>
    <n v="14203249"/>
    <n v="9366003"/>
    <n v="4837246"/>
    <n v="9366003"/>
    <n v="4837246"/>
  </r>
  <r>
    <s v="[VDS] - Bikeloan VFS"/>
    <x v="0"/>
    <x v="6"/>
    <x v="50"/>
    <n v="14203249"/>
    <n v="9366003"/>
    <n v="4837246"/>
    <n v="9366003"/>
    <n v="4837246"/>
  </r>
  <r>
    <s v="[VDS] - Bikeloan VFS"/>
    <x v="0"/>
    <x v="6"/>
    <x v="51"/>
    <n v="14203249"/>
    <n v="9366003"/>
    <n v="4837246"/>
    <n v="9366003"/>
    <n v="4837246"/>
  </r>
  <r>
    <s v="[VDS] - Bikeloan VFS"/>
    <x v="0"/>
    <x v="6"/>
    <x v="52"/>
    <n v="14203249"/>
    <n v="9366003"/>
    <n v="4837246"/>
    <n v="9366003"/>
    <n v="4837246"/>
  </r>
  <r>
    <s v="[VDS] - Bikeloan VFS"/>
    <x v="0"/>
    <x v="6"/>
    <x v="53"/>
    <n v="14203249"/>
    <n v="9366003"/>
    <n v="4837246"/>
    <n v="9366003"/>
    <n v="4837246"/>
  </r>
  <r>
    <s v="[VDS] - Bikeloan VFS"/>
    <x v="0"/>
    <x v="6"/>
    <x v="54"/>
    <n v="14203249"/>
    <n v="9366003"/>
    <n v="4837246"/>
    <n v="9366003"/>
    <n v="4837246"/>
  </r>
  <r>
    <s v="[VDS] - Bikeloan VFS"/>
    <x v="0"/>
    <x v="6"/>
    <x v="55"/>
    <n v="14203249"/>
    <n v="9366003"/>
    <n v="4837246"/>
    <n v="9366003"/>
    <n v="4837246"/>
  </r>
  <r>
    <s v="[VDS] - Bikeloan VFS"/>
    <x v="0"/>
    <x v="6"/>
    <x v="56"/>
    <n v="14203249"/>
    <n v="9366003"/>
    <n v="4837246"/>
    <n v="9366003"/>
    <n v="4837246"/>
  </r>
  <r>
    <s v="[VDS] - Bikeloan VFS"/>
    <x v="0"/>
    <x v="6"/>
    <x v="57"/>
    <n v="13637052"/>
    <n v="9366003"/>
    <n v="4271049"/>
    <n v="9366003"/>
    <n v="4271049"/>
  </r>
  <r>
    <s v="[VDS] - Bikeloan VFS"/>
    <x v="0"/>
    <x v="6"/>
    <x v="58"/>
    <n v="13637052"/>
    <n v="9366003"/>
    <n v="4271049"/>
    <n v="9366003"/>
    <n v="4271049"/>
  </r>
  <r>
    <s v="[VDS] - Bikeloan VFS"/>
    <x v="0"/>
    <x v="6"/>
    <x v="59"/>
    <n v="13637052"/>
    <n v="9366003"/>
    <n v="4271049"/>
    <n v="9366003"/>
    <n v="4271049"/>
  </r>
  <r>
    <s v="[VDS] - Bikeloan VFS"/>
    <x v="0"/>
    <x v="6"/>
    <x v="60"/>
    <n v="13637052"/>
    <n v="9366003"/>
    <n v="4271049"/>
    <n v="9366003"/>
    <n v="4271049"/>
  </r>
  <r>
    <s v="[VDS] - Bikeloan VFS"/>
    <x v="0"/>
    <x v="6"/>
    <x v="61"/>
    <n v="13637052"/>
    <n v="9366003"/>
    <n v="4271049"/>
    <n v="9366003"/>
    <n v="4271049"/>
  </r>
  <r>
    <s v="[VDS] - Bikeloan VFS"/>
    <x v="0"/>
    <x v="6"/>
    <x v="62"/>
    <n v="13637052"/>
    <n v="9366003"/>
    <n v="4271049"/>
    <n v="9366003"/>
    <n v="4271049"/>
  </r>
  <r>
    <s v="[VDS] - Bikeloan VFS"/>
    <x v="0"/>
    <x v="6"/>
    <x v="63"/>
    <n v="13637052"/>
    <n v="9366003"/>
    <n v="4271049"/>
    <n v="9366003"/>
    <n v="4271049"/>
  </r>
  <r>
    <s v="[VDS] - Bikeloan VFS"/>
    <x v="0"/>
    <x v="6"/>
    <x v="64"/>
    <n v="13637052"/>
    <n v="9366003"/>
    <n v="4271049"/>
    <n v="9366003"/>
    <n v="4271049"/>
  </r>
  <r>
    <s v="[VDS] - Bikeloan VFS"/>
    <x v="0"/>
    <x v="6"/>
    <x v="65"/>
    <n v="13637052"/>
    <n v="9366003"/>
    <n v="4271049"/>
    <n v="9366003"/>
    <n v="4271049"/>
  </r>
  <r>
    <s v="[VDS] - Bikeloan VFS"/>
    <x v="0"/>
    <x v="6"/>
    <x v="66"/>
    <n v="13637052"/>
    <n v="9366003"/>
    <n v="4271049"/>
    <n v="9366003"/>
    <n v="4271049"/>
  </r>
  <r>
    <s v="[VDS] - Bikeloan VFS"/>
    <x v="0"/>
    <x v="6"/>
    <x v="67"/>
    <n v="13637052"/>
    <n v="9366003"/>
    <n v="4271049"/>
    <n v="9366003"/>
    <n v="4271049"/>
  </r>
  <r>
    <s v="[VDS] - Bikeloan VFS"/>
    <x v="0"/>
    <x v="6"/>
    <x v="68"/>
    <n v="13637052"/>
    <n v="9366003"/>
    <n v="4271049"/>
    <n v="9366003"/>
    <n v="4271049"/>
  </r>
  <r>
    <s v="[VDS] - Bikeloan VFS"/>
    <x v="0"/>
    <x v="6"/>
    <x v="69"/>
    <n v="13637052"/>
    <n v="9366003"/>
    <n v="4271049"/>
    <n v="9366003"/>
    <n v="4271049"/>
  </r>
  <r>
    <s v="[VDS] - Bikeloan VFS"/>
    <x v="0"/>
    <x v="6"/>
    <x v="70"/>
    <n v="13637052"/>
    <n v="9366003"/>
    <n v="4271049"/>
    <n v="9366003"/>
    <n v="4271049"/>
  </r>
  <r>
    <s v="[VDS] - Bikeloan VFS"/>
    <x v="0"/>
    <x v="6"/>
    <x v="71"/>
    <n v="13637052"/>
    <n v="9366003"/>
    <n v="4271049"/>
    <n v="9366003"/>
    <n v="4271049"/>
  </r>
  <r>
    <s v="[VDS] - Bikeloan VFS"/>
    <x v="0"/>
    <x v="6"/>
    <x v="72"/>
    <n v="13637052"/>
    <n v="9366003"/>
    <n v="4271049"/>
    <n v="9366003"/>
    <n v="4271049"/>
  </r>
  <r>
    <s v="[VDS] - Bikeloan VFS"/>
    <x v="0"/>
    <x v="6"/>
    <x v="73"/>
    <n v="13637052"/>
    <n v="9366003"/>
    <n v="4271049"/>
    <n v="9366003"/>
    <n v="4271049"/>
  </r>
  <r>
    <s v="[VDS] - Bikeloan VFS"/>
    <x v="0"/>
    <x v="6"/>
    <x v="74"/>
    <n v="13637052"/>
    <n v="9366003"/>
    <n v="4271049"/>
    <n v="9366003"/>
    <n v="4271049"/>
  </r>
  <r>
    <s v="[VDS] - Bikeloan VFS"/>
    <x v="0"/>
    <x v="6"/>
    <x v="75"/>
    <n v="13637052"/>
    <n v="9366003"/>
    <n v="4271049"/>
    <n v="9366003"/>
    <n v="4271049"/>
  </r>
  <r>
    <s v="[VDS] - Bikeloan VFS"/>
    <x v="0"/>
    <x v="6"/>
    <x v="76"/>
    <n v="13637052"/>
    <n v="9366003"/>
    <n v="4271049"/>
    <n v="9366003"/>
    <n v="4271049"/>
  </r>
  <r>
    <s v="[VDS] - Bikeloan VFS"/>
    <x v="0"/>
    <x v="6"/>
    <x v="77"/>
    <n v="13637052"/>
    <n v="9366003"/>
    <n v="4271049"/>
    <n v="9366003"/>
    <n v="4271049"/>
  </r>
  <r>
    <s v="[VDS] - Bikeloan VFS"/>
    <x v="0"/>
    <x v="6"/>
    <x v="78"/>
    <n v="13637052"/>
    <n v="9366003"/>
    <n v="4271049"/>
    <n v="9366003"/>
    <n v="4271049"/>
  </r>
  <r>
    <s v="[VDS] - Bikeloan VFS"/>
    <x v="0"/>
    <x v="6"/>
    <x v="79"/>
    <n v="13637052"/>
    <n v="9366003"/>
    <n v="4271049"/>
    <n v="9366003"/>
    <n v="4271049"/>
  </r>
  <r>
    <s v="[VDS] - Bikeloan VFS"/>
    <x v="0"/>
    <x v="6"/>
    <x v="80"/>
    <n v="13637052"/>
    <n v="9366003"/>
    <n v="4271049"/>
    <n v="9366003"/>
    <n v="4271049"/>
  </r>
  <r>
    <s v="[VDS] - Bikeloan VFS"/>
    <x v="0"/>
    <x v="6"/>
    <x v="81"/>
    <n v="13637052"/>
    <n v="9366003"/>
    <n v="4271049"/>
    <n v="9366003"/>
    <n v="4271049"/>
  </r>
  <r>
    <s v="[VDS] - Bikeloan VFS"/>
    <x v="0"/>
    <x v="6"/>
    <x v="82"/>
    <n v="13637052"/>
    <n v="9366003"/>
    <n v="4271049"/>
    <n v="9366003"/>
    <n v="4271049"/>
  </r>
  <r>
    <s v="[VDS] - Bikeloan VFS"/>
    <x v="0"/>
    <x v="6"/>
    <x v="83"/>
    <n v="13637052"/>
    <n v="9366003"/>
    <n v="4271049"/>
    <n v="9366003"/>
    <n v="4271049"/>
  </r>
  <r>
    <s v="[VDS] - Bikeloan VFS"/>
    <x v="0"/>
    <x v="6"/>
    <x v="84"/>
    <n v="13637052"/>
    <n v="9366003"/>
    <n v="4271049"/>
    <n v="9366003"/>
    <n v="4271049"/>
  </r>
  <r>
    <s v="[VDS] - Bikeloan VFS"/>
    <x v="0"/>
    <x v="6"/>
    <x v="85"/>
    <n v="13637052"/>
    <n v="9366003"/>
    <n v="4271049"/>
    <n v="9366003"/>
    <n v="4271049"/>
  </r>
  <r>
    <s v="[VDS] - Bikeloan VFS"/>
    <x v="0"/>
    <x v="6"/>
    <x v="86"/>
    <n v="13637052"/>
    <n v="9366003"/>
    <n v="4271049"/>
    <n v="9366003"/>
    <n v="4271049"/>
  </r>
  <r>
    <s v="[VDS] - Bikeloan VFS"/>
    <x v="0"/>
    <x v="6"/>
    <x v="87"/>
    <n v="13637052"/>
    <n v="9366003"/>
    <n v="4271049"/>
    <n v="9366003"/>
    <n v="4271049"/>
  </r>
  <r>
    <s v="[VDS] - Bikeloan VFS"/>
    <x v="0"/>
    <x v="6"/>
    <x v="88"/>
    <n v="13063191"/>
    <n v="9366003"/>
    <n v="3697188"/>
    <n v="9366003"/>
    <n v="3697188"/>
  </r>
  <r>
    <s v="[VDS] - Bikeloan VFS"/>
    <x v="0"/>
    <x v="6"/>
    <x v="89"/>
    <n v="13063191"/>
    <n v="9366003"/>
    <n v="3697188"/>
    <n v="9366003"/>
    <n v="3697188"/>
  </r>
  <r>
    <s v="[VDS] - Bikeloan VFS"/>
    <x v="0"/>
    <x v="6"/>
    <x v="90"/>
    <n v="13063191"/>
    <n v="9366003"/>
    <n v="3697188"/>
    <n v="9366003"/>
    <n v="3697188"/>
  </r>
  <r>
    <s v="[VDS] - Bikeloan VFS"/>
    <x v="0"/>
    <x v="6"/>
    <x v="91"/>
    <n v="13063191"/>
    <n v="9366003"/>
    <n v="3697188"/>
    <n v="9366003"/>
    <n v="3697188"/>
  </r>
  <r>
    <s v="[VDS] - Cashloan"/>
    <x v="1"/>
    <x v="6"/>
    <x v="0"/>
    <n v="1416756436686"/>
    <n v="397287392836"/>
    <n v="1019469043850"/>
    <n v="376306878504"/>
    <n v="1040449558182"/>
  </r>
  <r>
    <s v="[VDS] - Cashloan"/>
    <x v="1"/>
    <x v="6"/>
    <x v="1"/>
    <n v="1433955805903"/>
    <n v="398173989794"/>
    <n v="1035781816109"/>
    <n v="377028954339"/>
    <n v="1056926851564"/>
  </r>
  <r>
    <s v="[VDS] - Cashloan"/>
    <x v="1"/>
    <x v="6"/>
    <x v="2"/>
    <n v="1440194592266"/>
    <n v="399889338300"/>
    <n v="1040305253966"/>
    <n v="376572523404"/>
    <n v="1063622068862"/>
  </r>
  <r>
    <s v="[VDS] - Cashloan"/>
    <x v="1"/>
    <x v="6"/>
    <x v="3"/>
    <n v="1447419504329"/>
    <n v="401096703174"/>
    <n v="1046322801155"/>
    <n v="379297585531"/>
    <n v="1068121918798"/>
  </r>
  <r>
    <s v="[VDS] - Cashloan"/>
    <x v="1"/>
    <x v="6"/>
    <x v="4"/>
    <n v="1455460603831"/>
    <n v="403317122945"/>
    <n v="1052143480886"/>
    <n v="380524304266"/>
    <n v="1074936299565"/>
  </r>
  <r>
    <s v="[VDS] - Cashloan"/>
    <x v="1"/>
    <x v="6"/>
    <x v="5"/>
    <n v="1464431723532"/>
    <n v="406201130775"/>
    <n v="1058230592757"/>
    <n v="381426804706"/>
    <n v="1083004918826"/>
  </r>
  <r>
    <s v="[VDS] - Cashloan"/>
    <x v="1"/>
    <x v="6"/>
    <x v="6"/>
    <n v="1467865891541"/>
    <n v="402573353178"/>
    <n v="1065292538363"/>
    <n v="382461993398"/>
    <n v="1085403898143"/>
  </r>
  <r>
    <s v="[VDS] - Cashloan"/>
    <x v="1"/>
    <x v="6"/>
    <x v="7"/>
    <n v="1473105905562"/>
    <n v="408144013948"/>
    <n v="1064961891614"/>
    <n v="383388445267"/>
    <n v="1089717460295"/>
  </r>
  <r>
    <s v="[VDS] - Cashloan"/>
    <x v="1"/>
    <x v="6"/>
    <x v="8"/>
    <n v="1477636944764"/>
    <n v="409485344629"/>
    <n v="1068151600135"/>
    <n v="387211211736"/>
    <n v="1090425733028"/>
  </r>
  <r>
    <s v="[VDS] - Cashloan"/>
    <x v="1"/>
    <x v="6"/>
    <x v="9"/>
    <n v="1484599075314"/>
    <n v="407969932122"/>
    <n v="1076629143192"/>
    <n v="385737827762"/>
    <n v="1098861247552"/>
  </r>
  <r>
    <s v="[VDS] - Cashloan"/>
    <x v="1"/>
    <x v="6"/>
    <x v="10"/>
    <n v="1490542782310"/>
    <n v="408630555614"/>
    <n v="1081912226696"/>
    <n v="384802224627"/>
    <n v="1105740557683"/>
  </r>
  <r>
    <s v="[VDS] - Cashloan"/>
    <x v="1"/>
    <x v="6"/>
    <x v="11"/>
    <n v="1496692292967"/>
    <n v="409340825885"/>
    <n v="1087351467082"/>
    <n v="385281525919"/>
    <n v="1111410767048"/>
  </r>
  <r>
    <s v="[VDS] - Cashloan"/>
    <x v="1"/>
    <x v="6"/>
    <x v="12"/>
    <n v="1505284348648"/>
    <n v="412255294441"/>
    <n v="1093029054207"/>
    <n v="386363406008"/>
    <n v="1118920942640"/>
  </r>
  <r>
    <s v="[VDS] - Cashloan"/>
    <x v="1"/>
    <x v="6"/>
    <x v="13"/>
    <n v="1509564446469"/>
    <n v="408740398139"/>
    <n v="1100824048330"/>
    <n v="387228654140"/>
    <n v="1122335792329"/>
  </r>
  <r>
    <s v="[VDS] - Cashloan"/>
    <x v="1"/>
    <x v="6"/>
    <x v="14"/>
    <n v="1515737991917"/>
    <n v="413193905835"/>
    <n v="1102544086082"/>
    <n v="388076200978"/>
    <n v="1127661790939"/>
  </r>
  <r>
    <s v="[VDS] - Cashloan"/>
    <x v="1"/>
    <x v="6"/>
    <x v="15"/>
    <n v="1522413098582"/>
    <n v="413195076363"/>
    <n v="1109218022219"/>
    <n v="388962068778"/>
    <n v="1133451029804"/>
  </r>
  <r>
    <s v="[VDS] - Cashloan"/>
    <x v="1"/>
    <x v="6"/>
    <x v="16"/>
    <n v="1527079951855"/>
    <n v="413548309720"/>
    <n v="1113531642135"/>
    <n v="388192244089"/>
    <n v="1138887707766"/>
  </r>
  <r>
    <s v="[VDS] - Cashloan"/>
    <x v="1"/>
    <x v="6"/>
    <x v="17"/>
    <n v="1531815046752"/>
    <n v="414220720579"/>
    <n v="1117594326173"/>
    <n v="390668586725"/>
    <n v="1141146460027"/>
  </r>
  <r>
    <s v="[VDS] - Cashloan"/>
    <x v="1"/>
    <x v="6"/>
    <x v="18"/>
    <n v="1536784772650"/>
    <n v="416610902279"/>
    <n v="1120173870371"/>
    <n v="391836813946"/>
    <n v="1144947958704"/>
  </r>
  <r>
    <s v="[VDS] - Cashloan"/>
    <x v="1"/>
    <x v="6"/>
    <x v="19"/>
    <n v="1544538110729"/>
    <n v="418918705946"/>
    <n v="1125619404783"/>
    <n v="393272507523"/>
    <n v="1151265603206"/>
  </r>
  <r>
    <s v="[VDS] - Cashloan"/>
    <x v="1"/>
    <x v="6"/>
    <x v="20"/>
    <n v="1546999389691"/>
    <n v="415098713117"/>
    <n v="1131900676574"/>
    <n v="394423468132"/>
    <n v="1152575921559"/>
  </r>
  <r>
    <s v="[VDS] - Cashloan"/>
    <x v="1"/>
    <x v="6"/>
    <x v="21"/>
    <n v="1552258748056"/>
    <n v="420701532417"/>
    <n v="1131557215639"/>
    <n v="395541907643"/>
    <n v="1156716840413"/>
  </r>
  <r>
    <s v="[VDS] - Cashloan"/>
    <x v="1"/>
    <x v="6"/>
    <x v="22"/>
    <n v="1559256839897"/>
    <n v="420698658519"/>
    <n v="1138558181378"/>
    <n v="396568490311"/>
    <n v="1162688349586"/>
  </r>
  <r>
    <s v="[VDS] - Cashloan"/>
    <x v="1"/>
    <x v="6"/>
    <x v="23"/>
    <n v="1563574199318"/>
    <n v="421925075230"/>
    <n v="1141649124088"/>
    <n v="395840747249"/>
    <n v="1167733452069"/>
  </r>
  <r>
    <s v="[VDS] - Cashloan"/>
    <x v="1"/>
    <x v="6"/>
    <x v="24"/>
    <n v="1569051055983"/>
    <n v="421707480892"/>
    <n v="1147343575091"/>
    <n v="398488732912"/>
    <n v="1170562323071"/>
  </r>
  <r>
    <s v="[VDS] - Cashloan"/>
    <x v="1"/>
    <x v="6"/>
    <x v="25"/>
    <n v="1573229381847"/>
    <n v="422759012911"/>
    <n v="1150470368936"/>
    <n v="399807884878"/>
    <n v="1173421496969"/>
  </r>
  <r>
    <s v="[VDS] - Cashloan"/>
    <x v="1"/>
    <x v="6"/>
    <x v="26"/>
    <n v="1580146638744"/>
    <n v="424353363616"/>
    <n v="1155793275128"/>
    <n v="401072514681"/>
    <n v="1179074124063"/>
  </r>
  <r>
    <s v="[VDS] - Cashloan"/>
    <x v="1"/>
    <x v="6"/>
    <x v="27"/>
    <n v="1578015854906"/>
    <n v="421496650313"/>
    <n v="1156519204593"/>
    <n v="402113423471"/>
    <n v="1175902431435"/>
  </r>
  <r>
    <s v="[VDS] - Cashloan"/>
    <x v="1"/>
    <x v="6"/>
    <x v="28"/>
    <n v="1585147294826"/>
    <n v="434355445066"/>
    <n v="1150791849760"/>
    <n v="403406551125"/>
    <n v="1181740743701"/>
  </r>
  <r>
    <s v="[VDS] - Cashloan"/>
    <x v="1"/>
    <x v="6"/>
    <x v="29"/>
    <n v="1592822764645"/>
    <n v="429459766245"/>
    <n v="1163362998400"/>
    <n v="404485175453"/>
    <n v="1188337589192"/>
  </r>
  <r>
    <s v="[VDS] - Cashloan"/>
    <x v="1"/>
    <x v="6"/>
    <x v="30"/>
    <n v="1598336229137"/>
    <n v="426182718951"/>
    <n v="1172153510186"/>
    <n v="403808780770"/>
    <n v="1194527448367"/>
  </r>
  <r>
    <s v="[VDS] - Cashloan"/>
    <x v="1"/>
    <x v="6"/>
    <x v="31"/>
    <n v="1601860126008"/>
    <n v="424262118002"/>
    <n v="1177598008006"/>
    <n v="406465130628"/>
    <n v="1195394995380"/>
  </r>
  <r>
    <s v="[VDS] - Cashloan"/>
    <x v="1"/>
    <x v="6"/>
    <x v="32"/>
    <n v="1606513749417"/>
    <n v="427526748601"/>
    <n v="1178987000816"/>
    <n v="407568375193"/>
    <n v="1198945374224"/>
  </r>
  <r>
    <s v="[VDS] - Cashloan"/>
    <x v="1"/>
    <x v="6"/>
    <x v="33"/>
    <n v="1613937948203"/>
    <n v="433620051570"/>
    <n v="1180317896633"/>
    <n v="408964845499"/>
    <n v="1204973102704"/>
  </r>
  <r>
    <s v="[VDS] - Cashloan"/>
    <x v="1"/>
    <x v="6"/>
    <x v="34"/>
    <n v="1616153399103"/>
    <n v="429591316324"/>
    <n v="1186562082779"/>
    <n v="409714946250"/>
    <n v="1206438452853"/>
  </r>
  <r>
    <s v="[VDS] - Cashloan"/>
    <x v="1"/>
    <x v="6"/>
    <x v="35"/>
    <n v="1620568710054"/>
    <n v="437781226391"/>
    <n v="1182787483663"/>
    <n v="410384157355"/>
    <n v="1210184552699"/>
  </r>
  <r>
    <s v="[VDS] - Cashloan"/>
    <x v="1"/>
    <x v="6"/>
    <x v="36"/>
    <n v="1623591083818"/>
    <n v="438438553008"/>
    <n v="1185152530810"/>
    <n v="411337907437"/>
    <n v="1212253176381"/>
  </r>
  <r>
    <s v="[VDS] - Cashloan"/>
    <x v="1"/>
    <x v="6"/>
    <x v="37"/>
    <n v="1626674229658"/>
    <n v="438750748390"/>
    <n v="1187923481268"/>
    <n v="410607164076"/>
    <n v="1216067065582"/>
  </r>
  <r>
    <s v="[VDS] - Cashloan"/>
    <x v="1"/>
    <x v="6"/>
    <x v="38"/>
    <n v="1631047946110"/>
    <n v="437644632108"/>
    <n v="1193403314002"/>
    <n v="416128335996"/>
    <n v="1214919610114"/>
  </r>
  <r>
    <s v="[VDS] - Cashloan"/>
    <x v="1"/>
    <x v="6"/>
    <x v="39"/>
    <n v="1634972198119"/>
    <n v="438470785011"/>
    <n v="1196501413108"/>
    <n v="415406087122"/>
    <n v="1219566110997"/>
  </r>
  <r>
    <s v="[VDS] - Cashloan"/>
    <x v="1"/>
    <x v="6"/>
    <x v="40"/>
    <n v="1642989197362"/>
    <n v="440614348632"/>
    <n v="1202374848730"/>
    <n v="414936087181"/>
    <n v="1228053110181"/>
  </r>
  <r>
    <s v="[VDS] - Cashloan"/>
    <x v="1"/>
    <x v="6"/>
    <x v="41"/>
    <n v="1643915177797"/>
    <n v="436502076336"/>
    <n v="1207413101461"/>
    <n v="414124610872"/>
    <n v="1229790566925"/>
  </r>
  <r>
    <s v="[VDS] - Cashloan"/>
    <x v="1"/>
    <x v="6"/>
    <x v="42"/>
    <n v="1648674451696"/>
    <n v="442521233474"/>
    <n v="1206153218222"/>
    <n v="414874645965"/>
    <n v="1233799805731"/>
  </r>
  <r>
    <s v="[VDS] - Cashloan"/>
    <x v="1"/>
    <x v="6"/>
    <x v="43"/>
    <n v="1654382662507"/>
    <n v="444052646501"/>
    <n v="1210330016006"/>
    <n v="416570373349"/>
    <n v="1237812289158"/>
  </r>
  <r>
    <s v="[VDS] - Cashloan"/>
    <x v="1"/>
    <x v="6"/>
    <x v="44"/>
    <n v="1657792688401"/>
    <n v="444981279093"/>
    <n v="1212811409308"/>
    <n v="415764833045"/>
    <n v="1242027855356"/>
  </r>
  <r>
    <s v="[VDS] - Cashloan"/>
    <x v="1"/>
    <x v="6"/>
    <x v="45"/>
    <n v="1662885658743"/>
    <n v="444975810315"/>
    <n v="1217909848428"/>
    <n v="418704998868"/>
    <n v="1244180659875"/>
  </r>
  <r>
    <s v="[VDS] - Cashloan"/>
    <x v="1"/>
    <x v="6"/>
    <x v="46"/>
    <n v="1667320690339"/>
    <n v="446569110138"/>
    <n v="1220751580201"/>
    <n v="419674396697"/>
    <n v="1247646293642"/>
  </r>
  <r>
    <s v="[VDS] - Cashloan"/>
    <x v="1"/>
    <x v="6"/>
    <x v="47"/>
    <n v="1674501317487"/>
    <n v="448740653734"/>
    <n v="1225760663753"/>
    <n v="421200936363"/>
    <n v="1253300381124"/>
  </r>
  <r>
    <s v="[VDS] - Cashloan"/>
    <x v="1"/>
    <x v="6"/>
    <x v="48"/>
    <n v="1678081533581"/>
    <n v="445298816793"/>
    <n v="1232782716788"/>
    <n v="422172727484"/>
    <n v="1255908806097"/>
  </r>
  <r>
    <s v="[VDS] - Cashloan"/>
    <x v="1"/>
    <x v="6"/>
    <x v="49"/>
    <n v="1681179339607"/>
    <n v="452062172851"/>
    <n v="1229117166756"/>
    <n v="423163136217"/>
    <n v="1258016203390"/>
  </r>
  <r>
    <s v="[VDS] - Cashloan"/>
    <x v="1"/>
    <x v="6"/>
    <x v="50"/>
    <n v="1686096342310"/>
    <n v="452904972749"/>
    <n v="1233191369561"/>
    <n v="424070331041"/>
    <n v="1262026011269"/>
  </r>
  <r>
    <s v="[VDS] - Cashloan"/>
    <x v="1"/>
    <x v="6"/>
    <x v="51"/>
    <n v="1690999302906"/>
    <n v="453808145072"/>
    <n v="1237191157834"/>
    <n v="423257356064"/>
    <n v="1267741946842"/>
  </r>
  <r>
    <s v="[VDS] - Cashloan"/>
    <x v="1"/>
    <x v="6"/>
    <x v="52"/>
    <n v="1695932945204"/>
    <n v="454762998972"/>
    <n v="1241169946232"/>
    <n v="426602416487"/>
    <n v="1269330528717"/>
  </r>
  <r>
    <s v="[VDS] - Cashloan"/>
    <x v="1"/>
    <x v="6"/>
    <x v="53"/>
    <n v="1699825781844"/>
    <n v="456114222097"/>
    <n v="1243711559747"/>
    <n v="428439163124"/>
    <n v="1271386618720"/>
  </r>
  <r>
    <s v="[VDS] - Cashloan"/>
    <x v="1"/>
    <x v="6"/>
    <x v="54"/>
    <n v="1706834267747"/>
    <n v="458392550187"/>
    <n v="1248441717560"/>
    <n v="429875935134"/>
    <n v="1276958332613"/>
  </r>
  <r>
    <s v="[VDS] - Cashloan"/>
    <x v="1"/>
    <x v="6"/>
    <x v="55"/>
    <n v="1709109207253"/>
    <n v="454945445929"/>
    <n v="1254163761324"/>
    <n v="431278661712"/>
    <n v="1277830545541"/>
  </r>
  <r>
    <s v="[VDS] - Cashloan"/>
    <x v="1"/>
    <x v="6"/>
    <x v="56"/>
    <n v="1713198496384"/>
    <n v="461074206258"/>
    <n v="1252124290126"/>
    <n v="432741310716"/>
    <n v="1280457185668"/>
  </r>
  <r>
    <s v="[VDS] - Cashloan"/>
    <x v="1"/>
    <x v="6"/>
    <x v="57"/>
    <n v="1718229328469"/>
    <n v="462667739784"/>
    <n v="1255561588685"/>
    <n v="434359705404"/>
    <n v="1283869623065"/>
  </r>
  <r>
    <s v="[VDS] - Cashloan"/>
    <x v="1"/>
    <x v="6"/>
    <x v="58"/>
    <n v="1717409154307"/>
    <n v="464011534798"/>
    <n v="1253397619509"/>
    <n v="433734562889"/>
    <n v="1283674591418"/>
  </r>
  <r>
    <s v="[VDS] - Cashloan"/>
    <x v="1"/>
    <x v="6"/>
    <x v="59"/>
    <n v="1723828543928"/>
    <n v="473573792834"/>
    <n v="1250254751094"/>
    <n v="437130343745"/>
    <n v="1286698200183"/>
  </r>
  <r>
    <s v="[VDS] - Cashloan"/>
    <x v="1"/>
    <x v="6"/>
    <x v="60"/>
    <n v="1731306718488"/>
    <n v="468515111755"/>
    <n v="1262791606733"/>
    <n v="438596762351"/>
    <n v="1292709956137"/>
  </r>
  <r>
    <s v="[VDS] - Cashloan"/>
    <x v="1"/>
    <x v="6"/>
    <x v="61"/>
    <n v="1738375896457"/>
    <n v="465802859926"/>
    <n v="1272573036531"/>
    <n v="439972572397"/>
    <n v="1298403324060"/>
  </r>
  <r>
    <s v="[VDS] - Cashloan"/>
    <x v="1"/>
    <x v="6"/>
    <x v="62"/>
    <n v="1743509765882"/>
    <n v="463892761455"/>
    <n v="1279617004427"/>
    <n v="441442348290"/>
    <n v="1302067417592"/>
  </r>
  <r>
    <s v="[VDS] - Cashloan"/>
    <x v="1"/>
    <x v="6"/>
    <x v="63"/>
    <n v="1749961732619"/>
    <n v="462892596521"/>
    <n v="1287069136098"/>
    <n v="443163303985"/>
    <n v="1306798428634"/>
  </r>
  <r>
    <s v="[VDS] - Cashloan"/>
    <x v="1"/>
    <x v="6"/>
    <x v="64"/>
    <n v="1750099284635"/>
    <n v="461049543564"/>
    <n v="1289049741071"/>
    <n v="444430736972"/>
    <n v="1305668547663"/>
  </r>
  <r>
    <s v="[VDS] - Cashloan"/>
    <x v="1"/>
    <x v="6"/>
    <x v="65"/>
    <n v="1756947917428"/>
    <n v="474400736551"/>
    <n v="1282547180877"/>
    <n v="443666789328"/>
    <n v="1313281128100"/>
  </r>
  <r>
    <s v="[VDS] - Cashloan"/>
    <x v="1"/>
    <x v="6"/>
    <x v="66"/>
    <n v="1764279834877"/>
    <n v="474780136491"/>
    <n v="1289499698386"/>
    <n v="446784910426"/>
    <n v="1317494924451"/>
  </r>
  <r>
    <s v="[VDS] - Cashloan"/>
    <x v="1"/>
    <x v="6"/>
    <x v="67"/>
    <n v="1772564819731"/>
    <n v="476855964983"/>
    <n v="1295708854748"/>
    <n v="448129641785"/>
    <n v="1324435177946"/>
  </r>
  <r>
    <s v="[VDS] - Cashloan"/>
    <x v="1"/>
    <x v="6"/>
    <x v="68"/>
    <n v="1783173877958"/>
    <n v="480025961786"/>
    <n v="1303147916172"/>
    <n v="449536475288"/>
    <n v="1333637402670"/>
  </r>
  <r>
    <s v="[VDS] - Cashloan"/>
    <x v="1"/>
    <x v="6"/>
    <x v="69"/>
    <n v="1790262078528"/>
    <n v="475017156050"/>
    <n v="1315244922478"/>
    <n v="454468523862"/>
    <n v="1335793554666"/>
  </r>
  <r>
    <s v="[VDS] - Cashloan"/>
    <x v="1"/>
    <x v="6"/>
    <x v="70"/>
    <n v="1799670049461"/>
    <n v="483120340290"/>
    <n v="1316549709171"/>
    <n v="453662760882"/>
    <n v="1346007288579"/>
  </r>
  <r>
    <s v="[VDS] - Cashloan"/>
    <x v="1"/>
    <x v="6"/>
    <x v="71"/>
    <n v="1810090576449"/>
    <n v="481102704249"/>
    <n v="1328987872200"/>
    <n v="451909292583"/>
    <n v="1358181283866"/>
  </r>
  <r>
    <s v="[VDS] - Cashloan"/>
    <x v="1"/>
    <x v="6"/>
    <x v="72"/>
    <n v="1820125739298"/>
    <n v="480692689418"/>
    <n v="1339433049880"/>
    <n v="450977184074"/>
    <n v="1369148555224"/>
  </r>
  <r>
    <s v="[VDS] - Cashloan"/>
    <x v="1"/>
    <x v="6"/>
    <x v="73"/>
    <n v="1827633414844"/>
    <n v="481340164159"/>
    <n v="1346293250685"/>
    <n v="450201560968"/>
    <n v="1377431853876"/>
  </r>
  <r>
    <s v="[VDS] - Cashloan"/>
    <x v="1"/>
    <x v="6"/>
    <x v="74"/>
    <n v="1835540115526"/>
    <n v="483349206324"/>
    <n v="1352190909202"/>
    <n v="449735661449"/>
    <n v="1385804454077"/>
  </r>
  <r>
    <s v="[VDS] - Cashloan"/>
    <x v="1"/>
    <x v="6"/>
    <x v="75"/>
    <n v="1847789248816"/>
    <n v="486571941778"/>
    <n v="1361217307038"/>
    <n v="455769773269"/>
    <n v="1392019475547"/>
  </r>
  <r>
    <s v="[VDS] - Cashloan"/>
    <x v="1"/>
    <x v="6"/>
    <x v="76"/>
    <n v="1854931609120"/>
    <n v="481486345759"/>
    <n v="1373445263361"/>
    <n v="456942935184"/>
    <n v="1397988673936"/>
  </r>
  <r>
    <s v="[VDS] - Cashloan"/>
    <x v="1"/>
    <x v="6"/>
    <x v="77"/>
    <n v="1863760144754"/>
    <n v="487479922221"/>
    <n v="1376280222533"/>
    <n v="458155552039"/>
    <n v="1405604592715"/>
  </r>
  <r>
    <s v="[VDS] - Cashloan"/>
    <x v="1"/>
    <x v="6"/>
    <x v="78"/>
    <n v="1872239861924"/>
    <n v="487543925355"/>
    <n v="1384695936569"/>
    <n v="459323709670"/>
    <n v="1412916152254"/>
  </r>
  <r>
    <s v="[VDS] - Cashloan"/>
    <x v="1"/>
    <x v="6"/>
    <x v="79"/>
    <n v="1879380930946"/>
    <n v="488679829976"/>
    <n v="1390701100970"/>
    <n v="458472018734"/>
    <n v="1420908912212"/>
  </r>
  <r>
    <s v="[VDS] - Cashloan"/>
    <x v="1"/>
    <x v="6"/>
    <x v="80"/>
    <n v="1886427822435"/>
    <n v="490380980018"/>
    <n v="1396046842417"/>
    <n v="461537766575"/>
    <n v="1424890055860"/>
  </r>
  <r>
    <s v="[VDS] - Cashloan"/>
    <x v="1"/>
    <x v="6"/>
    <x v="81"/>
    <n v="1894722869610"/>
    <n v="492312361097"/>
    <n v="1402410508513"/>
    <n v="463106162656"/>
    <n v="1431616706954"/>
  </r>
  <r>
    <s v="[VDS] - Cashloan"/>
    <x v="1"/>
    <x v="6"/>
    <x v="82"/>
    <n v="1905162071955"/>
    <n v="495474389943"/>
    <n v="1409687682012"/>
    <n v="464414038324"/>
    <n v="1440748033631"/>
  </r>
  <r>
    <s v="[VDS] - Cashloan"/>
    <x v="1"/>
    <x v="6"/>
    <x v="83"/>
    <n v="1910184555717"/>
    <n v="491548979415"/>
    <n v="1418635576302"/>
    <n v="465963792672"/>
    <n v="1444220763045"/>
  </r>
  <r>
    <s v="[VDS] - Cashloan"/>
    <x v="1"/>
    <x v="6"/>
    <x v="84"/>
    <n v="1917605663622"/>
    <n v="498503355166"/>
    <n v="1419102308456"/>
    <n v="467394478106"/>
    <n v="1450211185516"/>
  </r>
  <r>
    <s v="[VDS] - Cashloan"/>
    <x v="1"/>
    <x v="6"/>
    <x v="85"/>
    <n v="1924684191819"/>
    <n v="499017329292"/>
    <n v="1425666862527"/>
    <n v="468859108177"/>
    <n v="1455825083642"/>
  </r>
  <r>
    <s v="[VDS] - Cashloan"/>
    <x v="1"/>
    <x v="6"/>
    <x v="86"/>
    <n v="1932131394926"/>
    <n v="500309025937"/>
    <n v="1431822368989"/>
    <n v="468180573753"/>
    <n v="1463950821173"/>
  </r>
  <r>
    <s v="[VDS] - Cashloan"/>
    <x v="1"/>
    <x v="6"/>
    <x v="87"/>
    <n v="1940065290371"/>
    <n v="501265753255"/>
    <n v="1438799537116"/>
    <n v="471532426523"/>
    <n v="1468532863848"/>
  </r>
  <r>
    <s v="[VDS] - Cashloan"/>
    <x v="1"/>
    <x v="6"/>
    <x v="88"/>
    <n v="1947237941219"/>
    <n v="503306856197"/>
    <n v="1443931085022"/>
    <n v="472757240646"/>
    <n v="1474480700573"/>
  </r>
  <r>
    <s v="[VDS] - Cashloan"/>
    <x v="1"/>
    <x v="6"/>
    <x v="89"/>
    <n v="1956601037777"/>
    <n v="506682028767"/>
    <n v="1449919009010"/>
    <n v="474565208183"/>
    <n v="1482035829594"/>
  </r>
  <r>
    <s v="[VDS] - Cashloan"/>
    <x v="1"/>
    <x v="6"/>
    <x v="90"/>
    <n v="1957930442275"/>
    <n v="502898157965"/>
    <n v="1455032284310"/>
    <n v="476497013477"/>
    <n v="1481433428798"/>
  </r>
  <r>
    <s v="[VDS] - Cashloan"/>
    <x v="1"/>
    <x v="6"/>
    <x v="91"/>
    <n v="1967667601704"/>
    <n v="513817091764"/>
    <n v="1453850509940"/>
    <n v="477508509397"/>
    <n v="1490159092307"/>
  </r>
  <r>
    <s v="[VDS] - Cashloan LP"/>
    <x v="1"/>
    <x v="6"/>
    <x v="0"/>
    <n v="7262406059"/>
    <n v="3014366280"/>
    <n v="4248039779"/>
    <n v="2923611723"/>
    <n v="4338794336"/>
  </r>
  <r>
    <s v="[VDS] - Cashloan LP"/>
    <x v="1"/>
    <x v="6"/>
    <x v="1"/>
    <n v="7245265703"/>
    <n v="3035968191"/>
    <n v="4209297512"/>
    <n v="2923074736"/>
    <n v="4322190967"/>
  </r>
  <r>
    <s v="[VDS] - Cashloan LP"/>
    <x v="1"/>
    <x v="6"/>
    <x v="2"/>
    <n v="7226046732"/>
    <n v="3056261836"/>
    <n v="4169784896"/>
    <n v="2921657702"/>
    <n v="4304389030"/>
  </r>
  <r>
    <s v="[VDS] - Cashloan LP"/>
    <x v="1"/>
    <x v="6"/>
    <x v="3"/>
    <n v="7183757119"/>
    <n v="3085486820"/>
    <n v="4098270299"/>
    <n v="2929283898"/>
    <n v="4254473221"/>
  </r>
  <r>
    <s v="[VDS] - Cashloan LP"/>
    <x v="1"/>
    <x v="6"/>
    <x v="4"/>
    <n v="7156370949"/>
    <n v="3083413550"/>
    <n v="4072957399"/>
    <n v="2945026342"/>
    <n v="4211344607"/>
  </r>
  <r>
    <s v="[VDS] - Cashloan LP"/>
    <x v="1"/>
    <x v="6"/>
    <x v="5"/>
    <n v="7148839002"/>
    <n v="3081537453"/>
    <n v="4067301549"/>
    <n v="2936987381"/>
    <n v="4211851621"/>
  </r>
  <r>
    <s v="[VDS] - Cashloan LP"/>
    <x v="1"/>
    <x v="6"/>
    <x v="6"/>
    <n v="7121419395"/>
    <n v="3058235611"/>
    <n v="4063183784"/>
    <n v="2937821601"/>
    <n v="4183597794"/>
  </r>
  <r>
    <s v="[VDS] - Cashloan LP"/>
    <x v="1"/>
    <x v="6"/>
    <x v="7"/>
    <n v="7096339615"/>
    <n v="3124628273"/>
    <n v="3971711342"/>
    <n v="2944947312"/>
    <n v="4151392303"/>
  </r>
  <r>
    <s v="[VDS] - Cashloan LP"/>
    <x v="1"/>
    <x v="6"/>
    <x v="8"/>
    <n v="7065955147"/>
    <n v="3183436992"/>
    <n v="3882518155"/>
    <n v="2964367364"/>
    <n v="4101587783"/>
  </r>
  <r>
    <s v="[VDS] - Cashloan LP"/>
    <x v="1"/>
    <x v="6"/>
    <x v="9"/>
    <n v="7044267421"/>
    <n v="3145224215"/>
    <n v="3899043206"/>
    <n v="2945449575"/>
    <n v="4098817846"/>
  </r>
  <r>
    <s v="[VDS] - Cashloan LP"/>
    <x v="1"/>
    <x v="6"/>
    <x v="10"/>
    <n v="6990875602"/>
    <n v="3088924630"/>
    <n v="3901950972"/>
    <n v="2935003886"/>
    <n v="4055871716"/>
  </r>
  <r>
    <s v="[VDS] - Cashloan LP"/>
    <x v="1"/>
    <x v="6"/>
    <x v="11"/>
    <n v="6958121499"/>
    <n v="3105529900"/>
    <n v="3852591599"/>
    <n v="2959275660"/>
    <n v="3998845839"/>
  </r>
  <r>
    <s v="[VDS] - Cashloan LP"/>
    <x v="1"/>
    <x v="6"/>
    <x v="12"/>
    <n v="6954409173"/>
    <n v="3127411417"/>
    <n v="3826997756"/>
    <n v="2978569047"/>
    <n v="3975840126"/>
  </r>
  <r>
    <s v="[VDS] - Cashloan LP"/>
    <x v="1"/>
    <x v="6"/>
    <x v="13"/>
    <n v="6891750797"/>
    <n v="3098874348"/>
    <n v="3792876449"/>
    <n v="2978569047"/>
    <n v="3913181750"/>
  </r>
  <r>
    <s v="[VDS] - Cashloan LP"/>
    <x v="1"/>
    <x v="6"/>
    <x v="14"/>
    <n v="6850609939"/>
    <n v="3142128512"/>
    <n v="3708481427"/>
    <n v="2967807808"/>
    <n v="3882802131"/>
  </r>
  <r>
    <s v="[VDS] - Cashloan LP"/>
    <x v="1"/>
    <x v="6"/>
    <x v="15"/>
    <n v="6815992463"/>
    <n v="3158909907"/>
    <n v="3657082556"/>
    <n v="2978068647"/>
    <n v="3837923816"/>
  </r>
  <r>
    <s v="[VDS] - Cashloan LP"/>
    <x v="1"/>
    <x v="6"/>
    <x v="16"/>
    <n v="6810568838"/>
    <n v="3167274510"/>
    <n v="3643294328"/>
    <n v="2978068647"/>
    <n v="3832500191"/>
  </r>
  <r>
    <s v="[VDS] - Cashloan LP"/>
    <x v="1"/>
    <x v="6"/>
    <x v="17"/>
    <n v="6776029341"/>
    <n v="3171088319"/>
    <n v="3604941022"/>
    <n v="2990348018"/>
    <n v="3785681323"/>
  </r>
  <r>
    <s v="[VDS] - Cashloan LP"/>
    <x v="1"/>
    <x v="6"/>
    <x v="18"/>
    <n v="6760882778"/>
    <n v="3185137919"/>
    <n v="3575744859"/>
    <n v="3005717359"/>
    <n v="3755165419"/>
  </r>
  <r>
    <s v="[VDS] - Cashloan LP"/>
    <x v="1"/>
    <x v="6"/>
    <x v="19"/>
    <n v="6748491845"/>
    <n v="3194705526"/>
    <n v="3553786319"/>
    <n v="3005717359"/>
    <n v="3742774486"/>
  </r>
  <r>
    <s v="[VDS] - Cashloan LP"/>
    <x v="1"/>
    <x v="6"/>
    <x v="20"/>
    <n v="6723915303"/>
    <n v="3165060015"/>
    <n v="3558855288"/>
    <n v="3000030071"/>
    <n v="3723885232"/>
  </r>
  <r>
    <s v="[VDS] - Cashloan LP"/>
    <x v="1"/>
    <x v="6"/>
    <x v="21"/>
    <n v="6684949221"/>
    <n v="3145389398"/>
    <n v="3539559823"/>
    <n v="3019177500"/>
    <n v="3665771721"/>
  </r>
  <r>
    <s v="[VDS] - Cashloan LP"/>
    <x v="1"/>
    <x v="6"/>
    <x v="22"/>
    <n v="6658635626"/>
    <n v="3171896892"/>
    <n v="3486738734"/>
    <n v="3042160688"/>
    <n v="3616474938"/>
  </r>
  <r>
    <s v="[VDS] - Cashloan LP"/>
    <x v="1"/>
    <x v="6"/>
    <x v="23"/>
    <n v="6640479305"/>
    <n v="3155003496"/>
    <n v="3485475809"/>
    <n v="3042160688"/>
    <n v="3598318617"/>
  </r>
  <r>
    <s v="[VDS] - Cashloan LP"/>
    <x v="1"/>
    <x v="6"/>
    <x v="24"/>
    <n v="6622827667"/>
    <n v="3140389514"/>
    <n v="3482438153"/>
    <n v="3045735803"/>
    <n v="3577091864"/>
  </r>
  <r>
    <s v="[VDS] - Cashloan LP"/>
    <x v="1"/>
    <x v="6"/>
    <x v="25"/>
    <n v="6599341455"/>
    <n v="3118121147"/>
    <n v="3481220308"/>
    <n v="3043572263"/>
    <n v="3555769192"/>
  </r>
  <r>
    <s v="[VDS] - Cashloan LP"/>
    <x v="1"/>
    <x v="6"/>
    <x v="26"/>
    <n v="6583516727"/>
    <n v="3105224947"/>
    <n v="3478291780"/>
    <n v="3036952984"/>
    <n v="3546563743"/>
  </r>
  <r>
    <s v="[VDS] - Cashloan LP"/>
    <x v="1"/>
    <x v="6"/>
    <x v="27"/>
    <n v="6518735144"/>
    <n v="3100012297"/>
    <n v="3418722847"/>
    <n v="3044277207"/>
    <n v="3474457937"/>
  </r>
  <r>
    <s v="[VDS] - Cashloan LP"/>
    <x v="1"/>
    <x v="6"/>
    <x v="28"/>
    <n v="6515112327"/>
    <n v="3158422532"/>
    <n v="3356689795"/>
    <n v="3044277207"/>
    <n v="3470835120"/>
  </r>
  <r>
    <s v="[VDS] - Cashloan LP"/>
    <x v="1"/>
    <x v="6"/>
    <x v="29"/>
    <n v="6515112327"/>
    <n v="3158422532"/>
    <n v="3356689795"/>
    <n v="3050796147"/>
    <n v="3464316180"/>
  </r>
  <r>
    <s v="[VDS] - Cashloan LP"/>
    <x v="1"/>
    <x v="6"/>
    <x v="30"/>
    <n v="6513839906"/>
    <n v="3154476586"/>
    <n v="3359363320"/>
    <n v="3050796147"/>
    <n v="3463043759"/>
  </r>
  <r>
    <s v="[VDS] - Cashloan LP"/>
    <x v="1"/>
    <x v="6"/>
    <x v="31"/>
    <n v="6492616072"/>
    <n v="3148316727"/>
    <n v="3344299345"/>
    <n v="3050796081"/>
    <n v="3441819991"/>
  </r>
  <r>
    <s v="[VDS] - Cashloan LP"/>
    <x v="1"/>
    <x v="6"/>
    <x v="32"/>
    <n v="6479055071"/>
    <n v="3156362118"/>
    <n v="3322692953"/>
    <n v="3064461123"/>
    <n v="3414593948"/>
  </r>
  <r>
    <s v="[VDS] - Cashloan LP"/>
    <x v="1"/>
    <x v="6"/>
    <x v="33"/>
    <n v="6478147704"/>
    <n v="3169933795"/>
    <n v="3308213909"/>
    <n v="3064461123"/>
    <n v="3413686581"/>
  </r>
  <r>
    <s v="[VDS] - Cashloan LP"/>
    <x v="1"/>
    <x v="6"/>
    <x v="34"/>
    <n v="6449240952"/>
    <n v="3150674083"/>
    <n v="3298566869"/>
    <n v="3085434743"/>
    <n v="3363806209"/>
  </r>
  <r>
    <s v="[VDS] - Cashloan LP"/>
    <x v="1"/>
    <x v="6"/>
    <x v="35"/>
    <n v="6422801179"/>
    <n v="3212165023"/>
    <n v="3210636156"/>
    <n v="3068718495"/>
    <n v="3354082684"/>
  </r>
  <r>
    <s v="[VDS] - Cashloan LP"/>
    <x v="1"/>
    <x v="6"/>
    <x v="36"/>
    <n v="6398952510"/>
    <n v="3257704049"/>
    <n v="3141248461"/>
    <n v="3075480488"/>
    <n v="3323472022"/>
  </r>
  <r>
    <s v="[VDS] - Cashloan LP"/>
    <x v="1"/>
    <x v="6"/>
    <x v="37"/>
    <n v="6380262317"/>
    <n v="3247677904"/>
    <n v="3132584413"/>
    <n v="3068718495"/>
    <n v="3311543822"/>
  </r>
  <r>
    <s v="[VDS] - Cashloan LP"/>
    <x v="1"/>
    <x v="6"/>
    <x v="38"/>
    <n v="6368348716"/>
    <n v="3263688040"/>
    <n v="3104660676"/>
    <n v="3102764452"/>
    <n v="3265584264"/>
  </r>
  <r>
    <s v="[VDS] - Cashloan LP"/>
    <x v="1"/>
    <x v="6"/>
    <x v="39"/>
    <n v="6342840872"/>
    <n v="3200023003"/>
    <n v="3142817869"/>
    <n v="3081370534"/>
    <n v="3261470338"/>
  </r>
  <r>
    <s v="[VDS] - Cashloan LP"/>
    <x v="1"/>
    <x v="6"/>
    <x v="40"/>
    <n v="6340251253"/>
    <n v="3196759773"/>
    <n v="3143491480"/>
    <n v="3081370534"/>
    <n v="3258880719"/>
  </r>
  <r>
    <s v="[VDS] - Cashloan LP"/>
    <x v="1"/>
    <x v="6"/>
    <x v="41"/>
    <n v="6294070936"/>
    <n v="3159396255"/>
    <n v="3134674681"/>
    <n v="3062523717"/>
    <n v="3231547219"/>
  </r>
  <r>
    <s v="[VDS] - Cashloan LP"/>
    <x v="1"/>
    <x v="6"/>
    <x v="42"/>
    <n v="6275682782"/>
    <n v="3156853200"/>
    <n v="3118829582"/>
    <n v="3072551491"/>
    <n v="3203131291"/>
  </r>
  <r>
    <s v="[VDS] - Cashloan LP"/>
    <x v="1"/>
    <x v="6"/>
    <x v="43"/>
    <n v="6251407971"/>
    <n v="3134453787"/>
    <n v="3116954184"/>
    <n v="3053680512"/>
    <n v="3197727459"/>
  </r>
  <r>
    <s v="[VDS] - Cashloan LP"/>
    <x v="1"/>
    <x v="6"/>
    <x v="44"/>
    <n v="6231532508"/>
    <n v="3165031569"/>
    <n v="3066500939"/>
    <n v="3049599791"/>
    <n v="3181932717"/>
  </r>
  <r>
    <s v="[VDS] - Cashloan LP"/>
    <x v="1"/>
    <x v="6"/>
    <x v="45"/>
    <n v="6200499613"/>
    <n v="3142741565"/>
    <n v="3057758048"/>
    <n v="3049797553"/>
    <n v="3150702060"/>
  </r>
  <r>
    <s v="[VDS] - Cashloan LP"/>
    <x v="1"/>
    <x v="6"/>
    <x v="46"/>
    <n v="6192101553"/>
    <n v="3146224366"/>
    <n v="3045877187"/>
    <n v="3061671042"/>
    <n v="3130430511"/>
  </r>
  <r>
    <s v="[VDS] - Cashloan LP"/>
    <x v="1"/>
    <x v="6"/>
    <x v="47"/>
    <n v="6191255397"/>
    <n v="3148007982"/>
    <n v="3043247415"/>
    <n v="3055087087"/>
    <n v="3136168310"/>
  </r>
  <r>
    <s v="[VDS] - Cashloan LP"/>
    <x v="1"/>
    <x v="6"/>
    <x v="48"/>
    <n v="6177075301"/>
    <n v="3148007982"/>
    <n v="3029067319"/>
    <n v="3071922784"/>
    <n v="3105152517"/>
  </r>
  <r>
    <s v="[VDS] - Cashloan LP"/>
    <x v="1"/>
    <x v="6"/>
    <x v="49"/>
    <n v="6154640190"/>
    <n v="3170847188"/>
    <n v="2983793002"/>
    <n v="3071922784"/>
    <n v="3082717406"/>
  </r>
  <r>
    <s v="[VDS] - Cashloan LP"/>
    <x v="1"/>
    <x v="6"/>
    <x v="50"/>
    <n v="6125092838"/>
    <n v="3180058730"/>
    <n v="2945034108"/>
    <n v="3067823001"/>
    <n v="3057269837"/>
  </r>
  <r>
    <s v="[VDS] - Cashloan LP"/>
    <x v="1"/>
    <x v="6"/>
    <x v="51"/>
    <n v="6110710364"/>
    <n v="3197721891"/>
    <n v="2912988473"/>
    <n v="3067823001"/>
    <n v="3042887363"/>
  </r>
  <r>
    <s v="[VDS] - Cashloan LP"/>
    <x v="1"/>
    <x v="6"/>
    <x v="52"/>
    <n v="6099780559"/>
    <n v="3198387437"/>
    <n v="2901393122"/>
    <n v="3069122704"/>
    <n v="3030657855"/>
  </r>
  <r>
    <s v="[VDS] - Cashloan LP"/>
    <x v="1"/>
    <x v="6"/>
    <x v="53"/>
    <n v="6088822176"/>
    <n v="3265082677"/>
    <n v="2823739499"/>
    <n v="3069122704"/>
    <n v="3019699472"/>
  </r>
  <r>
    <s v="[VDS] - Cashloan LP"/>
    <x v="1"/>
    <x v="6"/>
    <x v="54"/>
    <n v="6065988679"/>
    <n v="3234639999"/>
    <n v="2831348680"/>
    <n v="3105550827"/>
    <n v="2960437852"/>
  </r>
  <r>
    <s v="[VDS] - Cashloan LP"/>
    <x v="1"/>
    <x v="6"/>
    <x v="55"/>
    <n v="6047510695"/>
    <n v="3213274753"/>
    <n v="2834235942"/>
    <n v="3105598378"/>
    <n v="2941912317"/>
  </r>
  <r>
    <s v="[VDS] - Cashloan LP"/>
    <x v="1"/>
    <x v="6"/>
    <x v="56"/>
    <n v="6030668981"/>
    <n v="3242087431"/>
    <n v="2788581550"/>
    <n v="3095933378"/>
    <n v="2934735603"/>
  </r>
  <r>
    <s v="[VDS] - Cashloan LP"/>
    <x v="1"/>
    <x v="6"/>
    <x v="57"/>
    <n v="6008881206"/>
    <n v="3232740444"/>
    <n v="2776140762"/>
    <n v="3095933378"/>
    <n v="2912947828"/>
  </r>
  <r>
    <s v="[VDS] - Cashloan LP"/>
    <x v="1"/>
    <x v="6"/>
    <x v="58"/>
    <n v="5952359338"/>
    <n v="3230190402"/>
    <n v="2722168936"/>
    <n v="3095931378"/>
    <n v="2856427960"/>
  </r>
  <r>
    <s v="[VDS] - Cashloan LP"/>
    <x v="1"/>
    <x v="6"/>
    <x v="59"/>
    <n v="5935104191"/>
    <n v="3279872332"/>
    <n v="2655231859"/>
    <n v="3116262520"/>
    <n v="2818841671"/>
  </r>
  <r>
    <s v="[VDS] - Cashloan LP"/>
    <x v="1"/>
    <x v="6"/>
    <x v="60"/>
    <n v="5908831450"/>
    <n v="3270538440"/>
    <n v="2638293010"/>
    <n v="3132651479"/>
    <n v="2776179971"/>
  </r>
  <r>
    <s v="[VDS] - Cashloan LP"/>
    <x v="1"/>
    <x v="6"/>
    <x v="61"/>
    <n v="5905704913"/>
    <n v="3262173849"/>
    <n v="2643531064"/>
    <n v="3132651479"/>
    <n v="2773053434"/>
  </r>
  <r>
    <s v="[VDS] - Cashloan LP"/>
    <x v="1"/>
    <x v="6"/>
    <x v="62"/>
    <n v="5904949512"/>
    <n v="3246047618"/>
    <n v="2658901894"/>
    <n v="3132651479"/>
    <n v="2772298033"/>
  </r>
  <r>
    <s v="[VDS] - Cashloan LP"/>
    <x v="1"/>
    <x v="6"/>
    <x v="63"/>
    <n v="5899854270"/>
    <n v="3246047618"/>
    <n v="2653806652"/>
    <n v="3151341851"/>
    <n v="2748512419"/>
  </r>
  <r>
    <s v="[VDS] - Cashloan LP"/>
    <x v="1"/>
    <x v="6"/>
    <x v="64"/>
    <n v="5866317465"/>
    <n v="3223897137"/>
    <n v="2642420328"/>
    <n v="3129885000"/>
    <n v="2736432465"/>
  </r>
  <r>
    <s v="[VDS] - Cashloan LP"/>
    <x v="1"/>
    <x v="6"/>
    <x v="65"/>
    <n v="5845253717"/>
    <n v="3289972532"/>
    <n v="2555281185"/>
    <n v="3129435000"/>
    <n v="2715818717"/>
  </r>
  <r>
    <s v="[VDS] - Cashloan LP"/>
    <x v="1"/>
    <x v="6"/>
    <x v="66"/>
    <n v="5825224458"/>
    <n v="3301181928"/>
    <n v="2524042530"/>
    <n v="3155538906"/>
    <n v="2669685552"/>
  </r>
  <r>
    <s v="[VDS] - Cashloan LP"/>
    <x v="1"/>
    <x v="6"/>
    <x v="67"/>
    <n v="5817233760"/>
    <n v="3343862280"/>
    <n v="2473371480"/>
    <n v="3150222921"/>
    <n v="2667010839"/>
  </r>
  <r>
    <s v="[VDS] - Cashloan LP"/>
    <x v="1"/>
    <x v="6"/>
    <x v="68"/>
    <n v="5810215923"/>
    <n v="3353776169"/>
    <n v="2456439754"/>
    <n v="3150222921"/>
    <n v="2659993002"/>
  </r>
  <r>
    <s v="[VDS] - Cashloan LP"/>
    <x v="1"/>
    <x v="6"/>
    <x v="69"/>
    <n v="5773688344"/>
    <n v="3296606476"/>
    <n v="2477081868"/>
    <n v="3172361601"/>
    <n v="2601326743"/>
  </r>
  <r>
    <s v="[VDS] - Cashloan LP"/>
    <x v="1"/>
    <x v="6"/>
    <x v="70"/>
    <n v="5755665328"/>
    <n v="3332997155"/>
    <n v="2422668173"/>
    <n v="3160703113"/>
    <n v="2594962215"/>
  </r>
  <r>
    <s v="[VDS] - Cashloan LP"/>
    <x v="1"/>
    <x v="6"/>
    <x v="71"/>
    <n v="5744413519"/>
    <n v="3321681559"/>
    <n v="2422731960"/>
    <n v="3160703113"/>
    <n v="2583710406"/>
  </r>
  <r>
    <s v="[VDS] - Cashloan LP"/>
    <x v="1"/>
    <x v="6"/>
    <x v="72"/>
    <n v="5727003539"/>
    <n v="3286073866"/>
    <n v="2440929673"/>
    <n v="3160703113"/>
    <n v="2566300426"/>
  </r>
  <r>
    <s v="[VDS] - Cashloan LP"/>
    <x v="1"/>
    <x v="6"/>
    <x v="73"/>
    <n v="5715839056"/>
    <n v="3298094448"/>
    <n v="2417744608"/>
    <n v="3160703113"/>
    <n v="2555135943"/>
  </r>
  <r>
    <s v="[VDS] - Cashloan LP"/>
    <x v="1"/>
    <x v="6"/>
    <x v="74"/>
    <n v="5698941652"/>
    <n v="3284188875"/>
    <n v="2414752777"/>
    <n v="3160703113"/>
    <n v="2538238539"/>
  </r>
  <r>
    <s v="[VDS] - Cashloan LP"/>
    <x v="1"/>
    <x v="6"/>
    <x v="75"/>
    <n v="5696370667"/>
    <n v="3289906142"/>
    <n v="2406464525"/>
    <n v="3199504416"/>
    <n v="2496866251"/>
  </r>
  <r>
    <s v="[VDS] - Cashloan LP"/>
    <x v="1"/>
    <x v="6"/>
    <x v="76"/>
    <n v="5647675948"/>
    <n v="3252621679"/>
    <n v="2395054269"/>
    <n v="3180286788"/>
    <n v="2467389160"/>
  </r>
  <r>
    <s v="[VDS] - Cashloan LP"/>
    <x v="1"/>
    <x v="6"/>
    <x v="77"/>
    <n v="5642385411"/>
    <n v="3272666012"/>
    <n v="2369719399"/>
    <n v="3200008796"/>
    <n v="2442376615"/>
  </r>
  <r>
    <s v="[VDS] - Cashloan LP"/>
    <x v="1"/>
    <x v="6"/>
    <x v="78"/>
    <n v="5636285981"/>
    <n v="3266872131"/>
    <n v="2369413850"/>
    <n v="3199808796"/>
    <n v="2436477185"/>
  </r>
  <r>
    <s v="[VDS] - Cashloan LP"/>
    <x v="1"/>
    <x v="6"/>
    <x v="79"/>
    <n v="5627178823"/>
    <n v="3294082821"/>
    <n v="2333096002"/>
    <n v="3199508796"/>
    <n v="2427670027"/>
  </r>
  <r>
    <s v="[VDS] - Cashloan LP"/>
    <x v="1"/>
    <x v="6"/>
    <x v="80"/>
    <n v="5615360447"/>
    <n v="3299722128"/>
    <n v="2315638319"/>
    <n v="3206031750"/>
    <n v="2409328697"/>
  </r>
  <r>
    <s v="[VDS] - Cashloan LP"/>
    <x v="1"/>
    <x v="6"/>
    <x v="81"/>
    <n v="5591114632"/>
    <n v="3302742360"/>
    <n v="2288372272"/>
    <n v="3204699450"/>
    <n v="2386415182"/>
  </r>
  <r>
    <s v="[VDS] - Cashloan LP"/>
    <x v="1"/>
    <x v="6"/>
    <x v="82"/>
    <n v="5586733303"/>
    <n v="3302936932"/>
    <n v="2283796371"/>
    <n v="3207268109"/>
    <n v="2379465194"/>
  </r>
  <r>
    <s v="[VDS] - Cashloan LP"/>
    <x v="1"/>
    <x v="6"/>
    <x v="83"/>
    <n v="5560363612"/>
    <n v="3297683884"/>
    <n v="2262679728"/>
    <n v="3215649937"/>
    <n v="2344713675"/>
  </r>
  <r>
    <s v="[VDS] - Cashloan LP"/>
    <x v="1"/>
    <x v="6"/>
    <x v="84"/>
    <n v="5538422978"/>
    <n v="3356827686"/>
    <n v="2181595292"/>
    <n v="3215649937"/>
    <n v="2322773041"/>
  </r>
  <r>
    <s v="[VDS] - Cashloan LP"/>
    <x v="1"/>
    <x v="6"/>
    <x v="85"/>
    <n v="5529625602"/>
    <n v="3345466677"/>
    <n v="2184158925"/>
    <n v="3215649937"/>
    <n v="2313975665"/>
  </r>
  <r>
    <s v="[VDS] - Cashloan LP"/>
    <x v="1"/>
    <x v="6"/>
    <x v="86"/>
    <n v="5518814150"/>
    <n v="3341608764"/>
    <n v="2177205386"/>
    <n v="3198501763"/>
    <n v="2320312387"/>
  </r>
  <r>
    <s v="[VDS] - Cashloan LP"/>
    <x v="1"/>
    <x v="6"/>
    <x v="87"/>
    <n v="5511469472"/>
    <n v="3339321114"/>
    <n v="2172148358"/>
    <n v="3202118302"/>
    <n v="2309351170"/>
  </r>
  <r>
    <s v="[VDS] - Cashloan LP"/>
    <x v="1"/>
    <x v="6"/>
    <x v="88"/>
    <n v="5492558529"/>
    <n v="3346388052"/>
    <n v="2146170477"/>
    <n v="3200609463"/>
    <n v="2291949066"/>
  </r>
  <r>
    <s v="[VDS] - Cashloan LP"/>
    <x v="1"/>
    <x v="6"/>
    <x v="89"/>
    <n v="5489430687"/>
    <n v="3346388052"/>
    <n v="2143042635"/>
    <n v="3228120153"/>
    <n v="2261310534"/>
  </r>
  <r>
    <s v="[VDS] - Cashloan LP"/>
    <x v="1"/>
    <x v="6"/>
    <x v="90"/>
    <n v="5453937971"/>
    <n v="3335243773"/>
    <n v="2118694198"/>
    <n v="3228120153"/>
    <n v="2225817818"/>
  </r>
  <r>
    <s v="[VDS] - Cashloan LP"/>
    <x v="1"/>
    <x v="6"/>
    <x v="91"/>
    <n v="5449357464"/>
    <n v="3347599668"/>
    <n v="2101757796"/>
    <n v="3228488930"/>
    <n v="2220868534"/>
  </r>
  <r>
    <s v="[VDS] - Cashloan O2O"/>
    <x v="1"/>
    <x v="6"/>
    <x v="0"/>
    <n v="33400000"/>
    <n v="0"/>
    <n v="33400000"/>
    <n v="0"/>
    <n v="33400000"/>
  </r>
  <r>
    <s v="[VDS] - Cashloan O2O"/>
    <x v="1"/>
    <x v="6"/>
    <x v="1"/>
    <n v="33400000"/>
    <n v="0"/>
    <n v="33400000"/>
    <n v="0"/>
    <n v="33400000"/>
  </r>
  <r>
    <s v="[VDS] - Cashloan O2O"/>
    <x v="1"/>
    <x v="6"/>
    <x v="2"/>
    <n v="33400000"/>
    <n v="0"/>
    <n v="33400000"/>
    <n v="0"/>
    <n v="33400000"/>
  </r>
  <r>
    <s v="[VDS] - Cashloan O2O"/>
    <x v="1"/>
    <x v="6"/>
    <x v="3"/>
    <n v="33400000"/>
    <n v="0"/>
    <n v="33400000"/>
    <n v="0"/>
    <n v="33400000"/>
  </r>
  <r>
    <s v="[VDS] - Cashloan O2O"/>
    <x v="1"/>
    <x v="6"/>
    <x v="4"/>
    <n v="33400000"/>
    <n v="0"/>
    <n v="33400000"/>
    <n v="0"/>
    <n v="33400000"/>
  </r>
  <r>
    <s v="[VDS] - Cashloan O2O"/>
    <x v="1"/>
    <x v="6"/>
    <x v="5"/>
    <n v="33400000"/>
    <n v="0"/>
    <n v="33400000"/>
    <n v="0"/>
    <n v="33400000"/>
  </r>
  <r>
    <s v="[VDS] - Cashloan O2O"/>
    <x v="1"/>
    <x v="6"/>
    <x v="6"/>
    <n v="33400000"/>
    <n v="0"/>
    <n v="33400000"/>
    <n v="0"/>
    <n v="33400000"/>
  </r>
  <r>
    <s v="[VDS] - Cashloan O2O"/>
    <x v="1"/>
    <x v="6"/>
    <x v="7"/>
    <n v="33400000"/>
    <n v="0"/>
    <n v="33400000"/>
    <n v="0"/>
    <n v="33400000"/>
  </r>
  <r>
    <s v="[VDS] - Cashloan O2O"/>
    <x v="1"/>
    <x v="6"/>
    <x v="8"/>
    <n v="33400000"/>
    <n v="0"/>
    <n v="33400000"/>
    <n v="0"/>
    <n v="33400000"/>
  </r>
  <r>
    <s v="[VDS] - Cashloan O2O"/>
    <x v="1"/>
    <x v="6"/>
    <x v="9"/>
    <n v="33400000"/>
    <n v="0"/>
    <n v="33400000"/>
    <n v="0"/>
    <n v="33400000"/>
  </r>
  <r>
    <s v="[VDS] - Cashloan O2O"/>
    <x v="1"/>
    <x v="6"/>
    <x v="10"/>
    <n v="33400000"/>
    <n v="0"/>
    <n v="33400000"/>
    <n v="0"/>
    <n v="33400000"/>
  </r>
  <r>
    <s v="[VDS] - Cashloan O2O"/>
    <x v="1"/>
    <x v="6"/>
    <x v="11"/>
    <n v="33400000"/>
    <n v="0"/>
    <n v="33400000"/>
    <n v="0"/>
    <n v="33400000"/>
  </r>
  <r>
    <s v="[VDS] - Cashloan O2O"/>
    <x v="1"/>
    <x v="6"/>
    <x v="12"/>
    <n v="33400000"/>
    <n v="0"/>
    <n v="33400000"/>
    <n v="0"/>
    <n v="33400000"/>
  </r>
  <r>
    <s v="[VDS] - Cashloan O2O"/>
    <x v="1"/>
    <x v="6"/>
    <x v="13"/>
    <n v="33400000"/>
    <n v="0"/>
    <n v="33400000"/>
    <n v="0"/>
    <n v="33400000"/>
  </r>
  <r>
    <s v="[VDS] - Cashloan O2O"/>
    <x v="1"/>
    <x v="6"/>
    <x v="14"/>
    <n v="32467771"/>
    <n v="10700000"/>
    <n v="21767771"/>
    <n v="0"/>
    <n v="32467771"/>
  </r>
  <r>
    <s v="[VDS] - Cashloan O2O"/>
    <x v="1"/>
    <x v="6"/>
    <x v="15"/>
    <n v="30904944"/>
    <n v="0"/>
    <n v="30904944"/>
    <n v="0"/>
    <n v="30904944"/>
  </r>
  <r>
    <s v="[VDS] - Cashloan O2O"/>
    <x v="1"/>
    <x v="6"/>
    <x v="16"/>
    <n v="30904944"/>
    <n v="0"/>
    <n v="30904944"/>
    <n v="0"/>
    <n v="30904944"/>
  </r>
  <r>
    <s v="[VDS] - Cashloan O2O"/>
    <x v="1"/>
    <x v="6"/>
    <x v="17"/>
    <n v="30904944"/>
    <n v="0"/>
    <n v="30904944"/>
    <n v="0"/>
    <n v="30904944"/>
  </r>
  <r>
    <s v="[VDS] - Cashloan O2O"/>
    <x v="1"/>
    <x v="6"/>
    <x v="18"/>
    <n v="30904944"/>
    <n v="0"/>
    <n v="30904944"/>
    <n v="0"/>
    <n v="30904944"/>
  </r>
  <r>
    <s v="[VDS] - Cashloan O2O"/>
    <x v="1"/>
    <x v="6"/>
    <x v="19"/>
    <n v="30904944"/>
    <n v="0"/>
    <n v="30904944"/>
    <n v="0"/>
    <n v="30904944"/>
  </r>
  <r>
    <s v="[VDS] - Cashloan O2O"/>
    <x v="1"/>
    <x v="6"/>
    <x v="20"/>
    <n v="30904944"/>
    <n v="0"/>
    <n v="30904944"/>
    <n v="0"/>
    <n v="30904944"/>
  </r>
  <r>
    <s v="[VDS] - Cashloan O2O"/>
    <x v="1"/>
    <x v="6"/>
    <x v="21"/>
    <n v="30904944"/>
    <n v="0"/>
    <n v="30904944"/>
    <n v="0"/>
    <n v="30904944"/>
  </r>
  <r>
    <s v="[VDS] - Cashloan O2O"/>
    <x v="1"/>
    <x v="6"/>
    <x v="22"/>
    <n v="30904944"/>
    <n v="0"/>
    <n v="30904944"/>
    <n v="0"/>
    <n v="30904944"/>
  </r>
  <r>
    <s v="[VDS] - Cashloan O2O"/>
    <x v="1"/>
    <x v="6"/>
    <x v="23"/>
    <n v="30904944"/>
    <n v="0"/>
    <n v="30904944"/>
    <n v="0"/>
    <n v="30904944"/>
  </r>
  <r>
    <s v="[VDS] - Cashloan O2O"/>
    <x v="1"/>
    <x v="6"/>
    <x v="24"/>
    <n v="30114737"/>
    <n v="0"/>
    <n v="30114737"/>
    <n v="0"/>
    <n v="30114737"/>
  </r>
  <r>
    <s v="[VDS] - Cashloan O2O"/>
    <x v="1"/>
    <x v="6"/>
    <x v="25"/>
    <n v="30114737"/>
    <n v="0"/>
    <n v="30114737"/>
    <n v="0"/>
    <n v="30114737"/>
  </r>
  <r>
    <s v="[VDS] - Cashloan O2O"/>
    <x v="1"/>
    <x v="6"/>
    <x v="26"/>
    <n v="30114737"/>
    <n v="0"/>
    <n v="30114737"/>
    <n v="0"/>
    <n v="30114737"/>
  </r>
  <r>
    <s v="[VDS] - Cashloan O2O"/>
    <x v="1"/>
    <x v="6"/>
    <x v="27"/>
    <n v="29064774"/>
    <n v="0"/>
    <n v="29064774"/>
    <n v="0"/>
    <n v="29064774"/>
  </r>
  <r>
    <s v="[VDS] - Cashloan O2O"/>
    <x v="1"/>
    <x v="6"/>
    <x v="28"/>
    <n v="29064774"/>
    <n v="0"/>
    <n v="29064774"/>
    <n v="0"/>
    <n v="29064774"/>
  </r>
  <r>
    <s v="[VDS] - Cashloan O2O"/>
    <x v="1"/>
    <x v="6"/>
    <x v="29"/>
    <n v="29064774"/>
    <n v="0"/>
    <n v="29064774"/>
    <n v="0"/>
    <n v="29064774"/>
  </r>
  <r>
    <s v="[VDS] - Cashloan O2O"/>
    <x v="1"/>
    <x v="6"/>
    <x v="30"/>
    <n v="29064774"/>
    <n v="0"/>
    <n v="29064774"/>
    <n v="0"/>
    <n v="29064774"/>
  </r>
  <r>
    <s v="[VDS] - Cashloan O2O"/>
    <x v="1"/>
    <x v="6"/>
    <x v="31"/>
    <n v="29064774"/>
    <n v="0"/>
    <n v="29064774"/>
    <n v="0"/>
    <n v="29064774"/>
  </r>
  <r>
    <s v="[VDS] - Cashloan O2O"/>
    <x v="1"/>
    <x v="6"/>
    <x v="32"/>
    <n v="29064774"/>
    <n v="0"/>
    <n v="29064774"/>
    <n v="0"/>
    <n v="29064774"/>
  </r>
  <r>
    <s v="[VDS] - Cashloan O2O"/>
    <x v="1"/>
    <x v="6"/>
    <x v="33"/>
    <n v="29064774"/>
    <n v="0"/>
    <n v="29064774"/>
    <n v="0"/>
    <n v="29064774"/>
  </r>
  <r>
    <s v="[VDS] - Cashloan O2O"/>
    <x v="1"/>
    <x v="6"/>
    <x v="34"/>
    <n v="29064774"/>
    <n v="0"/>
    <n v="29064774"/>
    <n v="0"/>
    <n v="29064774"/>
  </r>
  <r>
    <s v="[VDS] - Cashloan O2O"/>
    <x v="1"/>
    <x v="6"/>
    <x v="35"/>
    <n v="29064774"/>
    <n v="0"/>
    <n v="29064774"/>
    <n v="0"/>
    <n v="29064774"/>
  </r>
  <r>
    <s v="[VDS] - Cashloan O2O"/>
    <x v="1"/>
    <x v="6"/>
    <x v="36"/>
    <n v="29064774"/>
    <n v="0"/>
    <n v="29064774"/>
    <n v="0"/>
    <n v="29064774"/>
  </r>
  <r>
    <s v="[VDS] - Cashloan O2O"/>
    <x v="1"/>
    <x v="6"/>
    <x v="37"/>
    <n v="29064774"/>
    <n v="0"/>
    <n v="29064774"/>
    <n v="0"/>
    <n v="29064774"/>
  </r>
  <r>
    <s v="[VDS] - Cashloan O2O"/>
    <x v="1"/>
    <x v="6"/>
    <x v="38"/>
    <n v="29064774"/>
    <n v="0"/>
    <n v="29064774"/>
    <n v="0"/>
    <n v="29064774"/>
  </r>
  <r>
    <s v="[VDS] - Cashloan O2O"/>
    <x v="1"/>
    <x v="6"/>
    <x v="39"/>
    <n v="29064774"/>
    <n v="0"/>
    <n v="29064774"/>
    <n v="0"/>
    <n v="29064774"/>
  </r>
  <r>
    <s v="[VDS] - Cashloan O2O"/>
    <x v="1"/>
    <x v="6"/>
    <x v="40"/>
    <n v="29064774"/>
    <n v="0"/>
    <n v="29064774"/>
    <n v="0"/>
    <n v="29064774"/>
  </r>
  <r>
    <s v="[VDS] - Cashloan O2O"/>
    <x v="1"/>
    <x v="6"/>
    <x v="41"/>
    <n v="49764774"/>
    <n v="0"/>
    <n v="49764774"/>
    <n v="0"/>
    <n v="49764774"/>
  </r>
  <r>
    <s v="[VDS] - Cashloan O2O"/>
    <x v="1"/>
    <x v="6"/>
    <x v="42"/>
    <n v="60464774"/>
    <n v="0"/>
    <n v="60464774"/>
    <n v="0"/>
    <n v="60464774"/>
  </r>
  <r>
    <s v="[VDS] - Cashloan O2O"/>
    <x v="1"/>
    <x v="6"/>
    <x v="43"/>
    <n v="66985774"/>
    <n v="0"/>
    <n v="66985774"/>
    <n v="0"/>
    <n v="66985774"/>
  </r>
  <r>
    <s v="[VDS] - Cashloan O2O"/>
    <x v="1"/>
    <x v="6"/>
    <x v="44"/>
    <n v="66470647"/>
    <n v="9137173"/>
    <n v="57333474"/>
    <n v="0"/>
    <n v="66470647"/>
  </r>
  <r>
    <s v="[VDS] - Cashloan O2O"/>
    <x v="1"/>
    <x v="6"/>
    <x v="45"/>
    <n v="64813160"/>
    <n v="0"/>
    <n v="64813160"/>
    <n v="0"/>
    <n v="64813160"/>
  </r>
  <r>
    <s v="[VDS] - Cashloan O2O"/>
    <x v="1"/>
    <x v="6"/>
    <x v="46"/>
    <n v="64813160"/>
    <n v="0"/>
    <n v="64813160"/>
    <n v="0"/>
    <n v="64813160"/>
  </r>
  <r>
    <s v="[VDS] - Cashloan O2O"/>
    <x v="1"/>
    <x v="6"/>
    <x v="47"/>
    <n v="64813160"/>
    <n v="0"/>
    <n v="64813160"/>
    <n v="0"/>
    <n v="64813160"/>
  </r>
  <r>
    <s v="[VDS] - Cashloan O2O"/>
    <x v="1"/>
    <x v="6"/>
    <x v="48"/>
    <n v="64813160"/>
    <n v="0"/>
    <n v="64813160"/>
    <n v="0"/>
    <n v="64813160"/>
  </r>
  <r>
    <s v="[VDS] - Cashloan O2O"/>
    <x v="1"/>
    <x v="6"/>
    <x v="49"/>
    <n v="74813160"/>
    <n v="0"/>
    <n v="74813160"/>
    <n v="0"/>
    <n v="74813160"/>
  </r>
  <r>
    <s v="[VDS] - Cashloan O2O"/>
    <x v="1"/>
    <x v="6"/>
    <x v="50"/>
    <n v="84813160"/>
    <n v="0"/>
    <n v="84813160"/>
    <n v="0"/>
    <n v="84813160"/>
  </r>
  <r>
    <s v="[VDS] - Cashloan O2O"/>
    <x v="1"/>
    <x v="6"/>
    <x v="51"/>
    <n v="84813160"/>
    <n v="0"/>
    <n v="84813160"/>
    <n v="0"/>
    <n v="84813160"/>
  </r>
  <r>
    <s v="[VDS] - Cashloan O2O"/>
    <x v="1"/>
    <x v="6"/>
    <x v="52"/>
    <n v="94813160"/>
    <n v="0"/>
    <n v="94813160"/>
    <n v="0"/>
    <n v="94813160"/>
  </r>
  <r>
    <s v="[VDS] - Cashloan O2O"/>
    <x v="1"/>
    <x v="6"/>
    <x v="53"/>
    <n v="94813160"/>
    <n v="0"/>
    <n v="94813160"/>
    <n v="0"/>
    <n v="94813160"/>
  </r>
  <r>
    <s v="[VDS] - Cashloan O2O"/>
    <x v="1"/>
    <x v="6"/>
    <x v="54"/>
    <n v="94813160"/>
    <n v="0"/>
    <n v="94813160"/>
    <n v="0"/>
    <n v="94813160"/>
  </r>
  <r>
    <s v="[VDS] - Cashloan O2O"/>
    <x v="1"/>
    <x v="6"/>
    <x v="55"/>
    <n v="93991479"/>
    <n v="0"/>
    <n v="93991479"/>
    <n v="0"/>
    <n v="93991479"/>
  </r>
  <r>
    <s v="[VDS] - Cashloan O2O"/>
    <x v="1"/>
    <x v="6"/>
    <x v="56"/>
    <n v="93991479"/>
    <n v="0"/>
    <n v="93991479"/>
    <n v="0"/>
    <n v="93991479"/>
  </r>
  <r>
    <s v="[VDS] - Cashloan O2O"/>
    <x v="1"/>
    <x v="6"/>
    <x v="57"/>
    <n v="112890887"/>
    <n v="0"/>
    <n v="112890887"/>
    <n v="0"/>
    <n v="112890887"/>
  </r>
  <r>
    <s v="[VDS] - Cashloan O2O"/>
    <x v="1"/>
    <x v="6"/>
    <x v="58"/>
    <n v="119890887"/>
    <n v="0"/>
    <n v="119890887"/>
    <n v="0"/>
    <n v="119890887"/>
  </r>
  <r>
    <s v="[VDS] - Cashloan O2O"/>
    <x v="1"/>
    <x v="6"/>
    <x v="59"/>
    <n v="130590887"/>
    <n v="0"/>
    <n v="130590887"/>
    <n v="0"/>
    <n v="130590887"/>
  </r>
  <r>
    <s v="[VDS] - Cashloan O2O"/>
    <x v="1"/>
    <x v="6"/>
    <x v="60"/>
    <n v="130590887"/>
    <n v="0"/>
    <n v="130590887"/>
    <n v="0"/>
    <n v="130590887"/>
  </r>
  <r>
    <s v="[VDS] - Cashloan O2O"/>
    <x v="1"/>
    <x v="6"/>
    <x v="61"/>
    <n v="130590887"/>
    <n v="0"/>
    <n v="130590887"/>
    <n v="0"/>
    <n v="130590887"/>
  </r>
  <r>
    <s v="[VDS] - Cashloan O2O"/>
    <x v="1"/>
    <x v="6"/>
    <x v="62"/>
    <n v="130590887"/>
    <n v="0"/>
    <n v="130590887"/>
    <n v="0"/>
    <n v="130590887"/>
  </r>
  <r>
    <s v="[VDS] - Cashloan O2O"/>
    <x v="1"/>
    <x v="6"/>
    <x v="63"/>
    <n v="130590887"/>
    <n v="0"/>
    <n v="130590887"/>
    <n v="0"/>
    <n v="130590887"/>
  </r>
  <r>
    <s v="[VDS] - Cashloan O2O"/>
    <x v="1"/>
    <x v="6"/>
    <x v="64"/>
    <n v="130590887"/>
    <n v="0"/>
    <n v="130590887"/>
    <n v="0"/>
    <n v="130590887"/>
  </r>
  <r>
    <s v="[VDS] - Cashloan O2O"/>
    <x v="1"/>
    <x v="6"/>
    <x v="65"/>
    <n v="130590887"/>
    <n v="0"/>
    <n v="130590887"/>
    <n v="0"/>
    <n v="130590887"/>
  </r>
  <r>
    <s v="[VDS] - Cashloan O2O"/>
    <x v="1"/>
    <x v="6"/>
    <x v="66"/>
    <n v="130590887"/>
    <n v="0"/>
    <n v="130590887"/>
    <n v="0"/>
    <n v="130590887"/>
  </r>
  <r>
    <s v="[VDS] - Cashloan O2O"/>
    <x v="1"/>
    <x v="6"/>
    <x v="67"/>
    <n v="130590887"/>
    <n v="0"/>
    <n v="130590887"/>
    <n v="0"/>
    <n v="130590887"/>
  </r>
  <r>
    <s v="[VDS] - Cashloan O2O"/>
    <x v="1"/>
    <x v="6"/>
    <x v="68"/>
    <n v="130590887"/>
    <n v="0"/>
    <n v="130590887"/>
    <n v="0"/>
    <n v="130590887"/>
  </r>
  <r>
    <s v="[VDS] - Cashloan O2O"/>
    <x v="1"/>
    <x v="6"/>
    <x v="69"/>
    <n v="130590887"/>
    <n v="0"/>
    <n v="130590887"/>
    <n v="0"/>
    <n v="130590887"/>
  </r>
  <r>
    <s v="[VDS] - Cashloan O2O"/>
    <x v="1"/>
    <x v="6"/>
    <x v="70"/>
    <n v="126852775"/>
    <n v="0"/>
    <n v="126852775"/>
    <n v="0"/>
    <n v="126852775"/>
  </r>
  <r>
    <s v="[VDS] - Cashloan O2O"/>
    <x v="1"/>
    <x v="6"/>
    <x v="71"/>
    <n v="126852775"/>
    <n v="0"/>
    <n v="126852775"/>
    <n v="0"/>
    <n v="126852775"/>
  </r>
  <r>
    <s v="[VDS] - Cashloan O2O"/>
    <x v="1"/>
    <x v="6"/>
    <x v="72"/>
    <n v="143552775"/>
    <n v="0"/>
    <n v="143552775"/>
    <n v="0"/>
    <n v="143552775"/>
  </r>
  <r>
    <s v="[VDS] - Cashloan O2O"/>
    <x v="1"/>
    <x v="6"/>
    <x v="73"/>
    <n v="143126690"/>
    <n v="10000000"/>
    <n v="133126690"/>
    <n v="0"/>
    <n v="143126690"/>
  </r>
  <r>
    <s v="[VDS] - Cashloan O2O"/>
    <x v="1"/>
    <x v="6"/>
    <x v="74"/>
    <n v="133416070"/>
    <n v="10000000"/>
    <n v="123416070"/>
    <n v="0"/>
    <n v="133416070"/>
  </r>
  <r>
    <s v="[VDS] - Cashloan O2O"/>
    <x v="1"/>
    <x v="6"/>
    <x v="75"/>
    <n v="133416070"/>
    <n v="10000000"/>
    <n v="123416070"/>
    <n v="0"/>
    <n v="133416070"/>
  </r>
  <r>
    <s v="[VDS] - Cashloan O2O"/>
    <x v="1"/>
    <x v="6"/>
    <x v="76"/>
    <n v="132797405"/>
    <n v="0"/>
    <n v="132797405"/>
    <n v="0"/>
    <n v="132797405"/>
  </r>
  <r>
    <s v="[VDS] - Cashloan O2O"/>
    <x v="1"/>
    <x v="6"/>
    <x v="77"/>
    <n v="132797405"/>
    <n v="0"/>
    <n v="132797405"/>
    <n v="0"/>
    <n v="132797405"/>
  </r>
  <r>
    <s v="[VDS] - Cashloan O2O"/>
    <x v="1"/>
    <x v="6"/>
    <x v="78"/>
    <n v="126797405"/>
    <n v="0"/>
    <n v="126797405"/>
    <n v="0"/>
    <n v="126797405"/>
  </r>
  <r>
    <s v="[VDS] - Cashloan O2O"/>
    <x v="1"/>
    <x v="6"/>
    <x v="79"/>
    <n v="126797405"/>
    <n v="0"/>
    <n v="126797405"/>
    <n v="0"/>
    <n v="126797405"/>
  </r>
  <r>
    <s v="[VDS] - Cashloan O2O"/>
    <x v="1"/>
    <x v="6"/>
    <x v="80"/>
    <n v="122978876"/>
    <n v="0"/>
    <n v="122978876"/>
    <n v="0"/>
    <n v="122978876"/>
  </r>
  <r>
    <s v="[VDS] - Cashloan O2O"/>
    <x v="1"/>
    <x v="6"/>
    <x v="81"/>
    <n v="129360211"/>
    <n v="10000000"/>
    <n v="119360211"/>
    <n v="0"/>
    <n v="129360211"/>
  </r>
  <r>
    <s v="[VDS] - Cashloan O2O"/>
    <x v="1"/>
    <x v="6"/>
    <x v="82"/>
    <n v="129360211"/>
    <n v="10000000"/>
    <n v="119360211"/>
    <n v="0"/>
    <n v="129360211"/>
  </r>
  <r>
    <s v="[VDS] - Cashloan O2O"/>
    <x v="1"/>
    <x v="6"/>
    <x v="83"/>
    <n v="128741546"/>
    <n v="10000000"/>
    <n v="118741546"/>
    <n v="0"/>
    <n v="128741546"/>
  </r>
  <r>
    <s v="[VDS] - Cashloan O2O"/>
    <x v="1"/>
    <x v="6"/>
    <x v="84"/>
    <n v="128741546"/>
    <n v="10000000"/>
    <n v="118741546"/>
    <n v="0"/>
    <n v="128741546"/>
  </r>
  <r>
    <s v="[VDS] - Cashloan O2O"/>
    <x v="1"/>
    <x v="6"/>
    <x v="85"/>
    <n v="127804287"/>
    <n v="0"/>
    <n v="127804287"/>
    <n v="0"/>
    <n v="127804287"/>
  </r>
  <r>
    <s v="[VDS] - Cashloan O2O"/>
    <x v="1"/>
    <x v="6"/>
    <x v="86"/>
    <n v="124227870"/>
    <n v="0"/>
    <n v="124227870"/>
    <n v="0"/>
    <n v="124227870"/>
  </r>
  <r>
    <s v="[VDS] - Cashloan O2O"/>
    <x v="1"/>
    <x v="6"/>
    <x v="87"/>
    <n v="124227870"/>
    <n v="0"/>
    <n v="124227870"/>
    <n v="0"/>
    <n v="124227870"/>
  </r>
  <r>
    <s v="[VDS] - Cashloan O2O"/>
    <x v="1"/>
    <x v="6"/>
    <x v="88"/>
    <n v="123090235"/>
    <n v="0"/>
    <n v="123090235"/>
    <n v="0"/>
    <n v="123090235"/>
  </r>
  <r>
    <s v="[VDS] - Cashloan O2O"/>
    <x v="1"/>
    <x v="6"/>
    <x v="89"/>
    <n v="122471570"/>
    <n v="10000000"/>
    <n v="112471570"/>
    <n v="0"/>
    <n v="122471570"/>
  </r>
  <r>
    <s v="[VDS] - Cashloan O2O"/>
    <x v="1"/>
    <x v="6"/>
    <x v="90"/>
    <n v="133748065"/>
    <n v="10000000"/>
    <n v="123748065"/>
    <n v="0"/>
    <n v="133748065"/>
  </r>
  <r>
    <s v="[VDS] - Cashloan O2O"/>
    <x v="1"/>
    <x v="6"/>
    <x v="91"/>
    <n v="133748065"/>
    <n v="10000000"/>
    <n v="123748065"/>
    <n v="0"/>
    <n v="133748065"/>
  </r>
  <r>
    <s v="[VDS] - Payday"/>
    <x v="4"/>
    <x v="6"/>
    <x v="0"/>
    <n v="221823221942"/>
    <n v="90596217929"/>
    <n v="131227004013"/>
    <n v="87299532448"/>
    <n v="134523689494"/>
  </r>
  <r>
    <s v="[VDS] - Payday"/>
    <x v="4"/>
    <x v="6"/>
    <x v="1"/>
    <n v="222282815926"/>
    <n v="90746859514"/>
    <n v="131535956412"/>
    <n v="87445442094"/>
    <n v="134837373832"/>
  </r>
  <r>
    <s v="[VDS] - Payday"/>
    <x v="4"/>
    <x v="6"/>
    <x v="2"/>
    <n v="222478951901"/>
    <n v="90902641362"/>
    <n v="131576310539"/>
    <n v="87399759390"/>
    <n v="135079192511"/>
  </r>
  <r>
    <s v="[VDS] - Payday"/>
    <x v="4"/>
    <x v="6"/>
    <x v="3"/>
    <n v="222813667727"/>
    <n v="91112001050"/>
    <n v="131701666677"/>
    <n v="87851962574"/>
    <n v="134961705153"/>
  </r>
  <r>
    <s v="[VDS] - Payday"/>
    <x v="4"/>
    <x v="6"/>
    <x v="4"/>
    <n v="224329635412"/>
    <n v="91335457500"/>
    <n v="132994177912"/>
    <n v="88103976323"/>
    <n v="136225659089"/>
  </r>
  <r>
    <s v="[VDS] - Payday"/>
    <x v="4"/>
    <x v="6"/>
    <x v="5"/>
    <n v="225451329918"/>
    <n v="91624466237"/>
    <n v="133826863681"/>
    <n v="88218316614"/>
    <n v="137233013304"/>
  </r>
  <r>
    <s v="[VDS] - Payday"/>
    <x v="4"/>
    <x v="6"/>
    <x v="6"/>
    <n v="225633770591"/>
    <n v="91359501577"/>
    <n v="134274269014"/>
    <n v="88438429055"/>
    <n v="137195341536"/>
  </r>
  <r>
    <s v="[VDS] - Payday"/>
    <x v="4"/>
    <x v="6"/>
    <x v="7"/>
    <n v="225898742246"/>
    <n v="91969313258"/>
    <n v="133929428988"/>
    <n v="88627501886"/>
    <n v="137271240360"/>
  </r>
  <r>
    <s v="[VDS] - Payday"/>
    <x v="4"/>
    <x v="6"/>
    <x v="8"/>
    <n v="226190707791"/>
    <n v="92059025050"/>
    <n v="134131682741"/>
    <n v="88822311134"/>
    <n v="137368396657"/>
  </r>
  <r>
    <s v="[VDS] - Payday"/>
    <x v="4"/>
    <x v="6"/>
    <x v="9"/>
    <n v="223625337133"/>
    <n v="92054222560"/>
    <n v="131571114573"/>
    <n v="88735493970"/>
    <n v="134889843163"/>
  </r>
  <r>
    <s v="[VDS] - Payday"/>
    <x v="4"/>
    <x v="6"/>
    <x v="10"/>
    <n v="224035357424"/>
    <n v="92204574465"/>
    <n v="131830782959"/>
    <n v="89187754343"/>
    <n v="134847603081"/>
  </r>
  <r>
    <s v="[VDS] - Payday"/>
    <x v="4"/>
    <x v="6"/>
    <x v="11"/>
    <n v="225559264174"/>
    <n v="92399822326"/>
    <n v="133159441848"/>
    <n v="89375744797"/>
    <n v="136183519377"/>
  </r>
  <r>
    <s v="[VDS] - Payday"/>
    <x v="4"/>
    <x v="6"/>
    <x v="12"/>
    <n v="227269436936"/>
    <n v="92660800897"/>
    <n v="134608636039"/>
    <n v="89534614994"/>
    <n v="137734821942"/>
  </r>
  <r>
    <s v="[VDS] - Payday"/>
    <x v="4"/>
    <x v="6"/>
    <x v="13"/>
    <n v="227624689803"/>
    <n v="92375543820"/>
    <n v="135249145983"/>
    <n v="89726083573"/>
    <n v="137898606230"/>
  </r>
  <r>
    <s v="[VDS] - Payday"/>
    <x v="4"/>
    <x v="6"/>
    <x v="14"/>
    <n v="226983875133"/>
    <n v="93058269894"/>
    <n v="133925605239"/>
    <n v="89927810596"/>
    <n v="137056064537"/>
  </r>
  <r>
    <s v="[VDS] - Payday"/>
    <x v="4"/>
    <x v="6"/>
    <x v="15"/>
    <n v="227280173964"/>
    <n v="93149301846"/>
    <n v="134130872118"/>
    <n v="90074149625"/>
    <n v="137206024339"/>
  </r>
  <r>
    <s v="[VDS] - Payday"/>
    <x v="4"/>
    <x v="6"/>
    <x v="16"/>
    <n v="228043777620"/>
    <n v="93237225738"/>
    <n v="134806551882"/>
    <n v="90006558531"/>
    <n v="138037219089"/>
  </r>
  <r>
    <s v="[VDS] - Payday"/>
    <x v="4"/>
    <x v="6"/>
    <x v="17"/>
    <n v="228364277350"/>
    <n v="93286144199"/>
    <n v="135078133151"/>
    <n v="90341693758"/>
    <n v="138022583592"/>
  </r>
  <r>
    <s v="[VDS] - Payday"/>
    <x v="4"/>
    <x v="6"/>
    <x v="18"/>
    <n v="229637533824"/>
    <n v="93514688403"/>
    <n v="136122845421"/>
    <n v="90453570443"/>
    <n v="139183963381"/>
  </r>
  <r>
    <s v="[VDS] - Payday"/>
    <x v="4"/>
    <x v="6"/>
    <x v="19"/>
    <n v="230724548214"/>
    <n v="93746739260"/>
    <n v="136977808954"/>
    <n v="90632740999"/>
    <n v="140091807215"/>
  </r>
  <r>
    <s v="[VDS] - Payday"/>
    <x v="4"/>
    <x v="6"/>
    <x v="20"/>
    <n v="230450235299"/>
    <n v="93506324905"/>
    <n v="136943910394"/>
    <n v="90826337497"/>
    <n v="139623897802"/>
  </r>
  <r>
    <s v="[VDS] - Payday"/>
    <x v="4"/>
    <x v="6"/>
    <x v="21"/>
    <n v="231375946987"/>
    <n v="94341875991"/>
    <n v="137034070996"/>
    <n v="91006104284"/>
    <n v="140369842703"/>
  </r>
  <r>
    <s v="[VDS] - Payday"/>
    <x v="4"/>
    <x v="6"/>
    <x v="22"/>
    <n v="232176402901"/>
    <n v="94375338396"/>
    <n v="137801064505"/>
    <n v="91184018624"/>
    <n v="140992384277"/>
  </r>
  <r>
    <s v="[VDS] - Payday"/>
    <x v="4"/>
    <x v="6"/>
    <x v="23"/>
    <n v="232613085897"/>
    <n v="94545344749"/>
    <n v="138067741148"/>
    <n v="91121459408"/>
    <n v="141491626489"/>
  </r>
  <r>
    <s v="[VDS] - Payday"/>
    <x v="4"/>
    <x v="6"/>
    <x v="24"/>
    <n v="232961222313"/>
    <n v="94645199483"/>
    <n v="138316022830"/>
    <n v="91644889735"/>
    <n v="141316332578"/>
  </r>
  <r>
    <s v="[VDS] - Payday"/>
    <x v="4"/>
    <x v="6"/>
    <x v="25"/>
    <n v="233953546997"/>
    <n v="94955783407"/>
    <n v="138997763590"/>
    <n v="91857655590"/>
    <n v="142095891407"/>
  </r>
  <r>
    <s v="[VDS] - Payday"/>
    <x v="4"/>
    <x v="6"/>
    <x v="26"/>
    <n v="234999546922"/>
    <n v="95299716870"/>
    <n v="139699830052"/>
    <n v="92030293014"/>
    <n v="142969253908"/>
  </r>
  <r>
    <s v="[VDS] - Payday"/>
    <x v="4"/>
    <x v="6"/>
    <x v="27"/>
    <n v="235428047127"/>
    <n v="95033469977"/>
    <n v="140394577150"/>
    <n v="92150543241"/>
    <n v="143277503886"/>
  </r>
  <r>
    <s v="[VDS] - Payday"/>
    <x v="4"/>
    <x v="6"/>
    <x v="28"/>
    <n v="236034161785"/>
    <n v="95719876543"/>
    <n v="140314285242"/>
    <n v="92363914508"/>
    <n v="143670247277"/>
  </r>
  <r>
    <s v="[VDS] - Payday"/>
    <x v="4"/>
    <x v="6"/>
    <x v="29"/>
    <n v="235833222882"/>
    <n v="95907995756"/>
    <n v="139925227126"/>
    <n v="92546400752"/>
    <n v="143286822130"/>
  </r>
  <r>
    <s v="[VDS] - Payday"/>
    <x v="4"/>
    <x v="6"/>
    <x v="30"/>
    <n v="234393825319"/>
    <n v="96063995957"/>
    <n v="138329829362"/>
    <n v="92490166297"/>
    <n v="141903659022"/>
  </r>
  <r>
    <s v="[VDS] - Payday"/>
    <x v="4"/>
    <x v="6"/>
    <x v="31"/>
    <n v="234900510254"/>
    <n v="96273263875"/>
    <n v="138627246379"/>
    <n v="92997394009"/>
    <n v="141903116245"/>
  </r>
  <r>
    <s v="[VDS] - Payday"/>
    <x v="4"/>
    <x v="6"/>
    <x v="32"/>
    <n v="236364943241"/>
    <n v="96547237833"/>
    <n v="139817705408"/>
    <n v="93221208381"/>
    <n v="143143734860"/>
  </r>
  <r>
    <s v="[VDS] - Payday"/>
    <x v="4"/>
    <x v="6"/>
    <x v="33"/>
    <n v="237541858553"/>
    <n v="96843657663"/>
    <n v="140698200890"/>
    <n v="93452100817"/>
    <n v="144089757736"/>
  </r>
  <r>
    <s v="[VDS] - Payday"/>
    <x v="4"/>
    <x v="6"/>
    <x v="34"/>
    <n v="237732787617"/>
    <n v="96634841605"/>
    <n v="141097946012"/>
    <n v="93610716108"/>
    <n v="144122071509"/>
  </r>
  <r>
    <s v="[VDS] - Payday"/>
    <x v="4"/>
    <x v="6"/>
    <x v="35"/>
    <n v="237577445494"/>
    <n v="97429971157"/>
    <n v="140147474337"/>
    <n v="93862464609"/>
    <n v="143714980885"/>
  </r>
  <r>
    <s v="[VDS] - Payday"/>
    <x v="4"/>
    <x v="6"/>
    <x v="36"/>
    <n v="237821692946"/>
    <n v="97480506733"/>
    <n v="140341186213"/>
    <n v="94081525139"/>
    <n v="143740167807"/>
  </r>
  <r>
    <s v="[VDS] - Payday"/>
    <x v="4"/>
    <x v="6"/>
    <x v="37"/>
    <n v="237724579412"/>
    <n v="97696238706"/>
    <n v="140028340706"/>
    <n v="93997793756"/>
    <n v="143726785656"/>
  </r>
  <r>
    <s v="[VDS] - Payday"/>
    <x v="4"/>
    <x v="6"/>
    <x v="38"/>
    <n v="236013242548"/>
    <n v="97774344977"/>
    <n v="138238897571"/>
    <n v="94424709673"/>
    <n v="141588532875"/>
  </r>
  <r>
    <s v="[VDS] - Payday"/>
    <x v="4"/>
    <x v="6"/>
    <x v="39"/>
    <n v="236253295696"/>
    <n v="97833379757"/>
    <n v="138419915939"/>
    <n v="94609540136"/>
    <n v="141643755560"/>
  </r>
  <r>
    <s v="[VDS] - Payday"/>
    <x v="4"/>
    <x v="6"/>
    <x v="40"/>
    <n v="237356820084"/>
    <n v="98137112718"/>
    <n v="139219707366"/>
    <n v="94774942006"/>
    <n v="142581878078"/>
  </r>
  <r>
    <s v="[VDS] - Payday"/>
    <x v="4"/>
    <x v="6"/>
    <x v="41"/>
    <n v="236409512025"/>
    <n v="97694283374"/>
    <n v="138715228651"/>
    <n v="94903890288"/>
    <n v="141505621737"/>
  </r>
  <r>
    <s v="[VDS] - Payday"/>
    <x v="4"/>
    <x v="6"/>
    <x v="42"/>
    <n v="236325242440"/>
    <n v="98432377774"/>
    <n v="137892864666"/>
    <n v="95093448860"/>
    <n v="141231793580"/>
  </r>
  <r>
    <s v="[VDS] - Payday"/>
    <x v="4"/>
    <x v="6"/>
    <x v="43"/>
    <n v="236653112850"/>
    <n v="98649283010"/>
    <n v="138003829840"/>
    <n v="95245873181"/>
    <n v="141407239669"/>
  </r>
  <r>
    <s v="[VDS] - Payday"/>
    <x v="4"/>
    <x v="6"/>
    <x v="44"/>
    <n v="236794312139"/>
    <n v="98876497774"/>
    <n v="137917814365"/>
    <n v="95160429044"/>
    <n v="141633883095"/>
  </r>
  <r>
    <s v="[VDS] - Payday"/>
    <x v="4"/>
    <x v="6"/>
    <x v="45"/>
    <n v="235896412429"/>
    <n v="99087686653"/>
    <n v="136808725776"/>
    <n v="95588477032"/>
    <n v="140307935397"/>
  </r>
  <r>
    <s v="[VDS] - Payday"/>
    <x v="4"/>
    <x v="6"/>
    <x v="46"/>
    <n v="237112306938"/>
    <n v="99384050424"/>
    <n v="137728256514"/>
    <n v="95699663809"/>
    <n v="141412643129"/>
  </r>
  <r>
    <s v="[VDS] - Payday"/>
    <x v="4"/>
    <x v="6"/>
    <x v="47"/>
    <n v="238551239216"/>
    <n v="99718421745"/>
    <n v="138832817471"/>
    <n v="95958978558"/>
    <n v="142592260658"/>
  </r>
  <r>
    <s v="[VDS] - Payday"/>
    <x v="4"/>
    <x v="6"/>
    <x v="48"/>
    <n v="238729252048"/>
    <n v="99453211344"/>
    <n v="139276040704"/>
    <n v="96121882150"/>
    <n v="142607369898"/>
  </r>
  <r>
    <s v="[VDS] - Payday"/>
    <x v="4"/>
    <x v="6"/>
    <x v="49"/>
    <n v="239298800336"/>
    <n v="100214744960"/>
    <n v="139084055376"/>
    <n v="96286579735"/>
    <n v="143012220601"/>
  </r>
  <r>
    <s v="[VDS] - Payday"/>
    <x v="4"/>
    <x v="6"/>
    <x v="50"/>
    <n v="240351334061"/>
    <n v="100526852549"/>
    <n v="139824481512"/>
    <n v="96482037737"/>
    <n v="143869296324"/>
  </r>
  <r>
    <s v="[VDS] - Payday"/>
    <x v="4"/>
    <x v="6"/>
    <x v="51"/>
    <n v="240762163647"/>
    <n v="100668120636"/>
    <n v="140094043011"/>
    <n v="96374367351"/>
    <n v="144387796296"/>
  </r>
  <r>
    <s v="[VDS] - Payday"/>
    <x v="4"/>
    <x v="6"/>
    <x v="52"/>
    <n v="240836954651"/>
    <n v="100825283508"/>
    <n v="140011671143"/>
    <n v="96879390713"/>
    <n v="143957563938"/>
  </r>
  <r>
    <s v="[VDS] - Payday"/>
    <x v="4"/>
    <x v="6"/>
    <x v="53"/>
    <n v="242251556195"/>
    <n v="101092981243"/>
    <n v="141158574952"/>
    <n v="97126776395"/>
    <n v="145124779800"/>
  </r>
  <r>
    <s v="[VDS] - Payday"/>
    <x v="4"/>
    <x v="6"/>
    <x v="54"/>
    <n v="243538406847"/>
    <n v="101412505478"/>
    <n v="142125901369"/>
    <n v="97358441086"/>
    <n v="146179965761"/>
  </r>
  <r>
    <s v="[VDS] - Payday"/>
    <x v="4"/>
    <x v="6"/>
    <x v="55"/>
    <n v="243963731717"/>
    <n v="101136580884"/>
    <n v="142827150833"/>
    <n v="97712031002"/>
    <n v="146251700715"/>
  </r>
  <r>
    <s v="[VDS] - Payday"/>
    <x v="4"/>
    <x v="6"/>
    <x v="56"/>
    <n v="245068717206"/>
    <n v="102116220690"/>
    <n v="142952496516"/>
    <n v="97989042684"/>
    <n v="147079674522"/>
  </r>
  <r>
    <s v="[VDS] - Payday"/>
    <x v="4"/>
    <x v="6"/>
    <x v="57"/>
    <n v="245868178720"/>
    <n v="102436407586"/>
    <n v="143431771134"/>
    <n v="98291886703"/>
    <n v="147576292017"/>
  </r>
  <r>
    <s v="[VDS] - Payday"/>
    <x v="4"/>
    <x v="6"/>
    <x v="58"/>
    <n v="246542030518"/>
    <n v="102728948591"/>
    <n v="143813081927"/>
    <n v="98229720442"/>
    <n v="148312310076"/>
  </r>
  <r>
    <s v="[VDS] - Payday"/>
    <x v="4"/>
    <x v="6"/>
    <x v="59"/>
    <n v="247219795182"/>
    <n v="102952350824"/>
    <n v="144267444358"/>
    <n v="98788395388"/>
    <n v="148431399794"/>
  </r>
  <r>
    <s v="[VDS] - Payday"/>
    <x v="4"/>
    <x v="6"/>
    <x v="60"/>
    <n v="248468623096"/>
    <n v="103185533365"/>
    <n v="145283089731"/>
    <n v="99079282451"/>
    <n v="149389340645"/>
  </r>
  <r>
    <s v="[VDS] - Payday"/>
    <x v="4"/>
    <x v="6"/>
    <x v="61"/>
    <n v="250229929312"/>
    <n v="103422661088"/>
    <n v="146807268224"/>
    <n v="99390988253"/>
    <n v="150838941059"/>
  </r>
  <r>
    <s v="[VDS] - Payday"/>
    <x v="4"/>
    <x v="6"/>
    <x v="62"/>
    <n v="251893808249"/>
    <n v="103241359811"/>
    <n v="148652448438"/>
    <n v="99661761478"/>
    <n v="152232046771"/>
  </r>
  <r>
    <s v="[VDS] - Payday"/>
    <x v="4"/>
    <x v="6"/>
    <x v="63"/>
    <n v="253407016004"/>
    <n v="103130707213"/>
    <n v="150276308791"/>
    <n v="99920567632"/>
    <n v="153486448372"/>
  </r>
  <r>
    <s v="[VDS] - Payday"/>
    <x v="4"/>
    <x v="6"/>
    <x v="64"/>
    <n v="253682961483"/>
    <n v="102937425953"/>
    <n v="150745535530"/>
    <n v="100180993313"/>
    <n v="153501968170"/>
  </r>
  <r>
    <s v="[VDS] - Payday"/>
    <x v="4"/>
    <x v="6"/>
    <x v="65"/>
    <n v="255527386035"/>
    <n v="105175646473"/>
    <n v="150351739562"/>
    <n v="100112282494"/>
    <n v="155415103541"/>
  </r>
  <r>
    <s v="[VDS] - Payday"/>
    <x v="4"/>
    <x v="6"/>
    <x v="66"/>
    <n v="257833477084"/>
    <n v="105269898592"/>
    <n v="152563578492"/>
    <n v="100829670195"/>
    <n v="157003806889"/>
  </r>
  <r>
    <s v="[VDS] - Payday"/>
    <x v="4"/>
    <x v="6"/>
    <x v="67"/>
    <n v="260397709072"/>
    <n v="105455165136"/>
    <n v="154942543936"/>
    <n v="101163590018"/>
    <n v="159234119054"/>
  </r>
  <r>
    <s v="[VDS] - Payday"/>
    <x v="4"/>
    <x v="6"/>
    <x v="68"/>
    <n v="263657756030"/>
    <n v="105782847619"/>
    <n v="157874908411"/>
    <n v="101517018281"/>
    <n v="162140737749"/>
  </r>
  <r>
    <s v="[VDS] - Payday"/>
    <x v="4"/>
    <x v="6"/>
    <x v="69"/>
    <n v="265804964831"/>
    <n v="105326139214"/>
    <n v="160478825617"/>
    <n v="101732224711"/>
    <n v="164072740120"/>
  </r>
  <r>
    <s v="[VDS] - Payday"/>
    <x v="4"/>
    <x v="6"/>
    <x v="70"/>
    <n v="268275621405"/>
    <n v="106442923396"/>
    <n v="161832698009"/>
    <n v="101956358940"/>
    <n v="166319262465"/>
  </r>
  <r>
    <s v="[VDS] - Payday"/>
    <x v="4"/>
    <x v="6"/>
    <x v="71"/>
    <n v="267497467464"/>
    <n v="106281936165"/>
    <n v="161215531299"/>
    <n v="102043125348"/>
    <n v="165454342116"/>
  </r>
  <r>
    <s v="[VDS] - Payday"/>
    <x v="4"/>
    <x v="6"/>
    <x v="72"/>
    <n v="270167775184"/>
    <n v="106430024772"/>
    <n v="163737750412"/>
    <n v="101911060149"/>
    <n v="168256715035"/>
  </r>
  <r>
    <s v="[VDS] - Payday"/>
    <x v="4"/>
    <x v="6"/>
    <x v="73"/>
    <n v="272179417383"/>
    <n v="106565305853"/>
    <n v="165614111530"/>
    <n v="101822108388"/>
    <n v="170357308995"/>
  </r>
  <r>
    <s v="[VDS] - Payday"/>
    <x v="4"/>
    <x v="6"/>
    <x v="74"/>
    <n v="275226604138"/>
    <n v="106845731123"/>
    <n v="168380873015"/>
    <n v="101749767970"/>
    <n v="173476836168"/>
  </r>
  <r>
    <s v="[VDS] - Payday"/>
    <x v="4"/>
    <x v="6"/>
    <x v="75"/>
    <n v="279007608767"/>
    <n v="107207164203"/>
    <n v="171800444564"/>
    <n v="103008976385"/>
    <n v="175998632382"/>
  </r>
  <r>
    <s v="[VDS] - Payday"/>
    <x v="4"/>
    <x v="6"/>
    <x v="76"/>
    <n v="279993768807"/>
    <n v="106772268803"/>
    <n v="173221500004"/>
    <n v="103211217523"/>
    <n v="176782551284"/>
  </r>
  <r>
    <s v="[VDS] - Payday"/>
    <x v="4"/>
    <x v="6"/>
    <x v="77"/>
    <n v="282282582389"/>
    <n v="107738406147"/>
    <n v="174544176242"/>
    <n v="103468401026"/>
    <n v="178814181363"/>
  </r>
  <r>
    <s v="[VDS] - Payday"/>
    <x v="4"/>
    <x v="6"/>
    <x v="78"/>
    <n v="284728141891"/>
    <n v="107848437831"/>
    <n v="176879704060"/>
    <n v="103701769549"/>
    <n v="181026372342"/>
  </r>
  <r>
    <s v="[VDS] - Payday"/>
    <x v="4"/>
    <x v="6"/>
    <x v="79"/>
    <n v="287773060752"/>
    <n v="108208895215"/>
    <n v="179564165537"/>
    <n v="103629896373"/>
    <n v="184143164379"/>
  </r>
  <r>
    <s v="[VDS] - Payday"/>
    <x v="4"/>
    <x v="6"/>
    <x v="80"/>
    <n v="290510722067"/>
    <n v="108436160171"/>
    <n v="182074561896"/>
    <n v="104231385125"/>
    <n v="186279336942"/>
  </r>
  <r>
    <s v="[VDS] - Payday"/>
    <x v="4"/>
    <x v="6"/>
    <x v="81"/>
    <n v="294195412188"/>
    <n v="108837333790"/>
    <n v="185358078398"/>
    <n v="104444539511"/>
    <n v="189750872677"/>
  </r>
  <r>
    <s v="[VDS] - Payday"/>
    <x v="4"/>
    <x v="6"/>
    <x v="82"/>
    <n v="297918214585"/>
    <n v="109267764602"/>
    <n v="188650449983"/>
    <n v="104721233949"/>
    <n v="193196980636"/>
  </r>
  <r>
    <s v="[VDS] - Payday"/>
    <x v="4"/>
    <x v="6"/>
    <x v="83"/>
    <n v="300800006641"/>
    <n v="108959504831"/>
    <n v="191840501810"/>
    <n v="104990946026"/>
    <n v="195809060615"/>
  </r>
  <r>
    <s v="[VDS] - Payday"/>
    <x v="4"/>
    <x v="6"/>
    <x v="84"/>
    <n v="303907899373"/>
    <n v="109875580320"/>
    <n v="194032319053"/>
    <n v="105161969316"/>
    <n v="198745930057"/>
  </r>
  <r>
    <s v="[VDS] - Payday"/>
    <x v="4"/>
    <x v="6"/>
    <x v="85"/>
    <n v="306296485978"/>
    <n v="110038571329"/>
    <n v="196257914649"/>
    <n v="105415551323"/>
    <n v="200880934655"/>
  </r>
  <r>
    <s v="[VDS] - Payday"/>
    <x v="4"/>
    <x v="6"/>
    <x v="86"/>
    <n v="309061310233"/>
    <n v="110159931846"/>
    <n v="198901378387"/>
    <n v="105356546132"/>
    <n v="203704764101"/>
  </r>
  <r>
    <s v="[VDS] - Payday"/>
    <x v="4"/>
    <x v="6"/>
    <x v="87"/>
    <n v="312114011396"/>
    <n v="110378209859"/>
    <n v="201735801537"/>
    <n v="105998080394"/>
    <n v="206115931002"/>
  </r>
  <r>
    <s v="[VDS] - Payday"/>
    <x v="4"/>
    <x v="6"/>
    <x v="88"/>
    <n v="315388360826"/>
    <n v="110768613133"/>
    <n v="204619747693"/>
    <n v="106285326966"/>
    <n v="209103033860"/>
  </r>
  <r>
    <s v="[VDS] - Payday"/>
    <x v="4"/>
    <x v="6"/>
    <x v="89"/>
    <n v="318933440231"/>
    <n v="111252534376"/>
    <n v="207680905855"/>
    <n v="106591684903"/>
    <n v="212341755328"/>
  </r>
  <r>
    <s v="[VDS] - Payday"/>
    <x v="4"/>
    <x v="6"/>
    <x v="90"/>
    <n v="321263789919"/>
    <n v="110855849781"/>
    <n v="210407940138"/>
    <n v="106849575375"/>
    <n v="214414214544"/>
  </r>
  <r>
    <s v="[VDS] - Payday"/>
    <x v="4"/>
    <x v="6"/>
    <x v="91"/>
    <n v="323085705871"/>
    <n v="111940965265"/>
    <n v="211144740606"/>
    <n v="107114620780"/>
    <n v="215971085091"/>
  </r>
  <r>
    <s v="[VDS] - Paylater"/>
    <x v="2"/>
    <x v="6"/>
    <x v="0"/>
    <n v="25919736312"/>
    <n v="12197225024"/>
    <n v="13722511288"/>
    <n v="12197225024"/>
    <n v="13722511288"/>
  </r>
  <r>
    <s v="[VDS] - Paylater"/>
    <x v="2"/>
    <x v="6"/>
    <x v="1"/>
    <n v="25941075998"/>
    <n v="12177122837"/>
    <n v="13763953161"/>
    <n v="12177122837"/>
    <n v="13763953161"/>
  </r>
  <r>
    <s v="[VDS] - Paylater"/>
    <x v="2"/>
    <x v="6"/>
    <x v="2"/>
    <n v="25942068022"/>
    <n v="12165456118"/>
    <n v="13776611904"/>
    <n v="12165456118"/>
    <n v="13776611904"/>
  </r>
  <r>
    <s v="[VDS] - Paylater"/>
    <x v="2"/>
    <x v="6"/>
    <x v="3"/>
    <n v="25652598987"/>
    <n v="12152738483"/>
    <n v="13499860504"/>
    <n v="12152738483"/>
    <n v="13499860504"/>
  </r>
  <r>
    <s v="[VDS] - Paylater"/>
    <x v="2"/>
    <x v="6"/>
    <x v="4"/>
    <n v="25206388892"/>
    <n v="12128606459"/>
    <n v="13077782433"/>
    <n v="12128606459"/>
    <n v="13077782433"/>
  </r>
  <r>
    <s v="[VDS] - Paylater"/>
    <x v="2"/>
    <x v="6"/>
    <x v="5"/>
    <n v="25411743763"/>
    <n v="15479711892"/>
    <n v="9932031871"/>
    <n v="12107123544"/>
    <n v="13304620219"/>
  </r>
  <r>
    <s v="[VDS] - Paylater"/>
    <x v="2"/>
    <x v="6"/>
    <x v="6"/>
    <n v="25607218077"/>
    <n v="14826534716"/>
    <n v="10780683361"/>
    <n v="12083015081"/>
    <n v="13524202996"/>
  </r>
  <r>
    <s v="[VDS] - Paylater"/>
    <x v="2"/>
    <x v="6"/>
    <x v="7"/>
    <n v="25778916734"/>
    <n v="14535629630"/>
    <n v="11243287104"/>
    <n v="12065897345"/>
    <n v="13713019389"/>
  </r>
  <r>
    <s v="[VDS] - Paylater"/>
    <x v="2"/>
    <x v="6"/>
    <x v="8"/>
    <n v="26017883365"/>
    <n v="14349304132"/>
    <n v="11668579233"/>
    <n v="12055480173"/>
    <n v="13962403192"/>
  </r>
  <r>
    <s v="[VDS] - Paylater"/>
    <x v="2"/>
    <x v="6"/>
    <x v="9"/>
    <n v="26186703938"/>
    <n v="14027262740"/>
    <n v="12159441198"/>
    <n v="12028560504"/>
    <n v="14158143434"/>
  </r>
  <r>
    <s v="[VDS] - Paylater"/>
    <x v="2"/>
    <x v="6"/>
    <x v="10"/>
    <n v="26311993741"/>
    <n v="13850725773"/>
    <n v="12461267968"/>
    <n v="12007416584"/>
    <n v="14304577157"/>
  </r>
  <r>
    <s v="[VDS] - Paylater"/>
    <x v="2"/>
    <x v="6"/>
    <x v="11"/>
    <n v="26482247109"/>
    <n v="13752175690"/>
    <n v="12730071419"/>
    <n v="11987538188"/>
    <n v="14494708921"/>
  </r>
  <r>
    <s v="[VDS] - Paylater"/>
    <x v="2"/>
    <x v="6"/>
    <x v="12"/>
    <n v="26655534221"/>
    <n v="13687033937"/>
    <n v="12968500284"/>
    <n v="11976966635"/>
    <n v="14678567586"/>
  </r>
  <r>
    <s v="[VDS] - Paylater"/>
    <x v="2"/>
    <x v="6"/>
    <x v="13"/>
    <n v="26826292002"/>
    <n v="13605075445"/>
    <n v="13221216557"/>
    <n v="11967908718"/>
    <n v="14858383284"/>
  </r>
  <r>
    <s v="[VDS] - Paylater"/>
    <x v="2"/>
    <x v="6"/>
    <x v="14"/>
    <n v="26973745558"/>
    <n v="13483040764"/>
    <n v="13490704794"/>
    <n v="11950478952"/>
    <n v="15023266606"/>
  </r>
  <r>
    <s v="[VDS] - Paylater"/>
    <x v="2"/>
    <x v="6"/>
    <x v="15"/>
    <n v="27137404228"/>
    <n v="13414550466"/>
    <n v="13722853762"/>
    <n v="13414550466"/>
    <n v="13722853762"/>
  </r>
  <r>
    <s v="[VDS] - Paylater"/>
    <x v="2"/>
    <x v="6"/>
    <x v="16"/>
    <n v="27236511824"/>
    <n v="13354408515"/>
    <n v="13882103309"/>
    <n v="13354408515"/>
    <n v="13882103309"/>
  </r>
  <r>
    <s v="[VDS] - Paylater"/>
    <x v="2"/>
    <x v="6"/>
    <x v="17"/>
    <n v="27354286743"/>
    <n v="13292147733"/>
    <n v="14062139010"/>
    <n v="13292147733"/>
    <n v="14062139010"/>
  </r>
  <r>
    <s v="[VDS] - Paylater"/>
    <x v="2"/>
    <x v="6"/>
    <x v="18"/>
    <n v="27475389817"/>
    <n v="13260985683"/>
    <n v="14214404134"/>
    <n v="13260985683"/>
    <n v="14214404134"/>
  </r>
  <r>
    <s v="[VDS] - Paylater"/>
    <x v="2"/>
    <x v="6"/>
    <x v="19"/>
    <n v="27635278628"/>
    <n v="13234610960"/>
    <n v="14400667668"/>
    <n v="13234610960"/>
    <n v="14400667668"/>
  </r>
  <r>
    <s v="[VDS] - Paylater"/>
    <x v="2"/>
    <x v="6"/>
    <x v="20"/>
    <n v="27660735179"/>
    <n v="13205630498"/>
    <n v="14455104681"/>
    <n v="13205630498"/>
    <n v="14455104681"/>
  </r>
  <r>
    <s v="[VDS] - Paylater"/>
    <x v="2"/>
    <x v="6"/>
    <x v="21"/>
    <n v="27669780976"/>
    <n v="13186175599"/>
    <n v="14483605377"/>
    <n v="13186175599"/>
    <n v="14483605377"/>
  </r>
  <r>
    <s v="[VDS] - Paylater"/>
    <x v="2"/>
    <x v="6"/>
    <x v="22"/>
    <n v="27753535615"/>
    <n v="13167870820"/>
    <n v="14585664795"/>
    <n v="13167870820"/>
    <n v="14585664795"/>
  </r>
  <r>
    <s v="[VDS] - Paylater"/>
    <x v="2"/>
    <x v="6"/>
    <x v="23"/>
    <n v="27830873061"/>
    <n v="13151983899"/>
    <n v="14678889162"/>
    <n v="13151983899"/>
    <n v="14678889162"/>
  </r>
  <r>
    <s v="[VDS] - Paylater"/>
    <x v="2"/>
    <x v="6"/>
    <x v="24"/>
    <n v="27788754300"/>
    <n v="13132906223"/>
    <n v="14655848077"/>
    <n v="13132906223"/>
    <n v="14655848077"/>
  </r>
  <r>
    <s v="[VDS] - Paylater"/>
    <x v="2"/>
    <x v="6"/>
    <x v="25"/>
    <n v="27841522141"/>
    <n v="13113849812"/>
    <n v="14727672329"/>
    <n v="13113849812"/>
    <n v="14727672329"/>
  </r>
  <r>
    <s v="[VDS] - Paylater"/>
    <x v="2"/>
    <x v="6"/>
    <x v="26"/>
    <n v="27895557813"/>
    <n v="13099333514"/>
    <n v="14796224299"/>
    <n v="13099333514"/>
    <n v="14796224299"/>
  </r>
  <r>
    <s v="[VDS] - Paylater"/>
    <x v="2"/>
    <x v="6"/>
    <x v="27"/>
    <n v="27903653842"/>
    <n v="13073834590"/>
    <n v="14829819252"/>
    <n v="13073834590"/>
    <n v="14829819252"/>
  </r>
  <r>
    <s v="[VDS] - Paylater"/>
    <x v="2"/>
    <x v="6"/>
    <x v="28"/>
    <n v="27922016110"/>
    <n v="13047639266"/>
    <n v="14874376844"/>
    <n v="13047639266"/>
    <n v="14874376844"/>
  </r>
  <r>
    <s v="[VDS] - Paylater"/>
    <x v="2"/>
    <x v="6"/>
    <x v="29"/>
    <n v="27805909666"/>
    <n v="13028428554"/>
    <n v="14777481112"/>
    <n v="13028428554"/>
    <n v="14777481112"/>
  </r>
  <r>
    <s v="[VDS] - Paylater"/>
    <x v="2"/>
    <x v="6"/>
    <x v="30"/>
    <n v="27730684757"/>
    <n v="13018771349"/>
    <n v="14711913408"/>
    <n v="13018771349"/>
    <n v="14711913408"/>
  </r>
  <r>
    <s v="[VDS] - Paylater"/>
    <x v="2"/>
    <x v="6"/>
    <x v="31"/>
    <n v="27598734619"/>
    <n v="13006764584"/>
    <n v="14591970035"/>
    <n v="13006764584"/>
    <n v="14591970035"/>
  </r>
  <r>
    <s v="[VDS] - Paylater"/>
    <x v="2"/>
    <x v="6"/>
    <x v="32"/>
    <n v="27571272136"/>
    <n v="12993989355"/>
    <n v="14577282781"/>
    <n v="12993989355"/>
    <n v="14577282781"/>
  </r>
  <r>
    <s v="[VDS] - Paylater"/>
    <x v="2"/>
    <x v="6"/>
    <x v="33"/>
    <n v="27567798820"/>
    <n v="12985899301"/>
    <n v="14581899519"/>
    <n v="12985899301"/>
    <n v="14581899519"/>
  </r>
  <r>
    <s v="[VDS] - Paylater"/>
    <x v="2"/>
    <x v="6"/>
    <x v="34"/>
    <n v="27075616483"/>
    <n v="12969882517"/>
    <n v="14105733966"/>
    <n v="12969882517"/>
    <n v="14105733966"/>
  </r>
  <r>
    <s v="[VDS] - Paylater"/>
    <x v="2"/>
    <x v="6"/>
    <x v="35"/>
    <n v="27205243329"/>
    <n v="16052878938"/>
    <n v="11152364391"/>
    <n v="12958335794"/>
    <n v="14246907535"/>
  </r>
  <r>
    <s v="[VDS] - Paylater"/>
    <x v="2"/>
    <x v="6"/>
    <x v="36"/>
    <n v="27361777104"/>
    <n v="15635815520"/>
    <n v="11725961584"/>
    <n v="12937308617"/>
    <n v="14424468487"/>
  </r>
  <r>
    <s v="[VDS] - Paylater"/>
    <x v="2"/>
    <x v="6"/>
    <x v="37"/>
    <n v="27474442375"/>
    <n v="15366348038"/>
    <n v="12108094337"/>
    <n v="12918880525"/>
    <n v="14555561850"/>
  </r>
  <r>
    <s v="[VDS] - Paylater"/>
    <x v="2"/>
    <x v="6"/>
    <x v="38"/>
    <n v="27571103431"/>
    <n v="15124062211"/>
    <n v="12447041220"/>
    <n v="12890133146"/>
    <n v="14680970285"/>
  </r>
  <r>
    <s v="[VDS] - Paylater"/>
    <x v="2"/>
    <x v="6"/>
    <x v="39"/>
    <n v="27659000824"/>
    <n v="14816111816"/>
    <n v="12842889008"/>
    <n v="12871585921"/>
    <n v="14787414903"/>
  </r>
  <r>
    <s v="[VDS] - Paylater"/>
    <x v="2"/>
    <x v="6"/>
    <x v="40"/>
    <n v="27823552723"/>
    <n v="14693763901"/>
    <n v="13129788822"/>
    <n v="12857483082"/>
    <n v="14966069641"/>
  </r>
  <r>
    <s v="[VDS] - Paylater"/>
    <x v="2"/>
    <x v="6"/>
    <x v="41"/>
    <n v="27960030574"/>
    <n v="14546939555"/>
    <n v="13413091019"/>
    <n v="12837933901"/>
    <n v="15122096673"/>
  </r>
  <r>
    <s v="[VDS] - Paylater"/>
    <x v="2"/>
    <x v="6"/>
    <x v="42"/>
    <n v="28091111424"/>
    <n v="14447665350"/>
    <n v="13643446074"/>
    <n v="12819976046"/>
    <n v="15271135378"/>
  </r>
  <r>
    <s v="[VDS] - Paylater"/>
    <x v="2"/>
    <x v="6"/>
    <x v="43"/>
    <n v="28167687687"/>
    <n v="14339709249"/>
    <n v="13827978438"/>
    <n v="12799637524"/>
    <n v="15368050163"/>
  </r>
  <r>
    <s v="[VDS] - Paylater"/>
    <x v="2"/>
    <x v="6"/>
    <x v="44"/>
    <n v="28275880243"/>
    <n v="14235245722"/>
    <n v="14040634521"/>
    <n v="12790347853"/>
    <n v="15485532390"/>
  </r>
  <r>
    <s v="[VDS] - Paylater"/>
    <x v="2"/>
    <x v="6"/>
    <x v="45"/>
    <n v="28395090315"/>
    <n v="14161216313"/>
    <n v="14233874002"/>
    <n v="14161216313"/>
    <n v="14233874002"/>
  </r>
  <r>
    <s v="[VDS] - Paylater"/>
    <x v="2"/>
    <x v="6"/>
    <x v="46"/>
    <n v="28511119419"/>
    <n v="14110479483"/>
    <n v="14400639936"/>
    <n v="14110479483"/>
    <n v="14400639936"/>
  </r>
  <r>
    <s v="[VDS] - Paylater"/>
    <x v="2"/>
    <x v="6"/>
    <x v="47"/>
    <n v="28608675900"/>
    <n v="14082794824"/>
    <n v="14525881076"/>
    <n v="14082794824"/>
    <n v="14525881076"/>
  </r>
  <r>
    <s v="[VDS] - Paylater"/>
    <x v="2"/>
    <x v="6"/>
    <x v="48"/>
    <n v="28686416157"/>
    <n v="14039737067"/>
    <n v="14646679090"/>
    <n v="14039737067"/>
    <n v="14646679090"/>
  </r>
  <r>
    <s v="[VDS] - Paylater"/>
    <x v="2"/>
    <x v="6"/>
    <x v="49"/>
    <n v="28759938575"/>
    <n v="13988981643"/>
    <n v="14770956932"/>
    <n v="13988981643"/>
    <n v="14770956932"/>
  </r>
  <r>
    <s v="[VDS] - Paylater"/>
    <x v="2"/>
    <x v="6"/>
    <x v="50"/>
    <n v="28855339633"/>
    <n v="13957579015"/>
    <n v="14897760618"/>
    <n v="13957579015"/>
    <n v="14897760618"/>
  </r>
  <r>
    <s v="[VDS] - Paylater"/>
    <x v="2"/>
    <x v="6"/>
    <x v="51"/>
    <n v="28875890477"/>
    <n v="13928921118"/>
    <n v="14946969359"/>
    <n v="13928921118"/>
    <n v="14946969359"/>
  </r>
  <r>
    <s v="[VDS] - Paylater"/>
    <x v="2"/>
    <x v="6"/>
    <x v="52"/>
    <n v="28869347742"/>
    <n v="13901342203"/>
    <n v="14968005539"/>
    <n v="13901342203"/>
    <n v="14968005539"/>
  </r>
  <r>
    <s v="[VDS] - Paylater"/>
    <x v="2"/>
    <x v="6"/>
    <x v="53"/>
    <n v="28918315108"/>
    <n v="13879770935"/>
    <n v="15038544173"/>
    <n v="13879770935"/>
    <n v="15038544173"/>
  </r>
  <r>
    <s v="[VDS] - Paylater"/>
    <x v="2"/>
    <x v="6"/>
    <x v="54"/>
    <n v="28959481231"/>
    <n v="13865746777"/>
    <n v="15093734454"/>
    <n v="13865746777"/>
    <n v="15093734454"/>
  </r>
  <r>
    <s v="[VDS] - Paylater"/>
    <x v="2"/>
    <x v="6"/>
    <x v="55"/>
    <n v="28856683109"/>
    <n v="13838941420"/>
    <n v="15017741689"/>
    <n v="13838941420"/>
    <n v="15017741689"/>
  </r>
  <r>
    <s v="[VDS] - Paylater"/>
    <x v="2"/>
    <x v="6"/>
    <x v="56"/>
    <n v="28827460740"/>
    <n v="13814864276"/>
    <n v="15012596464"/>
    <n v="13814864276"/>
    <n v="15012596464"/>
  </r>
  <r>
    <s v="[VDS] - Paylater"/>
    <x v="2"/>
    <x v="6"/>
    <x v="57"/>
    <n v="28829266341"/>
    <n v="13800126184"/>
    <n v="15029140157"/>
    <n v="13800126184"/>
    <n v="15029140157"/>
  </r>
  <r>
    <s v="[VDS] - Paylater"/>
    <x v="2"/>
    <x v="6"/>
    <x v="58"/>
    <n v="28833993523"/>
    <n v="13787139855"/>
    <n v="15046853668"/>
    <n v="13787139855"/>
    <n v="15046853668"/>
  </r>
  <r>
    <s v="[VDS] - Paylater"/>
    <x v="2"/>
    <x v="6"/>
    <x v="59"/>
    <n v="28792572836"/>
    <n v="13750574924"/>
    <n v="15041997912"/>
    <n v="13750574924"/>
    <n v="15041997912"/>
  </r>
  <r>
    <s v="[VDS] - Paylater"/>
    <x v="2"/>
    <x v="6"/>
    <x v="60"/>
    <n v="28781437025"/>
    <n v="13741036205"/>
    <n v="15040400820"/>
    <n v="13741036205"/>
    <n v="15040400820"/>
  </r>
  <r>
    <s v="[VDS] - Paylater"/>
    <x v="2"/>
    <x v="6"/>
    <x v="61"/>
    <n v="28744359931"/>
    <n v="13731200918"/>
    <n v="15013159013"/>
    <n v="13731200918"/>
    <n v="15013159013"/>
  </r>
  <r>
    <s v="[VDS] - Paylater"/>
    <x v="2"/>
    <x v="6"/>
    <x v="62"/>
    <n v="28892458622"/>
    <n v="13719129691"/>
    <n v="15173328931"/>
    <n v="13719129691"/>
    <n v="15173328931"/>
  </r>
  <r>
    <s v="[VDS] - Paylater"/>
    <x v="2"/>
    <x v="6"/>
    <x v="63"/>
    <n v="28930104907"/>
    <n v="13713767099"/>
    <n v="15216337808"/>
    <n v="13713767099"/>
    <n v="15216337808"/>
  </r>
  <r>
    <s v="[VDS] - Paylater"/>
    <x v="2"/>
    <x v="6"/>
    <x v="64"/>
    <n v="28833431625"/>
    <n v="13697052518"/>
    <n v="15136379107"/>
    <n v="13697052518"/>
    <n v="15136379107"/>
  </r>
  <r>
    <s v="[VDS] - Paylater"/>
    <x v="2"/>
    <x v="6"/>
    <x v="65"/>
    <n v="28431281798"/>
    <n v="13673894965"/>
    <n v="14757386833"/>
    <n v="13673894965"/>
    <n v="14757386833"/>
  </r>
  <r>
    <s v="[VDS] - Paylater"/>
    <x v="2"/>
    <x v="6"/>
    <x v="66"/>
    <n v="28412361381"/>
    <n v="16961713581"/>
    <n v="11450647800"/>
    <n v="13650490930"/>
    <n v="14761870451"/>
  </r>
  <r>
    <s v="[VDS] - Paylater"/>
    <x v="2"/>
    <x v="6"/>
    <x v="67"/>
    <n v="28648173341"/>
    <n v="16541018233"/>
    <n v="12107155108"/>
    <n v="13633966243"/>
    <n v="15014207098"/>
  </r>
  <r>
    <s v="[VDS] - Paylater"/>
    <x v="2"/>
    <x v="6"/>
    <x v="68"/>
    <n v="28815410131"/>
    <n v="16383754333"/>
    <n v="12431655798"/>
    <n v="13624310174"/>
    <n v="15191099957"/>
  </r>
  <r>
    <s v="[VDS] - Paylater"/>
    <x v="2"/>
    <x v="6"/>
    <x v="69"/>
    <n v="28948347524"/>
    <n v="16152388670"/>
    <n v="12795958854"/>
    <n v="13612530743"/>
    <n v="15335816781"/>
  </r>
  <r>
    <s v="[VDS] - Paylater"/>
    <x v="2"/>
    <x v="6"/>
    <x v="70"/>
    <n v="29142367965"/>
    <n v="15947641081"/>
    <n v="13194726884"/>
    <n v="13599884995"/>
    <n v="15542482970"/>
  </r>
  <r>
    <s v="[VDS] - Paylater"/>
    <x v="2"/>
    <x v="6"/>
    <x v="71"/>
    <n v="29243029896"/>
    <n v="15700596281"/>
    <n v="13542433615"/>
    <n v="13582180479"/>
    <n v="15660849417"/>
  </r>
  <r>
    <s v="[VDS] - Paylater"/>
    <x v="2"/>
    <x v="6"/>
    <x v="72"/>
    <n v="29318978526"/>
    <n v="15550684075"/>
    <n v="13768294451"/>
    <n v="13564724122"/>
    <n v="15754254404"/>
  </r>
  <r>
    <s v="[VDS] - Paylater"/>
    <x v="2"/>
    <x v="6"/>
    <x v="73"/>
    <n v="29426803030"/>
    <n v="15447765369"/>
    <n v="13979037661"/>
    <n v="13552090983"/>
    <n v="15874712047"/>
  </r>
  <r>
    <s v="[VDS] - Paylater"/>
    <x v="2"/>
    <x v="6"/>
    <x v="74"/>
    <n v="29583354530"/>
    <n v="15367484030"/>
    <n v="14215870500"/>
    <n v="13542363980"/>
    <n v="16040990550"/>
  </r>
  <r>
    <s v="[VDS] - Paylater"/>
    <x v="2"/>
    <x v="6"/>
    <x v="75"/>
    <n v="29716307053"/>
    <n v="15246378455"/>
    <n v="14469928598"/>
    <n v="13532361057"/>
    <n v="16183945996"/>
  </r>
  <r>
    <s v="[VDS] - Paylater"/>
    <x v="2"/>
    <x v="6"/>
    <x v="76"/>
    <n v="29790854337"/>
    <n v="15147403257"/>
    <n v="14643451080"/>
    <n v="15147403257"/>
    <n v="14643451080"/>
  </r>
  <r>
    <s v="[VDS] - Paylater"/>
    <x v="2"/>
    <x v="6"/>
    <x v="77"/>
    <n v="29884505013"/>
    <n v="15084632850"/>
    <n v="14799872163"/>
    <n v="15084632850"/>
    <n v="14799872163"/>
  </r>
  <r>
    <s v="[VDS] - Paylater"/>
    <x v="2"/>
    <x v="6"/>
    <x v="78"/>
    <n v="29926010262"/>
    <n v="15035473088"/>
    <n v="14890537174"/>
    <n v="15035473088"/>
    <n v="14890537174"/>
  </r>
  <r>
    <s v="[VDS] - Paylater"/>
    <x v="2"/>
    <x v="6"/>
    <x v="79"/>
    <n v="29986135155"/>
    <n v="14956933187"/>
    <n v="15029201968"/>
    <n v="14956933187"/>
    <n v="15029201968"/>
  </r>
  <r>
    <s v="[VDS] - Paylater"/>
    <x v="2"/>
    <x v="6"/>
    <x v="80"/>
    <n v="30043623043"/>
    <n v="14903785657"/>
    <n v="15139837386"/>
    <n v="14903785657"/>
    <n v="15139837386"/>
  </r>
  <r>
    <s v="[VDS] - Paylater"/>
    <x v="2"/>
    <x v="6"/>
    <x v="81"/>
    <n v="30125301292"/>
    <n v="14865824314"/>
    <n v="15259476978"/>
    <n v="14865824314"/>
    <n v="15259476978"/>
  </r>
  <r>
    <s v="[VDS] - Paylater"/>
    <x v="2"/>
    <x v="6"/>
    <x v="82"/>
    <n v="30179228201"/>
    <n v="14832068510"/>
    <n v="15347159691"/>
    <n v="14832068510"/>
    <n v="15347159691"/>
  </r>
  <r>
    <s v="[VDS] - Paylater"/>
    <x v="2"/>
    <x v="6"/>
    <x v="83"/>
    <n v="30223119032"/>
    <n v="14795480028"/>
    <n v="15427639004"/>
    <n v="14795480028"/>
    <n v="15427639004"/>
  </r>
  <r>
    <s v="[VDS] - Paylater"/>
    <x v="2"/>
    <x v="6"/>
    <x v="84"/>
    <n v="30239711559"/>
    <n v="14761259986"/>
    <n v="15478451573"/>
    <n v="14761259986"/>
    <n v="15478451573"/>
  </r>
  <r>
    <s v="[VDS] - Paylater"/>
    <x v="2"/>
    <x v="6"/>
    <x v="85"/>
    <n v="30250519929"/>
    <n v="14732563968"/>
    <n v="15517955961"/>
    <n v="14732563968"/>
    <n v="15517955961"/>
  </r>
  <r>
    <s v="[VDS] - Paylater"/>
    <x v="2"/>
    <x v="6"/>
    <x v="86"/>
    <n v="30198812867"/>
    <n v="14701316761"/>
    <n v="15497496106"/>
    <n v="14701316761"/>
    <n v="15497496106"/>
  </r>
  <r>
    <s v="[VDS] - Paylater"/>
    <x v="2"/>
    <x v="6"/>
    <x v="87"/>
    <n v="30198944764"/>
    <n v="14673394149"/>
    <n v="15525550615"/>
    <n v="14673394149"/>
    <n v="15525550615"/>
  </r>
  <r>
    <s v="[VDS] - Paylater"/>
    <x v="2"/>
    <x v="6"/>
    <x v="88"/>
    <n v="30241467337"/>
    <n v="14658983521"/>
    <n v="15582483816"/>
    <n v="14658983521"/>
    <n v="15582483816"/>
  </r>
  <r>
    <s v="[VDS] - Paylater"/>
    <x v="2"/>
    <x v="6"/>
    <x v="89"/>
    <n v="30295091570"/>
    <n v="14642964872"/>
    <n v="15652126698"/>
    <n v="14642964872"/>
    <n v="15652126698"/>
  </r>
  <r>
    <s v="[VDS] - Paylater"/>
    <x v="2"/>
    <x v="6"/>
    <x v="90"/>
    <n v="30281222278"/>
    <n v="14633587101"/>
    <n v="15647635177"/>
    <n v="14633587101"/>
    <n v="15647635177"/>
  </r>
  <r>
    <s v="[VDS] - Paylater"/>
    <x v="2"/>
    <x v="6"/>
    <x v="91"/>
    <n v="30178361985"/>
    <n v="14614117427"/>
    <n v="15564244558"/>
    <n v="14614117427"/>
    <n v="15564244558"/>
  </r>
  <r>
    <s v="[VDS] - Payroll Cashloan"/>
    <x v="1"/>
    <x v="6"/>
    <x v="0"/>
    <n v="8972705237"/>
    <n v="1382492337"/>
    <n v="7590212900"/>
    <n v="1231387826"/>
    <n v="7741317411"/>
  </r>
  <r>
    <s v="[VDS] - Payroll Cashloan"/>
    <x v="1"/>
    <x v="6"/>
    <x v="1"/>
    <n v="8942060792"/>
    <n v="1397972085"/>
    <n v="7544088707"/>
    <n v="1246849591"/>
    <n v="7695211201"/>
  </r>
  <r>
    <s v="[VDS] - Payroll Cashloan"/>
    <x v="1"/>
    <x v="6"/>
    <x v="2"/>
    <n v="8937996652"/>
    <n v="1408559158"/>
    <n v="7529437494"/>
    <n v="1246849591"/>
    <n v="7691147061"/>
  </r>
  <r>
    <s v="[VDS] - Payroll Cashloan"/>
    <x v="1"/>
    <x v="6"/>
    <x v="3"/>
    <n v="8870045430"/>
    <n v="1430626633"/>
    <n v="7439418797"/>
    <n v="1245849591"/>
    <n v="7624195839"/>
  </r>
  <r>
    <s v="[VDS] - Payroll Cashloan"/>
    <x v="1"/>
    <x v="6"/>
    <x v="4"/>
    <n v="8834303928"/>
    <n v="1444134625"/>
    <n v="7390169303"/>
    <n v="1245849591"/>
    <n v="7588454337"/>
  </r>
  <r>
    <s v="[VDS] - Payroll Cashloan"/>
    <x v="1"/>
    <x v="6"/>
    <x v="5"/>
    <n v="8826909663"/>
    <n v="1489094022"/>
    <n v="7337815641"/>
    <n v="1245849591"/>
    <n v="7581060072"/>
  </r>
  <r>
    <s v="[VDS] - Payroll Cashloan"/>
    <x v="1"/>
    <x v="6"/>
    <x v="6"/>
    <n v="8818043503"/>
    <n v="1449111339"/>
    <n v="7368932164"/>
    <n v="1248636906"/>
    <n v="7569406597"/>
  </r>
  <r>
    <s v="[VDS] - Payroll Cashloan"/>
    <x v="1"/>
    <x v="6"/>
    <x v="7"/>
    <n v="8795169204"/>
    <n v="1465098514"/>
    <n v="7330070690"/>
    <n v="1251852039"/>
    <n v="7543317165"/>
  </r>
  <r>
    <s v="[VDS] - Payroll Cashloan"/>
    <x v="1"/>
    <x v="6"/>
    <x v="8"/>
    <n v="8758423200"/>
    <n v="1442477187"/>
    <n v="7315946013"/>
    <n v="1297751970"/>
    <n v="7460671230"/>
  </r>
  <r>
    <s v="[VDS] - Payroll Cashloan"/>
    <x v="1"/>
    <x v="6"/>
    <x v="9"/>
    <n v="8761074835"/>
    <n v="1421065941"/>
    <n v="7340008894"/>
    <n v="1297738071"/>
    <n v="7463336764"/>
  </r>
  <r>
    <s v="[VDS] - Payroll Cashloan"/>
    <x v="1"/>
    <x v="6"/>
    <x v="10"/>
    <n v="8736345604"/>
    <n v="1418007688"/>
    <n v="7318337916"/>
    <n v="1297738071"/>
    <n v="7438607533"/>
  </r>
  <r>
    <s v="[VDS] - Payroll Cashloan"/>
    <x v="1"/>
    <x v="6"/>
    <x v="11"/>
    <n v="8701042253"/>
    <n v="1471384024"/>
    <n v="7229658229"/>
    <n v="1296434071"/>
    <n v="7404608182"/>
  </r>
  <r>
    <s v="[VDS] - Payroll Cashloan"/>
    <x v="1"/>
    <x v="6"/>
    <x v="12"/>
    <n v="8699241060"/>
    <n v="1485213267"/>
    <n v="7214027793"/>
    <n v="1314142703"/>
    <n v="7385098357"/>
  </r>
  <r>
    <s v="[VDS] - Payroll Cashloan"/>
    <x v="1"/>
    <x v="6"/>
    <x v="13"/>
    <n v="8716872265"/>
    <n v="1458968531"/>
    <n v="7257903734"/>
    <n v="1328720226"/>
    <n v="7388152039"/>
  </r>
  <r>
    <s v="[VDS] - Payroll Cashloan"/>
    <x v="1"/>
    <x v="6"/>
    <x v="14"/>
    <n v="8816423661"/>
    <n v="1452782170"/>
    <n v="7363641491"/>
    <n v="1317287708"/>
    <n v="7499135953"/>
  </r>
  <r>
    <s v="[VDS] - Payroll Cashloan"/>
    <x v="1"/>
    <x v="6"/>
    <x v="15"/>
    <n v="8807014829"/>
    <n v="1451780264"/>
    <n v="7355234565"/>
    <n v="1290800702"/>
    <n v="7516214127"/>
  </r>
  <r>
    <s v="[VDS] - Payroll Cashloan"/>
    <x v="1"/>
    <x v="6"/>
    <x v="16"/>
    <n v="8789825472"/>
    <n v="1423386926"/>
    <n v="7366438546"/>
    <n v="1287509039"/>
    <n v="7502316433"/>
  </r>
  <r>
    <s v="[VDS] - Payroll Cashloan"/>
    <x v="1"/>
    <x v="6"/>
    <x v="17"/>
    <n v="8850166920"/>
    <n v="1432585285"/>
    <n v="7417581635"/>
    <n v="1302573316"/>
    <n v="7547593604"/>
  </r>
  <r>
    <s v="[VDS] - Payroll Cashloan"/>
    <x v="1"/>
    <x v="6"/>
    <x v="18"/>
    <n v="8867319508"/>
    <n v="1441572124"/>
    <n v="7425747384"/>
    <n v="1279672536"/>
    <n v="7587646972"/>
  </r>
  <r>
    <s v="[VDS] - Payroll Cashloan"/>
    <x v="1"/>
    <x v="6"/>
    <x v="19"/>
    <n v="8852794906"/>
    <n v="1498963824"/>
    <n v="7353831082"/>
    <n v="1265952494"/>
    <n v="7586842412"/>
  </r>
  <r>
    <s v="[VDS] - Payroll Cashloan"/>
    <x v="1"/>
    <x v="6"/>
    <x v="20"/>
    <n v="8737646373"/>
    <n v="1319383423"/>
    <n v="7418262950"/>
    <n v="1226137383"/>
    <n v="7511508990"/>
  </r>
  <r>
    <s v="[VDS] - Payroll Cashloan"/>
    <x v="1"/>
    <x v="6"/>
    <x v="21"/>
    <n v="8727035884"/>
    <n v="1330782470"/>
    <n v="7396253414"/>
    <n v="1225597022"/>
    <n v="7501438862"/>
  </r>
  <r>
    <s v="[VDS] - Payroll Cashloan"/>
    <x v="1"/>
    <x v="6"/>
    <x v="22"/>
    <n v="8698852551"/>
    <n v="1375854421"/>
    <n v="7322998130"/>
    <n v="1225597022"/>
    <n v="7473255529"/>
  </r>
  <r>
    <s v="[VDS] - Payroll Cashloan"/>
    <x v="1"/>
    <x v="6"/>
    <x v="23"/>
    <n v="8657337410"/>
    <n v="1350147855"/>
    <n v="7307189555"/>
    <n v="1224504044"/>
    <n v="7432833366"/>
  </r>
  <r>
    <s v="[VDS] - Payroll Cashloan"/>
    <x v="1"/>
    <x v="6"/>
    <x v="24"/>
    <n v="8655983767"/>
    <n v="1308846666"/>
    <n v="7347137101"/>
    <n v="1217680810"/>
    <n v="7438302957"/>
  </r>
  <r>
    <s v="[VDS] - Payroll Cashloan"/>
    <x v="1"/>
    <x v="6"/>
    <x v="25"/>
    <n v="8618845860"/>
    <n v="1318833811"/>
    <n v="7300012049"/>
    <n v="1228273178"/>
    <n v="7390572682"/>
  </r>
  <r>
    <s v="[VDS] - Payroll Cashloan"/>
    <x v="1"/>
    <x v="6"/>
    <x v="26"/>
    <n v="8652530094"/>
    <n v="1319480702"/>
    <n v="7333049392"/>
    <n v="1237616637"/>
    <n v="7414913457"/>
  </r>
  <r>
    <s v="[VDS] - Payroll Cashloan"/>
    <x v="1"/>
    <x v="6"/>
    <x v="27"/>
    <n v="8594795248"/>
    <n v="1290428017"/>
    <n v="7304367231"/>
    <n v="1249267279"/>
    <n v="7345527969"/>
  </r>
  <r>
    <s v="[VDS] - Payroll Cashloan"/>
    <x v="1"/>
    <x v="6"/>
    <x v="28"/>
    <n v="8651843766"/>
    <n v="1381923130"/>
    <n v="7269920636"/>
    <n v="1240926085"/>
    <n v="7410917681"/>
  </r>
  <r>
    <s v="[VDS] - Payroll Cashloan"/>
    <x v="1"/>
    <x v="6"/>
    <x v="29"/>
    <n v="8654787456"/>
    <n v="1317786233"/>
    <n v="7337001223"/>
    <n v="1214596531"/>
    <n v="7440190925"/>
  </r>
  <r>
    <s v="[VDS] - Payroll Cashloan"/>
    <x v="1"/>
    <x v="6"/>
    <x v="30"/>
    <n v="8681301661"/>
    <n v="1286293506"/>
    <n v="7395008155"/>
    <n v="1192348695"/>
    <n v="7488952966"/>
  </r>
  <r>
    <s v="[VDS] - Payroll Cashloan"/>
    <x v="1"/>
    <x v="6"/>
    <x v="31"/>
    <n v="8645284149"/>
    <n v="1285455592"/>
    <n v="7359828557"/>
    <n v="1225489163"/>
    <n v="7419794986"/>
  </r>
  <r>
    <s v="[VDS] - Payroll Cashloan"/>
    <x v="1"/>
    <x v="6"/>
    <x v="32"/>
    <n v="8634702641"/>
    <n v="1311770762"/>
    <n v="7322931879"/>
    <n v="1223478568"/>
    <n v="7411224073"/>
  </r>
  <r>
    <s v="[VDS] - Payroll Cashloan"/>
    <x v="1"/>
    <x v="6"/>
    <x v="33"/>
    <n v="8659580699"/>
    <n v="1357497752"/>
    <n v="7302082947"/>
    <n v="1223478568"/>
    <n v="7436102131"/>
  </r>
  <r>
    <s v="[VDS] - Payroll Cashloan"/>
    <x v="1"/>
    <x v="6"/>
    <x v="34"/>
    <n v="8610838605"/>
    <n v="1329530423"/>
    <n v="7281308182"/>
    <n v="1226975688"/>
    <n v="7383862917"/>
  </r>
  <r>
    <s v="[VDS] - Payroll Cashloan"/>
    <x v="1"/>
    <x v="6"/>
    <x v="35"/>
    <n v="8585933505"/>
    <n v="1290135508"/>
    <n v="7295797997"/>
    <n v="1213489553"/>
    <n v="7372443952"/>
  </r>
  <r>
    <s v="[VDS] - Payroll Cashloan"/>
    <x v="1"/>
    <x v="6"/>
    <x v="36"/>
    <n v="8603853651"/>
    <n v="1278213826"/>
    <n v="7325639825"/>
    <n v="1187271271"/>
    <n v="7416582380"/>
  </r>
  <r>
    <s v="[VDS] - Payroll Cashloan"/>
    <x v="1"/>
    <x v="6"/>
    <x v="37"/>
    <n v="8588511040"/>
    <n v="1281536023"/>
    <n v="7306975017"/>
    <n v="1184515456"/>
    <n v="7403995584"/>
  </r>
  <r>
    <s v="[VDS] - Payroll Cashloan"/>
    <x v="1"/>
    <x v="6"/>
    <x v="38"/>
    <n v="8567951386"/>
    <n v="1289646491"/>
    <n v="7278304895"/>
    <n v="1193775050"/>
    <n v="7374176336"/>
  </r>
  <r>
    <s v="[VDS] - Payroll Cashloan"/>
    <x v="1"/>
    <x v="6"/>
    <x v="39"/>
    <n v="8515867036"/>
    <n v="1282421933"/>
    <n v="7233445103"/>
    <n v="1193775050"/>
    <n v="7322091986"/>
  </r>
  <r>
    <s v="[VDS] - Payroll Cashloan"/>
    <x v="1"/>
    <x v="6"/>
    <x v="40"/>
    <n v="8552351592"/>
    <n v="1282548888"/>
    <n v="7269802704"/>
    <n v="1184441279"/>
    <n v="7367910313"/>
  </r>
  <r>
    <s v="[VDS] - Payroll Cashloan"/>
    <x v="1"/>
    <x v="6"/>
    <x v="41"/>
    <n v="8506590539"/>
    <n v="1278694528"/>
    <n v="7227896011"/>
    <n v="1182409629"/>
    <n v="7324180910"/>
  </r>
  <r>
    <s v="[VDS] - Payroll Cashloan"/>
    <x v="1"/>
    <x v="6"/>
    <x v="42"/>
    <n v="8511759072"/>
    <n v="1327725188"/>
    <n v="7184033884"/>
    <n v="1181833015"/>
    <n v="7329926057"/>
  </r>
  <r>
    <s v="[VDS] - Payroll Cashloan"/>
    <x v="1"/>
    <x v="6"/>
    <x v="43"/>
    <n v="8518470272"/>
    <n v="1326029603"/>
    <n v="7192440669"/>
    <n v="1193507118"/>
    <n v="7324963154"/>
  </r>
  <r>
    <s v="[VDS] - Payroll Cashloan"/>
    <x v="1"/>
    <x v="6"/>
    <x v="44"/>
    <n v="8559321202"/>
    <n v="1332978162"/>
    <n v="7226343040"/>
    <n v="1193507118"/>
    <n v="7365814084"/>
  </r>
  <r>
    <s v="[VDS] - Payroll Cashloan"/>
    <x v="1"/>
    <x v="6"/>
    <x v="45"/>
    <n v="8570921064"/>
    <n v="1339825966"/>
    <n v="7231095098"/>
    <n v="1218896125"/>
    <n v="7352024939"/>
  </r>
  <r>
    <s v="[VDS] - Payroll Cashloan"/>
    <x v="1"/>
    <x v="6"/>
    <x v="46"/>
    <n v="8552176099"/>
    <n v="1382246725"/>
    <n v="7169929374"/>
    <n v="1208095222"/>
    <n v="7344080877"/>
  </r>
  <r>
    <s v="[VDS] - Payroll Cashloan"/>
    <x v="1"/>
    <x v="6"/>
    <x v="47"/>
    <n v="8554816993"/>
    <n v="1397735490"/>
    <n v="7157081503"/>
    <n v="1211790098"/>
    <n v="7343026895"/>
  </r>
  <r>
    <s v="[VDS] - Payroll Cashloan"/>
    <x v="1"/>
    <x v="6"/>
    <x v="48"/>
    <n v="8538106374"/>
    <n v="1299552181"/>
    <n v="7238554193"/>
    <n v="1177031970"/>
    <n v="7361074404"/>
  </r>
  <r>
    <s v="[VDS] - Payroll Cashloan"/>
    <x v="1"/>
    <x v="6"/>
    <x v="49"/>
    <n v="8542566216"/>
    <n v="1317423764"/>
    <n v="7225142452"/>
    <n v="1176557280"/>
    <n v="7366008936"/>
  </r>
  <r>
    <s v="[VDS] - Payroll Cashloan"/>
    <x v="1"/>
    <x v="6"/>
    <x v="50"/>
    <n v="8556409573"/>
    <n v="1392456582"/>
    <n v="7163952991"/>
    <n v="1180420782"/>
    <n v="7375988791"/>
  </r>
  <r>
    <s v="[VDS] - Payroll Cashloan"/>
    <x v="1"/>
    <x v="6"/>
    <x v="51"/>
    <n v="8579489287"/>
    <n v="1332118246"/>
    <n v="7247371041"/>
    <n v="1170644058"/>
    <n v="7408845229"/>
  </r>
  <r>
    <s v="[VDS] - Payroll Cashloan"/>
    <x v="1"/>
    <x v="6"/>
    <x v="52"/>
    <n v="8634405017"/>
    <n v="1302536957"/>
    <n v="7331868060"/>
    <n v="1171888415"/>
    <n v="7462516602"/>
  </r>
  <r>
    <s v="[VDS] - Payroll Cashloan"/>
    <x v="1"/>
    <x v="6"/>
    <x v="53"/>
    <n v="8613980393"/>
    <n v="1293624573"/>
    <n v="7320355820"/>
    <n v="1180085671"/>
    <n v="7433894722"/>
  </r>
  <r>
    <s v="[VDS] - Payroll Cashloan"/>
    <x v="1"/>
    <x v="6"/>
    <x v="54"/>
    <n v="8625973800"/>
    <n v="1273479384"/>
    <n v="7352494416"/>
    <n v="1177467814"/>
    <n v="7448505986"/>
  </r>
  <r>
    <s v="[VDS] - Payroll Cashloan"/>
    <x v="1"/>
    <x v="6"/>
    <x v="55"/>
    <n v="8615509067"/>
    <n v="1244212703"/>
    <n v="7371296364"/>
    <n v="1177203946"/>
    <n v="7438305121"/>
  </r>
  <r>
    <s v="[VDS] - Payroll Cashloan"/>
    <x v="1"/>
    <x v="6"/>
    <x v="56"/>
    <n v="8646849999"/>
    <n v="1258598134"/>
    <n v="7388251865"/>
    <n v="1177203946"/>
    <n v="7469646053"/>
  </r>
  <r>
    <s v="[VDS] - Payroll Cashloan"/>
    <x v="1"/>
    <x v="6"/>
    <x v="57"/>
    <n v="8620951950"/>
    <n v="1279773705"/>
    <n v="7341178245"/>
    <n v="1189599039"/>
    <n v="7431352911"/>
  </r>
  <r>
    <s v="[VDS] - Payroll Cashloan"/>
    <x v="1"/>
    <x v="6"/>
    <x v="58"/>
    <n v="8561487982"/>
    <n v="1285354682"/>
    <n v="7276133300"/>
    <n v="1189534039"/>
    <n v="7371953943"/>
  </r>
  <r>
    <s v="[VDS] - Payroll Cashloan"/>
    <x v="1"/>
    <x v="6"/>
    <x v="59"/>
    <n v="8515029860"/>
    <n v="1296223547"/>
    <n v="7218806313"/>
    <n v="1144955891"/>
    <n v="7370073969"/>
  </r>
  <r>
    <s v="[VDS] - Payroll Cashloan"/>
    <x v="1"/>
    <x v="6"/>
    <x v="60"/>
    <n v="8536842068"/>
    <n v="1221800598"/>
    <n v="7315041470"/>
    <n v="1144955891"/>
    <n v="7391886177"/>
  </r>
  <r>
    <s v="[VDS] - Payroll Cashloan"/>
    <x v="1"/>
    <x v="6"/>
    <x v="61"/>
    <n v="8566448509"/>
    <n v="1213478619"/>
    <n v="7352969890"/>
    <n v="1143955891"/>
    <n v="7422492618"/>
  </r>
  <r>
    <s v="[VDS] - Payroll Cashloan"/>
    <x v="1"/>
    <x v="6"/>
    <x v="62"/>
    <n v="8586036564"/>
    <n v="1207563383"/>
    <n v="7378473181"/>
    <n v="1143007875"/>
    <n v="7443028689"/>
  </r>
  <r>
    <s v="[VDS] - Payroll Cashloan"/>
    <x v="1"/>
    <x v="6"/>
    <x v="63"/>
    <n v="8596536564"/>
    <n v="1196442589"/>
    <n v="7400093975"/>
    <n v="1131887081"/>
    <n v="7464649483"/>
  </r>
  <r>
    <s v="[VDS] - Payroll Cashloan"/>
    <x v="1"/>
    <x v="6"/>
    <x v="64"/>
    <n v="8548937831"/>
    <n v="1187561896"/>
    <n v="7361375935"/>
    <n v="1131887081"/>
    <n v="7417050750"/>
  </r>
  <r>
    <s v="[VDS] - Payroll Cashloan"/>
    <x v="1"/>
    <x v="6"/>
    <x v="65"/>
    <n v="8545250549"/>
    <n v="1286372525"/>
    <n v="7258878024"/>
    <n v="1123715994"/>
    <n v="7421534555"/>
  </r>
  <r>
    <s v="[VDS] - Payroll Cashloan"/>
    <x v="1"/>
    <x v="6"/>
    <x v="66"/>
    <n v="8540628144"/>
    <n v="1266166384"/>
    <n v="7274461760"/>
    <n v="1134488645"/>
    <n v="7406139499"/>
  </r>
  <r>
    <s v="[VDS] - Payroll Cashloan"/>
    <x v="1"/>
    <x v="6"/>
    <x v="67"/>
    <n v="8535952295"/>
    <n v="1328725197"/>
    <n v="7207227098"/>
    <n v="1144431526"/>
    <n v="7391520769"/>
  </r>
  <r>
    <s v="[VDS] - Payroll Cashloan"/>
    <x v="1"/>
    <x v="6"/>
    <x v="68"/>
    <n v="8525816547"/>
    <n v="1291316929"/>
    <n v="7234499618"/>
    <n v="1144431526"/>
    <n v="7381385021"/>
  </r>
  <r>
    <s v="[VDS] - Payroll Cashloan"/>
    <x v="1"/>
    <x v="6"/>
    <x v="69"/>
    <n v="8570748675"/>
    <n v="1286499467"/>
    <n v="7284249208"/>
    <n v="1175226994"/>
    <n v="7395521681"/>
  </r>
  <r>
    <s v="[VDS] - Payroll Cashloan"/>
    <x v="1"/>
    <x v="6"/>
    <x v="70"/>
    <n v="8604415135"/>
    <n v="1290691462"/>
    <n v="7313723673"/>
    <n v="1175226994"/>
    <n v="7429188141"/>
  </r>
  <r>
    <s v="[VDS] - Payroll Cashloan"/>
    <x v="1"/>
    <x v="6"/>
    <x v="71"/>
    <n v="8549091130"/>
    <n v="1278921326"/>
    <n v="7270169804"/>
    <n v="1175027472"/>
    <n v="7374063658"/>
  </r>
  <r>
    <s v="[VDS] - Payroll Cashloan"/>
    <x v="1"/>
    <x v="6"/>
    <x v="72"/>
    <n v="8614846623"/>
    <n v="1292419379"/>
    <n v="7322427244"/>
    <n v="1175027472"/>
    <n v="7439819151"/>
  </r>
  <r>
    <s v="[VDS] - Payroll Cashloan"/>
    <x v="1"/>
    <x v="6"/>
    <x v="73"/>
    <n v="8637061092"/>
    <n v="1308413049"/>
    <n v="7328648043"/>
    <n v="1174066060"/>
    <n v="7462995032"/>
  </r>
  <r>
    <s v="[VDS] - Payroll Cashloan"/>
    <x v="1"/>
    <x v="6"/>
    <x v="74"/>
    <n v="8631430444"/>
    <n v="1301338814"/>
    <n v="7330091630"/>
    <n v="1172460635"/>
    <n v="7458969809"/>
  </r>
  <r>
    <s v="[VDS] - Payroll Cashloan"/>
    <x v="1"/>
    <x v="6"/>
    <x v="75"/>
    <n v="8619401869"/>
    <n v="1311994110"/>
    <n v="7307407759"/>
    <n v="1206884847"/>
    <n v="7412517022"/>
  </r>
  <r>
    <s v="[VDS] - Payroll Cashloan"/>
    <x v="1"/>
    <x v="6"/>
    <x v="76"/>
    <n v="8586501352"/>
    <n v="1298496057"/>
    <n v="7288005295"/>
    <n v="1201598271"/>
    <n v="7384903081"/>
  </r>
  <r>
    <s v="[VDS] - Payroll Cashloan"/>
    <x v="1"/>
    <x v="6"/>
    <x v="77"/>
    <n v="8564303012"/>
    <n v="1385077949"/>
    <n v="7179225063"/>
    <n v="1215084273"/>
    <n v="7349218739"/>
  </r>
  <r>
    <s v="[VDS] - Payroll Cashloan"/>
    <x v="1"/>
    <x v="6"/>
    <x v="78"/>
    <n v="8566019984"/>
    <n v="1355079908"/>
    <n v="7210940076"/>
    <n v="1226546157"/>
    <n v="7339473827"/>
  </r>
  <r>
    <s v="[VDS] - Payroll Cashloan"/>
    <x v="1"/>
    <x v="6"/>
    <x v="79"/>
    <n v="8520560814"/>
    <n v="1341609128"/>
    <n v="7178951686"/>
    <n v="1215879103"/>
    <n v="7304681711"/>
  </r>
  <r>
    <s v="[VDS] - Payroll Cashloan"/>
    <x v="1"/>
    <x v="6"/>
    <x v="80"/>
    <n v="8492581053"/>
    <n v="1370170253"/>
    <n v="7122410800"/>
    <n v="1226809449"/>
    <n v="7265771604"/>
  </r>
  <r>
    <s v="[VDS] - Payroll Cashloan"/>
    <x v="1"/>
    <x v="6"/>
    <x v="81"/>
    <n v="8477948613"/>
    <n v="1402544822"/>
    <n v="7075403791"/>
    <n v="1226809449"/>
    <n v="7251139164"/>
  </r>
  <r>
    <s v="[VDS] - Payroll Cashloan"/>
    <x v="1"/>
    <x v="6"/>
    <x v="82"/>
    <n v="8489292308"/>
    <n v="1407161800"/>
    <n v="7082130508"/>
    <n v="1224850806"/>
    <n v="7264441502"/>
  </r>
  <r>
    <s v="[VDS] - Payroll Cashloan"/>
    <x v="1"/>
    <x v="6"/>
    <x v="83"/>
    <n v="8430124356"/>
    <n v="1390449078"/>
    <n v="7039675278"/>
    <n v="1236185578"/>
    <n v="7193938778"/>
  </r>
  <r>
    <s v="[VDS] - Payroll Cashloan"/>
    <x v="1"/>
    <x v="6"/>
    <x v="84"/>
    <n v="8453724427"/>
    <n v="1458991602"/>
    <n v="6994732825"/>
    <n v="1236185578"/>
    <n v="7217538849"/>
  </r>
  <r>
    <s v="[VDS] - Payroll Cashloan"/>
    <x v="1"/>
    <x v="6"/>
    <x v="85"/>
    <n v="8483772589"/>
    <n v="1435284044"/>
    <n v="7048488545"/>
    <n v="1236185578"/>
    <n v="7247587011"/>
  </r>
  <r>
    <s v="[VDS] - Payroll Cashloan"/>
    <x v="1"/>
    <x v="6"/>
    <x v="86"/>
    <n v="8503603564"/>
    <n v="1429127984"/>
    <n v="7074475580"/>
    <n v="1226243447"/>
    <n v="7277360117"/>
  </r>
  <r>
    <s v="[VDS] - Payroll Cashloan"/>
    <x v="1"/>
    <x v="6"/>
    <x v="87"/>
    <n v="8500093207"/>
    <n v="1419161551"/>
    <n v="7080931656"/>
    <n v="1267271410"/>
    <n v="7232821797"/>
  </r>
  <r>
    <s v="[VDS] - Payroll Cashloan"/>
    <x v="1"/>
    <x v="6"/>
    <x v="88"/>
    <n v="8485329297"/>
    <n v="1409469954"/>
    <n v="7075859343"/>
    <n v="1273008616"/>
    <n v="7212320681"/>
  </r>
  <r>
    <s v="[VDS] - Payroll Cashloan"/>
    <x v="1"/>
    <x v="6"/>
    <x v="89"/>
    <n v="8471708372"/>
    <n v="1420448138"/>
    <n v="7051260234"/>
    <n v="1278696147"/>
    <n v="7193012225"/>
  </r>
  <r>
    <s v="[VDS] - Payroll Cashloan"/>
    <x v="1"/>
    <x v="6"/>
    <x v="90"/>
    <n v="8425307962"/>
    <n v="1396191830"/>
    <n v="7029116132"/>
    <n v="1288900864"/>
    <n v="7136407098"/>
  </r>
  <r>
    <s v="[VDS] - Payroll Cashloan"/>
    <x v="1"/>
    <x v="6"/>
    <x v="91"/>
    <n v="8412852749"/>
    <n v="1435896195"/>
    <n v="6976956554"/>
    <n v="1296847195"/>
    <n v="7116005554"/>
  </r>
  <r>
    <s v="[VDS] - Payroll Payday"/>
    <x v="4"/>
    <x v="6"/>
    <x v="0"/>
    <n v="488360299"/>
    <n v="97440085"/>
    <n v="390920214"/>
    <n v="86444258"/>
    <n v="401916041"/>
  </r>
  <r>
    <s v="[VDS] - Payroll Payday"/>
    <x v="4"/>
    <x v="6"/>
    <x v="1"/>
    <n v="458360299"/>
    <n v="97440085"/>
    <n v="360920214"/>
    <n v="86444258"/>
    <n v="371916041"/>
  </r>
  <r>
    <s v="[VDS] - Payroll Payday"/>
    <x v="4"/>
    <x v="6"/>
    <x v="2"/>
    <n v="528360299"/>
    <n v="97440085"/>
    <n v="430920214"/>
    <n v="86444258"/>
    <n v="441916041"/>
  </r>
  <r>
    <s v="[VDS] - Payroll Payday"/>
    <x v="4"/>
    <x v="6"/>
    <x v="3"/>
    <n v="552860299"/>
    <n v="100940085"/>
    <n v="451920214"/>
    <n v="83944258"/>
    <n v="468916041"/>
  </r>
  <r>
    <s v="[VDS] - Payroll Payday"/>
    <x v="4"/>
    <x v="6"/>
    <x v="4"/>
    <n v="522860299"/>
    <n v="100940085"/>
    <n v="421920214"/>
    <n v="83944258"/>
    <n v="438916041"/>
  </r>
  <r>
    <s v="[VDS] - Payroll Payday"/>
    <x v="4"/>
    <x v="6"/>
    <x v="5"/>
    <n v="512860299"/>
    <n v="100940085"/>
    <n v="411920214"/>
    <n v="83944258"/>
    <n v="428916041"/>
  </r>
  <r>
    <s v="[VDS] - Payroll Payday"/>
    <x v="4"/>
    <x v="6"/>
    <x v="6"/>
    <n v="559860299"/>
    <n v="100940085"/>
    <n v="458920214"/>
    <n v="83944258"/>
    <n v="475916041"/>
  </r>
  <r>
    <s v="[VDS] - Payroll Payday"/>
    <x v="4"/>
    <x v="6"/>
    <x v="7"/>
    <n v="542860299"/>
    <n v="100940085"/>
    <n v="441920214"/>
    <n v="83944258"/>
    <n v="458916041"/>
  </r>
  <r>
    <s v="[VDS] - Payroll Payday"/>
    <x v="4"/>
    <x v="6"/>
    <x v="8"/>
    <n v="534864472"/>
    <n v="92944258"/>
    <n v="441920214"/>
    <n v="86944258"/>
    <n v="447920214"/>
  </r>
  <r>
    <s v="[VDS] - Payroll Payday"/>
    <x v="4"/>
    <x v="6"/>
    <x v="9"/>
    <n v="555864472"/>
    <n v="92944258"/>
    <n v="462920214"/>
    <n v="86944258"/>
    <n v="468920214"/>
  </r>
  <r>
    <s v="[VDS] - Payroll Payday"/>
    <x v="4"/>
    <x v="6"/>
    <x v="10"/>
    <n v="538891071"/>
    <n v="92944258"/>
    <n v="445946813"/>
    <n v="92944258"/>
    <n v="445946813"/>
  </r>
  <r>
    <s v="[VDS] - Payroll Payday"/>
    <x v="4"/>
    <x v="6"/>
    <x v="11"/>
    <n v="536891071"/>
    <n v="92944258"/>
    <n v="443946813"/>
    <n v="92944258"/>
    <n v="443946813"/>
  </r>
  <r>
    <s v="[VDS] - Payroll Payday"/>
    <x v="4"/>
    <x v="6"/>
    <x v="12"/>
    <n v="527891071"/>
    <n v="92944258"/>
    <n v="434946813"/>
    <n v="92944258"/>
    <n v="434946813"/>
  </r>
  <r>
    <s v="[VDS] - Payroll Payday"/>
    <x v="4"/>
    <x v="6"/>
    <x v="13"/>
    <n v="579890705"/>
    <n v="92944258"/>
    <n v="486946447"/>
    <n v="92944258"/>
    <n v="486946447"/>
  </r>
  <r>
    <s v="[VDS] - Payroll Payday"/>
    <x v="4"/>
    <x v="6"/>
    <x v="14"/>
    <n v="646302826"/>
    <n v="92856013"/>
    <n v="553446813"/>
    <n v="92856013"/>
    <n v="553446813"/>
  </r>
  <r>
    <s v="[VDS] - Payroll Payday"/>
    <x v="4"/>
    <x v="6"/>
    <x v="15"/>
    <n v="669302826"/>
    <n v="92856013"/>
    <n v="576446813"/>
    <n v="92856013"/>
    <n v="576446813"/>
  </r>
  <r>
    <s v="[VDS] - Payroll Payday"/>
    <x v="4"/>
    <x v="6"/>
    <x v="16"/>
    <n v="674815282"/>
    <n v="89868469"/>
    <n v="584946813"/>
    <n v="89868469"/>
    <n v="584946813"/>
  </r>
  <r>
    <s v="[VDS] - Payroll Payday"/>
    <x v="4"/>
    <x v="6"/>
    <x v="17"/>
    <n v="683815282"/>
    <n v="86868469"/>
    <n v="596946813"/>
    <n v="86868469"/>
    <n v="596946813"/>
  </r>
  <r>
    <s v="[VDS] - Payroll Payday"/>
    <x v="4"/>
    <x v="6"/>
    <x v="18"/>
    <n v="710815282"/>
    <n v="86868469"/>
    <n v="623946813"/>
    <n v="86868469"/>
    <n v="623946813"/>
  </r>
  <r>
    <s v="[VDS] - Payroll Payday"/>
    <x v="4"/>
    <x v="6"/>
    <x v="19"/>
    <n v="750815282"/>
    <n v="86868469"/>
    <n v="663946813"/>
    <n v="86868469"/>
    <n v="663946813"/>
  </r>
  <r>
    <s v="[VDS] - Payroll Payday"/>
    <x v="4"/>
    <x v="6"/>
    <x v="20"/>
    <n v="722615282"/>
    <n v="86868469"/>
    <n v="635746813"/>
    <n v="86868469"/>
    <n v="635746813"/>
  </r>
  <r>
    <s v="[VDS] - Payroll Payday"/>
    <x v="4"/>
    <x v="6"/>
    <x v="21"/>
    <n v="709415282"/>
    <n v="86868469"/>
    <n v="622546813"/>
    <n v="86868469"/>
    <n v="622546813"/>
  </r>
  <r>
    <s v="[VDS] - Payroll Payday"/>
    <x v="4"/>
    <x v="6"/>
    <x v="22"/>
    <n v="724415282"/>
    <n v="86868469"/>
    <n v="637546813"/>
    <n v="86868469"/>
    <n v="637546813"/>
  </r>
  <r>
    <s v="[VDS] - Payroll Payday"/>
    <x v="4"/>
    <x v="6"/>
    <x v="23"/>
    <n v="716287731"/>
    <n v="88840918"/>
    <n v="627446813"/>
    <n v="86868469"/>
    <n v="629419262"/>
  </r>
  <r>
    <s v="[VDS] - Payroll Payday"/>
    <x v="4"/>
    <x v="6"/>
    <x v="24"/>
    <n v="717137731"/>
    <n v="92590918"/>
    <n v="624546813"/>
    <n v="86868469"/>
    <n v="630269262"/>
  </r>
  <r>
    <s v="[VDS] - Payroll Payday"/>
    <x v="4"/>
    <x v="6"/>
    <x v="25"/>
    <n v="732315282"/>
    <n v="91768469"/>
    <n v="640546813"/>
    <n v="86868469"/>
    <n v="645446813"/>
  </r>
  <r>
    <s v="[VDS] - Payroll Payday"/>
    <x v="4"/>
    <x v="6"/>
    <x v="26"/>
    <n v="732315282"/>
    <n v="91768469"/>
    <n v="640546813"/>
    <n v="86868469"/>
    <n v="645446813"/>
  </r>
  <r>
    <s v="[VDS] - Payroll Payday"/>
    <x v="4"/>
    <x v="6"/>
    <x v="27"/>
    <n v="776315282"/>
    <n v="91768469"/>
    <n v="684546813"/>
    <n v="86868469"/>
    <n v="689446813"/>
  </r>
  <r>
    <s v="[VDS] - Payroll Payday"/>
    <x v="4"/>
    <x v="6"/>
    <x v="28"/>
    <n v="787220905"/>
    <n v="91620905"/>
    <n v="695600000"/>
    <n v="86868469"/>
    <n v="700352436"/>
  </r>
  <r>
    <s v="[VDS] - Payroll Payday"/>
    <x v="4"/>
    <x v="6"/>
    <x v="29"/>
    <n v="764220905"/>
    <n v="91620905"/>
    <n v="672600000"/>
    <n v="86868469"/>
    <n v="677352436"/>
  </r>
  <r>
    <s v="[VDS] - Payroll Payday"/>
    <x v="4"/>
    <x v="6"/>
    <x v="30"/>
    <n v="781220905"/>
    <n v="91620905"/>
    <n v="689600000"/>
    <n v="86868469"/>
    <n v="694352436"/>
  </r>
  <r>
    <s v="[VDS] - Payroll Payday"/>
    <x v="4"/>
    <x v="6"/>
    <x v="31"/>
    <n v="817620905"/>
    <n v="91620905"/>
    <n v="726000000"/>
    <n v="86868469"/>
    <n v="730752436"/>
  </r>
  <r>
    <s v="[VDS] - Payroll Payday"/>
    <x v="4"/>
    <x v="6"/>
    <x v="32"/>
    <n v="822620905"/>
    <n v="91620905"/>
    <n v="731000000"/>
    <n v="86868469"/>
    <n v="735752436"/>
  </r>
  <r>
    <s v="[VDS] - Payroll Payday"/>
    <x v="4"/>
    <x v="6"/>
    <x v="33"/>
    <n v="850620905"/>
    <n v="97620905"/>
    <n v="753000000"/>
    <n v="86868469"/>
    <n v="763752436"/>
  </r>
  <r>
    <s v="[VDS] - Payroll Payday"/>
    <x v="4"/>
    <x v="6"/>
    <x v="34"/>
    <n v="879620905"/>
    <n v="91620905"/>
    <n v="788000000"/>
    <n v="91620905"/>
    <n v="788000000"/>
  </r>
  <r>
    <s v="[VDS] - Payroll Payday"/>
    <x v="4"/>
    <x v="6"/>
    <x v="35"/>
    <n v="870820905"/>
    <n v="95620905"/>
    <n v="775200000"/>
    <n v="91620905"/>
    <n v="779200000"/>
  </r>
  <r>
    <s v="[VDS] - Payroll Payday"/>
    <x v="4"/>
    <x v="6"/>
    <x v="36"/>
    <n v="875820905"/>
    <n v="95620905"/>
    <n v="780200000"/>
    <n v="91620905"/>
    <n v="784200000"/>
  </r>
  <r>
    <s v="[VDS] - Payroll Payday"/>
    <x v="4"/>
    <x v="6"/>
    <x v="37"/>
    <n v="898820905"/>
    <n v="97620905"/>
    <n v="801200000"/>
    <n v="91620905"/>
    <n v="807200000"/>
  </r>
  <r>
    <s v="[VDS] - Payroll Payday"/>
    <x v="4"/>
    <x v="6"/>
    <x v="38"/>
    <n v="882820905"/>
    <n v="93620905"/>
    <n v="789200000"/>
    <n v="87620905"/>
    <n v="795200000"/>
  </r>
  <r>
    <s v="[VDS] - Payroll Payday"/>
    <x v="4"/>
    <x v="6"/>
    <x v="39"/>
    <n v="902820905"/>
    <n v="93620905"/>
    <n v="809200000"/>
    <n v="87620905"/>
    <n v="815200000"/>
  </r>
  <r>
    <s v="[VDS] - Payroll Payday"/>
    <x v="4"/>
    <x v="6"/>
    <x v="40"/>
    <n v="918820905"/>
    <n v="96620905"/>
    <n v="822200000"/>
    <n v="87620905"/>
    <n v="831200000"/>
  </r>
  <r>
    <s v="[VDS] - Payroll Payday"/>
    <x v="4"/>
    <x v="6"/>
    <x v="41"/>
    <n v="885820905"/>
    <n v="90620905"/>
    <n v="795200000"/>
    <n v="87620905"/>
    <n v="798200000"/>
  </r>
  <r>
    <s v="[VDS] - Payroll Payday"/>
    <x v="4"/>
    <x v="6"/>
    <x v="42"/>
    <n v="914820905"/>
    <n v="90620905"/>
    <n v="824200000"/>
    <n v="87620905"/>
    <n v="827200000"/>
  </r>
  <r>
    <s v="[VDS] - Payroll Payday"/>
    <x v="4"/>
    <x v="6"/>
    <x v="43"/>
    <n v="907820905"/>
    <n v="90620905"/>
    <n v="817200000"/>
    <n v="87620905"/>
    <n v="820200000"/>
  </r>
  <r>
    <s v="[VDS] - Payroll Payday"/>
    <x v="4"/>
    <x v="6"/>
    <x v="44"/>
    <n v="920810342"/>
    <n v="100620905"/>
    <n v="820189437"/>
    <n v="87620905"/>
    <n v="833189437"/>
  </r>
  <r>
    <s v="[VDS] - Payroll Payday"/>
    <x v="4"/>
    <x v="6"/>
    <x v="45"/>
    <n v="940535067"/>
    <n v="107335067"/>
    <n v="833200000"/>
    <n v="87439111"/>
    <n v="853095956"/>
  </r>
  <r>
    <s v="[VDS] - Payroll Payday"/>
    <x v="4"/>
    <x v="6"/>
    <x v="46"/>
    <n v="889639111"/>
    <n v="108439111"/>
    <n v="781200000"/>
    <n v="87439111"/>
    <n v="802200000"/>
  </r>
  <r>
    <s v="[VDS] - Payroll Payday"/>
    <x v="4"/>
    <x v="6"/>
    <x v="47"/>
    <n v="869639111"/>
    <n v="108439111"/>
    <n v="761200000"/>
    <n v="87439111"/>
    <n v="782200000"/>
  </r>
  <r>
    <s v="[VDS] - Payroll Payday"/>
    <x v="4"/>
    <x v="6"/>
    <x v="48"/>
    <n v="900639111"/>
    <n v="98439111"/>
    <n v="802200000"/>
    <n v="87439111"/>
    <n v="813200000"/>
  </r>
  <r>
    <s v="[VDS] - Payroll Payday"/>
    <x v="4"/>
    <x v="6"/>
    <x v="49"/>
    <n v="907139111"/>
    <n v="98439111"/>
    <n v="808700000"/>
    <n v="87439111"/>
    <n v="819700000"/>
  </r>
  <r>
    <s v="[VDS] - Payroll Payday"/>
    <x v="4"/>
    <x v="6"/>
    <x v="50"/>
    <n v="903139111"/>
    <n v="98439111"/>
    <n v="804700000"/>
    <n v="90439111"/>
    <n v="812700000"/>
  </r>
  <r>
    <s v="[VDS] - Payroll Payday"/>
    <x v="4"/>
    <x v="6"/>
    <x v="51"/>
    <n v="795139041"/>
    <n v="98439111"/>
    <n v="696699930"/>
    <n v="90439111"/>
    <n v="704699930"/>
  </r>
  <r>
    <s v="[VDS] - Payroll Payday"/>
    <x v="4"/>
    <x v="6"/>
    <x v="52"/>
    <n v="803607756"/>
    <n v="98407756"/>
    <n v="705200000"/>
    <n v="90407756"/>
    <n v="713200000"/>
  </r>
  <r>
    <s v="[VDS] - Payroll Payday"/>
    <x v="4"/>
    <x v="6"/>
    <x v="53"/>
    <n v="791607756"/>
    <n v="98407756"/>
    <n v="693200000"/>
    <n v="90407756"/>
    <n v="701200000"/>
  </r>
  <r>
    <s v="[VDS] - Payroll Payday"/>
    <x v="4"/>
    <x v="6"/>
    <x v="54"/>
    <n v="817607756"/>
    <n v="98407756"/>
    <n v="719200000"/>
    <n v="98407756"/>
    <n v="719200000"/>
  </r>
  <r>
    <s v="[VDS] - Payroll Payday"/>
    <x v="4"/>
    <x v="6"/>
    <x v="55"/>
    <n v="784407756"/>
    <n v="98407756"/>
    <n v="686000000"/>
    <n v="98407756"/>
    <n v="686000000"/>
  </r>
  <r>
    <s v="[VDS] - Payroll Payday"/>
    <x v="4"/>
    <x v="6"/>
    <x v="56"/>
    <n v="808407756"/>
    <n v="98407756"/>
    <n v="710000000"/>
    <n v="98407756"/>
    <n v="710000000"/>
  </r>
  <r>
    <s v="[VDS] - Payroll Payday"/>
    <x v="4"/>
    <x v="6"/>
    <x v="57"/>
    <n v="847407756"/>
    <n v="98407756"/>
    <n v="749000000"/>
    <n v="98407756"/>
    <n v="749000000"/>
  </r>
  <r>
    <s v="[VDS] - Payroll Payday"/>
    <x v="4"/>
    <x v="6"/>
    <x v="58"/>
    <n v="851236079"/>
    <n v="113236079"/>
    <n v="738000000"/>
    <n v="98407756"/>
    <n v="752828323"/>
  </r>
  <r>
    <s v="[VDS] - Payroll Payday"/>
    <x v="4"/>
    <x v="6"/>
    <x v="59"/>
    <n v="825236079"/>
    <n v="105236079"/>
    <n v="720000000"/>
    <n v="90407756"/>
    <n v="734828323"/>
  </r>
  <r>
    <s v="[VDS] - Payroll Payday"/>
    <x v="4"/>
    <x v="6"/>
    <x v="60"/>
    <n v="838239450"/>
    <n v="103239450"/>
    <n v="735000000"/>
    <n v="90407756"/>
    <n v="747831694"/>
  </r>
  <r>
    <s v="[VDS] - Payroll Payday"/>
    <x v="4"/>
    <x v="6"/>
    <x v="61"/>
    <n v="886239450"/>
    <n v="103239450"/>
    <n v="783000000"/>
    <n v="90407756"/>
    <n v="795831694"/>
  </r>
  <r>
    <s v="[VDS] - Payroll Payday"/>
    <x v="4"/>
    <x v="6"/>
    <x v="62"/>
    <n v="885487014"/>
    <n v="102487014"/>
    <n v="783000000"/>
    <n v="89655320"/>
    <n v="795831694"/>
  </r>
  <r>
    <s v="[VDS] - Payroll Payday"/>
    <x v="4"/>
    <x v="6"/>
    <x v="63"/>
    <n v="880655320"/>
    <n v="94655320"/>
    <n v="786000000"/>
    <n v="89655320"/>
    <n v="791000000"/>
  </r>
  <r>
    <s v="[VDS] - Payroll Payday"/>
    <x v="4"/>
    <x v="6"/>
    <x v="64"/>
    <n v="889655320"/>
    <n v="94655320"/>
    <n v="795000000"/>
    <n v="89655320"/>
    <n v="800000000"/>
  </r>
  <r>
    <s v="[VDS] - Payroll Payday"/>
    <x v="4"/>
    <x v="6"/>
    <x v="65"/>
    <n v="897655320"/>
    <n v="94655320"/>
    <n v="803000000"/>
    <n v="89655320"/>
    <n v="808000000"/>
  </r>
  <r>
    <s v="[VDS] - Payroll Payday"/>
    <x v="4"/>
    <x v="6"/>
    <x v="66"/>
    <n v="919655320"/>
    <n v="94655320"/>
    <n v="825000000"/>
    <n v="89655320"/>
    <n v="830000000"/>
  </r>
  <r>
    <s v="[VDS] - Payroll Payday"/>
    <x v="4"/>
    <x v="6"/>
    <x v="67"/>
    <n v="938655320"/>
    <n v="94655320"/>
    <n v="844000000"/>
    <n v="89655320"/>
    <n v="849000000"/>
  </r>
  <r>
    <s v="[VDS] - Payroll Payday"/>
    <x v="4"/>
    <x v="6"/>
    <x v="68"/>
    <n v="948655320"/>
    <n v="89655320"/>
    <n v="859000000"/>
    <n v="89655320"/>
    <n v="859000000"/>
  </r>
  <r>
    <s v="[VDS] - Payroll Payday"/>
    <x v="4"/>
    <x v="6"/>
    <x v="69"/>
    <n v="951655320"/>
    <n v="89655320"/>
    <n v="862000000"/>
    <n v="89655320"/>
    <n v="862000000"/>
  </r>
  <r>
    <s v="[VDS] - Payroll Payday"/>
    <x v="4"/>
    <x v="6"/>
    <x v="70"/>
    <n v="941655320"/>
    <n v="89655320"/>
    <n v="852000000"/>
    <n v="89655320"/>
    <n v="852000000"/>
  </r>
  <r>
    <s v="[VDS] - Payroll Payday"/>
    <x v="4"/>
    <x v="6"/>
    <x v="71"/>
    <n v="931655320"/>
    <n v="89655320"/>
    <n v="842000000"/>
    <n v="89655320"/>
    <n v="842000000"/>
  </r>
  <r>
    <s v="[VDS] - Payroll Payday"/>
    <x v="4"/>
    <x v="6"/>
    <x v="72"/>
    <n v="937655320"/>
    <n v="89655320"/>
    <n v="848000000"/>
    <n v="89655320"/>
    <n v="848000000"/>
  </r>
  <r>
    <s v="[VDS] - Payroll Payday"/>
    <x v="4"/>
    <x v="6"/>
    <x v="73"/>
    <n v="962655320"/>
    <n v="89655320"/>
    <n v="873000000"/>
    <n v="89655320"/>
    <n v="873000000"/>
  </r>
  <r>
    <s v="[VDS] - Payroll Payday"/>
    <x v="4"/>
    <x v="6"/>
    <x v="74"/>
    <n v="937655320"/>
    <n v="89655320"/>
    <n v="848000000"/>
    <n v="89655320"/>
    <n v="848000000"/>
  </r>
  <r>
    <s v="[VDS] - Payroll Payday"/>
    <x v="4"/>
    <x v="6"/>
    <x v="75"/>
    <n v="971655320"/>
    <n v="93655320"/>
    <n v="878000000"/>
    <n v="89655320"/>
    <n v="882000000"/>
  </r>
  <r>
    <s v="[VDS] - Payroll Payday"/>
    <x v="4"/>
    <x v="6"/>
    <x v="76"/>
    <n v="965655320"/>
    <n v="93655320"/>
    <n v="872000000"/>
    <n v="89655320"/>
    <n v="876000000"/>
  </r>
  <r>
    <s v="[VDS] - Payroll Payday"/>
    <x v="4"/>
    <x v="6"/>
    <x v="77"/>
    <n v="912655320"/>
    <n v="98655320"/>
    <n v="814000000"/>
    <n v="89655320"/>
    <n v="823000000"/>
  </r>
  <r>
    <s v="[VDS] - Payroll Payday"/>
    <x v="4"/>
    <x v="6"/>
    <x v="78"/>
    <n v="897059320"/>
    <n v="98655320"/>
    <n v="798404000"/>
    <n v="89655320"/>
    <n v="807404000"/>
  </r>
  <r>
    <s v="[VDS] - Payroll Payday"/>
    <x v="4"/>
    <x v="6"/>
    <x v="79"/>
    <n v="901059320"/>
    <n v="100655320"/>
    <n v="800404000"/>
    <n v="89655320"/>
    <n v="811404000"/>
  </r>
  <r>
    <s v="[VDS] - Payroll Payday"/>
    <x v="4"/>
    <x v="6"/>
    <x v="80"/>
    <n v="919655320"/>
    <n v="95655320"/>
    <n v="824000000"/>
    <n v="89655320"/>
    <n v="830000000"/>
  </r>
  <r>
    <s v="[VDS] - Payroll Payday"/>
    <x v="4"/>
    <x v="6"/>
    <x v="81"/>
    <n v="891546910"/>
    <n v="93655320"/>
    <n v="797891590"/>
    <n v="89655320"/>
    <n v="801891590"/>
  </r>
  <r>
    <s v="[VDS] - Payroll Payday"/>
    <x v="4"/>
    <x v="6"/>
    <x v="82"/>
    <n v="915546910"/>
    <n v="104546910"/>
    <n v="811000000"/>
    <n v="89655320"/>
    <n v="825891590"/>
  </r>
  <r>
    <s v="[VDS] - Payroll Payday"/>
    <x v="4"/>
    <x v="6"/>
    <x v="83"/>
    <n v="934546910"/>
    <n v="99546910"/>
    <n v="835000000"/>
    <n v="89655320"/>
    <n v="844891590"/>
  </r>
  <r>
    <s v="[VDS] - Payroll Payday"/>
    <x v="4"/>
    <x v="6"/>
    <x v="84"/>
    <n v="901331910"/>
    <n v="99546910"/>
    <n v="801785000"/>
    <n v="89655320"/>
    <n v="811676590"/>
  </r>
  <r>
    <s v="[VDS] - Payroll Payday"/>
    <x v="4"/>
    <x v="6"/>
    <x v="85"/>
    <n v="925961910"/>
    <n v="99546910"/>
    <n v="826415000"/>
    <n v="93655320"/>
    <n v="832306590"/>
  </r>
  <r>
    <s v="[VDS] - Payroll Payday"/>
    <x v="4"/>
    <x v="6"/>
    <x v="86"/>
    <n v="951692486"/>
    <n v="93655320"/>
    <n v="858037166"/>
    <n v="93655320"/>
    <n v="858037166"/>
  </r>
  <r>
    <s v="[VDS] - Payroll Payday"/>
    <x v="4"/>
    <x v="6"/>
    <x v="87"/>
    <n v="985059937"/>
    <n v="98655320"/>
    <n v="886404617"/>
    <n v="93655320"/>
    <n v="891404617"/>
  </r>
  <r>
    <s v="[VDS] - Payroll Payday"/>
    <x v="4"/>
    <x v="6"/>
    <x v="88"/>
    <n v="983370813"/>
    <n v="97037143"/>
    <n v="886333670"/>
    <n v="89655320"/>
    <n v="893715493"/>
  </r>
  <r>
    <s v="[VDS] - Payroll Payday"/>
    <x v="4"/>
    <x v="6"/>
    <x v="89"/>
    <n v="996017569"/>
    <n v="107656285"/>
    <n v="888361284"/>
    <n v="89655320"/>
    <n v="906362249"/>
  </r>
  <r>
    <s v="[VDS] - Payroll Payday"/>
    <x v="4"/>
    <x v="6"/>
    <x v="90"/>
    <n v="1007453108"/>
    <n v="102038108"/>
    <n v="905415000"/>
    <n v="89655320"/>
    <n v="917797788"/>
  </r>
  <r>
    <s v="[VDS] - Payroll Payday"/>
    <x v="4"/>
    <x v="6"/>
    <x v="91"/>
    <n v="1019505545"/>
    <n v="102091548"/>
    <n v="917413997"/>
    <n v="89655320"/>
    <n v="929850225"/>
  </r>
  <r>
    <s v="[VNPAY] - Cashloan"/>
    <x v="1"/>
    <x v="7"/>
    <x v="0"/>
    <n v="69356741070"/>
    <n v="5611128121"/>
    <n v="63745612949"/>
    <n v="4417885445"/>
    <n v="64938855625"/>
  </r>
  <r>
    <s v="[VNPAY] - Cashloan"/>
    <x v="1"/>
    <x v="7"/>
    <x v="1"/>
    <n v="69658070170"/>
    <n v="5615359556"/>
    <n v="64042710614"/>
    <n v="4487294782"/>
    <n v="65170775388"/>
  </r>
  <r>
    <s v="[VNPAY] - Cashloan"/>
    <x v="1"/>
    <x v="7"/>
    <x v="2"/>
    <n v="70047195082"/>
    <n v="5714725260"/>
    <n v="64332469822"/>
    <n v="4468729912"/>
    <n v="65578465170"/>
  </r>
  <r>
    <s v="[VNPAY] - Cashloan"/>
    <x v="1"/>
    <x v="7"/>
    <x v="3"/>
    <n v="70455637075"/>
    <n v="5818229976"/>
    <n v="64637407099"/>
    <n v="4578081604"/>
    <n v="65877555471"/>
  </r>
  <r>
    <s v="[VNPAY] - Cashloan"/>
    <x v="1"/>
    <x v="7"/>
    <x v="4"/>
    <n v="70753040690"/>
    <n v="5943416406"/>
    <n v="64809624284"/>
    <n v="4628088412"/>
    <n v="66124952278"/>
  </r>
  <r>
    <s v="[VNPAY] - Cashloan"/>
    <x v="1"/>
    <x v="7"/>
    <x v="5"/>
    <n v="71088717385"/>
    <n v="6013436909"/>
    <n v="65075280476"/>
    <n v="4644923585"/>
    <n v="66443793800"/>
  </r>
  <r>
    <s v="[VNPAY] - Cashloan"/>
    <x v="1"/>
    <x v="7"/>
    <x v="6"/>
    <n v="71313554712"/>
    <n v="5859668352"/>
    <n v="65453886360"/>
    <n v="4713630242"/>
    <n v="66599924470"/>
  </r>
  <r>
    <s v="[VNPAY] - Cashloan"/>
    <x v="1"/>
    <x v="7"/>
    <x v="7"/>
    <n v="71714272298"/>
    <n v="6228822519"/>
    <n v="65485449779"/>
    <n v="4781514594"/>
    <n v="66932757704"/>
  </r>
  <r>
    <s v="[VNPAY] - Cashloan"/>
    <x v="1"/>
    <x v="7"/>
    <x v="8"/>
    <n v="71967467511"/>
    <n v="6193730629"/>
    <n v="65773736882"/>
    <n v="4958171832"/>
    <n v="67009295679"/>
  </r>
  <r>
    <s v="[VNPAY] - Cashloan"/>
    <x v="1"/>
    <x v="7"/>
    <x v="9"/>
    <n v="71917169759"/>
    <n v="6073500320"/>
    <n v="65843669439"/>
    <n v="4911197088"/>
    <n v="67005972671"/>
  </r>
  <r>
    <s v="[VNPAY] - Cashloan"/>
    <x v="1"/>
    <x v="7"/>
    <x v="10"/>
    <n v="71981995681"/>
    <n v="6199177974"/>
    <n v="65782817707"/>
    <n v="4895663680"/>
    <n v="67086332001"/>
  </r>
  <r>
    <s v="[VNPAY] - Cashloan"/>
    <x v="1"/>
    <x v="7"/>
    <x v="11"/>
    <n v="71988062247"/>
    <n v="6398673331"/>
    <n v="65589388916"/>
    <n v="4920420696"/>
    <n v="67067641551"/>
  </r>
  <r>
    <s v="[VNPAY] - Cashloan"/>
    <x v="1"/>
    <x v="7"/>
    <x v="12"/>
    <n v="72125337648"/>
    <n v="6583315733"/>
    <n v="65542021915"/>
    <n v="4978560833"/>
    <n v="67146776815"/>
  </r>
  <r>
    <s v="[VNPAY] - Cashloan"/>
    <x v="1"/>
    <x v="7"/>
    <x v="13"/>
    <n v="71928178682"/>
    <n v="6425347772"/>
    <n v="65502830910"/>
    <n v="5043059162"/>
    <n v="66885119520"/>
  </r>
  <r>
    <s v="[VNPAY] - Cashloan"/>
    <x v="1"/>
    <x v="7"/>
    <x v="14"/>
    <n v="72126857005"/>
    <n v="6471312034"/>
    <n v="65655544971"/>
    <n v="5066519680"/>
    <n v="67060337325"/>
  </r>
  <r>
    <s v="[VNPAY] - Cashloan"/>
    <x v="1"/>
    <x v="7"/>
    <x v="15"/>
    <n v="72394869534"/>
    <n v="6306856810"/>
    <n v="66088012724"/>
    <n v="5136766730"/>
    <n v="67258102804"/>
  </r>
  <r>
    <s v="[VNPAY] - Cashloan"/>
    <x v="1"/>
    <x v="7"/>
    <x v="16"/>
    <n v="72498704085"/>
    <n v="6260430018"/>
    <n v="66238274067"/>
    <n v="5087589248"/>
    <n v="67411114837"/>
  </r>
  <r>
    <s v="[VNPAY] - Cashloan"/>
    <x v="1"/>
    <x v="7"/>
    <x v="17"/>
    <n v="72726214959"/>
    <n v="6323240709"/>
    <n v="66402974250"/>
    <n v="5221106001"/>
    <n v="67505108958"/>
  </r>
  <r>
    <s v="[VNPAY] - Cashloan"/>
    <x v="1"/>
    <x v="7"/>
    <x v="18"/>
    <n v="72945187237"/>
    <n v="6425947539"/>
    <n v="66519239698"/>
    <n v="5222784482"/>
    <n v="67722402755"/>
  </r>
  <r>
    <s v="[VNPAY] - Cashloan"/>
    <x v="1"/>
    <x v="7"/>
    <x v="19"/>
    <n v="73433478077"/>
    <n v="6612593999"/>
    <n v="66820884078"/>
    <n v="5316748550"/>
    <n v="68116729527"/>
  </r>
  <r>
    <s v="[VNPAY] - Cashloan"/>
    <x v="1"/>
    <x v="7"/>
    <x v="20"/>
    <n v="73714702544"/>
    <n v="6425624116"/>
    <n v="67289078428"/>
    <n v="5419608318"/>
    <n v="68295094226"/>
  </r>
  <r>
    <s v="[VNPAY] - Cashloan"/>
    <x v="1"/>
    <x v="7"/>
    <x v="21"/>
    <n v="73878987004"/>
    <n v="6893831618"/>
    <n v="66985155386"/>
    <n v="5474381710"/>
    <n v="68404605294"/>
  </r>
  <r>
    <s v="[VNPAY] - Cashloan"/>
    <x v="1"/>
    <x v="7"/>
    <x v="22"/>
    <n v="73968665504"/>
    <n v="6942290956"/>
    <n v="67026374548"/>
    <n v="5577706434"/>
    <n v="68390959070"/>
  </r>
  <r>
    <s v="[VNPAY] - Cashloan"/>
    <x v="1"/>
    <x v="7"/>
    <x v="23"/>
    <n v="74243248331"/>
    <n v="6953808283"/>
    <n v="67289440048"/>
    <n v="5551649336"/>
    <n v="68691598995"/>
  </r>
  <r>
    <s v="[VNPAY] - Cashloan"/>
    <x v="1"/>
    <x v="7"/>
    <x v="24"/>
    <n v="74669513620"/>
    <n v="7009181767"/>
    <n v="67660331853"/>
    <n v="5636261783"/>
    <n v="69033251837"/>
  </r>
  <r>
    <s v="[VNPAY] - Cashloan"/>
    <x v="1"/>
    <x v="7"/>
    <x v="25"/>
    <n v="74883946860"/>
    <n v="7036439586"/>
    <n v="67847507274"/>
    <n v="5638200473"/>
    <n v="69245746387"/>
  </r>
  <r>
    <s v="[VNPAY] - Cashloan"/>
    <x v="1"/>
    <x v="7"/>
    <x v="26"/>
    <n v="75256662366"/>
    <n v="7195642423"/>
    <n v="68061019943"/>
    <n v="5657460409"/>
    <n v="69599201957"/>
  </r>
  <r>
    <s v="[VNPAY] - Cashloan"/>
    <x v="1"/>
    <x v="7"/>
    <x v="27"/>
    <n v="75008343911"/>
    <n v="7024139857"/>
    <n v="67984204054"/>
    <n v="5731868220"/>
    <n v="69276475691"/>
  </r>
  <r>
    <s v="[VNPAY] - Cashloan"/>
    <x v="1"/>
    <x v="7"/>
    <x v="28"/>
    <n v="75285865674"/>
    <n v="7795141193"/>
    <n v="67490724481"/>
    <n v="5875253864"/>
    <n v="69410611810"/>
  </r>
  <r>
    <s v="[VNPAY] - Cashloan"/>
    <x v="1"/>
    <x v="7"/>
    <x v="29"/>
    <n v="75567838626"/>
    <n v="7530536267"/>
    <n v="68037302359"/>
    <n v="5945512955"/>
    <n v="69622325671"/>
  </r>
  <r>
    <s v="[VNPAY] - Cashloan"/>
    <x v="1"/>
    <x v="7"/>
    <x v="30"/>
    <n v="76005949782"/>
    <n v="7326412109"/>
    <n v="68679537673"/>
    <n v="5880028976"/>
    <n v="70125920806"/>
  </r>
  <r>
    <s v="[VNPAY] - Cashloan"/>
    <x v="1"/>
    <x v="7"/>
    <x v="31"/>
    <n v="76165949127"/>
    <n v="7154476762"/>
    <n v="69011472365"/>
    <n v="6126549791"/>
    <n v="70039399336"/>
  </r>
  <r>
    <s v="[VNPAY] - Cashloan"/>
    <x v="1"/>
    <x v="7"/>
    <x v="32"/>
    <n v="76492260546"/>
    <n v="7321191150"/>
    <n v="69171069396"/>
    <n v="6169202368"/>
    <n v="70323058178"/>
  </r>
  <r>
    <s v="[VNPAY] - Cashloan"/>
    <x v="1"/>
    <x v="7"/>
    <x v="33"/>
    <n v="76862302615"/>
    <n v="7641439952"/>
    <n v="69220862663"/>
    <n v="6242648968"/>
    <n v="70619653647"/>
  </r>
  <r>
    <s v="[VNPAY] - Cashloan"/>
    <x v="1"/>
    <x v="7"/>
    <x v="34"/>
    <n v="76689223330"/>
    <n v="7475029561"/>
    <n v="69214193769"/>
    <n v="6343034826"/>
    <n v="70346188504"/>
  </r>
  <r>
    <s v="[VNPAY] - Cashloan"/>
    <x v="1"/>
    <x v="7"/>
    <x v="35"/>
    <n v="77184934932"/>
    <n v="7962607326"/>
    <n v="69222327606"/>
    <n v="6355102522"/>
    <n v="70829832410"/>
  </r>
  <r>
    <s v="[VNPAY] - Cashloan"/>
    <x v="1"/>
    <x v="7"/>
    <x v="36"/>
    <n v="77487177254"/>
    <n v="7894416811"/>
    <n v="69592760443"/>
    <n v="6447437814"/>
    <n v="71039739440"/>
  </r>
  <r>
    <s v="[VNPAY] - Cashloan"/>
    <x v="1"/>
    <x v="7"/>
    <x v="37"/>
    <n v="77619528418"/>
    <n v="7829645456"/>
    <n v="69789882962"/>
    <n v="6378109313"/>
    <n v="71241419105"/>
  </r>
  <r>
    <s v="[VNPAY] - Cashloan"/>
    <x v="1"/>
    <x v="7"/>
    <x v="38"/>
    <n v="77676889007"/>
    <n v="7966041719"/>
    <n v="69710847288"/>
    <n v="6686427528"/>
    <n v="70990461479"/>
  </r>
  <r>
    <s v="[VNPAY] - Cashloan"/>
    <x v="1"/>
    <x v="7"/>
    <x v="39"/>
    <n v="77815526921"/>
    <n v="8091501049"/>
    <n v="69724025872"/>
    <n v="6647464930"/>
    <n v="71168061991"/>
  </r>
  <r>
    <s v="[VNPAY] - Cashloan"/>
    <x v="1"/>
    <x v="7"/>
    <x v="40"/>
    <n v="78413933657"/>
    <n v="8172453434"/>
    <n v="70241480223"/>
    <n v="6608026343"/>
    <n v="71805907314"/>
  </r>
  <r>
    <s v="[VNPAY] - Cashloan"/>
    <x v="1"/>
    <x v="7"/>
    <x v="41"/>
    <n v="78358532486"/>
    <n v="7936418191"/>
    <n v="70422114295"/>
    <n v="6579040821"/>
    <n v="71779491665"/>
  </r>
  <r>
    <s v="[VNPAY] - Cashloan"/>
    <x v="1"/>
    <x v="7"/>
    <x v="42"/>
    <n v="78455063761"/>
    <n v="8165969414"/>
    <n v="70289094347"/>
    <n v="6639124129"/>
    <n v="71815939632"/>
  </r>
  <r>
    <s v="[VNPAY] - Cashloan"/>
    <x v="1"/>
    <x v="7"/>
    <x v="43"/>
    <n v="78737431779"/>
    <n v="8259995915"/>
    <n v="70477435864"/>
    <n v="6738706713"/>
    <n v="71998725066"/>
  </r>
  <r>
    <s v="[VNPAY] - Cashloan"/>
    <x v="1"/>
    <x v="7"/>
    <x v="44"/>
    <n v="78866631043"/>
    <n v="8170409944"/>
    <n v="70696221099"/>
    <n v="6700368396"/>
    <n v="72166262647"/>
  </r>
  <r>
    <s v="[VNPAY] - Cashloan"/>
    <x v="1"/>
    <x v="7"/>
    <x v="45"/>
    <n v="79071774773"/>
    <n v="8072077877"/>
    <n v="70999696896"/>
    <n v="6838223807"/>
    <n v="72233550966"/>
  </r>
  <r>
    <s v="[VNPAY] - Cashloan"/>
    <x v="1"/>
    <x v="7"/>
    <x v="46"/>
    <n v="79265638519"/>
    <n v="8071384379"/>
    <n v="71194254140"/>
    <n v="6877173929"/>
    <n v="72388464590"/>
  </r>
  <r>
    <s v="[VNPAY] - Cashloan"/>
    <x v="1"/>
    <x v="7"/>
    <x v="47"/>
    <n v="79515524630"/>
    <n v="8240682555"/>
    <n v="71274842075"/>
    <n v="6930626904"/>
    <n v="72584897726"/>
  </r>
  <r>
    <s v="[VNPAY] - Cashloan"/>
    <x v="1"/>
    <x v="7"/>
    <x v="48"/>
    <n v="79482068926"/>
    <n v="8042778076"/>
    <n v="71439290850"/>
    <n v="6964018236"/>
    <n v="72518050690"/>
  </r>
  <r>
    <s v="[VNPAY] - Cashloan"/>
    <x v="1"/>
    <x v="7"/>
    <x v="49"/>
    <n v="79610575598"/>
    <n v="8378530998"/>
    <n v="71232044600"/>
    <n v="7067987729"/>
    <n v="72542587869"/>
  </r>
  <r>
    <s v="[VNPAY] - Cashloan"/>
    <x v="1"/>
    <x v="7"/>
    <x v="50"/>
    <n v="79654369255"/>
    <n v="8393256545"/>
    <n v="71261112710"/>
    <n v="7128062862"/>
    <n v="72526306393"/>
  </r>
  <r>
    <s v="[VNPAY] - Cashloan"/>
    <x v="1"/>
    <x v="7"/>
    <x v="51"/>
    <n v="79745868989"/>
    <n v="8470122453"/>
    <n v="71275746536"/>
    <n v="7076856882"/>
    <n v="72669012107"/>
  </r>
  <r>
    <s v="[VNPAY] - Cashloan"/>
    <x v="1"/>
    <x v="7"/>
    <x v="52"/>
    <n v="79752589063"/>
    <n v="8666935001"/>
    <n v="71085654062"/>
    <n v="7201848245"/>
    <n v="72550740818"/>
  </r>
  <r>
    <s v="[VNPAY] - Cashloan"/>
    <x v="1"/>
    <x v="7"/>
    <x v="53"/>
    <n v="79795786642"/>
    <n v="8777620451"/>
    <n v="71018166191"/>
    <n v="7244983017"/>
    <n v="72550803625"/>
  </r>
  <r>
    <s v="[VNPAY] - Cashloan"/>
    <x v="1"/>
    <x v="7"/>
    <x v="54"/>
    <n v="80057014338"/>
    <n v="8911107504"/>
    <n v="71145906834"/>
    <n v="7317683369"/>
    <n v="72739330969"/>
  </r>
  <r>
    <s v="[VNPAY] - Cashloan"/>
    <x v="1"/>
    <x v="7"/>
    <x v="55"/>
    <n v="80065245032"/>
    <n v="8717246938"/>
    <n v="71347998094"/>
    <n v="7422382870"/>
    <n v="72642862162"/>
  </r>
  <r>
    <s v="[VNPAY] - Cashloan"/>
    <x v="1"/>
    <x v="7"/>
    <x v="56"/>
    <n v="80031627734"/>
    <n v="9145472581"/>
    <n v="70886155153"/>
    <n v="7467859704"/>
    <n v="72563768030"/>
  </r>
  <r>
    <s v="[VNPAY] - Cashloan"/>
    <x v="1"/>
    <x v="7"/>
    <x v="57"/>
    <n v="80123303823"/>
    <n v="9279749874"/>
    <n v="70843553949"/>
    <n v="7553015158"/>
    <n v="72570288665"/>
  </r>
  <r>
    <s v="[VNPAY] - Cashloan"/>
    <x v="1"/>
    <x v="7"/>
    <x v="58"/>
    <n v="80110568151"/>
    <n v="9357359039"/>
    <n v="70753209112"/>
    <n v="7514961452"/>
    <n v="72595606699"/>
  </r>
  <r>
    <s v="[VNPAY] - Cashloan"/>
    <x v="1"/>
    <x v="7"/>
    <x v="59"/>
    <n v="80110345027"/>
    <n v="9914678765"/>
    <n v="70195666262"/>
    <n v="7689133115"/>
    <n v="72421211912"/>
  </r>
  <r>
    <s v="[VNPAY] - Cashloan"/>
    <x v="1"/>
    <x v="7"/>
    <x v="60"/>
    <n v="80603172363"/>
    <n v="9672400135"/>
    <n v="70930772228"/>
    <n v="7733988799"/>
    <n v="72869183564"/>
  </r>
  <r>
    <s v="[VNPAY] - Cashloan"/>
    <x v="1"/>
    <x v="7"/>
    <x v="61"/>
    <n v="80771715449"/>
    <n v="9524130707"/>
    <n v="71247584742"/>
    <n v="7799069945"/>
    <n v="72972645504"/>
  </r>
  <r>
    <s v="[VNPAY] - Cashloan"/>
    <x v="1"/>
    <x v="7"/>
    <x v="62"/>
    <n v="81205465350"/>
    <n v="9316923145"/>
    <n v="71888542205"/>
    <n v="7946905055"/>
    <n v="73258560295"/>
  </r>
  <r>
    <s v="[VNPAY] - Cashloan"/>
    <x v="1"/>
    <x v="7"/>
    <x v="63"/>
    <n v="81472194721"/>
    <n v="9284210226"/>
    <n v="72187984495"/>
    <n v="8078273979"/>
    <n v="73393920742"/>
  </r>
  <r>
    <s v="[VNPAY] - Cashloan"/>
    <x v="1"/>
    <x v="7"/>
    <x v="64"/>
    <n v="81319560958"/>
    <n v="9092018888"/>
    <n v="72227542070"/>
    <n v="8102540531"/>
    <n v="73217020427"/>
  </r>
  <r>
    <s v="[VNPAY] - Cashloan"/>
    <x v="1"/>
    <x v="7"/>
    <x v="65"/>
    <n v="81409638654"/>
    <n v="9567589058"/>
    <n v="71842049596"/>
    <n v="8016560155"/>
    <n v="73393078499"/>
  </r>
  <r>
    <s v="[VNPAY] - Cashloan"/>
    <x v="1"/>
    <x v="7"/>
    <x v="66"/>
    <n v="81418320626"/>
    <n v="9555386923"/>
    <n v="71862933703"/>
    <n v="8157514108"/>
    <n v="73260806518"/>
  </r>
  <r>
    <s v="[VNPAY] - Cashloan"/>
    <x v="1"/>
    <x v="7"/>
    <x v="67"/>
    <n v="81489987067"/>
    <n v="9697981373"/>
    <n v="71792005694"/>
    <n v="8177289973"/>
    <n v="73312697094"/>
  </r>
  <r>
    <s v="[VNPAY] - Cashloan"/>
    <x v="1"/>
    <x v="7"/>
    <x v="68"/>
    <n v="81918233628"/>
    <n v="9882037460"/>
    <n v="72036196168"/>
    <n v="8319993699"/>
    <n v="73598239929"/>
  </r>
  <r>
    <s v="[VNPAY] - Cashloan"/>
    <x v="1"/>
    <x v="7"/>
    <x v="69"/>
    <n v="81885561976"/>
    <n v="9705449354"/>
    <n v="72180112622"/>
    <n v="8688508023"/>
    <n v="73197053953"/>
  </r>
  <r>
    <s v="[VNPAY] - Cashloan"/>
    <x v="1"/>
    <x v="7"/>
    <x v="70"/>
    <n v="82175587311"/>
    <n v="10280733558"/>
    <n v="71894853753"/>
    <n v="8651122950"/>
    <n v="73524464361"/>
  </r>
  <r>
    <s v="[VNPAY] - Cashloan"/>
    <x v="1"/>
    <x v="7"/>
    <x v="71"/>
    <n v="82644799969"/>
    <n v="10102627638"/>
    <n v="72542172331"/>
    <n v="8556756303"/>
    <n v="74088043666"/>
  </r>
  <r>
    <s v="[VNPAY] - Cashloan"/>
    <x v="1"/>
    <x v="7"/>
    <x v="72"/>
    <n v="83157269108"/>
    <n v="10124555665"/>
    <n v="73032713443"/>
    <n v="8534951912"/>
    <n v="74622317196"/>
  </r>
  <r>
    <s v="[VNPAY] - Cashloan"/>
    <x v="1"/>
    <x v="7"/>
    <x v="73"/>
    <n v="83714346929"/>
    <n v="10136119849"/>
    <n v="73578227080"/>
    <n v="8452664925"/>
    <n v="75261682004"/>
  </r>
  <r>
    <s v="[VNPAY] - Cashloan"/>
    <x v="1"/>
    <x v="7"/>
    <x v="74"/>
    <n v="84101224829"/>
    <n v="10440712782"/>
    <n v="73660512047"/>
    <n v="8451133689"/>
    <n v="75650091140"/>
  </r>
  <r>
    <s v="[VNPAY] - Cashloan"/>
    <x v="1"/>
    <x v="7"/>
    <x v="75"/>
    <n v="84626647291"/>
    <n v="10618546373"/>
    <n v="74008100918"/>
    <n v="8657218265"/>
    <n v="75969429026"/>
  </r>
  <r>
    <s v="[VNPAY] - Cashloan"/>
    <x v="1"/>
    <x v="7"/>
    <x v="76"/>
    <n v="84943116408"/>
    <n v="10308389633"/>
    <n v="74634726775"/>
    <n v="8788119255"/>
    <n v="76154997153"/>
  </r>
  <r>
    <s v="[VNPAY] - Cashloan"/>
    <x v="1"/>
    <x v="7"/>
    <x v="77"/>
    <n v="85775850616"/>
    <n v="10642883911"/>
    <n v="75132966705"/>
    <n v="8896046434"/>
    <n v="76879804182"/>
  </r>
  <r>
    <s v="[VNPAY] - Cashloan"/>
    <x v="1"/>
    <x v="7"/>
    <x v="78"/>
    <n v="86474254488"/>
    <n v="10676748718"/>
    <n v="75797505770"/>
    <n v="8984765430"/>
    <n v="77489489058"/>
  </r>
  <r>
    <s v="[VNPAY] - Cashloan"/>
    <x v="1"/>
    <x v="7"/>
    <x v="79"/>
    <n v="86937916628"/>
    <n v="10749968119"/>
    <n v="76187948509"/>
    <n v="8934163495"/>
    <n v="78003753133"/>
  </r>
  <r>
    <s v="[VNPAY] - Cashloan"/>
    <x v="1"/>
    <x v="7"/>
    <x v="80"/>
    <n v="87520828592"/>
    <n v="10928740526"/>
    <n v="76592088066"/>
    <n v="9114386665"/>
    <n v="78406441927"/>
  </r>
  <r>
    <s v="[VNPAY] - Cashloan"/>
    <x v="1"/>
    <x v="7"/>
    <x v="81"/>
    <n v="88123956638"/>
    <n v="11022291896"/>
    <n v="77101664742"/>
    <n v="9169790126"/>
    <n v="78954166512"/>
  </r>
  <r>
    <s v="[VNPAY] - Cashloan"/>
    <x v="1"/>
    <x v="7"/>
    <x v="82"/>
    <n v="88551040573"/>
    <n v="11216951738"/>
    <n v="77334088835"/>
    <n v="9255683998"/>
    <n v="79295356575"/>
  </r>
  <r>
    <s v="[VNPAY] - Cashloan"/>
    <x v="1"/>
    <x v="7"/>
    <x v="83"/>
    <n v="88751766106"/>
    <n v="10916619574"/>
    <n v="77835146532"/>
    <n v="9317685141"/>
    <n v="79434080965"/>
  </r>
  <r>
    <s v="[VNPAY] - Cashloan"/>
    <x v="1"/>
    <x v="7"/>
    <x v="84"/>
    <n v="89250296713"/>
    <n v="11315911546"/>
    <n v="77934385167"/>
    <n v="9494382451"/>
    <n v="79755914262"/>
  </r>
  <r>
    <s v="[VNPAY] - Cashloan"/>
    <x v="1"/>
    <x v="7"/>
    <x v="85"/>
    <n v="89681915579"/>
    <n v="11375198950"/>
    <n v="78306716629"/>
    <n v="9553825646"/>
    <n v="80128089933"/>
  </r>
  <r>
    <s v="[VNPAY] - Cashloan"/>
    <x v="1"/>
    <x v="7"/>
    <x v="86"/>
    <n v="90053241205"/>
    <n v="11418853314"/>
    <n v="78634387891"/>
    <n v="9532343670"/>
    <n v="80520897535"/>
  </r>
  <r>
    <s v="[VNPAY] - Cashloan"/>
    <x v="1"/>
    <x v="7"/>
    <x v="87"/>
    <n v="90772391208"/>
    <n v="11572982289"/>
    <n v="79199408919"/>
    <n v="9800964160"/>
    <n v="80971427048"/>
  </r>
  <r>
    <s v="[VNPAY] - Cashloan"/>
    <x v="1"/>
    <x v="7"/>
    <x v="88"/>
    <n v="91005733462"/>
    <n v="11622750531"/>
    <n v="79382982931"/>
    <n v="9876977988"/>
    <n v="81128755474"/>
  </r>
  <r>
    <s v="[VNPAY] - Cashloan"/>
    <x v="1"/>
    <x v="7"/>
    <x v="89"/>
    <n v="91588096226"/>
    <n v="11904066121"/>
    <n v="79684030105"/>
    <n v="9896197482"/>
    <n v="81691898744"/>
  </r>
  <r>
    <s v="[VNPAY] - Cashloan"/>
    <x v="1"/>
    <x v="7"/>
    <x v="90"/>
    <n v="91372595340"/>
    <n v="11648702768"/>
    <n v="79723892572"/>
    <n v="9921771417"/>
    <n v="81450823923"/>
  </r>
  <r>
    <s v="[VNPAY] - Cashloan"/>
    <x v="1"/>
    <x v="7"/>
    <x v="91"/>
    <n v="91962652934"/>
    <n v="12010099079"/>
    <n v="79952553855"/>
    <n v="9978671162"/>
    <n v="81983981772"/>
  </r>
  <r>
    <s v="[VNPAY] - Payday"/>
    <x v="4"/>
    <x v="7"/>
    <x v="72"/>
    <n v="6460000"/>
    <n v="0"/>
    <n v="6460000"/>
    <n v="0"/>
    <n v="6460000"/>
  </r>
  <r>
    <s v="[VNPAY] - Payday"/>
    <x v="4"/>
    <x v="7"/>
    <x v="73"/>
    <n v="16080000"/>
    <n v="0"/>
    <n v="16080000"/>
    <n v="0"/>
    <n v="16080000"/>
  </r>
  <r>
    <s v="[VNPAY] - Payday"/>
    <x v="4"/>
    <x v="7"/>
    <x v="74"/>
    <n v="16080000"/>
    <n v="0"/>
    <n v="16080000"/>
    <n v="0"/>
    <n v="16080000"/>
  </r>
  <r>
    <s v="[VNPAY] - Payday"/>
    <x v="4"/>
    <x v="7"/>
    <x v="75"/>
    <n v="16080000"/>
    <n v="0"/>
    <n v="16080000"/>
    <n v="0"/>
    <n v="16080000"/>
  </r>
  <r>
    <s v="[VNPAY] - Payday"/>
    <x v="4"/>
    <x v="7"/>
    <x v="76"/>
    <n v="16080000"/>
    <n v="0"/>
    <n v="16080000"/>
    <n v="0"/>
    <n v="16080000"/>
  </r>
  <r>
    <s v="[VNPAY] - Payday"/>
    <x v="4"/>
    <x v="7"/>
    <x v="77"/>
    <n v="9620000"/>
    <n v="0"/>
    <n v="9620000"/>
    <n v="0"/>
    <n v="9620000"/>
  </r>
  <r>
    <s v="[VNPAY] - Payday"/>
    <x v="4"/>
    <x v="7"/>
    <x v="78"/>
    <n v="12840000"/>
    <n v="0"/>
    <n v="12840000"/>
    <n v="0"/>
    <n v="12840000"/>
  </r>
  <r>
    <s v="[VNPAY] - Payday"/>
    <x v="4"/>
    <x v="7"/>
    <x v="79"/>
    <n v="12805293"/>
    <n v="0"/>
    <n v="12805293"/>
    <n v="0"/>
    <n v="12805293"/>
  </r>
  <r>
    <s v="[VNPAY] - Payday"/>
    <x v="4"/>
    <x v="7"/>
    <x v="80"/>
    <n v="12770529"/>
    <n v="0"/>
    <n v="12770529"/>
    <n v="0"/>
    <n v="12770529"/>
  </r>
  <r>
    <s v="[VNPAY] - Payday"/>
    <x v="4"/>
    <x v="7"/>
    <x v="81"/>
    <n v="12770529"/>
    <n v="0"/>
    <n v="12770529"/>
    <n v="0"/>
    <n v="12770529"/>
  </r>
  <r>
    <s v="[VNPAY] - Payday"/>
    <x v="4"/>
    <x v="7"/>
    <x v="82"/>
    <n v="12770529"/>
    <n v="0"/>
    <n v="12770529"/>
    <n v="0"/>
    <n v="12770529"/>
  </r>
  <r>
    <s v="[VNPAY] - Payday"/>
    <x v="4"/>
    <x v="7"/>
    <x v="83"/>
    <n v="9620000"/>
    <n v="0"/>
    <n v="9620000"/>
    <n v="0"/>
    <n v="9620000"/>
  </r>
  <r>
    <s v="[VNPAY] - Payday"/>
    <x v="4"/>
    <x v="7"/>
    <x v="84"/>
    <n v="12820000"/>
    <n v="0"/>
    <n v="12820000"/>
    <n v="0"/>
    <n v="12820000"/>
  </r>
  <r>
    <s v="[VNPAY] - Payday"/>
    <x v="4"/>
    <x v="7"/>
    <x v="85"/>
    <n v="9620000"/>
    <n v="0"/>
    <n v="9620000"/>
    <n v="0"/>
    <n v="9620000"/>
  </r>
  <r>
    <s v="[VNPAY] - Payday"/>
    <x v="4"/>
    <x v="7"/>
    <x v="86"/>
    <n v="12827102"/>
    <n v="0"/>
    <n v="12827102"/>
    <n v="0"/>
    <n v="12827102"/>
  </r>
  <r>
    <s v="[VNPAY] - Payday"/>
    <x v="4"/>
    <x v="7"/>
    <x v="87"/>
    <n v="98147102"/>
    <n v="0"/>
    <n v="98147102"/>
    <n v="0"/>
    <n v="98147102"/>
  </r>
  <r>
    <s v="[VNPAY] - Payday"/>
    <x v="4"/>
    <x v="7"/>
    <x v="88"/>
    <n v="250427102"/>
    <n v="0"/>
    <n v="250427102"/>
    <n v="0"/>
    <n v="250427102"/>
  </r>
  <r>
    <s v="[VNPAY] - Payday"/>
    <x v="4"/>
    <x v="7"/>
    <x v="89"/>
    <n v="357347102"/>
    <n v="0"/>
    <n v="357347102"/>
    <n v="0"/>
    <n v="357347102"/>
  </r>
  <r>
    <s v="[VNPAY] - Payday"/>
    <x v="4"/>
    <x v="7"/>
    <x v="90"/>
    <n v="508467102"/>
    <n v="0"/>
    <n v="508467102"/>
    <n v="0"/>
    <n v="508467102"/>
  </r>
  <r>
    <s v="[VNPAY] - Payday"/>
    <x v="4"/>
    <x v="7"/>
    <x v="91"/>
    <n v="674587102"/>
    <n v="0"/>
    <n v="674587102"/>
    <n v="0"/>
    <n v="674587102"/>
  </r>
  <r>
    <s v="[VNPAY] - Paylater"/>
    <x v="2"/>
    <x v="7"/>
    <x v="0"/>
    <n v="25365370698"/>
    <n v="4713015263"/>
    <n v="20652355435"/>
    <n v="4713015263"/>
    <n v="20652355435"/>
  </r>
  <r>
    <s v="[VNPAY] - Paylater"/>
    <x v="2"/>
    <x v="7"/>
    <x v="1"/>
    <n v="25375890809"/>
    <n v="4696242368"/>
    <n v="20679648441"/>
    <n v="4696242368"/>
    <n v="20679648441"/>
  </r>
  <r>
    <s v="[VNPAY] - Paylater"/>
    <x v="2"/>
    <x v="7"/>
    <x v="2"/>
    <n v="25370434724"/>
    <n v="4684895182"/>
    <n v="20685539542"/>
    <n v="4684895182"/>
    <n v="20685539542"/>
  </r>
  <r>
    <s v="[VNPAY] - Paylater"/>
    <x v="2"/>
    <x v="7"/>
    <x v="3"/>
    <n v="25167447102"/>
    <n v="4668325986"/>
    <n v="20499121116"/>
    <n v="4668325986"/>
    <n v="20499121116"/>
  </r>
  <r>
    <s v="[VNPAY] - Paylater"/>
    <x v="2"/>
    <x v="7"/>
    <x v="4"/>
    <n v="24712357356"/>
    <n v="4648483196"/>
    <n v="20063874160"/>
    <n v="4648483196"/>
    <n v="20063874160"/>
  </r>
  <r>
    <s v="[VNPAY] - Paylater"/>
    <x v="2"/>
    <x v="7"/>
    <x v="5"/>
    <n v="25192302498"/>
    <n v="8153704498"/>
    <n v="17038598000"/>
    <n v="4646705539"/>
    <n v="20545596959"/>
  </r>
  <r>
    <s v="[VNPAY] - Paylater"/>
    <x v="2"/>
    <x v="7"/>
    <x v="6"/>
    <n v="25618294774"/>
    <n v="7307190183"/>
    <n v="18311104591"/>
    <n v="4639699182"/>
    <n v="20978595592"/>
  </r>
  <r>
    <s v="[VNPAY] - Paylater"/>
    <x v="2"/>
    <x v="7"/>
    <x v="7"/>
    <n v="25974665501"/>
    <n v="6972732616"/>
    <n v="19001932885"/>
    <n v="4623988395"/>
    <n v="21350677106"/>
  </r>
  <r>
    <s v="[VNPAY] - Paylater"/>
    <x v="2"/>
    <x v="7"/>
    <x v="8"/>
    <n v="26450192814"/>
    <n v="6791552137"/>
    <n v="19658640677"/>
    <n v="4613747099"/>
    <n v="21836445715"/>
  </r>
  <r>
    <s v="[VNPAY] - Paylater"/>
    <x v="2"/>
    <x v="7"/>
    <x v="9"/>
    <n v="26801087866"/>
    <n v="6593136116"/>
    <n v="20207951750"/>
    <n v="4592469605"/>
    <n v="22208618261"/>
  </r>
  <r>
    <s v="[VNPAY] - Paylater"/>
    <x v="2"/>
    <x v="7"/>
    <x v="10"/>
    <n v="27079841062"/>
    <n v="6473274312"/>
    <n v="20606566750"/>
    <n v="4579136115"/>
    <n v="22500704947"/>
  </r>
  <r>
    <s v="[VNPAY] - Paylater"/>
    <x v="2"/>
    <x v="7"/>
    <x v="11"/>
    <n v="27349874405"/>
    <n v="6413672501"/>
    <n v="20936201904"/>
    <n v="4573919845"/>
    <n v="22775954560"/>
  </r>
  <r>
    <s v="[VNPAY] - Paylater"/>
    <x v="2"/>
    <x v="7"/>
    <x v="12"/>
    <n v="27586368324"/>
    <n v="6380862397"/>
    <n v="21205505927"/>
    <n v="4573919845"/>
    <n v="23012448479"/>
  </r>
  <r>
    <s v="[VNPAY] - Paylater"/>
    <x v="2"/>
    <x v="7"/>
    <x v="13"/>
    <n v="27840299770"/>
    <n v="6301339756"/>
    <n v="21538960014"/>
    <n v="4564734789"/>
    <n v="23275564981"/>
  </r>
  <r>
    <s v="[VNPAY] - Paylater"/>
    <x v="2"/>
    <x v="7"/>
    <x v="14"/>
    <n v="28110443587"/>
    <n v="6216471467"/>
    <n v="21893972120"/>
    <n v="4557507831"/>
    <n v="23552935756"/>
  </r>
  <r>
    <s v="[VNPAY] - Paylater"/>
    <x v="2"/>
    <x v="7"/>
    <x v="15"/>
    <n v="28352336490"/>
    <n v="6133040357"/>
    <n v="22219296133"/>
    <n v="6133040357"/>
    <n v="22219296133"/>
  </r>
  <r>
    <s v="[VNPAY] - Paylater"/>
    <x v="2"/>
    <x v="7"/>
    <x v="16"/>
    <n v="28543746244"/>
    <n v="6068204220"/>
    <n v="22475542024"/>
    <n v="6068204220"/>
    <n v="22475542024"/>
  </r>
  <r>
    <s v="[VNPAY] - Paylater"/>
    <x v="2"/>
    <x v="7"/>
    <x v="17"/>
    <n v="28693004315"/>
    <n v="6034105816"/>
    <n v="22658898499"/>
    <n v="6034105816"/>
    <n v="22658898499"/>
  </r>
  <r>
    <s v="[VNPAY] - Paylater"/>
    <x v="2"/>
    <x v="7"/>
    <x v="18"/>
    <n v="28931105690"/>
    <n v="6017789342"/>
    <n v="22913316348"/>
    <n v="6017789342"/>
    <n v="22913316348"/>
  </r>
  <r>
    <s v="[VNPAY] - Paylater"/>
    <x v="2"/>
    <x v="7"/>
    <x v="19"/>
    <n v="29100313968"/>
    <n v="6006044714"/>
    <n v="23094269254"/>
    <n v="6006044714"/>
    <n v="23094269254"/>
  </r>
  <r>
    <s v="[VNPAY] - Paylater"/>
    <x v="2"/>
    <x v="7"/>
    <x v="20"/>
    <n v="29058226201"/>
    <n v="5971209917"/>
    <n v="23087016284"/>
    <n v="5971209917"/>
    <n v="23087016284"/>
  </r>
  <r>
    <s v="[VNPAY] - Paylater"/>
    <x v="2"/>
    <x v="7"/>
    <x v="21"/>
    <n v="29005623764"/>
    <n v="5965683528"/>
    <n v="23039940236"/>
    <n v="5965683528"/>
    <n v="23039940236"/>
  </r>
  <r>
    <s v="[VNPAY] - Paylater"/>
    <x v="2"/>
    <x v="7"/>
    <x v="22"/>
    <n v="29035699877"/>
    <n v="5945978790"/>
    <n v="23089721087"/>
    <n v="5945978790"/>
    <n v="23089721087"/>
  </r>
  <r>
    <s v="[VNPAY] - Paylater"/>
    <x v="2"/>
    <x v="7"/>
    <x v="23"/>
    <n v="29119478112"/>
    <n v="5934263685"/>
    <n v="23185214427"/>
    <n v="5934263685"/>
    <n v="23185214427"/>
  </r>
  <r>
    <s v="[VNPAY] - Paylater"/>
    <x v="2"/>
    <x v="7"/>
    <x v="24"/>
    <n v="29149477342"/>
    <n v="5921886330"/>
    <n v="23227591012"/>
    <n v="5921886330"/>
    <n v="23227591012"/>
  </r>
  <r>
    <s v="[VNPAY] - Paylater"/>
    <x v="2"/>
    <x v="7"/>
    <x v="25"/>
    <n v="29273687417"/>
    <n v="5912117575"/>
    <n v="23361569842"/>
    <n v="5912117575"/>
    <n v="23361569842"/>
  </r>
  <r>
    <s v="[VNPAY] - Paylater"/>
    <x v="2"/>
    <x v="7"/>
    <x v="26"/>
    <n v="29351167309"/>
    <n v="5905155915"/>
    <n v="23446011394"/>
    <n v="5905155915"/>
    <n v="23446011394"/>
  </r>
  <r>
    <s v="[VNPAY] - Paylater"/>
    <x v="2"/>
    <x v="7"/>
    <x v="27"/>
    <n v="29429868599"/>
    <n v="5885974214"/>
    <n v="23543894385"/>
    <n v="5885974214"/>
    <n v="23543894385"/>
  </r>
  <r>
    <s v="[VNPAY] - Paylater"/>
    <x v="2"/>
    <x v="7"/>
    <x v="28"/>
    <n v="29507349291"/>
    <n v="5879051063"/>
    <n v="23628298228"/>
    <n v="5879051063"/>
    <n v="23628298228"/>
  </r>
  <r>
    <s v="[VNPAY] - Paylater"/>
    <x v="2"/>
    <x v="7"/>
    <x v="29"/>
    <n v="29478779895"/>
    <n v="5862045614"/>
    <n v="23616734281"/>
    <n v="5862045614"/>
    <n v="23616734281"/>
  </r>
  <r>
    <s v="[VNPAY] - Paylater"/>
    <x v="2"/>
    <x v="7"/>
    <x v="30"/>
    <n v="29352371776"/>
    <n v="5839346148"/>
    <n v="23513025628"/>
    <n v="5839346148"/>
    <n v="23513025628"/>
  </r>
  <r>
    <s v="[VNPAY] - Paylater"/>
    <x v="2"/>
    <x v="7"/>
    <x v="31"/>
    <n v="29189100472"/>
    <n v="5825563732"/>
    <n v="23363536740"/>
    <n v="5825563732"/>
    <n v="23363536740"/>
  </r>
  <r>
    <s v="[VNPAY] - Paylater"/>
    <x v="2"/>
    <x v="7"/>
    <x v="32"/>
    <n v="29266049786"/>
    <n v="5817841910"/>
    <n v="23448207876"/>
    <n v="5817841910"/>
    <n v="23448207876"/>
  </r>
  <r>
    <s v="[VNPAY] - Paylater"/>
    <x v="2"/>
    <x v="7"/>
    <x v="33"/>
    <n v="29255963608"/>
    <n v="5812092975"/>
    <n v="23443870633"/>
    <n v="5812092975"/>
    <n v="23443870633"/>
  </r>
  <r>
    <s v="[VNPAY] - Paylater"/>
    <x v="2"/>
    <x v="7"/>
    <x v="34"/>
    <n v="28587971722"/>
    <n v="5797784024"/>
    <n v="22790187698"/>
    <n v="5797784024"/>
    <n v="22790187698"/>
  </r>
  <r>
    <s v="[VNPAY] - Paylater"/>
    <x v="2"/>
    <x v="7"/>
    <x v="35"/>
    <n v="28963462732"/>
    <n v="9129871280"/>
    <n v="19833591452"/>
    <n v="5781536651"/>
    <n v="23181926081"/>
  </r>
  <r>
    <s v="[VNPAY] - Paylater"/>
    <x v="2"/>
    <x v="7"/>
    <x v="36"/>
    <n v="29365440145"/>
    <n v="8643676979"/>
    <n v="20721763166"/>
    <n v="5772296663"/>
    <n v="23593143482"/>
  </r>
  <r>
    <s v="[VNPAY] - Paylater"/>
    <x v="2"/>
    <x v="7"/>
    <x v="37"/>
    <n v="29703594311"/>
    <n v="8400618897"/>
    <n v="21302975414"/>
    <n v="5766319832"/>
    <n v="23937274479"/>
  </r>
  <r>
    <s v="[VNPAY] - Paylater"/>
    <x v="2"/>
    <x v="7"/>
    <x v="38"/>
    <n v="29973417990"/>
    <n v="8152074642"/>
    <n v="21821343348"/>
    <n v="5749428283"/>
    <n v="24223989707"/>
  </r>
  <r>
    <s v="[VNPAY] - Paylater"/>
    <x v="2"/>
    <x v="7"/>
    <x v="39"/>
    <n v="30190394089"/>
    <n v="7923804604"/>
    <n v="22266589485"/>
    <n v="5744746947"/>
    <n v="24445647142"/>
  </r>
  <r>
    <s v="[VNPAY] - Paylater"/>
    <x v="2"/>
    <x v="7"/>
    <x v="40"/>
    <n v="30464670499"/>
    <n v="7803662586"/>
    <n v="22661007913"/>
    <n v="5742473572"/>
    <n v="24722196927"/>
  </r>
  <r>
    <s v="[VNPAY] - Paylater"/>
    <x v="2"/>
    <x v="7"/>
    <x v="41"/>
    <n v="30824289268"/>
    <n v="7667591568"/>
    <n v="23156697700"/>
    <n v="5724708285"/>
    <n v="25099580983"/>
  </r>
  <r>
    <s v="[VNPAY] - Paylater"/>
    <x v="2"/>
    <x v="7"/>
    <x v="42"/>
    <n v="31034669729"/>
    <n v="7538784354"/>
    <n v="23495885375"/>
    <n v="5714760753"/>
    <n v="25319908976"/>
  </r>
  <r>
    <s v="[VNPAY] - Paylater"/>
    <x v="2"/>
    <x v="7"/>
    <x v="43"/>
    <n v="31224020761"/>
    <n v="7453522152"/>
    <n v="23770498609"/>
    <n v="5711056624"/>
    <n v="25512964137"/>
  </r>
  <r>
    <s v="[VNPAY] - Paylater"/>
    <x v="2"/>
    <x v="7"/>
    <x v="44"/>
    <n v="31466010555"/>
    <n v="7364490390"/>
    <n v="24101520165"/>
    <n v="5711056624"/>
    <n v="25754953931"/>
  </r>
  <r>
    <s v="[VNPAY] - Paylater"/>
    <x v="2"/>
    <x v="7"/>
    <x v="45"/>
    <n v="31661760802"/>
    <n v="7305499979"/>
    <n v="24356260823"/>
    <n v="7305499979"/>
    <n v="24356260823"/>
  </r>
  <r>
    <s v="[VNPAY] - Paylater"/>
    <x v="2"/>
    <x v="7"/>
    <x v="46"/>
    <n v="31825071759"/>
    <n v="7255898878"/>
    <n v="24569172881"/>
    <n v="7255898878"/>
    <n v="24569172881"/>
  </r>
  <r>
    <s v="[VNPAY] - Paylater"/>
    <x v="2"/>
    <x v="7"/>
    <x v="47"/>
    <n v="31972534145"/>
    <n v="7215656052"/>
    <n v="24756878093"/>
    <n v="7215656052"/>
    <n v="24756878093"/>
  </r>
  <r>
    <s v="[VNPAY] - Paylater"/>
    <x v="2"/>
    <x v="7"/>
    <x v="48"/>
    <n v="32194273469"/>
    <n v="7194085863"/>
    <n v="25000187606"/>
    <n v="7194085863"/>
    <n v="25000187606"/>
  </r>
  <r>
    <s v="[VNPAY] - Paylater"/>
    <x v="2"/>
    <x v="7"/>
    <x v="49"/>
    <n v="32300693287"/>
    <n v="7142201553"/>
    <n v="25158491734"/>
    <n v="7142201553"/>
    <n v="25158491734"/>
  </r>
  <r>
    <s v="[VNPAY] - Paylater"/>
    <x v="2"/>
    <x v="7"/>
    <x v="50"/>
    <n v="32462035914"/>
    <n v="7135074373"/>
    <n v="25326961541"/>
    <n v="7135074373"/>
    <n v="25326961541"/>
  </r>
  <r>
    <s v="[VNPAY] - Paylater"/>
    <x v="2"/>
    <x v="7"/>
    <x v="51"/>
    <n v="32375911096"/>
    <n v="7123318891"/>
    <n v="25252592205"/>
    <n v="7123318891"/>
    <n v="25252592205"/>
  </r>
  <r>
    <s v="[VNPAY] - Paylater"/>
    <x v="2"/>
    <x v="7"/>
    <x v="52"/>
    <n v="32415798556"/>
    <n v="7102763706"/>
    <n v="25313034850"/>
    <n v="7102763706"/>
    <n v="25313034850"/>
  </r>
  <r>
    <s v="[VNPAY] - Paylater"/>
    <x v="2"/>
    <x v="7"/>
    <x v="53"/>
    <n v="32486958515"/>
    <n v="7089599058"/>
    <n v="25397359457"/>
    <n v="7089599058"/>
    <n v="25397359457"/>
  </r>
  <r>
    <s v="[VNPAY] - Paylater"/>
    <x v="2"/>
    <x v="7"/>
    <x v="54"/>
    <n v="32624521907"/>
    <n v="7077838891"/>
    <n v="25546683016"/>
    <n v="7077838891"/>
    <n v="25546683016"/>
  </r>
  <r>
    <s v="[VNPAY] - Paylater"/>
    <x v="2"/>
    <x v="7"/>
    <x v="55"/>
    <n v="32517133687"/>
    <n v="7055224640"/>
    <n v="25461909047"/>
    <n v="7055224640"/>
    <n v="25461909047"/>
  </r>
  <r>
    <s v="[VNPAY] - Paylater"/>
    <x v="2"/>
    <x v="7"/>
    <x v="56"/>
    <n v="32626033125"/>
    <n v="7037501916"/>
    <n v="25588531209"/>
    <n v="7037501916"/>
    <n v="25588531209"/>
  </r>
  <r>
    <s v="[VNPAY] - Paylater"/>
    <x v="2"/>
    <x v="7"/>
    <x v="57"/>
    <n v="32731846381"/>
    <n v="7033730314"/>
    <n v="25698116067"/>
    <n v="7033730314"/>
    <n v="25698116067"/>
  </r>
  <r>
    <s v="[VNPAY] - Paylater"/>
    <x v="2"/>
    <x v="7"/>
    <x v="58"/>
    <n v="32762234745"/>
    <n v="7028271930"/>
    <n v="25733962815"/>
    <n v="7028271930"/>
    <n v="25733962815"/>
  </r>
  <r>
    <s v="[VNPAY] - Paylater"/>
    <x v="2"/>
    <x v="7"/>
    <x v="59"/>
    <n v="32763532663"/>
    <n v="7009259710"/>
    <n v="25754272953"/>
    <n v="7009259710"/>
    <n v="25754272953"/>
  </r>
  <r>
    <s v="[VNPAY] - Paylater"/>
    <x v="2"/>
    <x v="7"/>
    <x v="60"/>
    <n v="32833201108"/>
    <n v="7000239348"/>
    <n v="25832961760"/>
    <n v="7000239348"/>
    <n v="25832961760"/>
  </r>
  <r>
    <s v="[VNPAY] - Paylater"/>
    <x v="2"/>
    <x v="7"/>
    <x v="61"/>
    <n v="32857251042"/>
    <n v="6987534084"/>
    <n v="25869716958"/>
    <n v="6987534084"/>
    <n v="25869716958"/>
  </r>
  <r>
    <s v="[VNPAY] - Paylater"/>
    <x v="2"/>
    <x v="7"/>
    <x v="62"/>
    <n v="32899149626"/>
    <n v="6984127693"/>
    <n v="25915021933"/>
    <n v="6984127693"/>
    <n v="25915021933"/>
  </r>
  <r>
    <s v="[VNPAY] - Paylater"/>
    <x v="2"/>
    <x v="7"/>
    <x v="63"/>
    <n v="32964227562"/>
    <n v="6976176651"/>
    <n v="25988050911"/>
    <n v="6976176651"/>
    <n v="25988050911"/>
  </r>
  <r>
    <s v="[VNPAY] - Paylater"/>
    <x v="2"/>
    <x v="7"/>
    <x v="64"/>
    <n v="32795631700"/>
    <n v="6955300117"/>
    <n v="25840331583"/>
    <n v="6955300117"/>
    <n v="25840331583"/>
  </r>
  <r>
    <s v="[VNPAY] - Paylater"/>
    <x v="2"/>
    <x v="7"/>
    <x v="65"/>
    <n v="32140492395"/>
    <n v="6931236742"/>
    <n v="25209255653"/>
    <n v="6931236742"/>
    <n v="25209255653"/>
  </r>
  <r>
    <s v="[VNPAY] - Paylater"/>
    <x v="2"/>
    <x v="7"/>
    <x v="66"/>
    <n v="32494951190"/>
    <n v="10950460782"/>
    <n v="21544490408"/>
    <n v="6913297960"/>
    <n v="25581653230"/>
  </r>
  <r>
    <s v="[VNPAY] - Paylater"/>
    <x v="2"/>
    <x v="7"/>
    <x v="67"/>
    <n v="32811866890"/>
    <n v="10478610409"/>
    <n v="22333256481"/>
    <n v="6900797850"/>
    <n v="25911069040"/>
  </r>
  <r>
    <s v="[VNPAY] - Paylater"/>
    <x v="2"/>
    <x v="7"/>
    <x v="68"/>
    <n v="33084966407"/>
    <n v="10268248432"/>
    <n v="22816717975"/>
    <n v="6891811211"/>
    <n v="26193155196"/>
  </r>
  <r>
    <s v="[VNPAY] - Paylater"/>
    <x v="2"/>
    <x v="7"/>
    <x v="69"/>
    <n v="33374669257"/>
    <n v="10009103981"/>
    <n v="23365565276"/>
    <n v="6877869083"/>
    <n v="26496800174"/>
  </r>
  <r>
    <s v="[VNPAY] - Paylater"/>
    <x v="2"/>
    <x v="7"/>
    <x v="70"/>
    <n v="33601855898"/>
    <n v="9788990487"/>
    <n v="23812865411"/>
    <n v="6862889782"/>
    <n v="26738966116"/>
  </r>
  <r>
    <s v="[VNPAY] - Paylater"/>
    <x v="2"/>
    <x v="7"/>
    <x v="71"/>
    <n v="33937195119"/>
    <n v="9553255350"/>
    <n v="24383939769"/>
    <n v="6856951596"/>
    <n v="27080243523"/>
  </r>
  <r>
    <s v="[VNPAY] - Paylater"/>
    <x v="2"/>
    <x v="7"/>
    <x v="72"/>
    <n v="34202655223"/>
    <n v="9395879200"/>
    <n v="24806776023"/>
    <n v="6837552022"/>
    <n v="27365103201"/>
  </r>
  <r>
    <s v="[VNPAY] - Paylater"/>
    <x v="2"/>
    <x v="7"/>
    <x v="73"/>
    <n v="34453088716"/>
    <n v="9287432397"/>
    <n v="25165656319"/>
    <n v="6827060288"/>
    <n v="27626028428"/>
  </r>
  <r>
    <s v="[VNPAY] - Paylater"/>
    <x v="2"/>
    <x v="7"/>
    <x v="74"/>
    <n v="34680791018"/>
    <n v="9230398550"/>
    <n v="25450392468"/>
    <n v="6821555187"/>
    <n v="27859235831"/>
  </r>
  <r>
    <s v="[VNPAY] - Paylater"/>
    <x v="2"/>
    <x v="7"/>
    <x v="75"/>
    <n v="34923023490"/>
    <n v="9141007250"/>
    <n v="25782016240"/>
    <n v="6812604887"/>
    <n v="28110418603"/>
  </r>
  <r>
    <s v="[VNPAY] - Paylater"/>
    <x v="2"/>
    <x v="7"/>
    <x v="76"/>
    <n v="35125084181"/>
    <n v="9071155575"/>
    <n v="26053928606"/>
    <n v="9071155575"/>
    <n v="26053928606"/>
  </r>
  <r>
    <s v="[VNPAY] - Paylater"/>
    <x v="2"/>
    <x v="7"/>
    <x v="77"/>
    <n v="35325559547"/>
    <n v="8994457863"/>
    <n v="26331101684"/>
    <n v="8994457863"/>
    <n v="26331101684"/>
  </r>
  <r>
    <s v="[VNPAY] - Paylater"/>
    <x v="2"/>
    <x v="7"/>
    <x v="78"/>
    <n v="35493846180"/>
    <n v="8950267536"/>
    <n v="26543578644"/>
    <n v="8950267536"/>
    <n v="26543578644"/>
  </r>
  <r>
    <s v="[VNPAY] - Paylater"/>
    <x v="2"/>
    <x v="7"/>
    <x v="79"/>
    <n v="35610928208"/>
    <n v="8888416537"/>
    <n v="26722511671"/>
    <n v="8888416537"/>
    <n v="26722511671"/>
  </r>
  <r>
    <s v="[VNPAY] - Paylater"/>
    <x v="2"/>
    <x v="7"/>
    <x v="80"/>
    <n v="35819745548"/>
    <n v="8852992672"/>
    <n v="26966752876"/>
    <n v="8852992672"/>
    <n v="26966752876"/>
  </r>
  <r>
    <s v="[VNPAY] - Paylater"/>
    <x v="2"/>
    <x v="7"/>
    <x v="81"/>
    <n v="35988142962"/>
    <n v="8827773689"/>
    <n v="27160369273"/>
    <n v="8827773689"/>
    <n v="27160369273"/>
  </r>
  <r>
    <s v="[VNPAY] - Paylater"/>
    <x v="2"/>
    <x v="7"/>
    <x v="82"/>
    <n v="36005976903"/>
    <n v="8793650172"/>
    <n v="27212326731"/>
    <n v="8793650172"/>
    <n v="27212326731"/>
  </r>
  <r>
    <s v="[VNPAY] - Paylater"/>
    <x v="2"/>
    <x v="7"/>
    <x v="83"/>
    <n v="36039547117"/>
    <n v="8768929327"/>
    <n v="27270617790"/>
    <n v="8768929327"/>
    <n v="27270617790"/>
  </r>
  <r>
    <s v="[VNPAY] - Paylater"/>
    <x v="2"/>
    <x v="7"/>
    <x v="84"/>
    <n v="36112416403"/>
    <n v="8736842031"/>
    <n v="27375574372"/>
    <n v="8736842031"/>
    <n v="27375574372"/>
  </r>
  <r>
    <s v="[VNPAY] - Paylater"/>
    <x v="2"/>
    <x v="7"/>
    <x v="85"/>
    <n v="36211155937"/>
    <n v="8704404563"/>
    <n v="27506751374"/>
    <n v="8704404563"/>
    <n v="27506751374"/>
  </r>
  <r>
    <s v="[VNPAY] - Paylater"/>
    <x v="2"/>
    <x v="7"/>
    <x v="86"/>
    <n v="36224855894"/>
    <n v="8676074073"/>
    <n v="27548781821"/>
    <n v="8676074073"/>
    <n v="27548781821"/>
  </r>
  <r>
    <s v="[VNPAY] - Paylater"/>
    <x v="2"/>
    <x v="7"/>
    <x v="87"/>
    <n v="36301815489"/>
    <n v="8655286761"/>
    <n v="27646528728"/>
    <n v="8655286761"/>
    <n v="27646528728"/>
  </r>
  <r>
    <s v="[VNPAY] - Paylater"/>
    <x v="2"/>
    <x v="7"/>
    <x v="88"/>
    <n v="36469712010"/>
    <n v="8639555128"/>
    <n v="27830156882"/>
    <n v="8639555128"/>
    <n v="27830156882"/>
  </r>
  <r>
    <s v="[VNPAY] - Paylater"/>
    <x v="2"/>
    <x v="7"/>
    <x v="89"/>
    <n v="36610420293"/>
    <n v="8629706691"/>
    <n v="27980713602"/>
    <n v="8629706691"/>
    <n v="27980713602"/>
  </r>
  <r>
    <s v="[VNPAY] - Paylater"/>
    <x v="2"/>
    <x v="7"/>
    <x v="90"/>
    <n v="36643370887"/>
    <n v="8615806298"/>
    <n v="28027564589"/>
    <n v="8615806298"/>
    <n v="28027564589"/>
  </r>
  <r>
    <s v="[VNPAY] - Paylater"/>
    <x v="2"/>
    <x v="7"/>
    <x v="91"/>
    <n v="36526402954"/>
    <n v="8600067993"/>
    <n v="27926334961"/>
    <n v="8600067993"/>
    <n v="27926334961"/>
  </r>
  <r>
    <s v="[VNPOST] - Cashloan"/>
    <x v="1"/>
    <x v="5"/>
    <x v="0"/>
    <n v="704239123"/>
    <n v="0"/>
    <n v="704239123"/>
    <n v="0"/>
    <n v="704239123"/>
  </r>
  <r>
    <s v="[VNPT] - Payday"/>
    <x v="4"/>
    <x v="8"/>
    <x v="0"/>
    <n v="123493019"/>
    <n v="123493019"/>
    <n v="0"/>
    <n v="123493019"/>
    <n v="0"/>
  </r>
  <r>
    <s v="[VNPT] - Payday"/>
    <x v="4"/>
    <x v="8"/>
    <x v="1"/>
    <n v="123493019"/>
    <n v="123493019"/>
    <n v="0"/>
    <n v="123493019"/>
    <n v="0"/>
  </r>
  <r>
    <s v="[VNPT] - Payday"/>
    <x v="4"/>
    <x v="8"/>
    <x v="2"/>
    <n v="123493019"/>
    <n v="123493019"/>
    <n v="0"/>
    <n v="123493019"/>
    <n v="0"/>
  </r>
  <r>
    <s v="[VNPT] - Payday"/>
    <x v="4"/>
    <x v="8"/>
    <x v="3"/>
    <n v="123493019"/>
    <n v="123493019"/>
    <n v="0"/>
    <n v="123493019"/>
    <n v="0"/>
  </r>
  <r>
    <s v="[VNPT] - Payday"/>
    <x v="4"/>
    <x v="8"/>
    <x v="4"/>
    <n v="123493019"/>
    <n v="123493019"/>
    <n v="0"/>
    <n v="123493019"/>
    <n v="0"/>
  </r>
  <r>
    <s v="[VNPT] - Payday"/>
    <x v="4"/>
    <x v="8"/>
    <x v="5"/>
    <n v="123493019"/>
    <n v="123493019"/>
    <n v="0"/>
    <n v="123493019"/>
    <n v="0"/>
  </r>
  <r>
    <s v="[VNPT] - Payday"/>
    <x v="4"/>
    <x v="8"/>
    <x v="6"/>
    <n v="123493019"/>
    <n v="123493019"/>
    <n v="0"/>
    <n v="123493019"/>
    <n v="0"/>
  </r>
  <r>
    <s v="[VNPT] - Payday"/>
    <x v="4"/>
    <x v="8"/>
    <x v="7"/>
    <n v="123493019"/>
    <n v="123493019"/>
    <n v="0"/>
    <n v="123493019"/>
    <n v="0"/>
  </r>
  <r>
    <s v="[VNPT] - Payday"/>
    <x v="4"/>
    <x v="8"/>
    <x v="8"/>
    <n v="123493019"/>
    <n v="123493019"/>
    <n v="0"/>
    <n v="123493019"/>
    <n v="0"/>
  </r>
  <r>
    <s v="[VNPT] - Payday"/>
    <x v="4"/>
    <x v="8"/>
    <x v="9"/>
    <n v="123493019"/>
    <n v="123493019"/>
    <n v="0"/>
    <n v="123493019"/>
    <n v="0"/>
  </r>
  <r>
    <s v="[VNPT] - Payday"/>
    <x v="4"/>
    <x v="8"/>
    <x v="10"/>
    <n v="123493019"/>
    <n v="123493019"/>
    <n v="0"/>
    <n v="123493019"/>
    <n v="0"/>
  </r>
  <r>
    <s v="[VNPT] - Payday"/>
    <x v="4"/>
    <x v="8"/>
    <x v="11"/>
    <n v="123493019"/>
    <n v="123493019"/>
    <n v="0"/>
    <n v="123493019"/>
    <n v="0"/>
  </r>
  <r>
    <s v="[VNPT] - Payday"/>
    <x v="4"/>
    <x v="8"/>
    <x v="12"/>
    <n v="123493019"/>
    <n v="123493019"/>
    <n v="0"/>
    <n v="123493019"/>
    <n v="0"/>
  </r>
  <r>
    <s v="[VNPT] - Payday"/>
    <x v="4"/>
    <x v="8"/>
    <x v="13"/>
    <n v="123493019"/>
    <n v="123493019"/>
    <n v="0"/>
    <n v="123493019"/>
    <n v="0"/>
  </r>
  <r>
    <s v="[VNPT] - Payday"/>
    <x v="4"/>
    <x v="8"/>
    <x v="14"/>
    <n v="123493019"/>
    <n v="123493019"/>
    <n v="0"/>
    <n v="123493019"/>
    <n v="0"/>
  </r>
  <r>
    <s v="[VNPT] - Payday"/>
    <x v="4"/>
    <x v="8"/>
    <x v="15"/>
    <n v="123493019"/>
    <n v="123493019"/>
    <n v="0"/>
    <n v="123493019"/>
    <n v="0"/>
  </r>
  <r>
    <s v="[VNPT] - Payday"/>
    <x v="4"/>
    <x v="8"/>
    <x v="16"/>
    <n v="123493019"/>
    <n v="123493019"/>
    <n v="0"/>
    <n v="123493019"/>
    <n v="0"/>
  </r>
  <r>
    <s v="[VNPT] - Payday"/>
    <x v="4"/>
    <x v="8"/>
    <x v="17"/>
    <n v="123493019"/>
    <n v="123493019"/>
    <n v="0"/>
    <n v="123493019"/>
    <n v="0"/>
  </r>
  <r>
    <s v="[VNPT] - Payday"/>
    <x v="4"/>
    <x v="8"/>
    <x v="18"/>
    <n v="123493019"/>
    <n v="123493019"/>
    <n v="0"/>
    <n v="123493019"/>
    <n v="0"/>
  </r>
  <r>
    <s v="[VNPT] - Payday"/>
    <x v="4"/>
    <x v="8"/>
    <x v="19"/>
    <n v="123493019"/>
    <n v="123493019"/>
    <n v="0"/>
    <n v="123493019"/>
    <n v="0"/>
  </r>
  <r>
    <s v="[VNPT] - Payday"/>
    <x v="4"/>
    <x v="8"/>
    <x v="20"/>
    <n v="123493019"/>
    <n v="123493019"/>
    <n v="0"/>
    <n v="123493019"/>
    <n v="0"/>
  </r>
  <r>
    <s v="[VNPT] - Payday"/>
    <x v="4"/>
    <x v="8"/>
    <x v="21"/>
    <n v="123493019"/>
    <n v="123493019"/>
    <n v="0"/>
    <n v="123493019"/>
    <n v="0"/>
  </r>
  <r>
    <s v="[VNPT] - Payday"/>
    <x v="4"/>
    <x v="8"/>
    <x v="22"/>
    <n v="123493019"/>
    <n v="123493019"/>
    <n v="0"/>
    <n v="123493019"/>
    <n v="0"/>
  </r>
  <r>
    <s v="[VNPT] - Payday"/>
    <x v="4"/>
    <x v="8"/>
    <x v="23"/>
    <n v="123493019"/>
    <n v="123493019"/>
    <n v="0"/>
    <n v="123493019"/>
    <n v="0"/>
  </r>
  <r>
    <s v="[VNPT] - Payday"/>
    <x v="4"/>
    <x v="8"/>
    <x v="24"/>
    <n v="123493019"/>
    <n v="123493019"/>
    <n v="0"/>
    <n v="123493019"/>
    <n v="0"/>
  </r>
  <r>
    <s v="[VNPT] - Payday"/>
    <x v="4"/>
    <x v="8"/>
    <x v="25"/>
    <n v="123493019"/>
    <n v="123493019"/>
    <n v="0"/>
    <n v="123493019"/>
    <n v="0"/>
  </r>
  <r>
    <s v="[VNPT] - Payday"/>
    <x v="4"/>
    <x v="8"/>
    <x v="26"/>
    <n v="123493019"/>
    <n v="123493019"/>
    <n v="0"/>
    <n v="123493019"/>
    <n v="0"/>
  </r>
  <r>
    <s v="[VNPT] - Payday"/>
    <x v="4"/>
    <x v="8"/>
    <x v="27"/>
    <n v="123493019"/>
    <n v="123493019"/>
    <n v="0"/>
    <n v="123493019"/>
    <n v="0"/>
  </r>
  <r>
    <s v="[VNPT] - Payday"/>
    <x v="4"/>
    <x v="8"/>
    <x v="28"/>
    <n v="123493019"/>
    <n v="123493019"/>
    <n v="0"/>
    <n v="123493019"/>
    <n v="0"/>
  </r>
  <r>
    <s v="[VNPT] - Payday"/>
    <x v="4"/>
    <x v="8"/>
    <x v="29"/>
    <n v="123493019"/>
    <n v="123493019"/>
    <n v="0"/>
    <n v="123493019"/>
    <n v="0"/>
  </r>
  <r>
    <s v="[VNPT] - Payday"/>
    <x v="4"/>
    <x v="8"/>
    <x v="30"/>
    <n v="123493019"/>
    <n v="123493019"/>
    <n v="0"/>
    <n v="123493019"/>
    <n v="0"/>
  </r>
  <r>
    <s v="[VNPT] - Payday"/>
    <x v="4"/>
    <x v="8"/>
    <x v="31"/>
    <n v="123493019"/>
    <n v="123493019"/>
    <n v="0"/>
    <n v="123493019"/>
    <n v="0"/>
  </r>
  <r>
    <s v="[VNPT] - Payday"/>
    <x v="4"/>
    <x v="8"/>
    <x v="32"/>
    <n v="123493019"/>
    <n v="123493019"/>
    <n v="0"/>
    <n v="123493019"/>
    <n v="0"/>
  </r>
  <r>
    <s v="[VNPT] - Payday"/>
    <x v="4"/>
    <x v="8"/>
    <x v="33"/>
    <n v="123493019"/>
    <n v="123493019"/>
    <n v="0"/>
    <n v="123493019"/>
    <n v="0"/>
  </r>
  <r>
    <s v="[VNPT] - Payday"/>
    <x v="4"/>
    <x v="8"/>
    <x v="34"/>
    <n v="123493019"/>
    <n v="123493019"/>
    <n v="0"/>
    <n v="123493019"/>
    <n v="0"/>
  </r>
  <r>
    <s v="[VNPT] - Payday"/>
    <x v="4"/>
    <x v="8"/>
    <x v="35"/>
    <n v="123493019"/>
    <n v="123493019"/>
    <n v="0"/>
    <n v="123493019"/>
    <n v="0"/>
  </r>
  <r>
    <s v="[VNPT] - Payday"/>
    <x v="4"/>
    <x v="8"/>
    <x v="36"/>
    <n v="123493019"/>
    <n v="123493019"/>
    <n v="0"/>
    <n v="123493019"/>
    <n v="0"/>
  </r>
  <r>
    <s v="[VNPT] - Payday"/>
    <x v="4"/>
    <x v="8"/>
    <x v="37"/>
    <n v="123493019"/>
    <n v="123493019"/>
    <n v="0"/>
    <n v="123493019"/>
    <n v="0"/>
  </r>
  <r>
    <s v="[VNPT] - Payday"/>
    <x v="4"/>
    <x v="8"/>
    <x v="38"/>
    <n v="123493019"/>
    <n v="123493019"/>
    <n v="0"/>
    <n v="123493019"/>
    <n v="0"/>
  </r>
  <r>
    <s v="[VNPT] - Payday"/>
    <x v="4"/>
    <x v="8"/>
    <x v="39"/>
    <n v="123493019"/>
    <n v="123493019"/>
    <n v="0"/>
    <n v="123493019"/>
    <n v="0"/>
  </r>
  <r>
    <s v="[VNPT] - Payday"/>
    <x v="4"/>
    <x v="8"/>
    <x v="40"/>
    <n v="123493019"/>
    <n v="123493019"/>
    <n v="0"/>
    <n v="123493019"/>
    <n v="0"/>
  </r>
  <r>
    <s v="[VNPT] - Payday"/>
    <x v="4"/>
    <x v="8"/>
    <x v="41"/>
    <n v="123493019"/>
    <n v="123493019"/>
    <n v="0"/>
    <n v="123493019"/>
    <n v="0"/>
  </r>
  <r>
    <s v="[VNPT] - Payday"/>
    <x v="4"/>
    <x v="8"/>
    <x v="42"/>
    <n v="123493019"/>
    <n v="123493019"/>
    <n v="0"/>
    <n v="123493019"/>
    <n v="0"/>
  </r>
  <r>
    <s v="[VNPT] - Payday"/>
    <x v="4"/>
    <x v="8"/>
    <x v="43"/>
    <n v="123493019"/>
    <n v="123493019"/>
    <n v="0"/>
    <n v="123493019"/>
    <n v="0"/>
  </r>
  <r>
    <s v="[VNPT] - Payday"/>
    <x v="4"/>
    <x v="8"/>
    <x v="44"/>
    <n v="123493019"/>
    <n v="123493019"/>
    <n v="0"/>
    <n v="123493019"/>
    <n v="0"/>
  </r>
  <r>
    <s v="[VNPT] - Payday"/>
    <x v="4"/>
    <x v="8"/>
    <x v="45"/>
    <n v="123493019"/>
    <n v="123493019"/>
    <n v="0"/>
    <n v="123493019"/>
    <n v="0"/>
  </r>
  <r>
    <s v="[VNPT] - Payday"/>
    <x v="4"/>
    <x v="8"/>
    <x v="46"/>
    <n v="123493019"/>
    <n v="123493019"/>
    <n v="0"/>
    <n v="123493019"/>
    <n v="0"/>
  </r>
  <r>
    <s v="[VNPT] - Payday"/>
    <x v="4"/>
    <x v="8"/>
    <x v="47"/>
    <n v="123493019"/>
    <n v="123493019"/>
    <n v="0"/>
    <n v="123493019"/>
    <n v="0"/>
  </r>
  <r>
    <s v="[VNPT] - Payday"/>
    <x v="4"/>
    <x v="8"/>
    <x v="48"/>
    <n v="123493019"/>
    <n v="123493019"/>
    <n v="0"/>
    <n v="123493019"/>
    <n v="0"/>
  </r>
  <r>
    <s v="[VNPT] - Payday"/>
    <x v="4"/>
    <x v="8"/>
    <x v="49"/>
    <n v="123493019"/>
    <n v="123493019"/>
    <n v="0"/>
    <n v="123493019"/>
    <n v="0"/>
  </r>
  <r>
    <s v="[VNPT] - Payday"/>
    <x v="4"/>
    <x v="8"/>
    <x v="50"/>
    <n v="123493019"/>
    <n v="123493019"/>
    <n v="0"/>
    <n v="123493019"/>
    <n v="0"/>
  </r>
  <r>
    <s v="[VNPT] - Payday"/>
    <x v="4"/>
    <x v="8"/>
    <x v="51"/>
    <n v="123493019"/>
    <n v="123493019"/>
    <n v="0"/>
    <n v="123493019"/>
    <n v="0"/>
  </r>
  <r>
    <s v="[VNPT] - Payday"/>
    <x v="4"/>
    <x v="8"/>
    <x v="52"/>
    <n v="123493019"/>
    <n v="123493019"/>
    <n v="0"/>
    <n v="123493019"/>
    <n v="0"/>
  </r>
  <r>
    <s v="[VNPT] - Payday"/>
    <x v="4"/>
    <x v="8"/>
    <x v="53"/>
    <n v="123493019"/>
    <n v="123493019"/>
    <n v="0"/>
    <n v="123493019"/>
    <n v="0"/>
  </r>
  <r>
    <s v="[VNPT] - Payday"/>
    <x v="4"/>
    <x v="8"/>
    <x v="54"/>
    <n v="123493019"/>
    <n v="123493019"/>
    <n v="0"/>
    <n v="123493019"/>
    <n v="0"/>
  </r>
  <r>
    <s v="[VNPT] - Payday"/>
    <x v="4"/>
    <x v="8"/>
    <x v="55"/>
    <n v="123493019"/>
    <n v="123493019"/>
    <n v="0"/>
    <n v="123493019"/>
    <n v="0"/>
  </r>
  <r>
    <s v="[VNPT] - Payday"/>
    <x v="4"/>
    <x v="8"/>
    <x v="56"/>
    <n v="123493019"/>
    <n v="123493019"/>
    <n v="0"/>
    <n v="123493019"/>
    <n v="0"/>
  </r>
  <r>
    <s v="[VNPT] - Payday"/>
    <x v="4"/>
    <x v="8"/>
    <x v="57"/>
    <n v="123493019"/>
    <n v="123493019"/>
    <n v="0"/>
    <n v="123493019"/>
    <n v="0"/>
  </r>
  <r>
    <s v="[VNPT] - Payday"/>
    <x v="4"/>
    <x v="8"/>
    <x v="58"/>
    <n v="123493019"/>
    <n v="123493019"/>
    <n v="0"/>
    <n v="123493019"/>
    <n v="0"/>
  </r>
  <r>
    <s v="[VNPT] - Payday"/>
    <x v="4"/>
    <x v="8"/>
    <x v="59"/>
    <n v="123493019"/>
    <n v="123493019"/>
    <n v="0"/>
    <n v="123493019"/>
    <n v="0"/>
  </r>
  <r>
    <s v="[VNPT] - Payday"/>
    <x v="4"/>
    <x v="8"/>
    <x v="60"/>
    <n v="123493019"/>
    <n v="123493019"/>
    <n v="0"/>
    <n v="123493019"/>
    <n v="0"/>
  </r>
  <r>
    <s v="[VNPT] - Payday"/>
    <x v="4"/>
    <x v="8"/>
    <x v="61"/>
    <n v="123493019"/>
    <n v="123493019"/>
    <n v="0"/>
    <n v="123493019"/>
    <n v="0"/>
  </r>
  <r>
    <s v="[VNPT] - Payday"/>
    <x v="4"/>
    <x v="8"/>
    <x v="62"/>
    <n v="123493019"/>
    <n v="123493019"/>
    <n v="0"/>
    <n v="123493019"/>
    <n v="0"/>
  </r>
  <r>
    <s v="[VNPT] - Payday"/>
    <x v="4"/>
    <x v="8"/>
    <x v="63"/>
    <n v="123493019"/>
    <n v="123493019"/>
    <n v="0"/>
    <n v="123493019"/>
    <n v="0"/>
  </r>
  <r>
    <s v="[VNPT] - Payday"/>
    <x v="4"/>
    <x v="8"/>
    <x v="64"/>
    <n v="123493019"/>
    <n v="123493019"/>
    <n v="0"/>
    <n v="123493019"/>
    <n v="0"/>
  </r>
  <r>
    <s v="[VNPT] - Payday"/>
    <x v="4"/>
    <x v="8"/>
    <x v="65"/>
    <n v="123493019"/>
    <n v="123493019"/>
    <n v="0"/>
    <n v="123493019"/>
    <n v="0"/>
  </r>
  <r>
    <s v="[VNPT] - Payday"/>
    <x v="4"/>
    <x v="8"/>
    <x v="66"/>
    <n v="123493019"/>
    <n v="123493019"/>
    <n v="0"/>
    <n v="123493019"/>
    <n v="0"/>
  </r>
  <r>
    <s v="[VNPT] - Payday"/>
    <x v="4"/>
    <x v="8"/>
    <x v="67"/>
    <n v="123493019"/>
    <n v="123493019"/>
    <n v="0"/>
    <n v="123493019"/>
    <n v="0"/>
  </r>
  <r>
    <s v="[VNPT] - Payday"/>
    <x v="4"/>
    <x v="8"/>
    <x v="68"/>
    <n v="123493019"/>
    <n v="123493019"/>
    <n v="0"/>
    <n v="123493019"/>
    <n v="0"/>
  </r>
  <r>
    <s v="[VNPT] - Payday"/>
    <x v="4"/>
    <x v="8"/>
    <x v="69"/>
    <n v="123493019"/>
    <n v="123493019"/>
    <n v="0"/>
    <n v="123493019"/>
    <n v="0"/>
  </r>
  <r>
    <s v="[VNPT] - Payday"/>
    <x v="4"/>
    <x v="8"/>
    <x v="70"/>
    <n v="123493019"/>
    <n v="123493019"/>
    <n v="0"/>
    <n v="123493019"/>
    <n v="0"/>
  </r>
  <r>
    <s v="[VNPT] - Payday"/>
    <x v="4"/>
    <x v="8"/>
    <x v="71"/>
    <n v="123493019"/>
    <n v="123493019"/>
    <n v="0"/>
    <n v="123493019"/>
    <n v="0"/>
  </r>
  <r>
    <s v="[VNPT] - Payday"/>
    <x v="4"/>
    <x v="8"/>
    <x v="72"/>
    <n v="123493019"/>
    <n v="123493019"/>
    <n v="0"/>
    <n v="123493019"/>
    <n v="0"/>
  </r>
  <r>
    <s v="[VNPT] - Payday"/>
    <x v="4"/>
    <x v="8"/>
    <x v="73"/>
    <n v="123493019"/>
    <n v="123493019"/>
    <n v="0"/>
    <n v="123493019"/>
    <n v="0"/>
  </r>
  <r>
    <s v="[VNPT] - Payday"/>
    <x v="4"/>
    <x v="8"/>
    <x v="74"/>
    <n v="123493019"/>
    <n v="123493019"/>
    <n v="0"/>
    <n v="123493019"/>
    <n v="0"/>
  </r>
  <r>
    <s v="[VNPT] - Payday"/>
    <x v="4"/>
    <x v="8"/>
    <x v="75"/>
    <n v="123493019"/>
    <n v="123493019"/>
    <n v="0"/>
    <n v="123493019"/>
    <n v="0"/>
  </r>
  <r>
    <s v="[VNPT] - Payday"/>
    <x v="4"/>
    <x v="8"/>
    <x v="76"/>
    <n v="123493019"/>
    <n v="123493019"/>
    <n v="0"/>
    <n v="123493019"/>
    <n v="0"/>
  </r>
  <r>
    <s v="[VNPT] - Payday"/>
    <x v="4"/>
    <x v="8"/>
    <x v="77"/>
    <n v="123493019"/>
    <n v="123493019"/>
    <n v="0"/>
    <n v="123493019"/>
    <n v="0"/>
  </r>
  <r>
    <s v="[VNPT] - Payday"/>
    <x v="4"/>
    <x v="8"/>
    <x v="78"/>
    <n v="123493019"/>
    <n v="123493019"/>
    <n v="0"/>
    <n v="123493019"/>
    <n v="0"/>
  </r>
  <r>
    <s v="[VNPT] - Payday"/>
    <x v="4"/>
    <x v="8"/>
    <x v="79"/>
    <n v="123493019"/>
    <n v="123493019"/>
    <n v="0"/>
    <n v="123493019"/>
    <n v="0"/>
  </r>
  <r>
    <s v="[VNPT] - Payday"/>
    <x v="4"/>
    <x v="8"/>
    <x v="80"/>
    <n v="123493019"/>
    <n v="123493019"/>
    <n v="0"/>
    <n v="123493019"/>
    <n v="0"/>
  </r>
  <r>
    <s v="[VNPT] - Payday"/>
    <x v="4"/>
    <x v="8"/>
    <x v="81"/>
    <n v="123493019"/>
    <n v="123493019"/>
    <n v="0"/>
    <n v="123493019"/>
    <n v="0"/>
  </r>
  <r>
    <s v="[VNPT] - Payday"/>
    <x v="4"/>
    <x v="8"/>
    <x v="82"/>
    <n v="123493019"/>
    <n v="123493019"/>
    <n v="0"/>
    <n v="123493019"/>
    <n v="0"/>
  </r>
  <r>
    <s v="[VNPT] - Payday"/>
    <x v="4"/>
    <x v="8"/>
    <x v="83"/>
    <n v="123493019"/>
    <n v="123493019"/>
    <n v="0"/>
    <n v="123493019"/>
    <n v="0"/>
  </r>
  <r>
    <s v="[VNPT] - Payday"/>
    <x v="4"/>
    <x v="8"/>
    <x v="84"/>
    <n v="123493019"/>
    <n v="123493019"/>
    <n v="0"/>
    <n v="123493019"/>
    <n v="0"/>
  </r>
  <r>
    <s v="[VNPT] - Payday"/>
    <x v="4"/>
    <x v="8"/>
    <x v="85"/>
    <n v="123493019"/>
    <n v="123493019"/>
    <n v="0"/>
    <n v="123493019"/>
    <n v="0"/>
  </r>
  <r>
    <s v="[VNPT] - Payday"/>
    <x v="4"/>
    <x v="8"/>
    <x v="86"/>
    <n v="123493019"/>
    <n v="123493019"/>
    <n v="0"/>
    <n v="123493019"/>
    <n v="0"/>
  </r>
  <r>
    <s v="[VNPT] - Payday"/>
    <x v="4"/>
    <x v="8"/>
    <x v="87"/>
    <n v="123493019"/>
    <n v="123493019"/>
    <n v="0"/>
    <n v="123493019"/>
    <n v="0"/>
  </r>
  <r>
    <s v="[VNPT] - Payday"/>
    <x v="4"/>
    <x v="8"/>
    <x v="88"/>
    <n v="123493019"/>
    <n v="123493019"/>
    <n v="0"/>
    <n v="123493019"/>
    <n v="0"/>
  </r>
  <r>
    <s v="[VNPT] - Payday"/>
    <x v="4"/>
    <x v="8"/>
    <x v="89"/>
    <n v="123493019"/>
    <n v="123493019"/>
    <n v="0"/>
    <n v="123493019"/>
    <n v="0"/>
  </r>
  <r>
    <s v="[VNPT] - Payday"/>
    <x v="4"/>
    <x v="8"/>
    <x v="90"/>
    <n v="123493019"/>
    <n v="123493019"/>
    <n v="0"/>
    <n v="123493019"/>
    <n v="0"/>
  </r>
  <r>
    <s v="[VNPT] - Payday"/>
    <x v="4"/>
    <x v="8"/>
    <x v="91"/>
    <n v="123493019"/>
    <n v="123493019"/>
    <n v="0"/>
    <n v="123493019"/>
    <n v="0"/>
  </r>
  <r>
    <s v="[ZALOPAY] - Cashloan"/>
    <x v="1"/>
    <x v="9"/>
    <x v="0"/>
    <n v="72189111548"/>
    <n v="1125899307"/>
    <n v="71063212241"/>
    <n v="416295807"/>
    <n v="71772815741"/>
  </r>
  <r>
    <s v="[ZALOPAY] - Cashloan"/>
    <x v="1"/>
    <x v="9"/>
    <x v="1"/>
    <n v="75884506378"/>
    <n v="1148825895"/>
    <n v="74735680483"/>
    <n v="456211614"/>
    <n v="75428294764"/>
  </r>
  <r>
    <s v="[ZALOPAY] - Cashloan"/>
    <x v="1"/>
    <x v="9"/>
    <x v="2"/>
    <n v="79277781376"/>
    <n v="1262991302"/>
    <n v="78014790074"/>
    <n v="453211614"/>
    <n v="78824569762"/>
  </r>
  <r>
    <s v="[ZALOPAY] - Cashloan"/>
    <x v="1"/>
    <x v="9"/>
    <x v="3"/>
    <n v="84568524000"/>
    <n v="1514158278"/>
    <n v="83054365722"/>
    <n v="635220087"/>
    <n v="83933303913"/>
  </r>
  <r>
    <s v="[ZALOPAY] - Cashloan"/>
    <x v="1"/>
    <x v="9"/>
    <x v="4"/>
    <n v="88840800422"/>
    <n v="1635154096"/>
    <n v="87205646326"/>
    <n v="688093423"/>
    <n v="88152706999"/>
  </r>
  <r>
    <s v="[ZALOPAY] - Cashloan"/>
    <x v="1"/>
    <x v="9"/>
    <x v="5"/>
    <n v="91622426991"/>
    <n v="1824443416"/>
    <n v="89797983575"/>
    <n v="719093423"/>
    <n v="90903333568"/>
  </r>
  <r>
    <s v="[ZALOPAY] - Cashloan"/>
    <x v="1"/>
    <x v="9"/>
    <x v="6"/>
    <n v="94948656220"/>
    <n v="1609483416"/>
    <n v="93339172804"/>
    <n v="751093416"/>
    <n v="94197562804"/>
  </r>
  <r>
    <s v="[ZALOPAY] - Cashloan"/>
    <x v="1"/>
    <x v="9"/>
    <x v="7"/>
    <n v="98245520300"/>
    <n v="1787389157"/>
    <n v="96458131143"/>
    <n v="799764865"/>
    <n v="97445755435"/>
  </r>
  <r>
    <s v="[ZALOPAY] - Cashloan"/>
    <x v="1"/>
    <x v="9"/>
    <x v="8"/>
    <n v="102468289722"/>
    <n v="1769002053"/>
    <n v="100699287669"/>
    <n v="893464865"/>
    <n v="101574824857"/>
  </r>
  <r>
    <s v="[ZALOPAY] - Cashloan"/>
    <x v="1"/>
    <x v="9"/>
    <x v="9"/>
    <n v="106921901288"/>
    <n v="1628906215"/>
    <n v="105292995073"/>
    <n v="884726427"/>
    <n v="106037174861"/>
  </r>
  <r>
    <s v="[ZALOPAY] - Cashloan"/>
    <x v="1"/>
    <x v="9"/>
    <x v="10"/>
    <n v="110817995788"/>
    <n v="1643453226"/>
    <n v="109174542562"/>
    <n v="884726427"/>
    <n v="109933269361"/>
  </r>
  <r>
    <s v="[ZALOPAY] - Cashloan"/>
    <x v="1"/>
    <x v="9"/>
    <x v="11"/>
    <n v="113885135897"/>
    <n v="1781699835"/>
    <n v="112103436062"/>
    <n v="896022391"/>
    <n v="112989113506"/>
  </r>
  <r>
    <s v="[ZALOPAY] - Cashloan"/>
    <x v="1"/>
    <x v="9"/>
    <x v="12"/>
    <n v="117130655877"/>
    <n v="1901793007"/>
    <n v="115228862870"/>
    <n v="963022391"/>
    <n v="116167633486"/>
  </r>
  <r>
    <s v="[ZALOPAY] - Cashloan"/>
    <x v="1"/>
    <x v="9"/>
    <x v="13"/>
    <n v="121028890999"/>
    <n v="1767423537"/>
    <n v="119261467462"/>
    <n v="1053022391"/>
    <n v="119975868608"/>
  </r>
  <r>
    <s v="[ZALOPAY] - Cashloan"/>
    <x v="1"/>
    <x v="9"/>
    <x v="14"/>
    <n v="123313711809"/>
    <n v="1951877284"/>
    <n v="121361834525"/>
    <n v="1090360302"/>
    <n v="122223351507"/>
  </r>
  <r>
    <s v="[ZALOPAY] - Cashloan"/>
    <x v="1"/>
    <x v="9"/>
    <x v="15"/>
    <n v="125911491658"/>
    <n v="1938048540"/>
    <n v="123973443118"/>
    <n v="1147585001"/>
    <n v="124763906657"/>
  </r>
  <r>
    <s v="[ZALOPAY] - Cashloan"/>
    <x v="1"/>
    <x v="9"/>
    <x v="16"/>
    <n v="128085003816"/>
    <n v="1900438633"/>
    <n v="126184565183"/>
    <n v="1120322919"/>
    <n v="126964680897"/>
  </r>
  <r>
    <s v="[ZALOPAY] - Cashloan"/>
    <x v="1"/>
    <x v="9"/>
    <x v="17"/>
    <n v="130164878993"/>
    <n v="2067914966"/>
    <n v="128096964027"/>
    <n v="1152674446"/>
    <n v="129012204547"/>
  </r>
  <r>
    <s v="[ZALOPAY] - Cashloan"/>
    <x v="1"/>
    <x v="9"/>
    <x v="18"/>
    <n v="131540986180"/>
    <n v="2277101002"/>
    <n v="129263885178"/>
    <n v="1219339380"/>
    <n v="130321646800"/>
  </r>
  <r>
    <s v="[ZALOPAY] - Cashloan"/>
    <x v="1"/>
    <x v="9"/>
    <x v="19"/>
    <n v="132822722275"/>
    <n v="2511464892"/>
    <n v="130311257383"/>
    <n v="1247472176"/>
    <n v="131575250099"/>
  </r>
  <r>
    <s v="[ZALOPAY] - Cashloan"/>
    <x v="1"/>
    <x v="9"/>
    <x v="20"/>
    <n v="134640257587"/>
    <n v="2320832793"/>
    <n v="132319424794"/>
    <n v="1256987751"/>
    <n v="133383269836"/>
  </r>
  <r>
    <s v="[ZALOPAY] - Cashloan"/>
    <x v="1"/>
    <x v="9"/>
    <x v="21"/>
    <n v="135862338997"/>
    <n v="2794405420"/>
    <n v="133067933577"/>
    <n v="1273739028"/>
    <n v="134588599969"/>
  </r>
  <r>
    <s v="[ZALOPAY] - Cashloan"/>
    <x v="1"/>
    <x v="9"/>
    <x v="22"/>
    <n v="137030728244"/>
    <n v="2798194260"/>
    <n v="134232533984"/>
    <n v="1358213971"/>
    <n v="135672514273"/>
  </r>
  <r>
    <s v="[ZALOPAY] - Cashloan"/>
    <x v="1"/>
    <x v="9"/>
    <x v="23"/>
    <n v="138401921082"/>
    <n v="2976543164"/>
    <n v="135425377918"/>
    <n v="1350807527"/>
    <n v="137051113555"/>
  </r>
  <r>
    <s v="[ZALOPAY] - Cashloan"/>
    <x v="1"/>
    <x v="9"/>
    <x v="24"/>
    <n v="139682652297"/>
    <n v="2965374023"/>
    <n v="136717278274"/>
    <n v="1462463278"/>
    <n v="138220189019"/>
  </r>
  <r>
    <s v="[ZALOPAY] - Cashloan"/>
    <x v="1"/>
    <x v="9"/>
    <x v="25"/>
    <n v="141520981674"/>
    <n v="2910444860"/>
    <n v="138610536814"/>
    <n v="1449244104"/>
    <n v="140071737570"/>
  </r>
  <r>
    <s v="[ZALOPAY] - Cashloan"/>
    <x v="1"/>
    <x v="9"/>
    <x v="26"/>
    <n v="143061906508"/>
    <n v="3003619693"/>
    <n v="140058286815"/>
    <n v="1476806511"/>
    <n v="141585099997"/>
  </r>
  <r>
    <s v="[ZALOPAY] - Cashloan"/>
    <x v="1"/>
    <x v="9"/>
    <x v="27"/>
    <n v="143378760772"/>
    <n v="2883141841"/>
    <n v="140495618931"/>
    <n v="1605653536"/>
    <n v="141773107236"/>
  </r>
  <r>
    <s v="[ZALOPAY] - Cashloan"/>
    <x v="1"/>
    <x v="9"/>
    <x v="28"/>
    <n v="145067547059"/>
    <n v="3732607072"/>
    <n v="141334939987"/>
    <n v="1721269802"/>
    <n v="143346277257"/>
  </r>
  <r>
    <s v="[ZALOPAY] - Cashloan"/>
    <x v="1"/>
    <x v="9"/>
    <x v="29"/>
    <n v="145954294191"/>
    <n v="3298670798"/>
    <n v="142655623393"/>
    <n v="1792430055"/>
    <n v="144161864136"/>
  </r>
  <r>
    <s v="[ZALOPAY] - Cashloan"/>
    <x v="1"/>
    <x v="9"/>
    <x v="30"/>
    <n v="147333061236"/>
    <n v="3015929010"/>
    <n v="144317132226"/>
    <n v="1771383916"/>
    <n v="145561677320"/>
  </r>
  <r>
    <s v="[ZALOPAY] - Cashloan"/>
    <x v="1"/>
    <x v="9"/>
    <x v="31"/>
    <n v="151271794245"/>
    <n v="2860638408"/>
    <n v="148411155837"/>
    <n v="1955753625"/>
    <n v="149316040620"/>
  </r>
  <r>
    <s v="[ZALOPAY] - Cashloan"/>
    <x v="1"/>
    <x v="9"/>
    <x v="32"/>
    <n v="156143054978"/>
    <n v="3280316016"/>
    <n v="152862738962"/>
    <n v="2051456325"/>
    <n v="154091598653"/>
  </r>
  <r>
    <s v="[ZALOPAY] - Cashloan"/>
    <x v="1"/>
    <x v="9"/>
    <x v="33"/>
    <n v="161351979168"/>
    <n v="4121838198"/>
    <n v="157230140970"/>
    <n v="2106620353"/>
    <n v="159245358815"/>
  </r>
  <r>
    <s v="[ZALOPAY] - Cashloan"/>
    <x v="1"/>
    <x v="9"/>
    <x v="34"/>
    <n v="166529696678"/>
    <n v="3681124204"/>
    <n v="162848572474"/>
    <n v="2165446910"/>
    <n v="164364249768"/>
  </r>
  <r>
    <s v="[ZALOPAY] - Cashloan"/>
    <x v="1"/>
    <x v="9"/>
    <x v="35"/>
    <n v="172271221751"/>
    <n v="5364223539"/>
    <n v="166906998212"/>
    <n v="2206043825"/>
    <n v="170065177926"/>
  </r>
  <r>
    <s v="[ZALOPAY] - Cashloan"/>
    <x v="1"/>
    <x v="9"/>
    <x v="36"/>
    <n v="176744141575"/>
    <n v="5281220987"/>
    <n v="171462920588"/>
    <n v="2332015067"/>
    <n v="174412126508"/>
  </r>
  <r>
    <s v="[ZALOPAY] - Cashloan"/>
    <x v="1"/>
    <x v="9"/>
    <x v="37"/>
    <n v="181653186929"/>
    <n v="4798570348"/>
    <n v="176854616581"/>
    <n v="2281737975"/>
    <n v="179371448954"/>
  </r>
  <r>
    <s v="[ZALOPAY] - Cashloan"/>
    <x v="1"/>
    <x v="9"/>
    <x v="38"/>
    <n v="184189764174"/>
    <n v="4790603988"/>
    <n v="179399160186"/>
    <n v="2591725418"/>
    <n v="181598038756"/>
  </r>
  <r>
    <s v="[ZALOPAY] - Cashloan"/>
    <x v="1"/>
    <x v="9"/>
    <x v="39"/>
    <n v="183937753372"/>
    <n v="4826123232"/>
    <n v="179111630140"/>
    <n v="2535038640"/>
    <n v="181402714732"/>
  </r>
  <r>
    <s v="[ZALOPAY] - Cashloan"/>
    <x v="1"/>
    <x v="9"/>
    <x v="40"/>
    <n v="184007335105"/>
    <n v="5109265757"/>
    <n v="178898069348"/>
    <n v="2534735254"/>
    <n v="181472599851"/>
  </r>
  <r>
    <s v="[ZALOPAY] - Cashloan"/>
    <x v="1"/>
    <x v="9"/>
    <x v="41"/>
    <n v="183273662891"/>
    <n v="4772508495"/>
    <n v="178501154396"/>
    <n v="2500197578"/>
    <n v="180773465313"/>
  </r>
  <r>
    <s v="[ZALOPAY] - Cashloan"/>
    <x v="1"/>
    <x v="9"/>
    <x v="42"/>
    <n v="182933731160"/>
    <n v="5427864341"/>
    <n v="177505866819"/>
    <n v="2646225494"/>
    <n v="180287505666"/>
  </r>
  <r>
    <s v="[ZALOPAY] - Cashloan"/>
    <x v="1"/>
    <x v="9"/>
    <x v="43"/>
    <n v="182483019896"/>
    <n v="5506348122"/>
    <n v="176976671774"/>
    <n v="2849744823"/>
    <n v="179633275073"/>
  </r>
  <r>
    <s v="[ZALOPAY] - Cashloan"/>
    <x v="1"/>
    <x v="9"/>
    <x v="44"/>
    <n v="181788497691"/>
    <n v="5519667880"/>
    <n v="176268829811"/>
    <n v="2838213549"/>
    <n v="178950284142"/>
  </r>
  <r>
    <s v="[ZALOPAY] - Cashloan"/>
    <x v="1"/>
    <x v="9"/>
    <x v="45"/>
    <n v="183469635160"/>
    <n v="5330051920"/>
    <n v="178139583240"/>
    <n v="3335739304"/>
    <n v="180133895856"/>
  </r>
  <r>
    <s v="[ZALOPAY] - Cashloan"/>
    <x v="1"/>
    <x v="9"/>
    <x v="46"/>
    <n v="186874774027"/>
    <n v="5467268472"/>
    <n v="181407505555"/>
    <n v="3414734421"/>
    <n v="183460039606"/>
  </r>
  <r>
    <s v="[ZALOPAY] - Cashloan"/>
    <x v="1"/>
    <x v="9"/>
    <x v="47"/>
    <n v="190851506335"/>
    <n v="5798637279"/>
    <n v="185052869056"/>
    <n v="3538480604"/>
    <n v="187313025731"/>
  </r>
  <r>
    <s v="[ZALOPAY] - Cashloan"/>
    <x v="1"/>
    <x v="9"/>
    <x v="48"/>
    <n v="193374330849"/>
    <n v="5594890171"/>
    <n v="187779440678"/>
    <n v="3665868184"/>
    <n v="189708462665"/>
  </r>
  <r>
    <s v="[ZALOPAY] - Cashloan"/>
    <x v="1"/>
    <x v="9"/>
    <x v="49"/>
    <n v="195248681146"/>
    <n v="6283740843"/>
    <n v="188964940303"/>
    <n v="3692997022"/>
    <n v="191555684124"/>
  </r>
  <r>
    <s v="[ZALOPAY] - Cashloan"/>
    <x v="1"/>
    <x v="9"/>
    <x v="50"/>
    <n v="197209547936"/>
    <n v="6265301688"/>
    <n v="190944246248"/>
    <n v="3897959089"/>
    <n v="193311588847"/>
  </r>
  <r>
    <s v="[ZALOPAY] - Cashloan"/>
    <x v="1"/>
    <x v="9"/>
    <x v="51"/>
    <n v="198812493377"/>
    <n v="6428889082"/>
    <n v="192383604295"/>
    <n v="3878699089"/>
    <n v="194933794288"/>
  </r>
  <r>
    <s v="[ZALOPAY] - Cashloan"/>
    <x v="1"/>
    <x v="9"/>
    <x v="52"/>
    <n v="199948966373"/>
    <n v="6623994320"/>
    <n v="193324972053"/>
    <n v="4141217956"/>
    <n v="195807748417"/>
  </r>
  <r>
    <s v="[ZALOPAY] - Cashloan"/>
    <x v="1"/>
    <x v="9"/>
    <x v="53"/>
    <n v="201176809814"/>
    <n v="6727120233"/>
    <n v="194449689581"/>
    <n v="4179111232"/>
    <n v="196997698582"/>
  </r>
  <r>
    <s v="[ZALOPAY] - Cashloan"/>
    <x v="1"/>
    <x v="9"/>
    <x v="54"/>
    <n v="202240502319"/>
    <n v="6839330915"/>
    <n v="195401171404"/>
    <n v="4304184129"/>
    <n v="197936318190"/>
  </r>
  <r>
    <s v="[ZALOPAY] - Cashloan"/>
    <x v="1"/>
    <x v="9"/>
    <x v="55"/>
    <n v="203546196119"/>
    <n v="6567741360"/>
    <n v="196978454759"/>
    <n v="4514411968"/>
    <n v="199031784151"/>
  </r>
  <r>
    <s v="[ZALOPAY] - Cashloan"/>
    <x v="1"/>
    <x v="9"/>
    <x v="56"/>
    <n v="204933482296"/>
    <n v="7140170216"/>
    <n v="197793312080"/>
    <n v="4654328459"/>
    <n v="200279153837"/>
  </r>
  <r>
    <s v="[ZALOPAY] - Cashloan"/>
    <x v="1"/>
    <x v="9"/>
    <x v="57"/>
    <n v="206089736233"/>
    <n v="7233638603"/>
    <n v="198856097630"/>
    <n v="4834499389"/>
    <n v="201255236844"/>
  </r>
  <r>
    <s v="[ZALOPAY] - Cashloan"/>
    <x v="1"/>
    <x v="9"/>
    <x v="58"/>
    <n v="206628156588"/>
    <n v="7149012510"/>
    <n v="199479144078"/>
    <n v="4718091087"/>
    <n v="201910065501"/>
  </r>
  <r>
    <s v="[ZALOPAY] - Cashloan"/>
    <x v="1"/>
    <x v="9"/>
    <x v="59"/>
    <n v="207363138271"/>
    <n v="8003937483"/>
    <n v="199359200788"/>
    <n v="5022625425"/>
    <n v="202340512846"/>
  </r>
  <r>
    <s v="[ZALOPAY] - Cashloan"/>
    <x v="1"/>
    <x v="9"/>
    <x v="60"/>
    <n v="209090089016"/>
    <n v="7597903065"/>
    <n v="201492185951"/>
    <n v="5089380828"/>
    <n v="204000708188"/>
  </r>
  <r>
    <s v="[ZALOPAY] - Cashloan"/>
    <x v="1"/>
    <x v="9"/>
    <x v="61"/>
    <n v="210389493640"/>
    <n v="7266864252"/>
    <n v="203122629388"/>
    <n v="5228540265"/>
    <n v="205160953375"/>
  </r>
  <r>
    <s v="[ZALOPAY] - Cashloan"/>
    <x v="1"/>
    <x v="9"/>
    <x v="62"/>
    <n v="213724726819"/>
    <n v="7213868138"/>
    <n v="206510858681"/>
    <n v="5390424886"/>
    <n v="208334301933"/>
  </r>
  <r>
    <s v="[ZALOPAY] - Cashloan"/>
    <x v="1"/>
    <x v="9"/>
    <x v="63"/>
    <n v="217595850550"/>
    <n v="7103497566"/>
    <n v="210492352984"/>
    <n v="5485876873"/>
    <n v="212109973677"/>
  </r>
  <r>
    <s v="[ZALOPAY] - Cashloan"/>
    <x v="1"/>
    <x v="9"/>
    <x v="64"/>
    <n v="219691366909"/>
    <n v="6891739806"/>
    <n v="212799627103"/>
    <n v="5605915218"/>
    <n v="214085451691"/>
  </r>
  <r>
    <s v="[ZALOPAY] - Cashloan"/>
    <x v="1"/>
    <x v="9"/>
    <x v="65"/>
    <n v="221840910162"/>
    <n v="11368104541"/>
    <n v="210472805621"/>
    <n v="5578076858"/>
    <n v="216262833304"/>
  </r>
  <r>
    <s v="[ZALOPAY] - Cashloan"/>
    <x v="1"/>
    <x v="9"/>
    <x v="66"/>
    <n v="224056113383"/>
    <n v="11840560388"/>
    <n v="212215552995"/>
    <n v="5813526543"/>
    <n v="218242586840"/>
  </r>
  <r>
    <s v="[ZALOPAY] - Cashloan"/>
    <x v="1"/>
    <x v="9"/>
    <x v="67"/>
    <n v="225560445730"/>
    <n v="11144966973"/>
    <n v="214415478757"/>
    <n v="5903331752"/>
    <n v="219657113978"/>
  </r>
  <r>
    <s v="[ZALOPAY] - Cashloan"/>
    <x v="1"/>
    <x v="9"/>
    <x v="68"/>
    <n v="227853202267"/>
    <n v="11197664411"/>
    <n v="216655537856"/>
    <n v="6086191646"/>
    <n v="221767010621"/>
  </r>
  <r>
    <s v="[ZALOPAY] - Cashloan"/>
    <x v="1"/>
    <x v="9"/>
    <x v="69"/>
    <n v="229492807771"/>
    <n v="9855058493"/>
    <n v="219637749278"/>
    <n v="6380358439"/>
    <n v="223112449332"/>
  </r>
  <r>
    <s v="[ZALOPAY] - Cashloan"/>
    <x v="1"/>
    <x v="9"/>
    <x v="70"/>
    <n v="231755339064"/>
    <n v="11022066118"/>
    <n v="220733272946"/>
    <n v="6361098439"/>
    <n v="225394240625"/>
  </r>
  <r>
    <s v="[ZALOPAY] - Cashloan"/>
    <x v="1"/>
    <x v="9"/>
    <x v="71"/>
    <n v="233829681293"/>
    <n v="9987791906"/>
    <n v="223841889387"/>
    <n v="6239809179"/>
    <n v="227589872114"/>
  </r>
  <r>
    <s v="[ZALOPAY] - Cashloan"/>
    <x v="1"/>
    <x v="9"/>
    <x v="72"/>
    <n v="235732481754"/>
    <n v="10016969272"/>
    <n v="225715512482"/>
    <n v="6191585517"/>
    <n v="229540896237"/>
  </r>
  <r>
    <s v="[ZALOPAY] - Cashloan"/>
    <x v="1"/>
    <x v="9"/>
    <x v="73"/>
    <n v="237781779549"/>
    <n v="9932430596"/>
    <n v="227849348953"/>
    <n v="6167962334"/>
    <n v="231613817215"/>
  </r>
  <r>
    <s v="[ZALOPAY] - Cashloan"/>
    <x v="1"/>
    <x v="9"/>
    <x v="74"/>
    <n v="239093218585"/>
    <n v="10040578615"/>
    <n v="229052639970"/>
    <n v="6165405397"/>
    <n v="232927813188"/>
  </r>
  <r>
    <s v="[ZALOPAY] - Cashloan"/>
    <x v="1"/>
    <x v="9"/>
    <x v="75"/>
    <n v="240747091157"/>
    <n v="10370595584"/>
    <n v="230376495573"/>
    <n v="7025732808"/>
    <n v="233721358349"/>
  </r>
  <r>
    <s v="[ZALOPAY] - Cashloan"/>
    <x v="1"/>
    <x v="9"/>
    <x v="76"/>
    <n v="242128179227"/>
    <n v="9683126321"/>
    <n v="232445052906"/>
    <n v="7430822342"/>
    <n v="234697356885"/>
  </r>
  <r>
    <s v="[ZALOPAY] - Cashloan"/>
    <x v="1"/>
    <x v="9"/>
    <x v="77"/>
    <n v="243701052017"/>
    <n v="10513287694"/>
    <n v="233187764323"/>
    <n v="7626766103"/>
    <n v="236074285914"/>
  </r>
  <r>
    <s v="[ZALOPAY] - Cashloan"/>
    <x v="1"/>
    <x v="9"/>
    <x v="78"/>
    <n v="244797327175"/>
    <n v="10770030562"/>
    <n v="234027296613"/>
    <n v="7749456715"/>
    <n v="237047870460"/>
  </r>
  <r>
    <s v="[ZALOPAY] - Cashloan"/>
    <x v="1"/>
    <x v="9"/>
    <x v="79"/>
    <n v="245868156963"/>
    <n v="10840796816"/>
    <n v="235027360147"/>
    <n v="7601369399"/>
    <n v="238266787564"/>
  </r>
  <r>
    <s v="[ZALOPAY] - Cashloan"/>
    <x v="1"/>
    <x v="9"/>
    <x v="80"/>
    <n v="247871189861"/>
    <n v="10945557867"/>
    <n v="236925631994"/>
    <n v="8072175663"/>
    <n v="239799014198"/>
  </r>
  <r>
    <s v="[ZALOPAY] - Cashloan"/>
    <x v="1"/>
    <x v="9"/>
    <x v="81"/>
    <n v="249050108544"/>
    <n v="11408272793"/>
    <n v="237641835751"/>
    <n v="8195944032"/>
    <n v="240854164512"/>
  </r>
  <r>
    <s v="[ZALOPAY] - Cashloan"/>
    <x v="1"/>
    <x v="9"/>
    <x v="82"/>
    <n v="250700418628"/>
    <n v="11510187965"/>
    <n v="239190230663"/>
    <n v="8302215672"/>
    <n v="242398202956"/>
  </r>
  <r>
    <s v="[ZALOPAY] - Cashloan"/>
    <x v="1"/>
    <x v="9"/>
    <x v="83"/>
    <n v="252352122421"/>
    <n v="11160469669"/>
    <n v="241191652752"/>
    <n v="8480981184"/>
    <n v="243871141237"/>
  </r>
  <r>
    <s v="[ZALOPAY] - Cashloan"/>
    <x v="1"/>
    <x v="9"/>
    <x v="84"/>
    <n v="254183876299"/>
    <n v="11916220330"/>
    <n v="242267655969"/>
    <n v="8608136800"/>
    <n v="245575739499"/>
  </r>
  <r>
    <s v="[ZALOPAY] - Cashloan"/>
    <x v="1"/>
    <x v="9"/>
    <x v="85"/>
    <n v="255983716097"/>
    <n v="11999689922"/>
    <n v="243984026175"/>
    <n v="8706176814"/>
    <n v="247277539283"/>
  </r>
  <r>
    <s v="[ZALOPAY] - Cashloan"/>
    <x v="1"/>
    <x v="9"/>
    <x v="86"/>
    <n v="257892642876"/>
    <n v="11966311803"/>
    <n v="245926331073"/>
    <n v="8622059286"/>
    <n v="249270583590"/>
  </r>
  <r>
    <s v="[ZALOPAY] - Cashloan"/>
    <x v="1"/>
    <x v="9"/>
    <x v="87"/>
    <n v="259605501540"/>
    <n v="11819562921"/>
    <n v="247785938619"/>
    <n v="8894931780"/>
    <n v="250710569760"/>
  </r>
  <r>
    <s v="[ZALOPAY] - Cashloan"/>
    <x v="1"/>
    <x v="9"/>
    <x v="88"/>
    <n v="260746050572"/>
    <n v="11962137351"/>
    <n v="248783913221"/>
    <n v="9045803227"/>
    <n v="251700247345"/>
  </r>
  <r>
    <s v="[ZALOPAY] - Cashloan"/>
    <x v="1"/>
    <x v="9"/>
    <x v="89"/>
    <n v="262434402856"/>
    <n v="12466392505"/>
    <n v="249968010351"/>
    <n v="9425079144"/>
    <n v="253009323712"/>
  </r>
  <r>
    <s v="[ZALOPAY] - Cashloan"/>
    <x v="1"/>
    <x v="9"/>
    <x v="90"/>
    <n v="263278420564"/>
    <n v="11935346533"/>
    <n v="251343074031"/>
    <n v="9559970229"/>
    <n v="253718450335"/>
  </r>
  <r>
    <s v="[ZALOPAY] - Cashloan"/>
    <x v="1"/>
    <x v="9"/>
    <x v="91"/>
    <n v="265187908930"/>
    <n v="13122834466"/>
    <n v="252065074464"/>
    <n v="9728610374"/>
    <n v="25545929855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x v="0"/>
    <n v="294414851862"/>
  </r>
  <r>
    <x v="0"/>
    <x v="1"/>
    <n v="203122629388"/>
  </r>
  <r>
    <x v="0"/>
    <x v="2"/>
    <n v="252065074464"/>
  </r>
  <r>
    <x v="0"/>
    <x v="3"/>
    <n v="8294394"/>
  </r>
  <r>
    <x v="0"/>
    <x v="4"/>
    <n v="69480875106"/>
  </r>
  <r>
    <x v="0"/>
    <x v="5"/>
    <n v="144317132226"/>
  </r>
  <r>
    <x v="0"/>
    <x v="6"/>
    <n v="28358115388"/>
  </r>
  <r>
    <x v="0"/>
    <x v="7"/>
    <n v="9630000"/>
  </r>
  <r>
    <x v="1"/>
    <x v="4"/>
    <n v="1249099314"/>
  </r>
  <r>
    <x v="1"/>
    <x v="1"/>
    <n v="4759822395"/>
  </r>
  <r>
    <x v="1"/>
    <x v="2"/>
    <n v="7295815497"/>
  </r>
  <r>
    <x v="1"/>
    <x v="0"/>
    <n v="9918665014"/>
  </r>
  <r>
    <x v="1"/>
    <x v="5"/>
    <n v="2262297913"/>
  </r>
  <r>
    <x v="2"/>
    <x v="0"/>
    <n v="3951677877"/>
  </r>
  <r>
    <x v="2"/>
    <x v="5"/>
    <n v="753631097"/>
  </r>
  <r>
    <x v="2"/>
    <x v="1"/>
    <n v="1728253388"/>
  </r>
  <r>
    <x v="2"/>
    <x v="2"/>
    <n v="3422841764"/>
  </r>
  <r>
    <x v="3"/>
    <x v="0"/>
    <n v="2850316031"/>
  </r>
  <r>
    <x v="3"/>
    <x v="2"/>
    <n v="1636938736"/>
  </r>
  <r>
    <x v="3"/>
    <x v="1"/>
    <n v="778788469"/>
  </r>
  <r>
    <x v="4"/>
    <x v="0"/>
    <n v="1174750248"/>
  </r>
  <r>
    <x v="4"/>
    <x v="2"/>
    <n v="767238469"/>
  </r>
  <r>
    <x v="5"/>
    <x v="0"/>
    <n v="1202117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7A4611-0027-EB46-ADA8-FA59386E3E37}"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7:S19" firstHeaderRow="1" firstDataRow="4" firstDataCol="1" rowPageCount="1" colPageCount="1"/>
  <pivotFields count="11">
    <pivotField showAll="0"/>
    <pivotField axis="axisPage" multipleItemSelectionAllowed="1" showAll="0">
      <items count="6">
        <item h="1" x="0"/>
        <item x="1"/>
        <item h="1" x="3"/>
        <item h="1" x="4"/>
        <item h="1" x="2"/>
        <item t="default"/>
      </items>
    </pivotField>
    <pivotField axis="axisRow" showAll="0">
      <items count="11">
        <item x="0"/>
        <item x="1"/>
        <item x="2"/>
        <item x="3"/>
        <item x="4"/>
        <item x="6"/>
        <item x="7"/>
        <item x="5"/>
        <item x="8"/>
        <item x="9"/>
        <item t="default"/>
      </items>
    </pivotField>
    <pivotField axis="axisCol"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umFmtId="164" showAll="0"/>
    <pivotField numFmtId="164" showAll="0"/>
    <pivotField numFmtId="164" showAll="0"/>
    <pivotField numFmtId="164" showAll="0"/>
    <pivotField dataField="1" numFmtId="164"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3"/>
    </i>
    <i>
      <x v="4"/>
    </i>
    <i>
      <x v="5"/>
    </i>
    <i>
      <x v="6"/>
    </i>
    <i>
      <x v="7"/>
    </i>
    <i>
      <x v="9"/>
    </i>
    <i t="grand">
      <x/>
    </i>
  </rowItems>
  <colFields count="3">
    <field x="10"/>
    <field x="9"/>
    <field x="3"/>
  </colFields>
  <colItems count="4">
    <i>
      <x v="7"/>
    </i>
    <i>
      <x v="8"/>
    </i>
    <i>
      <x v="9"/>
    </i>
    <i t="grand">
      <x/>
    </i>
  </colItems>
  <pageFields count="1">
    <pageField fld="1" hier="-1"/>
  </pageFields>
  <dataFields count="1">
    <dataField name="Sum of closing_balance_dpd_under10" fld="8" baseField="0" baseItem="0" numFmtId="164"/>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DC4141-7949-D341-B60C-DDD383F01C05}"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8:H45" firstHeaderRow="1" firstDataRow="2" firstDataCol="1"/>
  <pivotFields count="3">
    <pivotField axis="axisRow" showAll="0">
      <items count="7">
        <item x="0"/>
        <item x="1"/>
        <item x="2"/>
        <item x="3"/>
        <item x="4"/>
        <item x="5"/>
        <item t="default"/>
      </items>
    </pivotField>
    <pivotField axis="axisCol" showAll="0">
      <items count="9">
        <item h="1" x="7"/>
        <item h="1" x="3"/>
        <item h="1" x="6"/>
        <item x="4"/>
        <item x="5"/>
        <item x="1"/>
        <item x="2"/>
        <item h="1" x="0"/>
        <item t="default"/>
      </items>
    </pivotField>
    <pivotField dataField="1" showAll="0"/>
  </pivotFields>
  <rowFields count="1">
    <field x="0"/>
  </rowFields>
  <rowItems count="6">
    <i>
      <x/>
    </i>
    <i>
      <x v="1"/>
    </i>
    <i>
      <x v="2"/>
    </i>
    <i>
      <x v="3"/>
    </i>
    <i>
      <x v="4"/>
    </i>
    <i t="grand">
      <x/>
    </i>
  </rowItems>
  <colFields count="1">
    <field x="1"/>
  </colFields>
  <colItems count="5">
    <i>
      <x v="3"/>
    </i>
    <i>
      <x v="4"/>
    </i>
    <i>
      <x v="5"/>
    </i>
    <i>
      <x v="6"/>
    </i>
    <i t="grand">
      <x/>
    </i>
  </colItems>
  <dataFields count="1">
    <dataField name="Sum of principal_balance_at_report_month"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B56F2-D4BB-584E-AB31-E1BB66EB4D63}">
  <dimension ref="A1:U2246"/>
  <sheetViews>
    <sheetView tabSelected="1" topLeftCell="M13" workbookViewId="0">
      <selection activeCell="N30" sqref="N30"/>
    </sheetView>
  </sheetViews>
  <sheetFormatPr baseColWidth="10" defaultColWidth="8.83203125" defaultRowHeight="15" x14ac:dyDescent="0.2"/>
  <cols>
    <col min="1" max="1" width="19.5" style="4" customWidth="1"/>
    <col min="2" max="2" width="11.5" style="4" customWidth="1"/>
    <col min="3" max="3" width="10.5" style="4" customWidth="1"/>
    <col min="4" max="4" width="18.5" style="4" customWidth="1"/>
    <col min="5" max="5" width="19.83203125" style="4" bestFit="1" customWidth="1"/>
    <col min="6" max="6" width="18.33203125" style="4" bestFit="1" customWidth="1"/>
    <col min="7" max="7" width="19.83203125" style="4" bestFit="1" customWidth="1"/>
    <col min="8" max="8" width="18.33203125" style="4" bestFit="1" customWidth="1"/>
    <col min="9" max="9" width="19.83203125" style="4" bestFit="1" customWidth="1"/>
    <col min="10" max="14" width="8.83203125" style="4"/>
    <col min="15" max="15" width="33.5" style="4" bestFit="1" customWidth="1"/>
    <col min="16" max="17" width="18.5" style="4" bestFit="1" customWidth="1"/>
    <col min="18" max="19" width="19.5" style="4" bestFit="1" customWidth="1"/>
    <col min="20" max="107" width="17.5" style="4" bestFit="1" customWidth="1"/>
    <col min="108" max="108" width="19.5" style="4" bestFit="1" customWidth="1"/>
    <col min="109" max="16384" width="8.83203125" style="4"/>
  </cols>
  <sheetData>
    <row r="1" spans="1:19" ht="44" thickBot="1" x14ac:dyDescent="0.25">
      <c r="A1" s="1" t="s">
        <v>0</v>
      </c>
      <c r="B1" s="1" t="s">
        <v>1</v>
      </c>
      <c r="C1" s="1" t="s">
        <v>2</v>
      </c>
      <c r="D1" s="1" t="s">
        <v>3</v>
      </c>
      <c r="E1" s="2" t="s">
        <v>4</v>
      </c>
      <c r="F1" s="2" t="s">
        <v>5</v>
      </c>
      <c r="G1" s="2" t="s">
        <v>6</v>
      </c>
      <c r="H1" s="2" t="s">
        <v>7</v>
      </c>
      <c r="I1" s="3" t="s">
        <v>8</v>
      </c>
    </row>
    <row r="2" spans="1:19" ht="12" customHeight="1" thickBot="1" x14ac:dyDescent="0.25">
      <c r="A2" s="1" t="s">
        <v>9</v>
      </c>
      <c r="B2" s="1" t="s">
        <v>10</v>
      </c>
      <c r="C2" s="1" t="s">
        <v>11</v>
      </c>
      <c r="D2" s="5">
        <v>45839</v>
      </c>
      <c r="E2" s="6">
        <v>0</v>
      </c>
      <c r="F2" s="6">
        <v>0</v>
      </c>
      <c r="G2" s="6">
        <v>0</v>
      </c>
      <c r="H2" s="6">
        <v>0</v>
      </c>
      <c r="I2" s="7">
        <v>0</v>
      </c>
    </row>
    <row r="3" spans="1:19" ht="12" customHeight="1" thickBot="1" x14ac:dyDescent="0.25">
      <c r="A3" s="1" t="s">
        <v>9</v>
      </c>
      <c r="B3" s="1" t="s">
        <v>10</v>
      </c>
      <c r="C3" s="1" t="s">
        <v>11</v>
      </c>
      <c r="D3" s="5">
        <v>45840</v>
      </c>
      <c r="E3" s="6">
        <v>0</v>
      </c>
      <c r="F3" s="6">
        <v>0</v>
      </c>
      <c r="G3" s="6">
        <v>0</v>
      </c>
      <c r="H3" s="6">
        <v>0</v>
      </c>
      <c r="I3" s="7">
        <v>0</v>
      </c>
    </row>
    <row r="4" spans="1:19" ht="12" customHeight="1" thickBot="1" x14ac:dyDescent="0.25">
      <c r="A4" s="1" t="s">
        <v>9</v>
      </c>
      <c r="B4" s="1" t="s">
        <v>10</v>
      </c>
      <c r="C4" s="1" t="s">
        <v>11</v>
      </c>
      <c r="D4" s="5">
        <v>45841</v>
      </c>
      <c r="E4" s="6">
        <v>0</v>
      </c>
      <c r="F4" s="6">
        <v>0</v>
      </c>
      <c r="G4" s="6">
        <v>0</v>
      </c>
      <c r="H4" s="6">
        <v>0</v>
      </c>
      <c r="I4" s="7">
        <v>0</v>
      </c>
    </row>
    <row r="5" spans="1:19" ht="12" customHeight="1" thickBot="1" x14ac:dyDescent="0.25">
      <c r="A5" s="1" t="s">
        <v>9</v>
      </c>
      <c r="B5" s="1" t="s">
        <v>10</v>
      </c>
      <c r="C5" s="1" t="s">
        <v>11</v>
      </c>
      <c r="D5" s="5">
        <v>45842</v>
      </c>
      <c r="E5" s="6">
        <v>0</v>
      </c>
      <c r="F5" s="6">
        <v>0</v>
      </c>
      <c r="G5" s="6">
        <v>0</v>
      </c>
      <c r="H5" s="6">
        <v>0</v>
      </c>
      <c r="I5" s="7">
        <v>0</v>
      </c>
      <c r="O5" s="8" t="s">
        <v>1</v>
      </c>
      <c r="P5" s="8" t="s">
        <v>12</v>
      </c>
    </row>
    <row r="6" spans="1:19" ht="12" customHeight="1" thickBot="1" x14ac:dyDescent="0.25">
      <c r="A6" s="1" t="s">
        <v>9</v>
      </c>
      <c r="B6" s="1" t="s">
        <v>10</v>
      </c>
      <c r="C6" s="1" t="s">
        <v>11</v>
      </c>
      <c r="D6" s="5">
        <v>45843</v>
      </c>
      <c r="E6" s="6">
        <v>0</v>
      </c>
      <c r="F6" s="6">
        <v>0</v>
      </c>
      <c r="G6" s="6">
        <v>0</v>
      </c>
      <c r="H6" s="6">
        <v>0</v>
      </c>
      <c r="I6" s="7">
        <v>0</v>
      </c>
    </row>
    <row r="7" spans="1:19" ht="12" customHeight="1" thickBot="1" x14ac:dyDescent="0.25">
      <c r="A7" s="1" t="s">
        <v>9</v>
      </c>
      <c r="B7" s="1" t="s">
        <v>10</v>
      </c>
      <c r="C7" s="1" t="s">
        <v>11</v>
      </c>
      <c r="D7" s="5">
        <v>45844</v>
      </c>
      <c r="E7" s="6">
        <v>0</v>
      </c>
      <c r="F7" s="6">
        <v>0</v>
      </c>
      <c r="G7" s="6">
        <v>0</v>
      </c>
      <c r="H7" s="6">
        <v>0</v>
      </c>
      <c r="I7" s="7">
        <v>0</v>
      </c>
      <c r="O7" s="9" t="s">
        <v>13</v>
      </c>
      <c r="P7" s="9" t="s">
        <v>14</v>
      </c>
      <c r="Q7" s="10"/>
      <c r="R7" s="10"/>
      <c r="S7" s="11"/>
    </row>
    <row r="8" spans="1:19" ht="12" customHeight="1" thickBot="1" x14ac:dyDescent="0.25">
      <c r="A8" s="1" t="s">
        <v>9</v>
      </c>
      <c r="B8" s="1" t="s">
        <v>10</v>
      </c>
      <c r="C8" s="1" t="s">
        <v>11</v>
      </c>
      <c r="D8" s="5">
        <v>45845</v>
      </c>
      <c r="E8" s="6">
        <v>0</v>
      </c>
      <c r="F8" s="6">
        <v>0</v>
      </c>
      <c r="G8" s="6">
        <v>0</v>
      </c>
      <c r="H8" s="6">
        <v>0</v>
      </c>
      <c r="I8" s="7">
        <v>0</v>
      </c>
      <c r="O8" s="12"/>
      <c r="P8" s="9" t="s">
        <v>15</v>
      </c>
      <c r="Q8" s="9" t="s">
        <v>16</v>
      </c>
      <c r="R8" s="9" t="s">
        <v>17</v>
      </c>
      <c r="S8" s="13" t="s">
        <v>18</v>
      </c>
    </row>
    <row r="9" spans="1:19" ht="12" customHeight="1" thickBot="1" x14ac:dyDescent="0.25">
      <c r="A9" s="1" t="s">
        <v>9</v>
      </c>
      <c r="B9" s="1" t="s">
        <v>10</v>
      </c>
      <c r="C9" s="1" t="s">
        <v>11</v>
      </c>
      <c r="D9" s="5">
        <v>45846</v>
      </c>
      <c r="E9" s="6">
        <v>0</v>
      </c>
      <c r="F9" s="6">
        <v>0</v>
      </c>
      <c r="G9" s="6">
        <v>0</v>
      </c>
      <c r="H9" s="6">
        <v>0</v>
      </c>
      <c r="I9" s="7">
        <v>0</v>
      </c>
      <c r="O9" s="12"/>
      <c r="P9" s="12"/>
      <c r="Q9" s="12"/>
      <c r="R9" s="12"/>
      <c r="S9" s="14"/>
    </row>
    <row r="10" spans="1:19" ht="12" customHeight="1" thickBot="1" x14ac:dyDescent="0.25">
      <c r="A10" s="1" t="s">
        <v>9</v>
      </c>
      <c r="B10" s="1" t="s">
        <v>10</v>
      </c>
      <c r="C10" s="1" t="s">
        <v>11</v>
      </c>
      <c r="D10" s="5">
        <v>45847</v>
      </c>
      <c r="E10" s="6">
        <v>0</v>
      </c>
      <c r="F10" s="6">
        <v>0</v>
      </c>
      <c r="G10" s="6">
        <v>0</v>
      </c>
      <c r="H10" s="6">
        <v>0</v>
      </c>
      <c r="I10" s="7">
        <v>0</v>
      </c>
      <c r="O10" s="9" t="s">
        <v>19</v>
      </c>
      <c r="P10" s="12"/>
      <c r="Q10" s="12"/>
      <c r="R10" s="12"/>
      <c r="S10" s="14"/>
    </row>
    <row r="11" spans="1:19" ht="12" customHeight="1" thickBot="1" x14ac:dyDescent="0.25">
      <c r="A11" s="1" t="s">
        <v>9</v>
      </c>
      <c r="B11" s="1" t="s">
        <v>10</v>
      </c>
      <c r="C11" s="1" t="s">
        <v>11</v>
      </c>
      <c r="D11" s="5">
        <v>45848</v>
      </c>
      <c r="E11" s="6">
        <v>0</v>
      </c>
      <c r="F11" s="6">
        <v>0</v>
      </c>
      <c r="G11" s="6">
        <v>0</v>
      </c>
      <c r="H11" s="6">
        <v>0</v>
      </c>
      <c r="I11" s="7">
        <v>0</v>
      </c>
      <c r="O11" s="15" t="s">
        <v>11</v>
      </c>
      <c r="P11" s="16">
        <v>170179815390</v>
      </c>
      <c r="Q11" s="16">
        <v>140268239545</v>
      </c>
      <c r="R11" s="16">
        <v>112615949748</v>
      </c>
      <c r="S11" s="17">
        <v>423064004683</v>
      </c>
    </row>
    <row r="12" spans="1:19" ht="12" customHeight="1" thickBot="1" x14ac:dyDescent="0.25">
      <c r="A12" s="1" t="s">
        <v>9</v>
      </c>
      <c r="B12" s="1" t="s">
        <v>10</v>
      </c>
      <c r="C12" s="1" t="s">
        <v>11</v>
      </c>
      <c r="D12" s="5">
        <v>45849</v>
      </c>
      <c r="E12" s="6">
        <v>0</v>
      </c>
      <c r="F12" s="6">
        <v>0</v>
      </c>
      <c r="G12" s="6">
        <v>0</v>
      </c>
      <c r="H12" s="6">
        <v>0</v>
      </c>
      <c r="I12" s="7">
        <v>0</v>
      </c>
      <c r="O12" s="18" t="s">
        <v>20</v>
      </c>
      <c r="P12" s="19">
        <v>32022506029594</v>
      </c>
      <c r="Q12" s="19">
        <v>36743192910881</v>
      </c>
      <c r="R12" s="19">
        <v>41010445577689</v>
      </c>
      <c r="S12" s="20">
        <v>109776144518164</v>
      </c>
    </row>
    <row r="13" spans="1:19" ht="12" customHeight="1" thickBot="1" x14ac:dyDescent="0.25">
      <c r="A13" s="1" t="s">
        <v>9</v>
      </c>
      <c r="B13" s="1" t="s">
        <v>10</v>
      </c>
      <c r="C13" s="1" t="s">
        <v>11</v>
      </c>
      <c r="D13" s="5">
        <v>45850</v>
      </c>
      <c r="E13" s="6">
        <v>0</v>
      </c>
      <c r="F13" s="6">
        <v>0</v>
      </c>
      <c r="G13" s="6">
        <v>0</v>
      </c>
      <c r="H13" s="6">
        <v>0</v>
      </c>
      <c r="I13" s="7">
        <v>0</v>
      </c>
      <c r="O13" s="18" t="s">
        <v>21</v>
      </c>
      <c r="P13" s="19">
        <v>4698496703097</v>
      </c>
      <c r="Q13" s="19">
        <v>5972450288857</v>
      </c>
      <c r="R13" s="19">
        <v>7508268877050</v>
      </c>
      <c r="S13" s="20">
        <v>18179215869004</v>
      </c>
    </row>
    <row r="14" spans="1:19" ht="12" customHeight="1" thickBot="1" x14ac:dyDescent="0.25">
      <c r="A14" s="1" t="s">
        <v>9</v>
      </c>
      <c r="B14" s="1" t="s">
        <v>10</v>
      </c>
      <c r="C14" s="1" t="s">
        <v>11</v>
      </c>
      <c r="D14" s="5">
        <v>45851</v>
      </c>
      <c r="E14" s="6">
        <v>0</v>
      </c>
      <c r="F14" s="6">
        <v>0</v>
      </c>
      <c r="G14" s="6">
        <v>0</v>
      </c>
      <c r="H14" s="6">
        <v>0</v>
      </c>
      <c r="I14" s="7">
        <v>0</v>
      </c>
      <c r="O14" s="18" t="s">
        <v>22</v>
      </c>
      <c r="P14" s="19">
        <v>469139173426</v>
      </c>
      <c r="Q14" s="19">
        <v>394181683617</v>
      </c>
      <c r="R14" s="19">
        <v>324147875998</v>
      </c>
      <c r="S14" s="20">
        <v>1187468733041</v>
      </c>
    </row>
    <row r="15" spans="1:19" ht="12" customHeight="1" thickBot="1" x14ac:dyDescent="0.25">
      <c r="A15" s="1" t="s">
        <v>9</v>
      </c>
      <c r="B15" s="1" t="s">
        <v>10</v>
      </c>
      <c r="C15" s="1" t="s">
        <v>11</v>
      </c>
      <c r="D15" s="5">
        <v>45852</v>
      </c>
      <c r="E15" s="6">
        <v>0</v>
      </c>
      <c r="F15" s="6">
        <v>0</v>
      </c>
      <c r="G15" s="6">
        <v>0</v>
      </c>
      <c r="H15" s="6">
        <v>0</v>
      </c>
      <c r="I15" s="7">
        <v>0</v>
      </c>
      <c r="O15" s="18" t="s">
        <v>23</v>
      </c>
      <c r="P15" s="19">
        <v>35304282404241</v>
      </c>
      <c r="Q15" s="19">
        <v>38988498527615</v>
      </c>
      <c r="R15" s="19">
        <v>42211543513670</v>
      </c>
      <c r="S15" s="20">
        <v>116504324445526</v>
      </c>
    </row>
    <row r="16" spans="1:19" ht="12" customHeight="1" thickBot="1" x14ac:dyDescent="0.25">
      <c r="A16" s="1" t="s">
        <v>9</v>
      </c>
      <c r="B16" s="1" t="s">
        <v>10</v>
      </c>
      <c r="C16" s="1" t="s">
        <v>11</v>
      </c>
      <c r="D16" s="5">
        <v>45853</v>
      </c>
      <c r="E16" s="6">
        <v>0</v>
      </c>
      <c r="F16" s="6">
        <v>0</v>
      </c>
      <c r="G16" s="6">
        <v>0</v>
      </c>
      <c r="H16" s="6">
        <v>0</v>
      </c>
      <c r="I16" s="7">
        <v>0</v>
      </c>
      <c r="O16" s="18" t="s">
        <v>24</v>
      </c>
      <c r="P16" s="19">
        <v>2095037806093</v>
      </c>
      <c r="Q16" s="19">
        <v>2230103452703</v>
      </c>
      <c r="R16" s="19">
        <v>2307997283046</v>
      </c>
      <c r="S16" s="20">
        <v>6633138541842</v>
      </c>
    </row>
    <row r="17" spans="1:21" ht="12" customHeight="1" thickBot="1" x14ac:dyDescent="0.25">
      <c r="A17" s="1" t="s">
        <v>9</v>
      </c>
      <c r="B17" s="1" t="s">
        <v>10</v>
      </c>
      <c r="C17" s="1" t="s">
        <v>11</v>
      </c>
      <c r="D17" s="5">
        <v>45854</v>
      </c>
      <c r="E17" s="6">
        <v>0</v>
      </c>
      <c r="F17" s="6">
        <v>0</v>
      </c>
      <c r="G17" s="6">
        <v>0</v>
      </c>
      <c r="H17" s="6">
        <v>0</v>
      </c>
      <c r="I17" s="7">
        <v>0</v>
      </c>
      <c r="O17" s="18" t="s">
        <v>25</v>
      </c>
      <c r="P17" s="19">
        <v>29336097917</v>
      </c>
      <c r="Q17" s="19">
        <v>46333290385</v>
      </c>
      <c r="R17" s="19">
        <v>80785915191</v>
      </c>
      <c r="S17" s="20">
        <v>156455303493</v>
      </c>
    </row>
    <row r="18" spans="1:21" ht="12" customHeight="1" thickBot="1" x14ac:dyDescent="0.25">
      <c r="A18" s="1" t="s">
        <v>9</v>
      </c>
      <c r="B18" s="1" t="s">
        <v>10</v>
      </c>
      <c r="C18" s="1" t="s">
        <v>11</v>
      </c>
      <c r="D18" s="5">
        <v>45855</v>
      </c>
      <c r="E18" s="6">
        <v>0</v>
      </c>
      <c r="F18" s="6">
        <v>0</v>
      </c>
      <c r="G18" s="6">
        <v>0</v>
      </c>
      <c r="H18" s="6">
        <v>0</v>
      </c>
      <c r="I18" s="7">
        <v>0</v>
      </c>
      <c r="O18" s="18" t="s">
        <v>26</v>
      </c>
      <c r="P18" s="19">
        <v>3647612718340</v>
      </c>
      <c r="Q18" s="19">
        <v>5740120555825</v>
      </c>
      <c r="R18" s="19">
        <v>7034090294910</v>
      </c>
      <c r="S18" s="20">
        <v>16421823569075</v>
      </c>
    </row>
    <row r="19" spans="1:21" ht="12" customHeight="1" thickBot="1" x14ac:dyDescent="0.25">
      <c r="A19" s="1" t="s">
        <v>9</v>
      </c>
      <c r="B19" s="1" t="s">
        <v>10</v>
      </c>
      <c r="C19" s="1" t="s">
        <v>11</v>
      </c>
      <c r="D19" s="5">
        <v>45856</v>
      </c>
      <c r="E19" s="6">
        <v>0</v>
      </c>
      <c r="F19" s="6">
        <v>0</v>
      </c>
      <c r="G19" s="6">
        <v>0</v>
      </c>
      <c r="H19" s="6">
        <v>0</v>
      </c>
      <c r="I19" s="7">
        <v>0</v>
      </c>
      <c r="O19" s="21" t="s">
        <v>18</v>
      </c>
      <c r="P19" s="22">
        <v>78436590748098</v>
      </c>
      <c r="Q19" s="22">
        <v>90255148949428</v>
      </c>
      <c r="R19" s="22">
        <v>100589895287302</v>
      </c>
      <c r="S19" s="23">
        <v>269281634984828</v>
      </c>
    </row>
    <row r="20" spans="1:21" ht="12" customHeight="1" thickBot="1" x14ac:dyDescent="0.25">
      <c r="A20" s="1" t="s">
        <v>9</v>
      </c>
      <c r="B20" s="1" t="s">
        <v>10</v>
      </c>
      <c r="C20" s="1" t="s">
        <v>11</v>
      </c>
      <c r="D20" s="5">
        <v>45857</v>
      </c>
      <c r="E20" s="6">
        <v>0</v>
      </c>
      <c r="F20" s="6">
        <v>0</v>
      </c>
      <c r="G20" s="6">
        <v>0</v>
      </c>
      <c r="H20" s="6">
        <v>0</v>
      </c>
      <c r="I20" s="7">
        <v>0</v>
      </c>
    </row>
    <row r="21" spans="1:21" ht="12" customHeight="1" thickBot="1" x14ac:dyDescent="0.25">
      <c r="A21" s="1" t="s">
        <v>9</v>
      </c>
      <c r="B21" s="1" t="s">
        <v>10</v>
      </c>
      <c r="C21" s="1" t="s">
        <v>11</v>
      </c>
      <c r="D21" s="5">
        <v>45858</v>
      </c>
      <c r="E21" s="6">
        <v>0</v>
      </c>
      <c r="F21" s="6">
        <v>0</v>
      </c>
      <c r="G21" s="6">
        <v>0</v>
      </c>
      <c r="H21" s="6">
        <v>0</v>
      </c>
      <c r="I21" s="7">
        <v>0</v>
      </c>
    </row>
    <row r="22" spans="1:21" ht="12" customHeight="1" thickBot="1" x14ac:dyDescent="0.25">
      <c r="A22" s="1" t="s">
        <v>9</v>
      </c>
      <c r="B22" s="1" t="s">
        <v>10</v>
      </c>
      <c r="C22" s="1" t="s">
        <v>11</v>
      </c>
      <c r="D22" s="5">
        <v>45859</v>
      </c>
      <c r="E22" s="6">
        <v>0</v>
      </c>
      <c r="F22" s="6">
        <v>0</v>
      </c>
      <c r="G22" s="6">
        <v>0</v>
      </c>
      <c r="H22" s="6">
        <v>0</v>
      </c>
      <c r="I22" s="7">
        <v>0</v>
      </c>
    </row>
    <row r="23" spans="1:21" ht="12" customHeight="1" thickBot="1" x14ac:dyDescent="0.25">
      <c r="A23" s="1" t="s">
        <v>9</v>
      </c>
      <c r="B23" s="1" t="s">
        <v>10</v>
      </c>
      <c r="C23" s="1" t="s">
        <v>11</v>
      </c>
      <c r="D23" s="5">
        <v>45860</v>
      </c>
      <c r="E23" s="6">
        <v>0</v>
      </c>
      <c r="F23" s="6">
        <v>0</v>
      </c>
      <c r="G23" s="6">
        <v>0</v>
      </c>
      <c r="H23" s="6">
        <v>0</v>
      </c>
      <c r="I23" s="7">
        <v>0</v>
      </c>
    </row>
    <row r="24" spans="1:21" ht="12" customHeight="1" thickBot="1" x14ac:dyDescent="0.25">
      <c r="A24" s="1" t="s">
        <v>9</v>
      </c>
      <c r="B24" s="1" t="s">
        <v>10</v>
      </c>
      <c r="C24" s="1" t="s">
        <v>11</v>
      </c>
      <c r="D24" s="5">
        <v>45861</v>
      </c>
      <c r="E24" s="6">
        <v>0</v>
      </c>
      <c r="F24" s="6">
        <v>0</v>
      </c>
      <c r="G24" s="6">
        <v>0</v>
      </c>
      <c r="H24" s="6">
        <v>0</v>
      </c>
      <c r="I24" s="7">
        <v>0</v>
      </c>
      <c r="T24" s="24" t="s">
        <v>20</v>
      </c>
      <c r="U24" s="25">
        <f>SUM(P29:R29)/GETPIVOTDATA("closing_balance_dpd_under10",$O$7,"Partner","CAKE")*365</f>
        <v>0.47916705730666659</v>
      </c>
    </row>
    <row r="25" spans="1:21" ht="12" customHeight="1" thickBot="1" x14ac:dyDescent="0.25">
      <c r="A25" s="1" t="s">
        <v>9</v>
      </c>
      <c r="B25" s="1" t="s">
        <v>10</v>
      </c>
      <c r="C25" s="1" t="s">
        <v>11</v>
      </c>
      <c r="D25" s="5">
        <v>45862</v>
      </c>
      <c r="E25" s="6">
        <v>0</v>
      </c>
      <c r="F25" s="6">
        <v>0</v>
      </c>
      <c r="G25" s="6">
        <v>0</v>
      </c>
      <c r="H25" s="6">
        <v>0</v>
      </c>
      <c r="I25" s="7">
        <v>0</v>
      </c>
      <c r="M25" s="26" t="s">
        <v>27</v>
      </c>
      <c r="N25" s="26" t="s">
        <v>27</v>
      </c>
      <c r="O25" s="26" t="s">
        <v>23</v>
      </c>
      <c r="P25" s="27">
        <v>48463084122</v>
      </c>
      <c r="Q25" s="27">
        <v>53272770215</v>
      </c>
      <c r="R25" s="27">
        <v>57987623749</v>
      </c>
      <c r="T25" s="24" t="s">
        <v>23</v>
      </c>
      <c r="U25" s="25">
        <f>SUM(P25:R26)/GETPIVOTDATA("closing_balance_dpd_under10",$O$7,"Partner","VDS")*365</f>
        <v>0.50203376211822748</v>
      </c>
    </row>
    <row r="26" spans="1:21" ht="12" customHeight="1" thickBot="1" x14ac:dyDescent="0.25">
      <c r="A26" s="1" t="s">
        <v>9</v>
      </c>
      <c r="B26" s="1" t="s">
        <v>10</v>
      </c>
      <c r="C26" s="1" t="s">
        <v>11</v>
      </c>
      <c r="D26" s="5">
        <v>45863</v>
      </c>
      <c r="E26" s="6">
        <v>0</v>
      </c>
      <c r="F26" s="6">
        <v>0</v>
      </c>
      <c r="G26" s="6">
        <v>0</v>
      </c>
      <c r="H26" s="6">
        <v>0</v>
      </c>
      <c r="I26" s="7">
        <v>0</v>
      </c>
      <c r="M26" s="26" t="s">
        <v>27</v>
      </c>
      <c r="N26" s="26" t="s">
        <v>28</v>
      </c>
      <c r="O26" s="26" t="s">
        <v>23</v>
      </c>
      <c r="P26" s="27">
        <v>180134709</v>
      </c>
      <c r="Q26" s="27">
        <v>177793395</v>
      </c>
      <c r="R26" s="27">
        <v>162715192</v>
      </c>
      <c r="T26" s="24" t="s">
        <v>21</v>
      </c>
      <c r="U26" s="25">
        <f>SUM(P30:R30)/GETPIVOTDATA("closing_balance_dpd_under10",$O$7,"Partner","MWG")*365</f>
        <v>0.49258431798552671</v>
      </c>
    </row>
    <row r="27" spans="1:21" ht="12" customHeight="1" thickBot="1" x14ac:dyDescent="0.25">
      <c r="A27" s="1" t="s">
        <v>9</v>
      </c>
      <c r="B27" s="1" t="s">
        <v>10</v>
      </c>
      <c r="C27" s="1" t="s">
        <v>11</v>
      </c>
      <c r="D27" s="5">
        <v>45864</v>
      </c>
      <c r="E27" s="6">
        <v>0</v>
      </c>
      <c r="F27" s="6">
        <v>0</v>
      </c>
      <c r="G27" s="6">
        <v>0</v>
      </c>
      <c r="H27" s="6">
        <v>0</v>
      </c>
      <c r="I27" s="7">
        <v>0</v>
      </c>
      <c r="M27" s="26" t="s">
        <v>27</v>
      </c>
      <c r="N27" s="26" t="s">
        <v>27</v>
      </c>
      <c r="O27" s="26" t="s">
        <v>11</v>
      </c>
      <c r="P27" s="27">
        <v>208673555</v>
      </c>
      <c r="Q27" s="27">
        <v>170907800</v>
      </c>
      <c r="R27" s="27">
        <v>140807807</v>
      </c>
      <c r="T27" s="24" t="s">
        <v>24</v>
      </c>
      <c r="U27" s="25">
        <f>SUM(P31:R31)/GETPIVOTDATA("closing_balance_dpd_under10",$O$7,"Partner","VNPAY")*365</f>
        <v>0.45651653449697083</v>
      </c>
    </row>
    <row r="28" spans="1:21" ht="12" customHeight="1" thickBot="1" x14ac:dyDescent="0.25">
      <c r="A28" s="1" t="s">
        <v>9</v>
      </c>
      <c r="B28" s="1" t="s">
        <v>10</v>
      </c>
      <c r="C28" s="1" t="s">
        <v>11</v>
      </c>
      <c r="D28" s="5">
        <v>45865</v>
      </c>
      <c r="E28" s="6">
        <v>0</v>
      </c>
      <c r="F28" s="6">
        <v>0</v>
      </c>
      <c r="G28" s="6">
        <v>0</v>
      </c>
      <c r="H28" s="6">
        <v>0</v>
      </c>
      <c r="I28" s="7">
        <v>0</v>
      </c>
      <c r="M28" s="26" t="s">
        <v>27</v>
      </c>
      <c r="N28" s="26" t="s">
        <v>27</v>
      </c>
      <c r="O28" s="26" t="s">
        <v>22</v>
      </c>
      <c r="P28" s="27">
        <v>619417378</v>
      </c>
      <c r="Q28" s="27">
        <v>493982632</v>
      </c>
      <c r="R28" s="27">
        <v>409380520</v>
      </c>
      <c r="T28" s="24" t="s">
        <v>26</v>
      </c>
      <c r="U28" s="25">
        <f>SUM(P32:R32)/GETPIVOTDATA("closing_balance_dpd_under10",$O$7,"Partner","ZALOPAY")*365</f>
        <v>0.51861255751024471</v>
      </c>
    </row>
    <row r="29" spans="1:21" ht="12" customHeight="1" thickBot="1" x14ac:dyDescent="0.25">
      <c r="A29" s="1" t="s">
        <v>9</v>
      </c>
      <c r="B29" s="1" t="s">
        <v>10</v>
      </c>
      <c r="C29" s="1" t="s">
        <v>11</v>
      </c>
      <c r="D29" s="5">
        <v>45866</v>
      </c>
      <c r="E29" s="6">
        <v>0</v>
      </c>
      <c r="F29" s="6">
        <v>0</v>
      </c>
      <c r="G29" s="6">
        <v>0</v>
      </c>
      <c r="H29" s="6">
        <v>0</v>
      </c>
      <c r="I29" s="7">
        <v>0</v>
      </c>
      <c r="M29" s="26" t="s">
        <v>27</v>
      </c>
      <c r="N29" s="26" t="s">
        <v>27</v>
      </c>
      <c r="O29" s="26" t="s">
        <v>20</v>
      </c>
      <c r="P29" s="27">
        <v>42400864409</v>
      </c>
      <c r="Q29" s="27">
        <v>48200259590</v>
      </c>
      <c r="R29" s="27">
        <v>53511511977</v>
      </c>
    </row>
    <row r="30" spans="1:21" ht="12" customHeight="1" thickBot="1" x14ac:dyDescent="0.25">
      <c r="A30" s="1" t="s">
        <v>9</v>
      </c>
      <c r="B30" s="1" t="s">
        <v>10</v>
      </c>
      <c r="C30" s="1" t="s">
        <v>11</v>
      </c>
      <c r="D30" s="5">
        <v>45867</v>
      </c>
      <c r="E30" s="6">
        <v>0</v>
      </c>
      <c r="F30" s="6">
        <v>0</v>
      </c>
      <c r="G30" s="6">
        <v>0</v>
      </c>
      <c r="H30" s="6">
        <v>0</v>
      </c>
      <c r="I30" s="7">
        <v>0</v>
      </c>
      <c r="M30" s="26" t="s">
        <v>27</v>
      </c>
      <c r="N30" s="26" t="s">
        <v>27</v>
      </c>
      <c r="O30" s="26" t="s">
        <v>21</v>
      </c>
      <c r="P30" s="27">
        <v>6378275744</v>
      </c>
      <c r="Q30" s="27">
        <v>8067738498</v>
      </c>
      <c r="R30" s="27">
        <v>10087675211</v>
      </c>
    </row>
    <row r="31" spans="1:21" ht="12" customHeight="1" thickBot="1" x14ac:dyDescent="0.25">
      <c r="A31" s="1" t="s">
        <v>9</v>
      </c>
      <c r="B31" s="1" t="s">
        <v>10</v>
      </c>
      <c r="C31" s="1" t="s">
        <v>11</v>
      </c>
      <c r="D31" s="5">
        <v>45868</v>
      </c>
      <c r="E31" s="6">
        <v>0</v>
      </c>
      <c r="F31" s="6">
        <v>0</v>
      </c>
      <c r="G31" s="6">
        <v>0</v>
      </c>
      <c r="H31" s="6">
        <v>0</v>
      </c>
      <c r="I31" s="7">
        <v>0</v>
      </c>
      <c r="M31" s="26" t="s">
        <v>27</v>
      </c>
      <c r="N31" s="26" t="s">
        <v>27</v>
      </c>
      <c r="O31" s="26" t="s">
        <v>24</v>
      </c>
      <c r="P31" s="27">
        <v>2629288891</v>
      </c>
      <c r="Q31" s="27">
        <v>2780395647</v>
      </c>
      <c r="R31" s="27">
        <v>2886582366</v>
      </c>
    </row>
    <row r="32" spans="1:21" ht="12" customHeight="1" thickBot="1" x14ac:dyDescent="0.25">
      <c r="A32" s="1" t="s">
        <v>9</v>
      </c>
      <c r="B32" s="1" t="s">
        <v>10</v>
      </c>
      <c r="C32" s="1" t="s">
        <v>11</v>
      </c>
      <c r="D32" s="5">
        <v>45869</v>
      </c>
      <c r="E32" s="6">
        <v>0</v>
      </c>
      <c r="F32" s="6">
        <v>0</v>
      </c>
      <c r="G32" s="6">
        <v>0</v>
      </c>
      <c r="H32" s="6">
        <v>0</v>
      </c>
      <c r="I32" s="7">
        <v>0</v>
      </c>
      <c r="M32" s="26" t="s">
        <v>27</v>
      </c>
      <c r="N32" s="26" t="s">
        <v>27</v>
      </c>
      <c r="O32" s="26" t="s">
        <v>26</v>
      </c>
      <c r="P32" s="27">
        <v>5190014930</v>
      </c>
      <c r="Q32" s="27">
        <v>8151740830</v>
      </c>
      <c r="R32" s="27">
        <v>9991296076</v>
      </c>
    </row>
    <row r="33" spans="1:18" ht="12" customHeight="1" thickBot="1" x14ac:dyDescent="0.25">
      <c r="A33" s="1" t="s">
        <v>9</v>
      </c>
      <c r="B33" s="1" t="s">
        <v>10</v>
      </c>
      <c r="C33" s="1" t="s">
        <v>11</v>
      </c>
      <c r="D33" s="5">
        <v>45870</v>
      </c>
      <c r="E33" s="6">
        <v>0</v>
      </c>
      <c r="F33" s="6">
        <v>0</v>
      </c>
      <c r="G33" s="6">
        <v>0</v>
      </c>
      <c r="H33" s="6">
        <v>0</v>
      </c>
      <c r="I33" s="7">
        <v>0</v>
      </c>
      <c r="M33" s="26" t="s">
        <v>27</v>
      </c>
      <c r="N33" s="26" t="s">
        <v>27</v>
      </c>
      <c r="O33" s="26" t="s">
        <v>25</v>
      </c>
      <c r="P33" s="27">
        <v>38874002</v>
      </c>
      <c r="Q33" s="27">
        <v>61536947</v>
      </c>
      <c r="R33" s="27">
        <v>104859015</v>
      </c>
    </row>
    <row r="34" spans="1:18" ht="12" customHeight="1" thickBot="1" x14ac:dyDescent="0.25">
      <c r="A34" s="1" t="s">
        <v>9</v>
      </c>
      <c r="B34" s="1" t="s">
        <v>10</v>
      </c>
      <c r="C34" s="1" t="s">
        <v>11</v>
      </c>
      <c r="D34" s="5">
        <v>45871</v>
      </c>
      <c r="E34" s="6">
        <v>0</v>
      </c>
      <c r="F34" s="6">
        <v>0</v>
      </c>
      <c r="G34" s="6">
        <v>0</v>
      </c>
      <c r="H34" s="6">
        <v>0</v>
      </c>
      <c r="I34" s="7">
        <v>0</v>
      </c>
    </row>
    <row r="35" spans="1:18" ht="12" customHeight="1" thickBot="1" x14ac:dyDescent="0.25">
      <c r="A35" s="1" t="s">
        <v>9</v>
      </c>
      <c r="B35" s="1" t="s">
        <v>10</v>
      </c>
      <c r="C35" s="1" t="s">
        <v>11</v>
      </c>
      <c r="D35" s="5">
        <v>45872</v>
      </c>
      <c r="E35" s="6">
        <v>0</v>
      </c>
      <c r="F35" s="6">
        <v>0</v>
      </c>
      <c r="G35" s="6">
        <v>0</v>
      </c>
      <c r="H35" s="6">
        <v>0</v>
      </c>
      <c r="I35" s="7">
        <v>0</v>
      </c>
    </row>
    <row r="36" spans="1:18" ht="12" customHeight="1" thickBot="1" x14ac:dyDescent="0.25">
      <c r="A36" s="1" t="s">
        <v>9</v>
      </c>
      <c r="B36" s="1" t="s">
        <v>10</v>
      </c>
      <c r="C36" s="1" t="s">
        <v>11</v>
      </c>
      <c r="D36" s="5">
        <v>45873</v>
      </c>
      <c r="E36" s="6">
        <v>0</v>
      </c>
      <c r="F36" s="6">
        <v>0</v>
      </c>
      <c r="G36" s="6">
        <v>0</v>
      </c>
      <c r="H36" s="6">
        <v>0</v>
      </c>
      <c r="I36" s="7">
        <v>0</v>
      </c>
    </row>
    <row r="37" spans="1:18" ht="12" customHeight="1" thickBot="1" x14ac:dyDescent="0.25">
      <c r="A37" s="1" t="s">
        <v>9</v>
      </c>
      <c r="B37" s="1" t="s">
        <v>10</v>
      </c>
      <c r="C37" s="1" t="s">
        <v>11</v>
      </c>
      <c r="D37" s="5">
        <v>45874</v>
      </c>
      <c r="E37" s="6">
        <v>0</v>
      </c>
      <c r="F37" s="6">
        <v>0</v>
      </c>
      <c r="G37" s="6">
        <v>0</v>
      </c>
      <c r="H37" s="6">
        <v>0</v>
      </c>
      <c r="I37" s="7">
        <v>0</v>
      </c>
    </row>
    <row r="38" spans="1:18" ht="12" customHeight="1" thickBot="1" x14ac:dyDescent="0.25">
      <c r="A38" s="1" t="s">
        <v>9</v>
      </c>
      <c r="B38" s="1" t="s">
        <v>10</v>
      </c>
      <c r="C38" s="1" t="s">
        <v>11</v>
      </c>
      <c r="D38" s="5">
        <v>45875</v>
      </c>
      <c r="E38" s="6">
        <v>0</v>
      </c>
      <c r="F38" s="6">
        <v>0</v>
      </c>
      <c r="G38" s="6">
        <v>0</v>
      </c>
      <c r="H38" s="6">
        <v>0</v>
      </c>
      <c r="I38" s="7">
        <v>0</v>
      </c>
    </row>
    <row r="39" spans="1:18" ht="12" customHeight="1" thickBot="1" x14ac:dyDescent="0.25">
      <c r="A39" s="1" t="s">
        <v>9</v>
      </c>
      <c r="B39" s="1" t="s">
        <v>10</v>
      </c>
      <c r="C39" s="1" t="s">
        <v>11</v>
      </c>
      <c r="D39" s="5">
        <v>45876</v>
      </c>
      <c r="E39" s="6">
        <v>0</v>
      </c>
      <c r="F39" s="6">
        <v>0</v>
      </c>
      <c r="G39" s="6">
        <v>0</v>
      </c>
      <c r="H39" s="6">
        <v>0</v>
      </c>
      <c r="I39" s="7">
        <v>0</v>
      </c>
    </row>
    <row r="40" spans="1:18" ht="12" customHeight="1" thickBot="1" x14ac:dyDescent="0.25">
      <c r="A40" s="1" t="s">
        <v>9</v>
      </c>
      <c r="B40" s="1" t="s">
        <v>10</v>
      </c>
      <c r="C40" s="1" t="s">
        <v>11</v>
      </c>
      <c r="D40" s="5">
        <v>45877</v>
      </c>
      <c r="E40" s="6">
        <v>0</v>
      </c>
      <c r="F40" s="6">
        <v>0</v>
      </c>
      <c r="G40" s="6">
        <v>0</v>
      </c>
      <c r="H40" s="6">
        <v>0</v>
      </c>
      <c r="I40" s="7">
        <v>0</v>
      </c>
    </row>
    <row r="41" spans="1:18" ht="12" customHeight="1" thickBot="1" x14ac:dyDescent="0.25">
      <c r="A41" s="1" t="s">
        <v>9</v>
      </c>
      <c r="B41" s="1" t="s">
        <v>10</v>
      </c>
      <c r="C41" s="1" t="s">
        <v>11</v>
      </c>
      <c r="D41" s="5">
        <v>45878</v>
      </c>
      <c r="E41" s="6">
        <v>0</v>
      </c>
      <c r="F41" s="6">
        <v>0</v>
      </c>
      <c r="G41" s="6">
        <v>0</v>
      </c>
      <c r="H41" s="6">
        <v>0</v>
      </c>
      <c r="I41" s="7">
        <v>0</v>
      </c>
    </row>
    <row r="42" spans="1:18" ht="12" customHeight="1" thickBot="1" x14ac:dyDescent="0.25">
      <c r="A42" s="1" t="s">
        <v>9</v>
      </c>
      <c r="B42" s="1" t="s">
        <v>10</v>
      </c>
      <c r="C42" s="1" t="s">
        <v>11</v>
      </c>
      <c r="D42" s="5">
        <v>45879</v>
      </c>
      <c r="E42" s="6">
        <v>0</v>
      </c>
      <c r="F42" s="6">
        <v>0</v>
      </c>
      <c r="G42" s="6">
        <v>0</v>
      </c>
      <c r="H42" s="6">
        <v>0</v>
      </c>
      <c r="I42" s="7">
        <v>0</v>
      </c>
    </row>
    <row r="43" spans="1:18" ht="12" customHeight="1" thickBot="1" x14ac:dyDescent="0.25">
      <c r="A43" s="1" t="s">
        <v>9</v>
      </c>
      <c r="B43" s="1" t="s">
        <v>10</v>
      </c>
      <c r="C43" s="1" t="s">
        <v>11</v>
      </c>
      <c r="D43" s="5">
        <v>45880</v>
      </c>
      <c r="E43" s="6">
        <v>0</v>
      </c>
      <c r="F43" s="6">
        <v>0</v>
      </c>
      <c r="G43" s="6">
        <v>0</v>
      </c>
      <c r="H43" s="6">
        <v>0</v>
      </c>
      <c r="I43" s="7">
        <v>0</v>
      </c>
    </row>
    <row r="44" spans="1:18" ht="12" customHeight="1" thickBot="1" x14ac:dyDescent="0.25">
      <c r="A44" s="1" t="s">
        <v>9</v>
      </c>
      <c r="B44" s="1" t="s">
        <v>10</v>
      </c>
      <c r="C44" s="1" t="s">
        <v>11</v>
      </c>
      <c r="D44" s="5">
        <v>45881</v>
      </c>
      <c r="E44" s="6">
        <v>0</v>
      </c>
      <c r="F44" s="6">
        <v>0</v>
      </c>
      <c r="G44" s="6">
        <v>0</v>
      </c>
      <c r="H44" s="6">
        <v>0</v>
      </c>
      <c r="I44" s="7">
        <v>0</v>
      </c>
    </row>
    <row r="45" spans="1:18" ht="12" customHeight="1" thickBot="1" x14ac:dyDescent="0.25">
      <c r="A45" s="1" t="s">
        <v>9</v>
      </c>
      <c r="B45" s="1" t="s">
        <v>10</v>
      </c>
      <c r="C45" s="1" t="s">
        <v>11</v>
      </c>
      <c r="D45" s="5">
        <v>45882</v>
      </c>
      <c r="E45" s="6">
        <v>0</v>
      </c>
      <c r="F45" s="6">
        <v>0</v>
      </c>
      <c r="G45" s="6">
        <v>0</v>
      </c>
      <c r="H45" s="6">
        <v>0</v>
      </c>
      <c r="I45" s="7">
        <v>0</v>
      </c>
    </row>
    <row r="46" spans="1:18" ht="12" customHeight="1" thickBot="1" x14ac:dyDescent="0.25">
      <c r="A46" s="1" t="s">
        <v>9</v>
      </c>
      <c r="B46" s="1" t="s">
        <v>10</v>
      </c>
      <c r="C46" s="1" t="s">
        <v>11</v>
      </c>
      <c r="D46" s="5">
        <v>45883</v>
      </c>
      <c r="E46" s="6">
        <v>0</v>
      </c>
      <c r="F46" s="6">
        <v>0</v>
      </c>
      <c r="G46" s="6">
        <v>0</v>
      </c>
      <c r="H46" s="6">
        <v>0</v>
      </c>
      <c r="I46" s="7">
        <v>0</v>
      </c>
    </row>
    <row r="47" spans="1:18" ht="12" customHeight="1" thickBot="1" x14ac:dyDescent="0.25">
      <c r="A47" s="1" t="s">
        <v>9</v>
      </c>
      <c r="B47" s="1" t="s">
        <v>10</v>
      </c>
      <c r="C47" s="1" t="s">
        <v>11</v>
      </c>
      <c r="D47" s="5">
        <v>45884</v>
      </c>
      <c r="E47" s="6">
        <v>0</v>
      </c>
      <c r="F47" s="6">
        <v>0</v>
      </c>
      <c r="G47" s="6">
        <v>0</v>
      </c>
      <c r="H47" s="6">
        <v>0</v>
      </c>
      <c r="I47" s="7">
        <v>0</v>
      </c>
    </row>
    <row r="48" spans="1:18" ht="12" customHeight="1" thickBot="1" x14ac:dyDescent="0.25">
      <c r="A48" s="1" t="s">
        <v>9</v>
      </c>
      <c r="B48" s="1" t="s">
        <v>10</v>
      </c>
      <c r="C48" s="1" t="s">
        <v>11</v>
      </c>
      <c r="D48" s="5">
        <v>45885</v>
      </c>
      <c r="E48" s="6">
        <v>0</v>
      </c>
      <c r="F48" s="6">
        <v>0</v>
      </c>
      <c r="G48" s="6">
        <v>0</v>
      </c>
      <c r="H48" s="6">
        <v>0</v>
      </c>
      <c r="I48" s="7">
        <v>0</v>
      </c>
    </row>
    <row r="49" spans="1:9" ht="12" customHeight="1" thickBot="1" x14ac:dyDescent="0.25">
      <c r="A49" s="1" t="s">
        <v>9</v>
      </c>
      <c r="B49" s="1" t="s">
        <v>10</v>
      </c>
      <c r="C49" s="1" t="s">
        <v>11</v>
      </c>
      <c r="D49" s="5">
        <v>45886</v>
      </c>
      <c r="E49" s="6">
        <v>0</v>
      </c>
      <c r="F49" s="6">
        <v>0</v>
      </c>
      <c r="G49" s="6">
        <v>0</v>
      </c>
      <c r="H49" s="6">
        <v>0</v>
      </c>
      <c r="I49" s="7">
        <v>0</v>
      </c>
    </row>
    <row r="50" spans="1:9" ht="12" customHeight="1" thickBot="1" x14ac:dyDescent="0.25">
      <c r="A50" s="1" t="s">
        <v>9</v>
      </c>
      <c r="B50" s="1" t="s">
        <v>10</v>
      </c>
      <c r="C50" s="1" t="s">
        <v>11</v>
      </c>
      <c r="D50" s="5">
        <v>45887</v>
      </c>
      <c r="E50" s="6">
        <v>0</v>
      </c>
      <c r="F50" s="6">
        <v>0</v>
      </c>
      <c r="G50" s="6">
        <v>0</v>
      </c>
      <c r="H50" s="6">
        <v>0</v>
      </c>
      <c r="I50" s="7">
        <v>0</v>
      </c>
    </row>
    <row r="51" spans="1:9" ht="12" customHeight="1" thickBot="1" x14ac:dyDescent="0.25">
      <c r="A51" s="1" t="s">
        <v>9</v>
      </c>
      <c r="B51" s="1" t="s">
        <v>10</v>
      </c>
      <c r="C51" s="1" t="s">
        <v>11</v>
      </c>
      <c r="D51" s="5">
        <v>45888</v>
      </c>
      <c r="E51" s="6">
        <v>0</v>
      </c>
      <c r="F51" s="6">
        <v>0</v>
      </c>
      <c r="G51" s="6">
        <v>0</v>
      </c>
      <c r="H51" s="6">
        <v>0</v>
      </c>
      <c r="I51" s="7">
        <v>0</v>
      </c>
    </row>
    <row r="52" spans="1:9" ht="12" customHeight="1" thickBot="1" x14ac:dyDescent="0.25">
      <c r="A52" s="1" t="s">
        <v>9</v>
      </c>
      <c r="B52" s="1" t="s">
        <v>10</v>
      </c>
      <c r="C52" s="1" t="s">
        <v>11</v>
      </c>
      <c r="D52" s="5">
        <v>45889</v>
      </c>
      <c r="E52" s="6">
        <v>0</v>
      </c>
      <c r="F52" s="6">
        <v>0</v>
      </c>
      <c r="G52" s="6">
        <v>0</v>
      </c>
      <c r="H52" s="6">
        <v>0</v>
      </c>
      <c r="I52" s="7">
        <v>0</v>
      </c>
    </row>
    <row r="53" spans="1:9" ht="12" customHeight="1" thickBot="1" x14ac:dyDescent="0.25">
      <c r="A53" s="1" t="s">
        <v>9</v>
      </c>
      <c r="B53" s="1" t="s">
        <v>10</v>
      </c>
      <c r="C53" s="1" t="s">
        <v>11</v>
      </c>
      <c r="D53" s="5">
        <v>45890</v>
      </c>
      <c r="E53" s="6">
        <v>0</v>
      </c>
      <c r="F53" s="6">
        <v>0</v>
      </c>
      <c r="G53" s="6">
        <v>0</v>
      </c>
      <c r="H53" s="6">
        <v>0</v>
      </c>
      <c r="I53" s="7">
        <v>0</v>
      </c>
    </row>
    <row r="54" spans="1:9" ht="12" customHeight="1" thickBot="1" x14ac:dyDescent="0.25">
      <c r="A54" s="1" t="s">
        <v>9</v>
      </c>
      <c r="B54" s="1" t="s">
        <v>10</v>
      </c>
      <c r="C54" s="1" t="s">
        <v>11</v>
      </c>
      <c r="D54" s="5">
        <v>45891</v>
      </c>
      <c r="E54" s="6">
        <v>0</v>
      </c>
      <c r="F54" s="6">
        <v>0</v>
      </c>
      <c r="G54" s="6">
        <v>0</v>
      </c>
      <c r="H54" s="6">
        <v>0</v>
      </c>
      <c r="I54" s="7">
        <v>0</v>
      </c>
    </row>
    <row r="55" spans="1:9" ht="12" customHeight="1" thickBot="1" x14ac:dyDescent="0.25">
      <c r="A55" s="1" t="s">
        <v>9</v>
      </c>
      <c r="B55" s="1" t="s">
        <v>10</v>
      </c>
      <c r="C55" s="1" t="s">
        <v>11</v>
      </c>
      <c r="D55" s="5">
        <v>45892</v>
      </c>
      <c r="E55" s="6">
        <v>0</v>
      </c>
      <c r="F55" s="6">
        <v>0</v>
      </c>
      <c r="G55" s="6">
        <v>0</v>
      </c>
      <c r="H55" s="6">
        <v>0</v>
      </c>
      <c r="I55" s="7">
        <v>0</v>
      </c>
    </row>
    <row r="56" spans="1:9" ht="12" customHeight="1" thickBot="1" x14ac:dyDescent="0.25">
      <c r="A56" s="1" t="s">
        <v>9</v>
      </c>
      <c r="B56" s="1" t="s">
        <v>10</v>
      </c>
      <c r="C56" s="1" t="s">
        <v>11</v>
      </c>
      <c r="D56" s="5">
        <v>45893</v>
      </c>
      <c r="E56" s="6">
        <v>0</v>
      </c>
      <c r="F56" s="6">
        <v>0</v>
      </c>
      <c r="G56" s="6">
        <v>0</v>
      </c>
      <c r="H56" s="6">
        <v>0</v>
      </c>
      <c r="I56" s="7">
        <v>0</v>
      </c>
    </row>
    <row r="57" spans="1:9" ht="12" customHeight="1" thickBot="1" x14ac:dyDescent="0.25">
      <c r="A57" s="1" t="s">
        <v>9</v>
      </c>
      <c r="B57" s="1" t="s">
        <v>10</v>
      </c>
      <c r="C57" s="1" t="s">
        <v>11</v>
      </c>
      <c r="D57" s="5">
        <v>45894</v>
      </c>
      <c r="E57" s="6">
        <v>0</v>
      </c>
      <c r="F57" s="6">
        <v>0</v>
      </c>
      <c r="G57" s="6">
        <v>0</v>
      </c>
      <c r="H57" s="6">
        <v>0</v>
      </c>
      <c r="I57" s="7">
        <v>0</v>
      </c>
    </row>
    <row r="58" spans="1:9" ht="12" customHeight="1" thickBot="1" x14ac:dyDescent="0.25">
      <c r="A58" s="1" t="s">
        <v>9</v>
      </c>
      <c r="B58" s="1" t="s">
        <v>10</v>
      </c>
      <c r="C58" s="1" t="s">
        <v>11</v>
      </c>
      <c r="D58" s="5">
        <v>45895</v>
      </c>
      <c r="E58" s="6">
        <v>0</v>
      </c>
      <c r="F58" s="6">
        <v>0</v>
      </c>
      <c r="G58" s="6">
        <v>0</v>
      </c>
      <c r="H58" s="6">
        <v>0</v>
      </c>
      <c r="I58" s="7">
        <v>0</v>
      </c>
    </row>
    <row r="59" spans="1:9" ht="12" customHeight="1" thickBot="1" x14ac:dyDescent="0.25">
      <c r="A59" s="1" t="s">
        <v>9</v>
      </c>
      <c r="B59" s="1" t="s">
        <v>10</v>
      </c>
      <c r="C59" s="1" t="s">
        <v>11</v>
      </c>
      <c r="D59" s="5">
        <v>45896</v>
      </c>
      <c r="E59" s="6">
        <v>0</v>
      </c>
      <c r="F59" s="6">
        <v>0</v>
      </c>
      <c r="G59" s="6">
        <v>0</v>
      </c>
      <c r="H59" s="6">
        <v>0</v>
      </c>
      <c r="I59" s="7">
        <v>0</v>
      </c>
    </row>
    <row r="60" spans="1:9" ht="12" customHeight="1" thickBot="1" x14ac:dyDescent="0.25">
      <c r="A60" s="1" t="s">
        <v>9</v>
      </c>
      <c r="B60" s="1" t="s">
        <v>10</v>
      </c>
      <c r="C60" s="1" t="s">
        <v>11</v>
      </c>
      <c r="D60" s="5">
        <v>45897</v>
      </c>
      <c r="E60" s="6">
        <v>0</v>
      </c>
      <c r="F60" s="6">
        <v>0</v>
      </c>
      <c r="G60" s="6">
        <v>0</v>
      </c>
      <c r="H60" s="6">
        <v>0</v>
      </c>
      <c r="I60" s="7">
        <v>0</v>
      </c>
    </row>
    <row r="61" spans="1:9" ht="12" customHeight="1" thickBot="1" x14ac:dyDescent="0.25">
      <c r="A61" s="1" t="s">
        <v>9</v>
      </c>
      <c r="B61" s="1" t="s">
        <v>10</v>
      </c>
      <c r="C61" s="1" t="s">
        <v>11</v>
      </c>
      <c r="D61" s="5">
        <v>45898</v>
      </c>
      <c r="E61" s="6">
        <v>0</v>
      </c>
      <c r="F61" s="6">
        <v>0</v>
      </c>
      <c r="G61" s="6">
        <v>0</v>
      </c>
      <c r="H61" s="6">
        <v>0</v>
      </c>
      <c r="I61" s="7">
        <v>0</v>
      </c>
    </row>
    <row r="62" spans="1:9" ht="12" customHeight="1" thickBot="1" x14ac:dyDescent="0.25">
      <c r="A62" s="1" t="s">
        <v>9</v>
      </c>
      <c r="B62" s="1" t="s">
        <v>10</v>
      </c>
      <c r="C62" s="1" t="s">
        <v>11</v>
      </c>
      <c r="D62" s="5">
        <v>45899</v>
      </c>
      <c r="E62" s="6">
        <v>0</v>
      </c>
      <c r="F62" s="6">
        <v>0</v>
      </c>
      <c r="G62" s="6">
        <v>0</v>
      </c>
      <c r="H62" s="6">
        <v>0</v>
      </c>
      <c r="I62" s="7">
        <v>0</v>
      </c>
    </row>
    <row r="63" spans="1:9" ht="12" customHeight="1" thickBot="1" x14ac:dyDescent="0.25">
      <c r="A63" s="1" t="s">
        <v>9</v>
      </c>
      <c r="B63" s="1" t="s">
        <v>10</v>
      </c>
      <c r="C63" s="1" t="s">
        <v>11</v>
      </c>
      <c r="D63" s="5">
        <v>45900</v>
      </c>
      <c r="E63" s="6">
        <v>0</v>
      </c>
      <c r="F63" s="6">
        <v>0</v>
      </c>
      <c r="G63" s="6">
        <v>0</v>
      </c>
      <c r="H63" s="6">
        <v>0</v>
      </c>
      <c r="I63" s="7">
        <v>0</v>
      </c>
    </row>
    <row r="64" spans="1:9" ht="12" customHeight="1" thickBot="1" x14ac:dyDescent="0.25">
      <c r="A64" s="1" t="s">
        <v>9</v>
      </c>
      <c r="B64" s="1" t="s">
        <v>10</v>
      </c>
      <c r="C64" s="1" t="s">
        <v>11</v>
      </c>
      <c r="D64" s="5">
        <v>45901</v>
      </c>
      <c r="E64" s="6">
        <v>0</v>
      </c>
      <c r="F64" s="6">
        <v>0</v>
      </c>
      <c r="G64" s="6">
        <v>0</v>
      </c>
      <c r="H64" s="6">
        <v>0</v>
      </c>
      <c r="I64" s="7">
        <v>0</v>
      </c>
    </row>
    <row r="65" spans="1:9" ht="12" customHeight="1" thickBot="1" x14ac:dyDescent="0.25">
      <c r="A65" s="1" t="s">
        <v>9</v>
      </c>
      <c r="B65" s="1" t="s">
        <v>10</v>
      </c>
      <c r="C65" s="1" t="s">
        <v>11</v>
      </c>
      <c r="D65" s="5">
        <v>45902</v>
      </c>
      <c r="E65" s="6">
        <v>0</v>
      </c>
      <c r="F65" s="6">
        <v>0</v>
      </c>
      <c r="G65" s="6">
        <v>0</v>
      </c>
      <c r="H65" s="6">
        <v>0</v>
      </c>
      <c r="I65" s="7">
        <v>0</v>
      </c>
    </row>
    <row r="66" spans="1:9" ht="12" customHeight="1" thickBot="1" x14ac:dyDescent="0.25">
      <c r="A66" s="1" t="s">
        <v>9</v>
      </c>
      <c r="B66" s="1" t="s">
        <v>10</v>
      </c>
      <c r="C66" s="1" t="s">
        <v>11</v>
      </c>
      <c r="D66" s="5">
        <v>45903</v>
      </c>
      <c r="E66" s="6">
        <v>0</v>
      </c>
      <c r="F66" s="6">
        <v>0</v>
      </c>
      <c r="G66" s="6">
        <v>0</v>
      </c>
      <c r="H66" s="6">
        <v>0</v>
      </c>
      <c r="I66" s="7">
        <v>0</v>
      </c>
    </row>
    <row r="67" spans="1:9" ht="12" customHeight="1" thickBot="1" x14ac:dyDescent="0.25">
      <c r="A67" s="1" t="s">
        <v>9</v>
      </c>
      <c r="B67" s="1" t="s">
        <v>10</v>
      </c>
      <c r="C67" s="1" t="s">
        <v>11</v>
      </c>
      <c r="D67" s="5">
        <v>45904</v>
      </c>
      <c r="E67" s="6">
        <v>0</v>
      </c>
      <c r="F67" s="6">
        <v>0</v>
      </c>
      <c r="G67" s="6">
        <v>0</v>
      </c>
      <c r="H67" s="6">
        <v>0</v>
      </c>
      <c r="I67" s="7">
        <v>0</v>
      </c>
    </row>
    <row r="68" spans="1:9" ht="12" customHeight="1" thickBot="1" x14ac:dyDescent="0.25">
      <c r="A68" s="1" t="s">
        <v>9</v>
      </c>
      <c r="B68" s="1" t="s">
        <v>10</v>
      </c>
      <c r="C68" s="1" t="s">
        <v>11</v>
      </c>
      <c r="D68" s="5">
        <v>45905</v>
      </c>
      <c r="E68" s="6">
        <v>0</v>
      </c>
      <c r="F68" s="6">
        <v>0</v>
      </c>
      <c r="G68" s="6">
        <v>0</v>
      </c>
      <c r="H68" s="6">
        <v>0</v>
      </c>
      <c r="I68" s="7">
        <v>0</v>
      </c>
    </row>
    <row r="69" spans="1:9" ht="12" customHeight="1" thickBot="1" x14ac:dyDescent="0.25">
      <c r="A69" s="1" t="s">
        <v>9</v>
      </c>
      <c r="B69" s="1" t="s">
        <v>10</v>
      </c>
      <c r="C69" s="1" t="s">
        <v>11</v>
      </c>
      <c r="D69" s="5">
        <v>45906</v>
      </c>
      <c r="E69" s="6">
        <v>0</v>
      </c>
      <c r="F69" s="6">
        <v>0</v>
      </c>
      <c r="G69" s="6">
        <v>0</v>
      </c>
      <c r="H69" s="6">
        <v>0</v>
      </c>
      <c r="I69" s="7">
        <v>0</v>
      </c>
    </row>
    <row r="70" spans="1:9" ht="12" customHeight="1" thickBot="1" x14ac:dyDescent="0.25">
      <c r="A70" s="1" t="s">
        <v>9</v>
      </c>
      <c r="B70" s="1" t="s">
        <v>10</v>
      </c>
      <c r="C70" s="1" t="s">
        <v>11</v>
      </c>
      <c r="D70" s="5">
        <v>45907</v>
      </c>
      <c r="E70" s="6">
        <v>0</v>
      </c>
      <c r="F70" s="6">
        <v>0</v>
      </c>
      <c r="G70" s="6">
        <v>0</v>
      </c>
      <c r="H70" s="6">
        <v>0</v>
      </c>
      <c r="I70" s="7">
        <v>0</v>
      </c>
    </row>
    <row r="71" spans="1:9" ht="12" customHeight="1" thickBot="1" x14ac:dyDescent="0.25">
      <c r="A71" s="1" t="s">
        <v>9</v>
      </c>
      <c r="B71" s="1" t="s">
        <v>10</v>
      </c>
      <c r="C71" s="1" t="s">
        <v>11</v>
      </c>
      <c r="D71" s="5">
        <v>45908</v>
      </c>
      <c r="E71" s="6">
        <v>0</v>
      </c>
      <c r="F71" s="6">
        <v>0</v>
      </c>
      <c r="G71" s="6">
        <v>0</v>
      </c>
      <c r="H71" s="6">
        <v>0</v>
      </c>
      <c r="I71" s="7">
        <v>0</v>
      </c>
    </row>
    <row r="72" spans="1:9" ht="12" customHeight="1" thickBot="1" x14ac:dyDescent="0.25">
      <c r="A72" s="1" t="s">
        <v>9</v>
      </c>
      <c r="B72" s="1" t="s">
        <v>10</v>
      </c>
      <c r="C72" s="1" t="s">
        <v>11</v>
      </c>
      <c r="D72" s="5">
        <v>45909</v>
      </c>
      <c r="E72" s="6">
        <v>0</v>
      </c>
      <c r="F72" s="6">
        <v>0</v>
      </c>
      <c r="G72" s="6">
        <v>0</v>
      </c>
      <c r="H72" s="6">
        <v>0</v>
      </c>
      <c r="I72" s="7">
        <v>0</v>
      </c>
    </row>
    <row r="73" spans="1:9" ht="12" customHeight="1" thickBot="1" x14ac:dyDescent="0.25">
      <c r="A73" s="1" t="s">
        <v>9</v>
      </c>
      <c r="B73" s="1" t="s">
        <v>10</v>
      </c>
      <c r="C73" s="1" t="s">
        <v>11</v>
      </c>
      <c r="D73" s="5">
        <v>45910</v>
      </c>
      <c r="E73" s="6">
        <v>0</v>
      </c>
      <c r="F73" s="6">
        <v>0</v>
      </c>
      <c r="G73" s="6">
        <v>0</v>
      </c>
      <c r="H73" s="6">
        <v>0</v>
      </c>
      <c r="I73" s="7">
        <v>0</v>
      </c>
    </row>
    <row r="74" spans="1:9" ht="12" customHeight="1" thickBot="1" x14ac:dyDescent="0.25">
      <c r="A74" s="1" t="s">
        <v>9</v>
      </c>
      <c r="B74" s="1" t="s">
        <v>10</v>
      </c>
      <c r="C74" s="1" t="s">
        <v>11</v>
      </c>
      <c r="D74" s="5">
        <v>45911</v>
      </c>
      <c r="E74" s="6">
        <v>0</v>
      </c>
      <c r="F74" s="6">
        <v>0</v>
      </c>
      <c r="G74" s="6">
        <v>0</v>
      </c>
      <c r="H74" s="6">
        <v>0</v>
      </c>
      <c r="I74" s="7">
        <v>0</v>
      </c>
    </row>
    <row r="75" spans="1:9" ht="12" customHeight="1" thickBot="1" x14ac:dyDescent="0.25">
      <c r="A75" s="1" t="s">
        <v>9</v>
      </c>
      <c r="B75" s="1" t="s">
        <v>10</v>
      </c>
      <c r="C75" s="1" t="s">
        <v>11</v>
      </c>
      <c r="D75" s="5">
        <v>45912</v>
      </c>
      <c r="E75" s="6">
        <v>0</v>
      </c>
      <c r="F75" s="6">
        <v>0</v>
      </c>
      <c r="G75" s="6">
        <v>0</v>
      </c>
      <c r="H75" s="6">
        <v>0</v>
      </c>
      <c r="I75" s="7">
        <v>0</v>
      </c>
    </row>
    <row r="76" spans="1:9" ht="12" customHeight="1" thickBot="1" x14ac:dyDescent="0.25">
      <c r="A76" s="1" t="s">
        <v>9</v>
      </c>
      <c r="B76" s="1" t="s">
        <v>10</v>
      </c>
      <c r="C76" s="1" t="s">
        <v>11</v>
      </c>
      <c r="D76" s="5">
        <v>45913</v>
      </c>
      <c r="E76" s="6">
        <v>0</v>
      </c>
      <c r="F76" s="6">
        <v>0</v>
      </c>
      <c r="G76" s="6">
        <v>0</v>
      </c>
      <c r="H76" s="6">
        <v>0</v>
      </c>
      <c r="I76" s="7">
        <v>0</v>
      </c>
    </row>
    <row r="77" spans="1:9" ht="12" customHeight="1" thickBot="1" x14ac:dyDescent="0.25">
      <c r="A77" s="1" t="s">
        <v>9</v>
      </c>
      <c r="B77" s="1" t="s">
        <v>10</v>
      </c>
      <c r="C77" s="1" t="s">
        <v>11</v>
      </c>
      <c r="D77" s="5">
        <v>45914</v>
      </c>
      <c r="E77" s="6">
        <v>0</v>
      </c>
      <c r="F77" s="6">
        <v>0</v>
      </c>
      <c r="G77" s="6">
        <v>0</v>
      </c>
      <c r="H77" s="6">
        <v>0</v>
      </c>
      <c r="I77" s="7">
        <v>0</v>
      </c>
    </row>
    <row r="78" spans="1:9" ht="12" customHeight="1" thickBot="1" x14ac:dyDescent="0.25">
      <c r="A78" s="1" t="s">
        <v>9</v>
      </c>
      <c r="B78" s="1" t="s">
        <v>10</v>
      </c>
      <c r="C78" s="1" t="s">
        <v>11</v>
      </c>
      <c r="D78" s="5">
        <v>45915</v>
      </c>
      <c r="E78" s="6">
        <v>0</v>
      </c>
      <c r="F78" s="6">
        <v>0</v>
      </c>
      <c r="G78" s="6">
        <v>0</v>
      </c>
      <c r="H78" s="6">
        <v>0</v>
      </c>
      <c r="I78" s="7">
        <v>0</v>
      </c>
    </row>
    <row r="79" spans="1:9" ht="12" customHeight="1" thickBot="1" x14ac:dyDescent="0.25">
      <c r="A79" s="1" t="s">
        <v>9</v>
      </c>
      <c r="B79" s="1" t="s">
        <v>10</v>
      </c>
      <c r="C79" s="1" t="s">
        <v>11</v>
      </c>
      <c r="D79" s="5">
        <v>45916</v>
      </c>
      <c r="E79" s="6">
        <v>0</v>
      </c>
      <c r="F79" s="6">
        <v>0</v>
      </c>
      <c r="G79" s="6">
        <v>0</v>
      </c>
      <c r="H79" s="6">
        <v>0</v>
      </c>
      <c r="I79" s="7">
        <v>0</v>
      </c>
    </row>
    <row r="80" spans="1:9" ht="12" customHeight="1" thickBot="1" x14ac:dyDescent="0.25">
      <c r="A80" s="1" t="s">
        <v>9</v>
      </c>
      <c r="B80" s="1" t="s">
        <v>10</v>
      </c>
      <c r="C80" s="1" t="s">
        <v>11</v>
      </c>
      <c r="D80" s="5">
        <v>45917</v>
      </c>
      <c r="E80" s="6">
        <v>0</v>
      </c>
      <c r="F80" s="6">
        <v>0</v>
      </c>
      <c r="G80" s="6">
        <v>0</v>
      </c>
      <c r="H80" s="6">
        <v>0</v>
      </c>
      <c r="I80" s="7">
        <v>0</v>
      </c>
    </row>
    <row r="81" spans="1:9" ht="12" customHeight="1" thickBot="1" x14ac:dyDescent="0.25">
      <c r="A81" s="1" t="s">
        <v>9</v>
      </c>
      <c r="B81" s="1" t="s">
        <v>10</v>
      </c>
      <c r="C81" s="1" t="s">
        <v>11</v>
      </c>
      <c r="D81" s="5">
        <v>45918</v>
      </c>
      <c r="E81" s="6">
        <v>0</v>
      </c>
      <c r="F81" s="6">
        <v>0</v>
      </c>
      <c r="G81" s="6">
        <v>0</v>
      </c>
      <c r="H81" s="6">
        <v>0</v>
      </c>
      <c r="I81" s="7">
        <v>0</v>
      </c>
    </row>
    <row r="82" spans="1:9" ht="12" customHeight="1" thickBot="1" x14ac:dyDescent="0.25">
      <c r="A82" s="1" t="s">
        <v>9</v>
      </c>
      <c r="B82" s="1" t="s">
        <v>10</v>
      </c>
      <c r="C82" s="1" t="s">
        <v>11</v>
      </c>
      <c r="D82" s="5">
        <v>45919</v>
      </c>
      <c r="E82" s="6">
        <v>0</v>
      </c>
      <c r="F82" s="6">
        <v>0</v>
      </c>
      <c r="G82" s="6">
        <v>0</v>
      </c>
      <c r="H82" s="6">
        <v>0</v>
      </c>
      <c r="I82" s="7">
        <v>0</v>
      </c>
    </row>
    <row r="83" spans="1:9" ht="12" customHeight="1" thickBot="1" x14ac:dyDescent="0.25">
      <c r="A83" s="1" t="s">
        <v>9</v>
      </c>
      <c r="B83" s="1" t="s">
        <v>10</v>
      </c>
      <c r="C83" s="1" t="s">
        <v>11</v>
      </c>
      <c r="D83" s="5">
        <v>45920</v>
      </c>
      <c r="E83" s="6">
        <v>0</v>
      </c>
      <c r="F83" s="6">
        <v>0</v>
      </c>
      <c r="G83" s="6">
        <v>0</v>
      </c>
      <c r="H83" s="6">
        <v>0</v>
      </c>
      <c r="I83" s="7">
        <v>0</v>
      </c>
    </row>
    <row r="84" spans="1:9" ht="12" customHeight="1" thickBot="1" x14ac:dyDescent="0.25">
      <c r="A84" s="1" t="s">
        <v>9</v>
      </c>
      <c r="B84" s="1" t="s">
        <v>10</v>
      </c>
      <c r="C84" s="1" t="s">
        <v>11</v>
      </c>
      <c r="D84" s="5">
        <v>45921</v>
      </c>
      <c r="E84" s="6">
        <v>0</v>
      </c>
      <c r="F84" s="6">
        <v>0</v>
      </c>
      <c r="G84" s="6">
        <v>0</v>
      </c>
      <c r="H84" s="6">
        <v>0</v>
      </c>
      <c r="I84" s="7">
        <v>0</v>
      </c>
    </row>
    <row r="85" spans="1:9" ht="12" customHeight="1" thickBot="1" x14ac:dyDescent="0.25">
      <c r="A85" s="1" t="s">
        <v>9</v>
      </c>
      <c r="B85" s="1" t="s">
        <v>10</v>
      </c>
      <c r="C85" s="1" t="s">
        <v>11</v>
      </c>
      <c r="D85" s="5">
        <v>45922</v>
      </c>
      <c r="E85" s="6">
        <v>0</v>
      </c>
      <c r="F85" s="6">
        <v>0</v>
      </c>
      <c r="G85" s="6">
        <v>0</v>
      </c>
      <c r="H85" s="6">
        <v>0</v>
      </c>
      <c r="I85" s="7">
        <v>0</v>
      </c>
    </row>
    <row r="86" spans="1:9" ht="12" customHeight="1" thickBot="1" x14ac:dyDescent="0.25">
      <c r="A86" s="1" t="s">
        <v>9</v>
      </c>
      <c r="B86" s="1" t="s">
        <v>10</v>
      </c>
      <c r="C86" s="1" t="s">
        <v>11</v>
      </c>
      <c r="D86" s="5">
        <v>45923</v>
      </c>
      <c r="E86" s="6">
        <v>0</v>
      </c>
      <c r="F86" s="6">
        <v>0</v>
      </c>
      <c r="G86" s="6">
        <v>0</v>
      </c>
      <c r="H86" s="6">
        <v>0</v>
      </c>
      <c r="I86" s="7">
        <v>0</v>
      </c>
    </row>
    <row r="87" spans="1:9" ht="12" customHeight="1" thickBot="1" x14ac:dyDescent="0.25">
      <c r="A87" s="1" t="s">
        <v>9</v>
      </c>
      <c r="B87" s="1" t="s">
        <v>10</v>
      </c>
      <c r="C87" s="1" t="s">
        <v>11</v>
      </c>
      <c r="D87" s="5">
        <v>45924</v>
      </c>
      <c r="E87" s="6">
        <v>0</v>
      </c>
      <c r="F87" s="6">
        <v>0</v>
      </c>
      <c r="G87" s="6">
        <v>0</v>
      </c>
      <c r="H87" s="6">
        <v>0</v>
      </c>
      <c r="I87" s="7">
        <v>0</v>
      </c>
    </row>
    <row r="88" spans="1:9" ht="12" customHeight="1" thickBot="1" x14ac:dyDescent="0.25">
      <c r="A88" s="1" t="s">
        <v>9</v>
      </c>
      <c r="B88" s="1" t="s">
        <v>10</v>
      </c>
      <c r="C88" s="1" t="s">
        <v>11</v>
      </c>
      <c r="D88" s="5">
        <v>45925</v>
      </c>
      <c r="E88" s="6">
        <v>0</v>
      </c>
      <c r="F88" s="6">
        <v>0</v>
      </c>
      <c r="G88" s="6">
        <v>0</v>
      </c>
      <c r="H88" s="6">
        <v>0</v>
      </c>
      <c r="I88" s="7">
        <v>0</v>
      </c>
    </row>
    <row r="89" spans="1:9" ht="12" customHeight="1" thickBot="1" x14ac:dyDescent="0.25">
      <c r="A89" s="1" t="s">
        <v>9</v>
      </c>
      <c r="B89" s="1" t="s">
        <v>10</v>
      </c>
      <c r="C89" s="1" t="s">
        <v>11</v>
      </c>
      <c r="D89" s="5">
        <v>45926</v>
      </c>
      <c r="E89" s="6">
        <v>0</v>
      </c>
      <c r="F89" s="6">
        <v>0</v>
      </c>
      <c r="G89" s="6">
        <v>0</v>
      </c>
      <c r="H89" s="6">
        <v>0</v>
      </c>
      <c r="I89" s="7">
        <v>0</v>
      </c>
    </row>
    <row r="90" spans="1:9" ht="12" customHeight="1" thickBot="1" x14ac:dyDescent="0.25">
      <c r="A90" s="1" t="s">
        <v>9</v>
      </c>
      <c r="B90" s="1" t="s">
        <v>10</v>
      </c>
      <c r="C90" s="1" t="s">
        <v>11</v>
      </c>
      <c r="D90" s="5">
        <v>45927</v>
      </c>
      <c r="E90" s="6">
        <v>0</v>
      </c>
      <c r="F90" s="6">
        <v>0</v>
      </c>
      <c r="G90" s="6">
        <v>0</v>
      </c>
      <c r="H90" s="6">
        <v>0</v>
      </c>
      <c r="I90" s="7">
        <v>0</v>
      </c>
    </row>
    <row r="91" spans="1:9" ht="12" customHeight="1" thickBot="1" x14ac:dyDescent="0.25">
      <c r="A91" s="1" t="s">
        <v>9</v>
      </c>
      <c r="B91" s="1" t="s">
        <v>10</v>
      </c>
      <c r="C91" s="1" t="s">
        <v>11</v>
      </c>
      <c r="D91" s="5">
        <v>45928</v>
      </c>
      <c r="E91" s="6">
        <v>0</v>
      </c>
      <c r="F91" s="6">
        <v>0</v>
      </c>
      <c r="G91" s="6">
        <v>0</v>
      </c>
      <c r="H91" s="6">
        <v>0</v>
      </c>
      <c r="I91" s="7">
        <v>0</v>
      </c>
    </row>
    <row r="92" spans="1:9" ht="12" customHeight="1" thickBot="1" x14ac:dyDescent="0.25">
      <c r="A92" s="1" t="s">
        <v>9</v>
      </c>
      <c r="B92" s="1" t="s">
        <v>10</v>
      </c>
      <c r="C92" s="1" t="s">
        <v>11</v>
      </c>
      <c r="D92" s="5">
        <v>45929</v>
      </c>
      <c r="E92" s="6">
        <v>0</v>
      </c>
      <c r="F92" s="6">
        <v>0</v>
      </c>
      <c r="G92" s="6">
        <v>0</v>
      </c>
      <c r="H92" s="6">
        <v>0</v>
      </c>
      <c r="I92" s="7">
        <v>0</v>
      </c>
    </row>
    <row r="93" spans="1:9" ht="12" customHeight="1" thickBot="1" x14ac:dyDescent="0.25">
      <c r="A93" s="1" t="s">
        <v>9</v>
      </c>
      <c r="B93" s="1" t="s">
        <v>10</v>
      </c>
      <c r="C93" s="1" t="s">
        <v>11</v>
      </c>
      <c r="D93" s="5">
        <v>45930</v>
      </c>
      <c r="E93" s="6">
        <v>0</v>
      </c>
      <c r="F93" s="6">
        <v>0</v>
      </c>
      <c r="G93" s="6">
        <v>0</v>
      </c>
      <c r="H93" s="6">
        <v>0</v>
      </c>
      <c r="I93" s="7">
        <v>0</v>
      </c>
    </row>
    <row r="94" spans="1:9" ht="12" customHeight="1" thickBot="1" x14ac:dyDescent="0.25">
      <c r="A94" s="1" t="s">
        <v>29</v>
      </c>
      <c r="B94" s="1" t="s">
        <v>12</v>
      </c>
      <c r="C94" s="1" t="s">
        <v>11</v>
      </c>
      <c r="D94" s="5">
        <v>45839</v>
      </c>
      <c r="E94" s="6">
        <v>18051663238</v>
      </c>
      <c r="F94" s="6">
        <v>12206742960</v>
      </c>
      <c r="G94" s="6">
        <v>5844920278</v>
      </c>
      <c r="H94" s="6">
        <v>11995715106</v>
      </c>
      <c r="I94" s="7">
        <v>6055948132</v>
      </c>
    </row>
    <row r="95" spans="1:9" ht="12" customHeight="1" thickBot="1" x14ac:dyDescent="0.25">
      <c r="A95" s="1" t="s">
        <v>29</v>
      </c>
      <c r="B95" s="1" t="s">
        <v>12</v>
      </c>
      <c r="C95" s="1" t="s">
        <v>11</v>
      </c>
      <c r="D95" s="5">
        <v>45840</v>
      </c>
      <c r="E95" s="6">
        <v>18011477090</v>
      </c>
      <c r="F95" s="6">
        <v>12230131832</v>
      </c>
      <c r="G95" s="6">
        <v>5781345258</v>
      </c>
      <c r="H95" s="6">
        <v>12018551566</v>
      </c>
      <c r="I95" s="7">
        <v>5992925524</v>
      </c>
    </row>
    <row r="96" spans="1:9" ht="12" customHeight="1" thickBot="1" x14ac:dyDescent="0.25">
      <c r="A96" s="1" t="s">
        <v>29</v>
      </c>
      <c r="B96" s="1" t="s">
        <v>12</v>
      </c>
      <c r="C96" s="1" t="s">
        <v>11</v>
      </c>
      <c r="D96" s="5">
        <v>45841</v>
      </c>
      <c r="E96" s="6">
        <v>18012907859</v>
      </c>
      <c r="F96" s="6">
        <v>12316529305</v>
      </c>
      <c r="G96" s="6">
        <v>5696378554</v>
      </c>
      <c r="H96" s="6">
        <v>12000864240</v>
      </c>
      <c r="I96" s="7">
        <v>6012043619</v>
      </c>
    </row>
    <row r="97" spans="1:9" ht="12" customHeight="1" thickBot="1" x14ac:dyDescent="0.25">
      <c r="A97" s="1" t="s">
        <v>29</v>
      </c>
      <c r="B97" s="1" t="s">
        <v>12</v>
      </c>
      <c r="C97" s="1" t="s">
        <v>11</v>
      </c>
      <c r="D97" s="5">
        <v>45842</v>
      </c>
      <c r="E97" s="6">
        <v>17990249738</v>
      </c>
      <c r="F97" s="6">
        <v>12308163029</v>
      </c>
      <c r="G97" s="6">
        <v>5682086709</v>
      </c>
      <c r="H97" s="6">
        <v>11989239697</v>
      </c>
      <c r="I97" s="7">
        <v>6001010041</v>
      </c>
    </row>
    <row r="98" spans="1:9" ht="12" customHeight="1" thickBot="1" x14ac:dyDescent="0.25">
      <c r="A98" s="1" t="s">
        <v>29</v>
      </c>
      <c r="B98" s="1" t="s">
        <v>12</v>
      </c>
      <c r="C98" s="1" t="s">
        <v>11</v>
      </c>
      <c r="D98" s="5">
        <v>45843</v>
      </c>
      <c r="E98" s="6">
        <v>17980952413</v>
      </c>
      <c r="F98" s="6">
        <v>12296499227</v>
      </c>
      <c r="G98" s="6">
        <v>5684453186</v>
      </c>
      <c r="H98" s="6">
        <v>12004354221</v>
      </c>
      <c r="I98" s="7">
        <v>5976598192</v>
      </c>
    </row>
    <row r="99" spans="1:9" ht="12" customHeight="1" thickBot="1" x14ac:dyDescent="0.25">
      <c r="A99" s="1" t="s">
        <v>29</v>
      </c>
      <c r="B99" s="1" t="s">
        <v>12</v>
      </c>
      <c r="C99" s="1" t="s">
        <v>11</v>
      </c>
      <c r="D99" s="5">
        <v>45844</v>
      </c>
      <c r="E99" s="6">
        <v>17960200943</v>
      </c>
      <c r="F99" s="6">
        <v>12305385614</v>
      </c>
      <c r="G99" s="6">
        <v>5654815329</v>
      </c>
      <c r="H99" s="6">
        <v>12038644913</v>
      </c>
      <c r="I99" s="7">
        <v>5921556030</v>
      </c>
    </row>
    <row r="100" spans="1:9" ht="12" customHeight="1" thickBot="1" x14ac:dyDescent="0.25">
      <c r="A100" s="1" t="s">
        <v>29</v>
      </c>
      <c r="B100" s="1" t="s">
        <v>12</v>
      </c>
      <c r="C100" s="1" t="s">
        <v>11</v>
      </c>
      <c r="D100" s="5">
        <v>45845</v>
      </c>
      <c r="E100" s="6">
        <v>17905292773</v>
      </c>
      <c r="F100" s="6">
        <v>12266095824</v>
      </c>
      <c r="G100" s="6">
        <v>5639196949</v>
      </c>
      <c r="H100" s="6">
        <v>12053730488</v>
      </c>
      <c r="I100" s="7">
        <v>5851562285</v>
      </c>
    </row>
    <row r="101" spans="1:9" ht="12" customHeight="1" thickBot="1" x14ac:dyDescent="0.25">
      <c r="A101" s="1" t="s">
        <v>29</v>
      </c>
      <c r="B101" s="1" t="s">
        <v>12</v>
      </c>
      <c r="C101" s="1" t="s">
        <v>11</v>
      </c>
      <c r="D101" s="5">
        <v>45846</v>
      </c>
      <c r="E101" s="6">
        <v>17863337882</v>
      </c>
      <c r="F101" s="6">
        <v>12316471673</v>
      </c>
      <c r="G101" s="6">
        <v>5546866209</v>
      </c>
      <c r="H101" s="6">
        <v>12066559808</v>
      </c>
      <c r="I101" s="7">
        <v>5796778074</v>
      </c>
    </row>
    <row r="102" spans="1:9" ht="12" customHeight="1" thickBot="1" x14ac:dyDescent="0.25">
      <c r="A102" s="1" t="s">
        <v>29</v>
      </c>
      <c r="B102" s="1" t="s">
        <v>12</v>
      </c>
      <c r="C102" s="1" t="s">
        <v>11</v>
      </c>
      <c r="D102" s="5">
        <v>45847</v>
      </c>
      <c r="E102" s="6">
        <v>17814090141</v>
      </c>
      <c r="F102" s="6">
        <v>12307809526</v>
      </c>
      <c r="G102" s="6">
        <v>5506280615</v>
      </c>
      <c r="H102" s="6">
        <v>12107710934</v>
      </c>
      <c r="I102" s="7">
        <v>5706379207</v>
      </c>
    </row>
    <row r="103" spans="1:9" ht="12" customHeight="1" thickBot="1" x14ac:dyDescent="0.25">
      <c r="A103" s="1" t="s">
        <v>29</v>
      </c>
      <c r="B103" s="1" t="s">
        <v>12</v>
      </c>
      <c r="C103" s="1" t="s">
        <v>11</v>
      </c>
      <c r="D103" s="5">
        <v>45848</v>
      </c>
      <c r="E103" s="6">
        <v>17774547455</v>
      </c>
      <c r="F103" s="6">
        <v>12258052695</v>
      </c>
      <c r="G103" s="6">
        <v>5516494760</v>
      </c>
      <c r="H103" s="6">
        <v>12095453031</v>
      </c>
      <c r="I103" s="7">
        <v>5679094424</v>
      </c>
    </row>
    <row r="104" spans="1:9" ht="12" customHeight="1" thickBot="1" x14ac:dyDescent="0.25">
      <c r="A104" s="1" t="s">
        <v>29</v>
      </c>
      <c r="B104" s="1" t="s">
        <v>12</v>
      </c>
      <c r="C104" s="1" t="s">
        <v>11</v>
      </c>
      <c r="D104" s="5">
        <v>45849</v>
      </c>
      <c r="E104" s="6">
        <v>17732837992</v>
      </c>
      <c r="F104" s="6">
        <v>12216583008</v>
      </c>
      <c r="G104" s="6">
        <v>5516254984</v>
      </c>
      <c r="H104" s="6">
        <v>12076179738</v>
      </c>
      <c r="I104" s="7">
        <v>5656658254</v>
      </c>
    </row>
    <row r="105" spans="1:9" ht="12" customHeight="1" thickBot="1" x14ac:dyDescent="0.25">
      <c r="A105" s="1" t="s">
        <v>29</v>
      </c>
      <c r="B105" s="1" t="s">
        <v>12</v>
      </c>
      <c r="C105" s="1" t="s">
        <v>11</v>
      </c>
      <c r="D105" s="5">
        <v>45850</v>
      </c>
      <c r="E105" s="6">
        <v>17684222231</v>
      </c>
      <c r="F105" s="6">
        <v>12220119520</v>
      </c>
      <c r="G105" s="6">
        <v>5464102711</v>
      </c>
      <c r="H105" s="6">
        <v>12102450961</v>
      </c>
      <c r="I105" s="7">
        <v>5581771270</v>
      </c>
    </row>
    <row r="106" spans="1:9" ht="12" customHeight="1" thickBot="1" x14ac:dyDescent="0.25">
      <c r="A106" s="1" t="s">
        <v>29</v>
      </c>
      <c r="B106" s="1" t="s">
        <v>12</v>
      </c>
      <c r="C106" s="1" t="s">
        <v>11</v>
      </c>
      <c r="D106" s="5">
        <v>45851</v>
      </c>
      <c r="E106" s="6">
        <v>17680683475</v>
      </c>
      <c r="F106" s="6">
        <v>12230923682</v>
      </c>
      <c r="G106" s="6">
        <v>5449759793</v>
      </c>
      <c r="H106" s="6">
        <v>12112522446</v>
      </c>
      <c r="I106" s="7">
        <v>5568161029</v>
      </c>
    </row>
    <row r="107" spans="1:9" ht="12" customHeight="1" thickBot="1" x14ac:dyDescent="0.25">
      <c r="A107" s="1" t="s">
        <v>29</v>
      </c>
      <c r="B107" s="1" t="s">
        <v>12</v>
      </c>
      <c r="C107" s="1" t="s">
        <v>11</v>
      </c>
      <c r="D107" s="5">
        <v>45852</v>
      </c>
      <c r="E107" s="6">
        <v>17647795653</v>
      </c>
      <c r="F107" s="6">
        <v>12229799330</v>
      </c>
      <c r="G107" s="6">
        <v>5417996323</v>
      </c>
      <c r="H107" s="6">
        <v>12117046030</v>
      </c>
      <c r="I107" s="7">
        <v>5530749623</v>
      </c>
    </row>
    <row r="108" spans="1:9" ht="12" customHeight="1" thickBot="1" x14ac:dyDescent="0.25">
      <c r="A108" s="1" t="s">
        <v>29</v>
      </c>
      <c r="B108" s="1" t="s">
        <v>12</v>
      </c>
      <c r="C108" s="1" t="s">
        <v>11</v>
      </c>
      <c r="D108" s="5">
        <v>45853</v>
      </c>
      <c r="E108" s="6">
        <v>17624796189</v>
      </c>
      <c r="F108" s="6">
        <v>12281170737</v>
      </c>
      <c r="G108" s="6">
        <v>5343625452</v>
      </c>
      <c r="H108" s="6">
        <v>12121542003</v>
      </c>
      <c r="I108" s="7">
        <v>5503254186</v>
      </c>
    </row>
    <row r="109" spans="1:9" ht="12" customHeight="1" thickBot="1" x14ac:dyDescent="0.25">
      <c r="A109" s="1" t="s">
        <v>29</v>
      </c>
      <c r="B109" s="1" t="s">
        <v>12</v>
      </c>
      <c r="C109" s="1" t="s">
        <v>11</v>
      </c>
      <c r="D109" s="5">
        <v>45854</v>
      </c>
      <c r="E109" s="6">
        <v>17585819857</v>
      </c>
      <c r="F109" s="6">
        <v>12278023658</v>
      </c>
      <c r="G109" s="6">
        <v>5307796199</v>
      </c>
      <c r="H109" s="6">
        <v>12113449828</v>
      </c>
      <c r="I109" s="7">
        <v>5472370029</v>
      </c>
    </row>
    <row r="110" spans="1:9" ht="12" customHeight="1" thickBot="1" x14ac:dyDescent="0.25">
      <c r="A110" s="1" t="s">
        <v>29</v>
      </c>
      <c r="B110" s="1" t="s">
        <v>12</v>
      </c>
      <c r="C110" s="1" t="s">
        <v>11</v>
      </c>
      <c r="D110" s="5">
        <v>45855</v>
      </c>
      <c r="E110" s="6">
        <v>17538717481</v>
      </c>
      <c r="F110" s="6">
        <v>12277701414</v>
      </c>
      <c r="G110" s="6">
        <v>5261016067</v>
      </c>
      <c r="H110" s="6">
        <v>12113149828</v>
      </c>
      <c r="I110" s="7">
        <v>5425567653</v>
      </c>
    </row>
    <row r="111" spans="1:9" ht="12" customHeight="1" thickBot="1" x14ac:dyDescent="0.25">
      <c r="A111" s="1" t="s">
        <v>29</v>
      </c>
      <c r="B111" s="1" t="s">
        <v>12</v>
      </c>
      <c r="C111" s="1" t="s">
        <v>11</v>
      </c>
      <c r="D111" s="5">
        <v>45856</v>
      </c>
      <c r="E111" s="6">
        <v>17507815437</v>
      </c>
      <c r="F111" s="6">
        <v>12291071635</v>
      </c>
      <c r="G111" s="6">
        <v>5216743802</v>
      </c>
      <c r="H111" s="6">
        <v>12150262018</v>
      </c>
      <c r="I111" s="7">
        <v>5357553419</v>
      </c>
    </row>
    <row r="112" spans="1:9" ht="12" customHeight="1" thickBot="1" x14ac:dyDescent="0.25">
      <c r="A112" s="1" t="s">
        <v>29</v>
      </c>
      <c r="B112" s="1" t="s">
        <v>12</v>
      </c>
      <c r="C112" s="1" t="s">
        <v>11</v>
      </c>
      <c r="D112" s="5">
        <v>45857</v>
      </c>
      <c r="E112" s="6">
        <v>17477667888</v>
      </c>
      <c r="F112" s="6">
        <v>12299517642</v>
      </c>
      <c r="G112" s="6">
        <v>5178150246</v>
      </c>
      <c r="H112" s="6">
        <v>12157539012</v>
      </c>
      <c r="I112" s="7">
        <v>5320128876</v>
      </c>
    </row>
    <row r="113" spans="1:9" ht="12" customHeight="1" thickBot="1" x14ac:dyDescent="0.25">
      <c r="A113" s="1" t="s">
        <v>29</v>
      </c>
      <c r="B113" s="1" t="s">
        <v>12</v>
      </c>
      <c r="C113" s="1" t="s">
        <v>11</v>
      </c>
      <c r="D113" s="5">
        <v>45858</v>
      </c>
      <c r="E113" s="6">
        <v>17470595951</v>
      </c>
      <c r="F113" s="6">
        <v>12300292521</v>
      </c>
      <c r="G113" s="6">
        <v>5170303430</v>
      </c>
      <c r="H113" s="6">
        <v>12147014791</v>
      </c>
      <c r="I113" s="7">
        <v>5323581160</v>
      </c>
    </row>
    <row r="114" spans="1:9" ht="12" customHeight="1" thickBot="1" x14ac:dyDescent="0.25">
      <c r="A114" s="1" t="s">
        <v>29</v>
      </c>
      <c r="B114" s="1" t="s">
        <v>12</v>
      </c>
      <c r="C114" s="1" t="s">
        <v>11</v>
      </c>
      <c r="D114" s="5">
        <v>45859</v>
      </c>
      <c r="E114" s="6">
        <v>17421098460</v>
      </c>
      <c r="F114" s="6">
        <v>12259034448</v>
      </c>
      <c r="G114" s="6">
        <v>5162064012</v>
      </c>
      <c r="H114" s="6">
        <v>12140680173</v>
      </c>
      <c r="I114" s="7">
        <v>5280418287</v>
      </c>
    </row>
    <row r="115" spans="1:9" ht="12" customHeight="1" thickBot="1" x14ac:dyDescent="0.25">
      <c r="A115" s="1" t="s">
        <v>29</v>
      </c>
      <c r="B115" s="1" t="s">
        <v>12</v>
      </c>
      <c r="C115" s="1" t="s">
        <v>11</v>
      </c>
      <c r="D115" s="5">
        <v>45860</v>
      </c>
      <c r="E115" s="6">
        <v>17389330312</v>
      </c>
      <c r="F115" s="6">
        <v>12317510824</v>
      </c>
      <c r="G115" s="6">
        <v>5071819488</v>
      </c>
      <c r="H115" s="6">
        <v>12146761512</v>
      </c>
      <c r="I115" s="7">
        <v>5242568800</v>
      </c>
    </row>
    <row r="116" spans="1:9" ht="12" customHeight="1" thickBot="1" x14ac:dyDescent="0.25">
      <c r="A116" s="1" t="s">
        <v>29</v>
      </c>
      <c r="B116" s="1" t="s">
        <v>12</v>
      </c>
      <c r="C116" s="1" t="s">
        <v>11</v>
      </c>
      <c r="D116" s="5">
        <v>45861</v>
      </c>
      <c r="E116" s="6">
        <v>17363219829</v>
      </c>
      <c r="F116" s="6">
        <v>12306499175</v>
      </c>
      <c r="G116" s="6">
        <v>5056720654</v>
      </c>
      <c r="H116" s="6">
        <v>12146011512</v>
      </c>
      <c r="I116" s="7">
        <v>5217208317</v>
      </c>
    </row>
    <row r="117" spans="1:9" ht="12" customHeight="1" thickBot="1" x14ac:dyDescent="0.25">
      <c r="A117" s="1" t="s">
        <v>29</v>
      </c>
      <c r="B117" s="1" t="s">
        <v>12</v>
      </c>
      <c r="C117" s="1" t="s">
        <v>11</v>
      </c>
      <c r="D117" s="5">
        <v>45862</v>
      </c>
      <c r="E117" s="6">
        <v>17353488586</v>
      </c>
      <c r="F117" s="6">
        <v>12327691793</v>
      </c>
      <c r="G117" s="6">
        <v>5025796793</v>
      </c>
      <c r="H117" s="6">
        <v>12119618336</v>
      </c>
      <c r="I117" s="7">
        <v>5233870250</v>
      </c>
    </row>
    <row r="118" spans="1:9" ht="12" customHeight="1" thickBot="1" x14ac:dyDescent="0.25">
      <c r="A118" s="1" t="s">
        <v>29</v>
      </c>
      <c r="B118" s="1" t="s">
        <v>12</v>
      </c>
      <c r="C118" s="1" t="s">
        <v>11</v>
      </c>
      <c r="D118" s="5">
        <v>45863</v>
      </c>
      <c r="E118" s="6">
        <v>17329954638</v>
      </c>
      <c r="F118" s="6">
        <v>12297634954</v>
      </c>
      <c r="G118" s="6">
        <v>5032319684</v>
      </c>
      <c r="H118" s="6">
        <v>12132834571</v>
      </c>
      <c r="I118" s="7">
        <v>5197120067</v>
      </c>
    </row>
    <row r="119" spans="1:9" ht="12" customHeight="1" thickBot="1" x14ac:dyDescent="0.25">
      <c r="A119" s="1" t="s">
        <v>29</v>
      </c>
      <c r="B119" s="1" t="s">
        <v>12</v>
      </c>
      <c r="C119" s="1" t="s">
        <v>11</v>
      </c>
      <c r="D119" s="5">
        <v>45864</v>
      </c>
      <c r="E119" s="6">
        <v>17257537508</v>
      </c>
      <c r="F119" s="6">
        <v>12327181988</v>
      </c>
      <c r="G119" s="6">
        <v>4930355520</v>
      </c>
      <c r="H119" s="6">
        <v>12126655422</v>
      </c>
      <c r="I119" s="7">
        <v>5130882086</v>
      </c>
    </row>
    <row r="120" spans="1:9" ht="12" customHeight="1" thickBot="1" x14ac:dyDescent="0.25">
      <c r="A120" s="1" t="s">
        <v>29</v>
      </c>
      <c r="B120" s="1" t="s">
        <v>12</v>
      </c>
      <c r="C120" s="1" t="s">
        <v>11</v>
      </c>
      <c r="D120" s="5">
        <v>45865</v>
      </c>
      <c r="E120" s="6">
        <v>17252386790</v>
      </c>
      <c r="F120" s="6">
        <v>12343732520</v>
      </c>
      <c r="G120" s="6">
        <v>4908654270</v>
      </c>
      <c r="H120" s="6">
        <v>12126655422</v>
      </c>
      <c r="I120" s="7">
        <v>5125731368</v>
      </c>
    </row>
    <row r="121" spans="1:9" ht="12" customHeight="1" thickBot="1" x14ac:dyDescent="0.25">
      <c r="A121" s="1" t="s">
        <v>29</v>
      </c>
      <c r="B121" s="1" t="s">
        <v>12</v>
      </c>
      <c r="C121" s="1" t="s">
        <v>11</v>
      </c>
      <c r="D121" s="5">
        <v>45866</v>
      </c>
      <c r="E121" s="6">
        <v>17148499647</v>
      </c>
      <c r="F121" s="6">
        <v>12275601493</v>
      </c>
      <c r="G121" s="6">
        <v>4872898154</v>
      </c>
      <c r="H121" s="6">
        <v>12129811360</v>
      </c>
      <c r="I121" s="7">
        <v>5018688287</v>
      </c>
    </row>
    <row r="122" spans="1:9" ht="12" customHeight="1" thickBot="1" x14ac:dyDescent="0.25">
      <c r="A122" s="1" t="s">
        <v>29</v>
      </c>
      <c r="B122" s="1" t="s">
        <v>12</v>
      </c>
      <c r="C122" s="1" t="s">
        <v>11</v>
      </c>
      <c r="D122" s="5">
        <v>45867</v>
      </c>
      <c r="E122" s="6">
        <v>17140205941</v>
      </c>
      <c r="F122" s="6">
        <v>12342941965</v>
      </c>
      <c r="G122" s="6">
        <v>4797263976</v>
      </c>
      <c r="H122" s="6">
        <v>12135157847</v>
      </c>
      <c r="I122" s="7">
        <v>5005048094</v>
      </c>
    </row>
    <row r="123" spans="1:9" ht="12" customHeight="1" thickBot="1" x14ac:dyDescent="0.25">
      <c r="A123" s="1" t="s">
        <v>29</v>
      </c>
      <c r="B123" s="1" t="s">
        <v>12</v>
      </c>
      <c r="C123" s="1" t="s">
        <v>11</v>
      </c>
      <c r="D123" s="5">
        <v>45868</v>
      </c>
      <c r="E123" s="6">
        <v>17132675490</v>
      </c>
      <c r="F123" s="6">
        <v>12311466569</v>
      </c>
      <c r="G123" s="6">
        <v>4821208921</v>
      </c>
      <c r="H123" s="6">
        <v>12135778172</v>
      </c>
      <c r="I123" s="7">
        <v>4996897318</v>
      </c>
    </row>
    <row r="124" spans="1:9" ht="12" customHeight="1" thickBot="1" x14ac:dyDescent="0.25">
      <c r="A124" s="1" t="s">
        <v>29</v>
      </c>
      <c r="B124" s="1" t="s">
        <v>12</v>
      </c>
      <c r="C124" s="1" t="s">
        <v>11</v>
      </c>
      <c r="D124" s="5">
        <v>45869</v>
      </c>
      <c r="E124" s="6">
        <v>17131897251</v>
      </c>
      <c r="F124" s="6">
        <v>12309894159</v>
      </c>
      <c r="G124" s="6">
        <v>4822003092</v>
      </c>
      <c r="H124" s="6">
        <v>12134205762</v>
      </c>
      <c r="I124" s="7">
        <v>4997691489</v>
      </c>
    </row>
    <row r="125" spans="1:9" ht="12" customHeight="1" thickBot="1" x14ac:dyDescent="0.25">
      <c r="A125" s="1" t="s">
        <v>29</v>
      </c>
      <c r="B125" s="1" t="s">
        <v>12</v>
      </c>
      <c r="C125" s="1" t="s">
        <v>11</v>
      </c>
      <c r="D125" s="5">
        <v>45870</v>
      </c>
      <c r="E125" s="6">
        <v>17115866366</v>
      </c>
      <c r="F125" s="6">
        <v>12280741685</v>
      </c>
      <c r="G125" s="6">
        <v>4835124681</v>
      </c>
      <c r="H125" s="6">
        <v>12118755183</v>
      </c>
      <c r="I125" s="7">
        <v>4997111183</v>
      </c>
    </row>
    <row r="126" spans="1:9" ht="12" customHeight="1" thickBot="1" x14ac:dyDescent="0.25">
      <c r="A126" s="1" t="s">
        <v>29</v>
      </c>
      <c r="B126" s="1" t="s">
        <v>12</v>
      </c>
      <c r="C126" s="1" t="s">
        <v>11</v>
      </c>
      <c r="D126" s="5">
        <v>45871</v>
      </c>
      <c r="E126" s="6">
        <v>17085875422</v>
      </c>
      <c r="F126" s="6">
        <v>12325909455</v>
      </c>
      <c r="G126" s="6">
        <v>4759965967</v>
      </c>
      <c r="H126" s="6">
        <v>12120317887</v>
      </c>
      <c r="I126" s="7">
        <v>4965557535</v>
      </c>
    </row>
    <row r="127" spans="1:9" ht="12" customHeight="1" thickBot="1" x14ac:dyDescent="0.25">
      <c r="A127" s="1" t="s">
        <v>29</v>
      </c>
      <c r="B127" s="1" t="s">
        <v>12</v>
      </c>
      <c r="C127" s="1" t="s">
        <v>11</v>
      </c>
      <c r="D127" s="5">
        <v>45872</v>
      </c>
      <c r="E127" s="6">
        <v>17082143518</v>
      </c>
      <c r="F127" s="6">
        <v>12390809859</v>
      </c>
      <c r="G127" s="6">
        <v>4691333659</v>
      </c>
      <c r="H127" s="6">
        <v>12124907078</v>
      </c>
      <c r="I127" s="7">
        <v>4957236440</v>
      </c>
    </row>
    <row r="128" spans="1:9" ht="12" customHeight="1" thickBot="1" x14ac:dyDescent="0.25">
      <c r="A128" s="1" t="s">
        <v>29</v>
      </c>
      <c r="B128" s="1" t="s">
        <v>12</v>
      </c>
      <c r="C128" s="1" t="s">
        <v>11</v>
      </c>
      <c r="D128" s="5">
        <v>45873</v>
      </c>
      <c r="E128" s="6">
        <v>17039488840</v>
      </c>
      <c r="F128" s="6">
        <v>12335849401</v>
      </c>
      <c r="G128" s="6">
        <v>4703639439</v>
      </c>
      <c r="H128" s="6">
        <v>12112155532</v>
      </c>
      <c r="I128" s="7">
        <v>4927333308</v>
      </c>
    </row>
    <row r="129" spans="1:9" ht="12" customHeight="1" thickBot="1" x14ac:dyDescent="0.25">
      <c r="A129" s="1" t="s">
        <v>29</v>
      </c>
      <c r="B129" s="1" t="s">
        <v>12</v>
      </c>
      <c r="C129" s="1" t="s">
        <v>11</v>
      </c>
      <c r="D129" s="5">
        <v>45874</v>
      </c>
      <c r="E129" s="6">
        <v>17012966326</v>
      </c>
      <c r="F129" s="6">
        <v>12337791936</v>
      </c>
      <c r="G129" s="6">
        <v>4675174390</v>
      </c>
      <c r="H129" s="6">
        <v>12160658510</v>
      </c>
      <c r="I129" s="7">
        <v>4852307816</v>
      </c>
    </row>
    <row r="130" spans="1:9" ht="12" customHeight="1" thickBot="1" x14ac:dyDescent="0.25">
      <c r="A130" s="1" t="s">
        <v>29</v>
      </c>
      <c r="B130" s="1" t="s">
        <v>12</v>
      </c>
      <c r="C130" s="1" t="s">
        <v>11</v>
      </c>
      <c r="D130" s="5">
        <v>45875</v>
      </c>
      <c r="E130" s="6">
        <v>16987769994</v>
      </c>
      <c r="F130" s="6">
        <v>12332579091</v>
      </c>
      <c r="G130" s="6">
        <v>4655190903</v>
      </c>
      <c r="H130" s="6">
        <v>12177513536</v>
      </c>
      <c r="I130" s="7">
        <v>4810256458</v>
      </c>
    </row>
    <row r="131" spans="1:9" ht="12" customHeight="1" thickBot="1" x14ac:dyDescent="0.25">
      <c r="A131" s="1" t="s">
        <v>29</v>
      </c>
      <c r="B131" s="1" t="s">
        <v>12</v>
      </c>
      <c r="C131" s="1" t="s">
        <v>11</v>
      </c>
      <c r="D131" s="5">
        <v>45876</v>
      </c>
      <c r="E131" s="6">
        <v>16953341869</v>
      </c>
      <c r="F131" s="6">
        <v>12370870621</v>
      </c>
      <c r="G131" s="6">
        <v>4582471248</v>
      </c>
      <c r="H131" s="6">
        <v>12177059782</v>
      </c>
      <c r="I131" s="7">
        <v>4776282087</v>
      </c>
    </row>
    <row r="132" spans="1:9" ht="12" customHeight="1" thickBot="1" x14ac:dyDescent="0.25">
      <c r="A132" s="1" t="s">
        <v>29</v>
      </c>
      <c r="B132" s="1" t="s">
        <v>12</v>
      </c>
      <c r="C132" s="1" t="s">
        <v>11</v>
      </c>
      <c r="D132" s="5">
        <v>45877</v>
      </c>
      <c r="E132" s="6">
        <v>16916688995</v>
      </c>
      <c r="F132" s="6">
        <v>12335613173</v>
      </c>
      <c r="G132" s="6">
        <v>4581075822</v>
      </c>
      <c r="H132" s="6">
        <v>12206685387</v>
      </c>
      <c r="I132" s="7">
        <v>4710003608</v>
      </c>
    </row>
    <row r="133" spans="1:9" ht="12" customHeight="1" thickBot="1" x14ac:dyDescent="0.25">
      <c r="A133" s="1" t="s">
        <v>29</v>
      </c>
      <c r="B133" s="1" t="s">
        <v>12</v>
      </c>
      <c r="C133" s="1" t="s">
        <v>11</v>
      </c>
      <c r="D133" s="5">
        <v>45878</v>
      </c>
      <c r="E133" s="6">
        <v>16885511252</v>
      </c>
      <c r="F133" s="6">
        <v>12326255463</v>
      </c>
      <c r="G133" s="6">
        <v>4559255789</v>
      </c>
      <c r="H133" s="6">
        <v>12206685387</v>
      </c>
      <c r="I133" s="7">
        <v>4678825865</v>
      </c>
    </row>
    <row r="134" spans="1:9" ht="12" customHeight="1" thickBot="1" x14ac:dyDescent="0.25">
      <c r="A134" s="1" t="s">
        <v>29</v>
      </c>
      <c r="B134" s="1" t="s">
        <v>12</v>
      </c>
      <c r="C134" s="1" t="s">
        <v>11</v>
      </c>
      <c r="D134" s="5">
        <v>45879</v>
      </c>
      <c r="E134" s="6">
        <v>16882205851</v>
      </c>
      <c r="F134" s="6">
        <v>12331783970</v>
      </c>
      <c r="G134" s="6">
        <v>4550421881</v>
      </c>
      <c r="H134" s="6">
        <v>12198593388</v>
      </c>
      <c r="I134" s="7">
        <v>4683612463</v>
      </c>
    </row>
    <row r="135" spans="1:9" ht="12" customHeight="1" thickBot="1" x14ac:dyDescent="0.25">
      <c r="A135" s="1" t="s">
        <v>29</v>
      </c>
      <c r="B135" s="1" t="s">
        <v>12</v>
      </c>
      <c r="C135" s="1" t="s">
        <v>11</v>
      </c>
      <c r="D135" s="5">
        <v>45880</v>
      </c>
      <c r="E135" s="6">
        <v>16832934651</v>
      </c>
      <c r="F135" s="6">
        <v>12307084213</v>
      </c>
      <c r="G135" s="6">
        <v>4525850438</v>
      </c>
      <c r="H135" s="6">
        <v>12197232030</v>
      </c>
      <c r="I135" s="7">
        <v>4635702621</v>
      </c>
    </row>
    <row r="136" spans="1:9" ht="12" customHeight="1" thickBot="1" x14ac:dyDescent="0.25">
      <c r="A136" s="1" t="s">
        <v>29</v>
      </c>
      <c r="B136" s="1" t="s">
        <v>12</v>
      </c>
      <c r="C136" s="1" t="s">
        <v>11</v>
      </c>
      <c r="D136" s="5">
        <v>45881</v>
      </c>
      <c r="E136" s="6">
        <v>16799680838</v>
      </c>
      <c r="F136" s="6">
        <v>12278128392</v>
      </c>
      <c r="G136" s="6">
        <v>4521552446</v>
      </c>
      <c r="H136" s="6">
        <v>12207784763</v>
      </c>
      <c r="I136" s="7">
        <v>4591896075</v>
      </c>
    </row>
    <row r="137" spans="1:9" ht="12" customHeight="1" thickBot="1" x14ac:dyDescent="0.25">
      <c r="A137" s="1" t="s">
        <v>29</v>
      </c>
      <c r="B137" s="1" t="s">
        <v>12</v>
      </c>
      <c r="C137" s="1" t="s">
        <v>11</v>
      </c>
      <c r="D137" s="5">
        <v>45882</v>
      </c>
      <c r="E137" s="6">
        <v>16767659056</v>
      </c>
      <c r="F137" s="6">
        <v>12312606692</v>
      </c>
      <c r="G137" s="6">
        <v>4455052364</v>
      </c>
      <c r="H137" s="6">
        <v>12204812021</v>
      </c>
      <c r="I137" s="7">
        <v>4562847035</v>
      </c>
    </row>
    <row r="138" spans="1:9" ht="12" customHeight="1" thickBot="1" x14ac:dyDescent="0.25">
      <c r="A138" s="1" t="s">
        <v>29</v>
      </c>
      <c r="B138" s="1" t="s">
        <v>12</v>
      </c>
      <c r="C138" s="1" t="s">
        <v>11</v>
      </c>
      <c r="D138" s="5">
        <v>45883</v>
      </c>
      <c r="E138" s="6">
        <v>16750804464</v>
      </c>
      <c r="F138" s="6">
        <v>12317987514</v>
      </c>
      <c r="G138" s="6">
        <v>4432816950</v>
      </c>
      <c r="H138" s="6">
        <v>12202263710</v>
      </c>
      <c r="I138" s="7">
        <v>4548540754</v>
      </c>
    </row>
    <row r="139" spans="1:9" ht="12" customHeight="1" thickBot="1" x14ac:dyDescent="0.25">
      <c r="A139" s="1" t="s">
        <v>29</v>
      </c>
      <c r="B139" s="1" t="s">
        <v>12</v>
      </c>
      <c r="C139" s="1" t="s">
        <v>11</v>
      </c>
      <c r="D139" s="5">
        <v>45884</v>
      </c>
      <c r="E139" s="6">
        <v>16721475081</v>
      </c>
      <c r="F139" s="6">
        <v>12316781015</v>
      </c>
      <c r="G139" s="6">
        <v>4404694066</v>
      </c>
      <c r="H139" s="6">
        <v>12204709254</v>
      </c>
      <c r="I139" s="7">
        <v>4516765827</v>
      </c>
    </row>
    <row r="140" spans="1:9" ht="12" customHeight="1" thickBot="1" x14ac:dyDescent="0.25">
      <c r="A140" s="1" t="s">
        <v>29</v>
      </c>
      <c r="B140" s="1" t="s">
        <v>12</v>
      </c>
      <c r="C140" s="1" t="s">
        <v>11</v>
      </c>
      <c r="D140" s="5">
        <v>45885</v>
      </c>
      <c r="E140" s="6">
        <v>16703135686</v>
      </c>
      <c r="F140" s="6">
        <v>12321416701</v>
      </c>
      <c r="G140" s="6">
        <v>4381718985</v>
      </c>
      <c r="H140" s="6">
        <v>12207811001</v>
      </c>
      <c r="I140" s="7">
        <v>4495324685</v>
      </c>
    </row>
    <row r="141" spans="1:9" ht="12" customHeight="1" thickBot="1" x14ac:dyDescent="0.25">
      <c r="A141" s="1" t="s">
        <v>29</v>
      </c>
      <c r="B141" s="1" t="s">
        <v>12</v>
      </c>
      <c r="C141" s="1" t="s">
        <v>11</v>
      </c>
      <c r="D141" s="5">
        <v>45886</v>
      </c>
      <c r="E141" s="6">
        <v>16701920826</v>
      </c>
      <c r="F141" s="6">
        <v>12321414701</v>
      </c>
      <c r="G141" s="6">
        <v>4380506125</v>
      </c>
      <c r="H141" s="6">
        <v>12217390853</v>
      </c>
      <c r="I141" s="7">
        <v>4484529973</v>
      </c>
    </row>
    <row r="142" spans="1:9" ht="12" customHeight="1" thickBot="1" x14ac:dyDescent="0.25">
      <c r="A142" s="1" t="s">
        <v>29</v>
      </c>
      <c r="B142" s="1" t="s">
        <v>12</v>
      </c>
      <c r="C142" s="1" t="s">
        <v>11</v>
      </c>
      <c r="D142" s="5">
        <v>45887</v>
      </c>
      <c r="E142" s="6">
        <v>16672790607</v>
      </c>
      <c r="F142" s="6">
        <v>12296155028</v>
      </c>
      <c r="G142" s="6">
        <v>4376635579</v>
      </c>
      <c r="H142" s="6">
        <v>12197327684</v>
      </c>
      <c r="I142" s="7">
        <v>4475462923</v>
      </c>
    </row>
    <row r="143" spans="1:9" ht="12" customHeight="1" thickBot="1" x14ac:dyDescent="0.25">
      <c r="A143" s="1" t="s">
        <v>29</v>
      </c>
      <c r="B143" s="1" t="s">
        <v>12</v>
      </c>
      <c r="C143" s="1" t="s">
        <v>11</v>
      </c>
      <c r="D143" s="5">
        <v>45888</v>
      </c>
      <c r="E143" s="6">
        <v>16646667716</v>
      </c>
      <c r="F143" s="6">
        <v>12321641378</v>
      </c>
      <c r="G143" s="6">
        <v>4325026338</v>
      </c>
      <c r="H143" s="6">
        <v>12185127291</v>
      </c>
      <c r="I143" s="7">
        <v>4461540425</v>
      </c>
    </row>
    <row r="144" spans="1:9" ht="12" customHeight="1" thickBot="1" x14ac:dyDescent="0.25">
      <c r="A144" s="1" t="s">
        <v>29</v>
      </c>
      <c r="B144" s="1" t="s">
        <v>12</v>
      </c>
      <c r="C144" s="1" t="s">
        <v>11</v>
      </c>
      <c r="D144" s="5">
        <v>45889</v>
      </c>
      <c r="E144" s="6">
        <v>16619981400</v>
      </c>
      <c r="F144" s="6">
        <v>12312155796</v>
      </c>
      <c r="G144" s="6">
        <v>4307825604</v>
      </c>
      <c r="H144" s="6">
        <v>12184527291</v>
      </c>
      <c r="I144" s="7">
        <v>4435454109</v>
      </c>
    </row>
    <row r="145" spans="1:9" ht="12" customHeight="1" thickBot="1" x14ac:dyDescent="0.25">
      <c r="A145" s="1" t="s">
        <v>29</v>
      </c>
      <c r="B145" s="1" t="s">
        <v>12</v>
      </c>
      <c r="C145" s="1" t="s">
        <v>11</v>
      </c>
      <c r="D145" s="5">
        <v>45890</v>
      </c>
      <c r="E145" s="6">
        <v>16600869106</v>
      </c>
      <c r="F145" s="6">
        <v>12316435972</v>
      </c>
      <c r="G145" s="6">
        <v>4284433134</v>
      </c>
      <c r="H145" s="6">
        <v>12184378064</v>
      </c>
      <c r="I145" s="7">
        <v>4416491042</v>
      </c>
    </row>
    <row r="146" spans="1:9" ht="12" customHeight="1" thickBot="1" x14ac:dyDescent="0.25">
      <c r="A146" s="1" t="s">
        <v>29</v>
      </c>
      <c r="B146" s="1" t="s">
        <v>12</v>
      </c>
      <c r="C146" s="1" t="s">
        <v>11</v>
      </c>
      <c r="D146" s="5">
        <v>45891</v>
      </c>
      <c r="E146" s="6">
        <v>16577352428</v>
      </c>
      <c r="F146" s="6">
        <v>12357088199</v>
      </c>
      <c r="G146" s="6">
        <v>4220264229</v>
      </c>
      <c r="H146" s="6">
        <v>12184348064</v>
      </c>
      <c r="I146" s="7">
        <v>4393004364</v>
      </c>
    </row>
    <row r="147" spans="1:9" ht="12" customHeight="1" thickBot="1" x14ac:dyDescent="0.25">
      <c r="A147" s="1" t="s">
        <v>29</v>
      </c>
      <c r="B147" s="1" t="s">
        <v>12</v>
      </c>
      <c r="C147" s="1" t="s">
        <v>11</v>
      </c>
      <c r="D147" s="5">
        <v>45892</v>
      </c>
      <c r="E147" s="6">
        <v>16553942866</v>
      </c>
      <c r="F147" s="6">
        <v>12346218331</v>
      </c>
      <c r="G147" s="6">
        <v>4207724535</v>
      </c>
      <c r="H147" s="6">
        <v>12199305490</v>
      </c>
      <c r="I147" s="7">
        <v>4354637376</v>
      </c>
    </row>
    <row r="148" spans="1:9" ht="12" customHeight="1" thickBot="1" x14ac:dyDescent="0.25">
      <c r="A148" s="1" t="s">
        <v>29</v>
      </c>
      <c r="B148" s="1" t="s">
        <v>12</v>
      </c>
      <c r="C148" s="1" t="s">
        <v>11</v>
      </c>
      <c r="D148" s="5">
        <v>45893</v>
      </c>
      <c r="E148" s="6">
        <v>16547882548</v>
      </c>
      <c r="F148" s="6">
        <v>12389994357</v>
      </c>
      <c r="G148" s="6">
        <v>4157888191</v>
      </c>
      <c r="H148" s="6">
        <v>12201578935</v>
      </c>
      <c r="I148" s="7">
        <v>4346303613</v>
      </c>
    </row>
    <row r="149" spans="1:9" ht="12" customHeight="1" thickBot="1" x14ac:dyDescent="0.25">
      <c r="A149" s="1" t="s">
        <v>29</v>
      </c>
      <c r="B149" s="1" t="s">
        <v>12</v>
      </c>
      <c r="C149" s="1" t="s">
        <v>11</v>
      </c>
      <c r="D149" s="5">
        <v>45894</v>
      </c>
      <c r="E149" s="6">
        <v>16504978648</v>
      </c>
      <c r="F149" s="6">
        <v>12365940261</v>
      </c>
      <c r="G149" s="6">
        <v>4139038387</v>
      </c>
      <c r="H149" s="6">
        <v>12217433522</v>
      </c>
      <c r="I149" s="7">
        <v>4287545126</v>
      </c>
    </row>
    <row r="150" spans="1:9" ht="12" customHeight="1" thickBot="1" x14ac:dyDescent="0.25">
      <c r="A150" s="1" t="s">
        <v>29</v>
      </c>
      <c r="B150" s="1" t="s">
        <v>12</v>
      </c>
      <c r="C150" s="1" t="s">
        <v>11</v>
      </c>
      <c r="D150" s="5">
        <v>45895</v>
      </c>
      <c r="E150" s="6">
        <v>16451401544</v>
      </c>
      <c r="F150" s="6">
        <v>12386669662</v>
      </c>
      <c r="G150" s="6">
        <v>4064731882</v>
      </c>
      <c r="H150" s="6">
        <v>12221920409</v>
      </c>
      <c r="I150" s="7">
        <v>4229481135</v>
      </c>
    </row>
    <row r="151" spans="1:9" ht="12" customHeight="1" thickBot="1" x14ac:dyDescent="0.25">
      <c r="A151" s="1" t="s">
        <v>29</v>
      </c>
      <c r="B151" s="1" t="s">
        <v>12</v>
      </c>
      <c r="C151" s="1" t="s">
        <v>11</v>
      </c>
      <c r="D151" s="5">
        <v>45896</v>
      </c>
      <c r="E151" s="6">
        <v>16436393963</v>
      </c>
      <c r="F151" s="6">
        <v>12371664332</v>
      </c>
      <c r="G151" s="6">
        <v>4064729631</v>
      </c>
      <c r="H151" s="6">
        <v>12221531677</v>
      </c>
      <c r="I151" s="7">
        <v>4214862286</v>
      </c>
    </row>
    <row r="152" spans="1:9" ht="12" customHeight="1" thickBot="1" x14ac:dyDescent="0.25">
      <c r="A152" s="1" t="s">
        <v>29</v>
      </c>
      <c r="B152" s="1" t="s">
        <v>12</v>
      </c>
      <c r="C152" s="1" t="s">
        <v>11</v>
      </c>
      <c r="D152" s="5">
        <v>45897</v>
      </c>
      <c r="E152" s="6">
        <v>16359847122</v>
      </c>
      <c r="F152" s="6">
        <v>12384294704</v>
      </c>
      <c r="G152" s="6">
        <v>3975552418</v>
      </c>
      <c r="H152" s="6">
        <v>12215286364</v>
      </c>
      <c r="I152" s="7">
        <v>4144560758</v>
      </c>
    </row>
    <row r="153" spans="1:9" ht="12" customHeight="1" thickBot="1" x14ac:dyDescent="0.25">
      <c r="A153" s="1" t="s">
        <v>29</v>
      </c>
      <c r="B153" s="1" t="s">
        <v>12</v>
      </c>
      <c r="C153" s="1" t="s">
        <v>11</v>
      </c>
      <c r="D153" s="5">
        <v>45898</v>
      </c>
      <c r="E153" s="6">
        <v>16350626660</v>
      </c>
      <c r="F153" s="6">
        <v>12432420524</v>
      </c>
      <c r="G153" s="6">
        <v>3918206136</v>
      </c>
      <c r="H153" s="6">
        <v>12243187137</v>
      </c>
      <c r="I153" s="7">
        <v>4107439523</v>
      </c>
    </row>
    <row r="154" spans="1:9" ht="12" customHeight="1" thickBot="1" x14ac:dyDescent="0.25">
      <c r="A154" s="1" t="s">
        <v>29</v>
      </c>
      <c r="B154" s="1" t="s">
        <v>12</v>
      </c>
      <c r="C154" s="1" t="s">
        <v>11</v>
      </c>
      <c r="D154" s="5">
        <v>45899</v>
      </c>
      <c r="E154" s="6">
        <v>16346934397</v>
      </c>
      <c r="F154" s="6">
        <v>12400672225</v>
      </c>
      <c r="G154" s="6">
        <v>3946262172</v>
      </c>
      <c r="H154" s="6">
        <v>12243272831</v>
      </c>
      <c r="I154" s="7">
        <v>4103661566</v>
      </c>
    </row>
    <row r="155" spans="1:9" ht="12" customHeight="1" thickBot="1" x14ac:dyDescent="0.25">
      <c r="A155" s="1" t="s">
        <v>29</v>
      </c>
      <c r="B155" s="1" t="s">
        <v>12</v>
      </c>
      <c r="C155" s="1" t="s">
        <v>11</v>
      </c>
      <c r="D155" s="5">
        <v>45900</v>
      </c>
      <c r="E155" s="6">
        <v>16346934397</v>
      </c>
      <c r="F155" s="6">
        <v>12400672225</v>
      </c>
      <c r="G155" s="6">
        <v>3946262172</v>
      </c>
      <c r="H155" s="6">
        <v>12243272831</v>
      </c>
      <c r="I155" s="7">
        <v>4103661566</v>
      </c>
    </row>
    <row r="156" spans="1:9" ht="12" customHeight="1" thickBot="1" x14ac:dyDescent="0.25">
      <c r="A156" s="1" t="s">
        <v>29</v>
      </c>
      <c r="B156" s="1" t="s">
        <v>12</v>
      </c>
      <c r="C156" s="1" t="s">
        <v>11</v>
      </c>
      <c r="D156" s="5">
        <v>45901</v>
      </c>
      <c r="E156" s="6">
        <v>16345894604</v>
      </c>
      <c r="F156" s="6">
        <v>12398556344</v>
      </c>
      <c r="G156" s="6">
        <v>3947338260</v>
      </c>
      <c r="H156" s="6">
        <v>12250238791</v>
      </c>
      <c r="I156" s="7">
        <v>4095655813</v>
      </c>
    </row>
    <row r="157" spans="1:9" ht="12" customHeight="1" thickBot="1" x14ac:dyDescent="0.25">
      <c r="A157" s="1" t="s">
        <v>29</v>
      </c>
      <c r="B157" s="1" t="s">
        <v>12</v>
      </c>
      <c r="C157" s="1" t="s">
        <v>11</v>
      </c>
      <c r="D157" s="5">
        <v>45902</v>
      </c>
      <c r="E157" s="6">
        <v>16336850470</v>
      </c>
      <c r="F157" s="6">
        <v>12352351255</v>
      </c>
      <c r="G157" s="6">
        <v>3984499215</v>
      </c>
      <c r="H157" s="6">
        <v>12231638303</v>
      </c>
      <c r="I157" s="7">
        <v>4105212167</v>
      </c>
    </row>
    <row r="158" spans="1:9" ht="12" customHeight="1" thickBot="1" x14ac:dyDescent="0.25">
      <c r="A158" s="1" t="s">
        <v>29</v>
      </c>
      <c r="B158" s="1" t="s">
        <v>12</v>
      </c>
      <c r="C158" s="1" t="s">
        <v>11</v>
      </c>
      <c r="D158" s="5">
        <v>45903</v>
      </c>
      <c r="E158" s="6">
        <v>16279005658</v>
      </c>
      <c r="F158" s="6">
        <v>12351602204</v>
      </c>
      <c r="G158" s="6">
        <v>3927403454</v>
      </c>
      <c r="H158" s="6">
        <v>12250067124</v>
      </c>
      <c r="I158" s="7">
        <v>4028938534</v>
      </c>
    </row>
    <row r="159" spans="1:9" ht="12" customHeight="1" thickBot="1" x14ac:dyDescent="0.25">
      <c r="A159" s="1" t="s">
        <v>29</v>
      </c>
      <c r="B159" s="1" t="s">
        <v>12</v>
      </c>
      <c r="C159" s="1" t="s">
        <v>11</v>
      </c>
      <c r="D159" s="5">
        <v>45904</v>
      </c>
      <c r="E159" s="6">
        <v>16249458859</v>
      </c>
      <c r="F159" s="6">
        <v>12421167977</v>
      </c>
      <c r="G159" s="6">
        <v>3828290882</v>
      </c>
      <c r="H159" s="6">
        <v>12249847124</v>
      </c>
      <c r="I159" s="7">
        <v>3999611735</v>
      </c>
    </row>
    <row r="160" spans="1:9" ht="12" customHeight="1" thickBot="1" x14ac:dyDescent="0.25">
      <c r="A160" s="1" t="s">
        <v>29</v>
      </c>
      <c r="B160" s="1" t="s">
        <v>12</v>
      </c>
      <c r="C160" s="1" t="s">
        <v>11</v>
      </c>
      <c r="D160" s="5">
        <v>45905</v>
      </c>
      <c r="E160" s="6">
        <v>16228579443</v>
      </c>
      <c r="F160" s="6">
        <v>12419792834</v>
      </c>
      <c r="G160" s="6">
        <v>3808786609</v>
      </c>
      <c r="H160" s="6">
        <v>12252636919</v>
      </c>
      <c r="I160" s="7">
        <v>3975942524</v>
      </c>
    </row>
    <row r="161" spans="1:9" ht="12" customHeight="1" thickBot="1" x14ac:dyDescent="0.25">
      <c r="A161" s="1" t="s">
        <v>29</v>
      </c>
      <c r="B161" s="1" t="s">
        <v>12</v>
      </c>
      <c r="C161" s="1" t="s">
        <v>11</v>
      </c>
      <c r="D161" s="5">
        <v>45906</v>
      </c>
      <c r="E161" s="6">
        <v>16217394573</v>
      </c>
      <c r="F161" s="6">
        <v>12390714877</v>
      </c>
      <c r="G161" s="6">
        <v>3826679696</v>
      </c>
      <c r="H161" s="6">
        <v>12255853049</v>
      </c>
      <c r="I161" s="7">
        <v>3961541524</v>
      </c>
    </row>
    <row r="162" spans="1:9" ht="12" customHeight="1" thickBot="1" x14ac:dyDescent="0.25">
      <c r="A162" s="1" t="s">
        <v>29</v>
      </c>
      <c r="B162" s="1" t="s">
        <v>12</v>
      </c>
      <c r="C162" s="1" t="s">
        <v>11</v>
      </c>
      <c r="D162" s="5">
        <v>45907</v>
      </c>
      <c r="E162" s="6">
        <v>16207103360</v>
      </c>
      <c r="F162" s="6">
        <v>12414301063</v>
      </c>
      <c r="G162" s="6">
        <v>3792802297</v>
      </c>
      <c r="H162" s="6">
        <v>12253114936</v>
      </c>
      <c r="I162" s="7">
        <v>3953988424</v>
      </c>
    </row>
    <row r="163" spans="1:9" ht="12" customHeight="1" thickBot="1" x14ac:dyDescent="0.25">
      <c r="A163" s="1" t="s">
        <v>29</v>
      </c>
      <c r="B163" s="1" t="s">
        <v>12</v>
      </c>
      <c r="C163" s="1" t="s">
        <v>11</v>
      </c>
      <c r="D163" s="5">
        <v>45908</v>
      </c>
      <c r="E163" s="6">
        <v>16151012492</v>
      </c>
      <c r="F163" s="6">
        <v>12382025715</v>
      </c>
      <c r="G163" s="6">
        <v>3768986777</v>
      </c>
      <c r="H163" s="6">
        <v>12289701575</v>
      </c>
      <c r="I163" s="7">
        <v>3861310917</v>
      </c>
    </row>
    <row r="164" spans="1:9" ht="12" customHeight="1" thickBot="1" x14ac:dyDescent="0.25">
      <c r="A164" s="1" t="s">
        <v>29</v>
      </c>
      <c r="B164" s="1" t="s">
        <v>12</v>
      </c>
      <c r="C164" s="1" t="s">
        <v>11</v>
      </c>
      <c r="D164" s="5">
        <v>45909</v>
      </c>
      <c r="E164" s="6">
        <v>16121286380</v>
      </c>
      <c r="F164" s="6">
        <v>12382559942</v>
      </c>
      <c r="G164" s="6">
        <v>3738726438</v>
      </c>
      <c r="H164" s="6">
        <v>12252266666</v>
      </c>
      <c r="I164" s="7">
        <v>3869019714</v>
      </c>
    </row>
    <row r="165" spans="1:9" ht="12" customHeight="1" thickBot="1" x14ac:dyDescent="0.25">
      <c r="A165" s="1" t="s">
        <v>29</v>
      </c>
      <c r="B165" s="1" t="s">
        <v>12</v>
      </c>
      <c r="C165" s="1" t="s">
        <v>11</v>
      </c>
      <c r="D165" s="5">
        <v>45910</v>
      </c>
      <c r="E165" s="6">
        <v>16112065048</v>
      </c>
      <c r="F165" s="6">
        <v>12375622072</v>
      </c>
      <c r="G165" s="6">
        <v>3736442976</v>
      </c>
      <c r="H165" s="6">
        <v>12243797919</v>
      </c>
      <c r="I165" s="7">
        <v>3868267129</v>
      </c>
    </row>
    <row r="166" spans="1:9" ht="12" customHeight="1" thickBot="1" x14ac:dyDescent="0.25">
      <c r="A166" s="1" t="s">
        <v>29</v>
      </c>
      <c r="B166" s="1" t="s">
        <v>12</v>
      </c>
      <c r="C166" s="1" t="s">
        <v>11</v>
      </c>
      <c r="D166" s="5">
        <v>45911</v>
      </c>
      <c r="E166" s="6">
        <v>16091542713</v>
      </c>
      <c r="F166" s="6">
        <v>12371377032</v>
      </c>
      <c r="G166" s="6">
        <v>3720165681</v>
      </c>
      <c r="H166" s="6">
        <v>12243267919</v>
      </c>
      <c r="I166" s="7">
        <v>3848274794</v>
      </c>
    </row>
    <row r="167" spans="1:9" ht="12" customHeight="1" thickBot="1" x14ac:dyDescent="0.25">
      <c r="A167" s="1" t="s">
        <v>29</v>
      </c>
      <c r="B167" s="1" t="s">
        <v>12</v>
      </c>
      <c r="C167" s="1" t="s">
        <v>11</v>
      </c>
      <c r="D167" s="5">
        <v>45912</v>
      </c>
      <c r="E167" s="6">
        <v>16072727716</v>
      </c>
      <c r="F167" s="6">
        <v>12375258058</v>
      </c>
      <c r="G167" s="6">
        <v>3697469658</v>
      </c>
      <c r="H167" s="6">
        <v>12243267919</v>
      </c>
      <c r="I167" s="7">
        <v>3829459797</v>
      </c>
    </row>
    <row r="168" spans="1:9" ht="12" customHeight="1" thickBot="1" x14ac:dyDescent="0.25">
      <c r="A168" s="1" t="s">
        <v>29</v>
      </c>
      <c r="B168" s="1" t="s">
        <v>12</v>
      </c>
      <c r="C168" s="1" t="s">
        <v>11</v>
      </c>
      <c r="D168" s="5">
        <v>45913</v>
      </c>
      <c r="E168" s="6">
        <v>16049559936</v>
      </c>
      <c r="F168" s="6">
        <v>12380673517</v>
      </c>
      <c r="G168" s="6">
        <v>3668886419</v>
      </c>
      <c r="H168" s="6">
        <v>12239127686</v>
      </c>
      <c r="I168" s="7">
        <v>3810432250</v>
      </c>
    </row>
    <row r="169" spans="1:9" ht="12" customHeight="1" thickBot="1" x14ac:dyDescent="0.25">
      <c r="A169" s="1" t="s">
        <v>29</v>
      </c>
      <c r="B169" s="1" t="s">
        <v>12</v>
      </c>
      <c r="C169" s="1" t="s">
        <v>11</v>
      </c>
      <c r="D169" s="5">
        <v>45914</v>
      </c>
      <c r="E169" s="6">
        <v>16040861253</v>
      </c>
      <c r="F169" s="6">
        <v>12377404173</v>
      </c>
      <c r="G169" s="6">
        <v>3663457080</v>
      </c>
      <c r="H169" s="6">
        <v>12266328939</v>
      </c>
      <c r="I169" s="7">
        <v>3774532314</v>
      </c>
    </row>
    <row r="170" spans="1:9" ht="12" customHeight="1" thickBot="1" x14ac:dyDescent="0.25">
      <c r="A170" s="1" t="s">
        <v>29</v>
      </c>
      <c r="B170" s="1" t="s">
        <v>12</v>
      </c>
      <c r="C170" s="1" t="s">
        <v>11</v>
      </c>
      <c r="D170" s="5">
        <v>45915</v>
      </c>
      <c r="E170" s="6">
        <v>16007436918</v>
      </c>
      <c r="F170" s="6">
        <v>12370262169</v>
      </c>
      <c r="G170" s="6">
        <v>3637174749</v>
      </c>
      <c r="H170" s="6">
        <v>12265694724</v>
      </c>
      <c r="I170" s="7">
        <v>3741742194</v>
      </c>
    </row>
    <row r="171" spans="1:9" ht="12" customHeight="1" thickBot="1" x14ac:dyDescent="0.25">
      <c r="A171" s="1" t="s">
        <v>29</v>
      </c>
      <c r="B171" s="1" t="s">
        <v>12</v>
      </c>
      <c r="C171" s="1" t="s">
        <v>11</v>
      </c>
      <c r="D171" s="5">
        <v>45916</v>
      </c>
      <c r="E171" s="6">
        <v>16013727085</v>
      </c>
      <c r="F171" s="6">
        <v>12369197697</v>
      </c>
      <c r="G171" s="6">
        <v>3644529388</v>
      </c>
      <c r="H171" s="6">
        <v>12276164579</v>
      </c>
      <c r="I171" s="7">
        <v>3737562506</v>
      </c>
    </row>
    <row r="172" spans="1:9" ht="12" customHeight="1" thickBot="1" x14ac:dyDescent="0.25">
      <c r="A172" s="1" t="s">
        <v>29</v>
      </c>
      <c r="B172" s="1" t="s">
        <v>12</v>
      </c>
      <c r="C172" s="1" t="s">
        <v>11</v>
      </c>
      <c r="D172" s="5">
        <v>45917</v>
      </c>
      <c r="E172" s="6">
        <v>15980019772</v>
      </c>
      <c r="F172" s="6">
        <v>12370313759</v>
      </c>
      <c r="G172" s="6">
        <v>3609706013</v>
      </c>
      <c r="H172" s="6">
        <v>12271448707</v>
      </c>
      <c r="I172" s="7">
        <v>3708571065</v>
      </c>
    </row>
    <row r="173" spans="1:9" ht="12" customHeight="1" thickBot="1" x14ac:dyDescent="0.25">
      <c r="A173" s="1" t="s">
        <v>29</v>
      </c>
      <c r="B173" s="1" t="s">
        <v>12</v>
      </c>
      <c r="C173" s="1" t="s">
        <v>11</v>
      </c>
      <c r="D173" s="5">
        <v>45918</v>
      </c>
      <c r="E173" s="6">
        <v>15960867618</v>
      </c>
      <c r="F173" s="6">
        <v>12357043569</v>
      </c>
      <c r="G173" s="6">
        <v>3603824049</v>
      </c>
      <c r="H173" s="6">
        <v>12263037089</v>
      </c>
      <c r="I173" s="7">
        <v>3697830529</v>
      </c>
    </row>
    <row r="174" spans="1:9" ht="12" customHeight="1" thickBot="1" x14ac:dyDescent="0.25">
      <c r="A174" s="1" t="s">
        <v>29</v>
      </c>
      <c r="B174" s="1" t="s">
        <v>12</v>
      </c>
      <c r="C174" s="1" t="s">
        <v>11</v>
      </c>
      <c r="D174" s="5">
        <v>45919</v>
      </c>
      <c r="E174" s="6">
        <v>15940649594</v>
      </c>
      <c r="F174" s="6">
        <v>12362386573</v>
      </c>
      <c r="G174" s="6">
        <v>3578263021</v>
      </c>
      <c r="H174" s="6">
        <v>12273201013</v>
      </c>
      <c r="I174" s="7">
        <v>3667448581</v>
      </c>
    </row>
    <row r="175" spans="1:9" ht="12" customHeight="1" thickBot="1" x14ac:dyDescent="0.25">
      <c r="A175" s="1" t="s">
        <v>29</v>
      </c>
      <c r="B175" s="1" t="s">
        <v>12</v>
      </c>
      <c r="C175" s="1" t="s">
        <v>11</v>
      </c>
      <c r="D175" s="5">
        <v>45920</v>
      </c>
      <c r="E175" s="6">
        <v>15919611734</v>
      </c>
      <c r="F175" s="6">
        <v>12361850146</v>
      </c>
      <c r="G175" s="6">
        <v>3557761588</v>
      </c>
      <c r="H175" s="6">
        <v>12273201013</v>
      </c>
      <c r="I175" s="7">
        <v>3646410721</v>
      </c>
    </row>
    <row r="176" spans="1:9" ht="12" customHeight="1" thickBot="1" x14ac:dyDescent="0.25">
      <c r="A176" s="1" t="s">
        <v>29</v>
      </c>
      <c r="B176" s="1" t="s">
        <v>12</v>
      </c>
      <c r="C176" s="1" t="s">
        <v>11</v>
      </c>
      <c r="D176" s="5">
        <v>45921</v>
      </c>
      <c r="E176" s="6">
        <v>15915031486</v>
      </c>
      <c r="F176" s="6">
        <v>12350286429</v>
      </c>
      <c r="G176" s="6">
        <v>3564745057</v>
      </c>
      <c r="H176" s="6">
        <v>12263943183</v>
      </c>
      <c r="I176" s="7">
        <v>3651088303</v>
      </c>
    </row>
    <row r="177" spans="1:9" ht="12" customHeight="1" thickBot="1" x14ac:dyDescent="0.25">
      <c r="A177" s="1" t="s">
        <v>29</v>
      </c>
      <c r="B177" s="1" t="s">
        <v>12</v>
      </c>
      <c r="C177" s="1" t="s">
        <v>11</v>
      </c>
      <c r="D177" s="5">
        <v>45922</v>
      </c>
      <c r="E177" s="6">
        <v>15884296533</v>
      </c>
      <c r="F177" s="6">
        <v>12350273429</v>
      </c>
      <c r="G177" s="6">
        <v>3534023104</v>
      </c>
      <c r="H177" s="6">
        <v>12271702809</v>
      </c>
      <c r="I177" s="7">
        <v>3612593724</v>
      </c>
    </row>
    <row r="178" spans="1:9" ht="12" customHeight="1" thickBot="1" x14ac:dyDescent="0.25">
      <c r="A178" s="1" t="s">
        <v>29</v>
      </c>
      <c r="B178" s="1" t="s">
        <v>12</v>
      </c>
      <c r="C178" s="1" t="s">
        <v>11</v>
      </c>
      <c r="D178" s="5">
        <v>45923</v>
      </c>
      <c r="E178" s="6">
        <v>15880631092</v>
      </c>
      <c r="F178" s="6">
        <v>12418432488</v>
      </c>
      <c r="G178" s="6">
        <v>3462198604</v>
      </c>
      <c r="H178" s="6">
        <v>12279520048</v>
      </c>
      <c r="I178" s="7">
        <v>3601111044</v>
      </c>
    </row>
    <row r="179" spans="1:9" ht="12" customHeight="1" thickBot="1" x14ac:dyDescent="0.25">
      <c r="A179" s="1" t="s">
        <v>29</v>
      </c>
      <c r="B179" s="1" t="s">
        <v>12</v>
      </c>
      <c r="C179" s="1" t="s">
        <v>11</v>
      </c>
      <c r="D179" s="5">
        <v>45924</v>
      </c>
      <c r="E179" s="6">
        <v>15854920994</v>
      </c>
      <c r="F179" s="6">
        <v>12424747900</v>
      </c>
      <c r="G179" s="6">
        <v>3430173094</v>
      </c>
      <c r="H179" s="6">
        <v>12293732441</v>
      </c>
      <c r="I179" s="7">
        <v>3561188553</v>
      </c>
    </row>
    <row r="180" spans="1:9" ht="12" customHeight="1" thickBot="1" x14ac:dyDescent="0.25">
      <c r="A180" s="1" t="s">
        <v>29</v>
      </c>
      <c r="B180" s="1" t="s">
        <v>12</v>
      </c>
      <c r="C180" s="1" t="s">
        <v>11</v>
      </c>
      <c r="D180" s="5">
        <v>45925</v>
      </c>
      <c r="E180" s="6">
        <v>15836609818</v>
      </c>
      <c r="F180" s="6">
        <v>12404300454</v>
      </c>
      <c r="G180" s="6">
        <v>3432309364</v>
      </c>
      <c r="H180" s="6">
        <v>12273864299</v>
      </c>
      <c r="I180" s="7">
        <v>3562745519</v>
      </c>
    </row>
    <row r="181" spans="1:9" ht="12" customHeight="1" thickBot="1" x14ac:dyDescent="0.25">
      <c r="A181" s="1" t="s">
        <v>29</v>
      </c>
      <c r="B181" s="1" t="s">
        <v>12</v>
      </c>
      <c r="C181" s="1" t="s">
        <v>11</v>
      </c>
      <c r="D181" s="5">
        <v>45926</v>
      </c>
      <c r="E181" s="6">
        <v>15811254028</v>
      </c>
      <c r="F181" s="6">
        <v>12393084816</v>
      </c>
      <c r="G181" s="6">
        <v>3418169212</v>
      </c>
      <c r="H181" s="6">
        <v>12290087375</v>
      </c>
      <c r="I181" s="7">
        <v>3521166653</v>
      </c>
    </row>
    <row r="182" spans="1:9" ht="12" customHeight="1" thickBot="1" x14ac:dyDescent="0.25">
      <c r="A182" s="1" t="s">
        <v>29</v>
      </c>
      <c r="B182" s="1" t="s">
        <v>12</v>
      </c>
      <c r="C182" s="1" t="s">
        <v>11</v>
      </c>
      <c r="D182" s="5">
        <v>45927</v>
      </c>
      <c r="E182" s="6">
        <v>15795886303</v>
      </c>
      <c r="F182" s="6">
        <v>12396206736</v>
      </c>
      <c r="G182" s="6">
        <v>3399679567</v>
      </c>
      <c r="H182" s="6">
        <v>12285441561</v>
      </c>
      <c r="I182" s="7">
        <v>3510444742</v>
      </c>
    </row>
    <row r="183" spans="1:9" ht="12" customHeight="1" thickBot="1" x14ac:dyDescent="0.25">
      <c r="A183" s="1" t="s">
        <v>29</v>
      </c>
      <c r="B183" s="1" t="s">
        <v>12</v>
      </c>
      <c r="C183" s="1" t="s">
        <v>11</v>
      </c>
      <c r="D183" s="5">
        <v>45928</v>
      </c>
      <c r="E183" s="6">
        <v>15794415339</v>
      </c>
      <c r="F183" s="6">
        <v>12396250953</v>
      </c>
      <c r="G183" s="6">
        <v>3398164386</v>
      </c>
      <c r="H183" s="6">
        <v>12284657218</v>
      </c>
      <c r="I183" s="7">
        <v>3509758121</v>
      </c>
    </row>
    <row r="184" spans="1:9" ht="12" customHeight="1" thickBot="1" x14ac:dyDescent="0.25">
      <c r="A184" s="1" t="s">
        <v>29</v>
      </c>
      <c r="B184" s="1" t="s">
        <v>12</v>
      </c>
      <c r="C184" s="1" t="s">
        <v>11</v>
      </c>
      <c r="D184" s="5">
        <v>45929</v>
      </c>
      <c r="E184" s="6">
        <v>15727029452</v>
      </c>
      <c r="F184" s="6">
        <v>12372249657</v>
      </c>
      <c r="G184" s="6">
        <v>3354779795</v>
      </c>
      <c r="H184" s="6">
        <v>12268907218</v>
      </c>
      <c r="I184" s="7">
        <v>3458122234</v>
      </c>
    </row>
    <row r="185" spans="1:9" ht="12" customHeight="1" thickBot="1" x14ac:dyDescent="0.25">
      <c r="A185" s="1" t="s">
        <v>29</v>
      </c>
      <c r="B185" s="1" t="s">
        <v>12</v>
      </c>
      <c r="C185" s="1" t="s">
        <v>11</v>
      </c>
      <c r="D185" s="5">
        <v>45930</v>
      </c>
      <c r="E185" s="6">
        <v>15713816080</v>
      </c>
      <c r="F185" s="6">
        <v>12408649540</v>
      </c>
      <c r="G185" s="6">
        <v>3305166540</v>
      </c>
      <c r="H185" s="6">
        <v>12267838457</v>
      </c>
      <c r="I185" s="7">
        <v>3445977623</v>
      </c>
    </row>
    <row r="186" spans="1:9" ht="12" customHeight="1" thickBot="1" x14ac:dyDescent="0.25">
      <c r="A186" s="1" t="s">
        <v>30</v>
      </c>
      <c r="B186" s="1" t="s">
        <v>31</v>
      </c>
      <c r="C186" s="1" t="s">
        <v>11</v>
      </c>
      <c r="D186" s="5">
        <v>45839</v>
      </c>
      <c r="E186" s="6">
        <v>13156848792</v>
      </c>
      <c r="F186" s="6">
        <v>3729223138</v>
      </c>
      <c r="G186" s="6">
        <v>9427625654</v>
      </c>
      <c r="H186" s="6">
        <v>3729223138</v>
      </c>
      <c r="I186" s="7">
        <v>9427625654</v>
      </c>
    </row>
    <row r="187" spans="1:9" ht="12" customHeight="1" thickBot="1" x14ac:dyDescent="0.25">
      <c r="A187" s="1" t="s">
        <v>30</v>
      </c>
      <c r="B187" s="1" t="s">
        <v>31</v>
      </c>
      <c r="C187" s="1" t="s">
        <v>11</v>
      </c>
      <c r="D187" s="5">
        <v>45840</v>
      </c>
      <c r="E187" s="6">
        <v>13170087242</v>
      </c>
      <c r="F187" s="6">
        <v>3718465381</v>
      </c>
      <c r="G187" s="6">
        <v>9451621861</v>
      </c>
      <c r="H187" s="6">
        <v>3718465381</v>
      </c>
      <c r="I187" s="7">
        <v>9451621861</v>
      </c>
    </row>
    <row r="188" spans="1:9" ht="12" customHeight="1" thickBot="1" x14ac:dyDescent="0.25">
      <c r="A188" s="1" t="s">
        <v>30</v>
      </c>
      <c r="B188" s="1" t="s">
        <v>31</v>
      </c>
      <c r="C188" s="1" t="s">
        <v>11</v>
      </c>
      <c r="D188" s="5">
        <v>45841</v>
      </c>
      <c r="E188" s="6">
        <v>13125190782</v>
      </c>
      <c r="F188" s="6">
        <v>3711081182</v>
      </c>
      <c r="G188" s="6">
        <v>9414109600</v>
      </c>
      <c r="H188" s="6">
        <v>3711081182</v>
      </c>
      <c r="I188" s="7">
        <v>9414109600</v>
      </c>
    </row>
    <row r="189" spans="1:9" ht="12" customHeight="1" thickBot="1" x14ac:dyDescent="0.25">
      <c r="A189" s="1" t="s">
        <v>30</v>
      </c>
      <c r="B189" s="1" t="s">
        <v>31</v>
      </c>
      <c r="C189" s="1" t="s">
        <v>11</v>
      </c>
      <c r="D189" s="5">
        <v>45842</v>
      </c>
      <c r="E189" s="6">
        <v>12960882660</v>
      </c>
      <c r="F189" s="6">
        <v>3694961902</v>
      </c>
      <c r="G189" s="6">
        <v>9265920758</v>
      </c>
      <c r="H189" s="6">
        <v>3694961902</v>
      </c>
      <c r="I189" s="7">
        <v>9265920758</v>
      </c>
    </row>
    <row r="190" spans="1:9" ht="12" customHeight="1" thickBot="1" x14ac:dyDescent="0.25">
      <c r="A190" s="1" t="s">
        <v>30</v>
      </c>
      <c r="B190" s="1" t="s">
        <v>31</v>
      </c>
      <c r="C190" s="1" t="s">
        <v>11</v>
      </c>
      <c r="D190" s="5">
        <v>45843</v>
      </c>
      <c r="E190" s="6">
        <v>12558053874</v>
      </c>
      <c r="F190" s="6">
        <v>3678321987</v>
      </c>
      <c r="G190" s="6">
        <v>8879731887</v>
      </c>
      <c r="H190" s="6">
        <v>3678321987</v>
      </c>
      <c r="I190" s="7">
        <v>8879731887</v>
      </c>
    </row>
    <row r="191" spans="1:9" ht="12" customHeight="1" thickBot="1" x14ac:dyDescent="0.25">
      <c r="A191" s="1" t="s">
        <v>30</v>
      </c>
      <c r="B191" s="1" t="s">
        <v>31</v>
      </c>
      <c r="C191" s="1" t="s">
        <v>11</v>
      </c>
      <c r="D191" s="5">
        <v>45844</v>
      </c>
      <c r="E191" s="6">
        <v>12680947472</v>
      </c>
      <c r="F191" s="6">
        <v>5310714564</v>
      </c>
      <c r="G191" s="6">
        <v>7370232908</v>
      </c>
      <c r="H191" s="6">
        <v>3672660809</v>
      </c>
      <c r="I191" s="7">
        <v>9008286663</v>
      </c>
    </row>
    <row r="192" spans="1:9" ht="12" customHeight="1" thickBot="1" x14ac:dyDescent="0.25">
      <c r="A192" s="1" t="s">
        <v>30</v>
      </c>
      <c r="B192" s="1" t="s">
        <v>31</v>
      </c>
      <c r="C192" s="1" t="s">
        <v>11</v>
      </c>
      <c r="D192" s="5">
        <v>45845</v>
      </c>
      <c r="E192" s="6">
        <v>12754764576</v>
      </c>
      <c r="F192" s="6">
        <v>4875390410</v>
      </c>
      <c r="G192" s="6">
        <v>7879374166</v>
      </c>
      <c r="H192" s="6">
        <v>3664774293</v>
      </c>
      <c r="I192" s="7">
        <v>9089990283</v>
      </c>
    </row>
    <row r="193" spans="1:9" ht="12" customHeight="1" thickBot="1" x14ac:dyDescent="0.25">
      <c r="A193" s="1" t="s">
        <v>30</v>
      </c>
      <c r="B193" s="1" t="s">
        <v>31</v>
      </c>
      <c r="C193" s="1" t="s">
        <v>11</v>
      </c>
      <c r="D193" s="5">
        <v>45846</v>
      </c>
      <c r="E193" s="6">
        <v>12901265617</v>
      </c>
      <c r="F193" s="6">
        <v>4727454468</v>
      </c>
      <c r="G193" s="6">
        <v>8173811149</v>
      </c>
      <c r="H193" s="6">
        <v>3659306090</v>
      </c>
      <c r="I193" s="7">
        <v>9241959527</v>
      </c>
    </row>
    <row r="194" spans="1:9" ht="12" customHeight="1" thickBot="1" x14ac:dyDescent="0.25">
      <c r="A194" s="1" t="s">
        <v>30</v>
      </c>
      <c r="B194" s="1" t="s">
        <v>31</v>
      </c>
      <c r="C194" s="1" t="s">
        <v>11</v>
      </c>
      <c r="D194" s="5">
        <v>45847</v>
      </c>
      <c r="E194" s="6">
        <v>13105318147</v>
      </c>
      <c r="F194" s="6">
        <v>4624171703</v>
      </c>
      <c r="G194" s="6">
        <v>8481146444</v>
      </c>
      <c r="H194" s="6">
        <v>3652491029</v>
      </c>
      <c r="I194" s="7">
        <v>9452827118</v>
      </c>
    </row>
    <row r="195" spans="1:9" ht="12" customHeight="1" thickBot="1" x14ac:dyDescent="0.25">
      <c r="A195" s="1" t="s">
        <v>30</v>
      </c>
      <c r="B195" s="1" t="s">
        <v>31</v>
      </c>
      <c r="C195" s="1" t="s">
        <v>11</v>
      </c>
      <c r="D195" s="5">
        <v>45848</v>
      </c>
      <c r="E195" s="6">
        <v>13300189775</v>
      </c>
      <c r="F195" s="6">
        <v>4507152920</v>
      </c>
      <c r="G195" s="6">
        <v>8793036855</v>
      </c>
      <c r="H195" s="6">
        <v>3642649944</v>
      </c>
      <c r="I195" s="7">
        <v>9657539831</v>
      </c>
    </row>
    <row r="196" spans="1:9" ht="12" customHeight="1" thickBot="1" x14ac:dyDescent="0.25">
      <c r="A196" s="1" t="s">
        <v>30</v>
      </c>
      <c r="B196" s="1" t="s">
        <v>31</v>
      </c>
      <c r="C196" s="1" t="s">
        <v>11</v>
      </c>
      <c r="D196" s="5">
        <v>45849</v>
      </c>
      <c r="E196" s="6">
        <v>13447326118</v>
      </c>
      <c r="F196" s="6">
        <v>4433179336</v>
      </c>
      <c r="G196" s="6">
        <v>9014146782</v>
      </c>
      <c r="H196" s="6">
        <v>3638963818</v>
      </c>
      <c r="I196" s="7">
        <v>9808362300</v>
      </c>
    </row>
    <row r="197" spans="1:9" ht="12" customHeight="1" thickBot="1" x14ac:dyDescent="0.25">
      <c r="A197" s="1" t="s">
        <v>30</v>
      </c>
      <c r="B197" s="1" t="s">
        <v>31</v>
      </c>
      <c r="C197" s="1" t="s">
        <v>11</v>
      </c>
      <c r="D197" s="5">
        <v>45850</v>
      </c>
      <c r="E197" s="6">
        <v>13614386992</v>
      </c>
      <c r="F197" s="6">
        <v>4388039623</v>
      </c>
      <c r="G197" s="6">
        <v>9226347369</v>
      </c>
      <c r="H197" s="6">
        <v>3634811371</v>
      </c>
      <c r="I197" s="7">
        <v>9979575621</v>
      </c>
    </row>
    <row r="198" spans="1:9" ht="12" customHeight="1" thickBot="1" x14ac:dyDescent="0.25">
      <c r="A198" s="1" t="s">
        <v>30</v>
      </c>
      <c r="B198" s="1" t="s">
        <v>31</v>
      </c>
      <c r="C198" s="1" t="s">
        <v>11</v>
      </c>
      <c r="D198" s="5">
        <v>45851</v>
      </c>
      <c r="E198" s="6">
        <v>13773045069</v>
      </c>
      <c r="F198" s="6">
        <v>4367190946</v>
      </c>
      <c r="G198" s="6">
        <v>9405854123</v>
      </c>
      <c r="H198" s="6">
        <v>3630300125</v>
      </c>
      <c r="I198" s="7">
        <v>10142744944</v>
      </c>
    </row>
    <row r="199" spans="1:9" ht="12" customHeight="1" thickBot="1" x14ac:dyDescent="0.25">
      <c r="A199" s="1" t="s">
        <v>30</v>
      </c>
      <c r="B199" s="1" t="s">
        <v>31</v>
      </c>
      <c r="C199" s="1" t="s">
        <v>11</v>
      </c>
      <c r="D199" s="5">
        <v>45852</v>
      </c>
      <c r="E199" s="6">
        <v>13927418186</v>
      </c>
      <c r="F199" s="6">
        <v>4335443618</v>
      </c>
      <c r="G199" s="6">
        <v>9591974568</v>
      </c>
      <c r="H199" s="6">
        <v>3621622109</v>
      </c>
      <c r="I199" s="7">
        <v>10305796077</v>
      </c>
    </row>
    <row r="200" spans="1:9" ht="12" customHeight="1" thickBot="1" x14ac:dyDescent="0.25">
      <c r="A200" s="1" t="s">
        <v>30</v>
      </c>
      <c r="B200" s="1" t="s">
        <v>31</v>
      </c>
      <c r="C200" s="1" t="s">
        <v>11</v>
      </c>
      <c r="D200" s="5">
        <v>45853</v>
      </c>
      <c r="E200" s="6">
        <v>14074392099</v>
      </c>
      <c r="F200" s="6">
        <v>4290923015</v>
      </c>
      <c r="G200" s="6">
        <v>9783469084</v>
      </c>
      <c r="H200" s="6">
        <v>3616308708</v>
      </c>
      <c r="I200" s="7">
        <v>10458083391</v>
      </c>
    </row>
    <row r="201" spans="1:9" ht="12" customHeight="1" thickBot="1" x14ac:dyDescent="0.25">
      <c r="A201" s="1" t="s">
        <v>30</v>
      </c>
      <c r="B201" s="1" t="s">
        <v>31</v>
      </c>
      <c r="C201" s="1" t="s">
        <v>11</v>
      </c>
      <c r="D201" s="5">
        <v>45854</v>
      </c>
      <c r="E201" s="6">
        <v>14206702953</v>
      </c>
      <c r="F201" s="6">
        <v>4262131918</v>
      </c>
      <c r="G201" s="6">
        <v>9944571035</v>
      </c>
      <c r="H201" s="6">
        <v>4262131918</v>
      </c>
      <c r="I201" s="7">
        <v>9944571035</v>
      </c>
    </row>
    <row r="202" spans="1:9" ht="12" customHeight="1" thickBot="1" x14ac:dyDescent="0.25">
      <c r="A202" s="1" t="s">
        <v>30</v>
      </c>
      <c r="B202" s="1" t="s">
        <v>31</v>
      </c>
      <c r="C202" s="1" t="s">
        <v>11</v>
      </c>
      <c r="D202" s="5">
        <v>45855</v>
      </c>
      <c r="E202" s="6">
        <v>14340575147</v>
      </c>
      <c r="F202" s="6">
        <v>4244541515</v>
      </c>
      <c r="G202" s="6">
        <v>10096033632</v>
      </c>
      <c r="H202" s="6">
        <v>4244541515</v>
      </c>
      <c r="I202" s="7">
        <v>10096033632</v>
      </c>
    </row>
    <row r="203" spans="1:9" ht="12" customHeight="1" thickBot="1" x14ac:dyDescent="0.25">
      <c r="A203" s="1" t="s">
        <v>30</v>
      </c>
      <c r="B203" s="1" t="s">
        <v>31</v>
      </c>
      <c r="C203" s="1" t="s">
        <v>11</v>
      </c>
      <c r="D203" s="5">
        <v>45856</v>
      </c>
      <c r="E203" s="6">
        <v>14481877002</v>
      </c>
      <c r="F203" s="6">
        <v>4223908173</v>
      </c>
      <c r="G203" s="6">
        <v>10257968829</v>
      </c>
      <c r="H203" s="6">
        <v>4223908173</v>
      </c>
      <c r="I203" s="7">
        <v>10257968829</v>
      </c>
    </row>
    <row r="204" spans="1:9" ht="12" customHeight="1" thickBot="1" x14ac:dyDescent="0.25">
      <c r="A204" s="1" t="s">
        <v>30</v>
      </c>
      <c r="B204" s="1" t="s">
        <v>31</v>
      </c>
      <c r="C204" s="1" t="s">
        <v>11</v>
      </c>
      <c r="D204" s="5">
        <v>45857</v>
      </c>
      <c r="E204" s="6">
        <v>14610156083</v>
      </c>
      <c r="F204" s="6">
        <v>4207164548</v>
      </c>
      <c r="G204" s="6">
        <v>10402991535</v>
      </c>
      <c r="H204" s="6">
        <v>4207164548</v>
      </c>
      <c r="I204" s="7">
        <v>10402991535</v>
      </c>
    </row>
    <row r="205" spans="1:9" ht="12" customHeight="1" thickBot="1" x14ac:dyDescent="0.25">
      <c r="A205" s="1" t="s">
        <v>30</v>
      </c>
      <c r="B205" s="1" t="s">
        <v>31</v>
      </c>
      <c r="C205" s="1" t="s">
        <v>11</v>
      </c>
      <c r="D205" s="5">
        <v>45858</v>
      </c>
      <c r="E205" s="6">
        <v>14766793735</v>
      </c>
      <c r="F205" s="6">
        <v>4197163994</v>
      </c>
      <c r="G205" s="6">
        <v>10569629741</v>
      </c>
      <c r="H205" s="6">
        <v>4197163994</v>
      </c>
      <c r="I205" s="7">
        <v>10569629741</v>
      </c>
    </row>
    <row r="206" spans="1:9" ht="12" customHeight="1" thickBot="1" x14ac:dyDescent="0.25">
      <c r="A206" s="1" t="s">
        <v>30</v>
      </c>
      <c r="B206" s="1" t="s">
        <v>31</v>
      </c>
      <c r="C206" s="1" t="s">
        <v>11</v>
      </c>
      <c r="D206" s="5">
        <v>45859</v>
      </c>
      <c r="E206" s="6">
        <v>14778014449</v>
      </c>
      <c r="F206" s="6">
        <v>4176867372</v>
      </c>
      <c r="G206" s="6">
        <v>10601147077</v>
      </c>
      <c r="H206" s="6">
        <v>4176867372</v>
      </c>
      <c r="I206" s="7">
        <v>10601147077</v>
      </c>
    </row>
    <row r="207" spans="1:9" ht="12" customHeight="1" thickBot="1" x14ac:dyDescent="0.25">
      <c r="A207" s="1" t="s">
        <v>30</v>
      </c>
      <c r="B207" s="1" t="s">
        <v>31</v>
      </c>
      <c r="C207" s="1" t="s">
        <v>11</v>
      </c>
      <c r="D207" s="5">
        <v>45860</v>
      </c>
      <c r="E207" s="6">
        <v>14834240281</v>
      </c>
      <c r="F207" s="6">
        <v>4165925359</v>
      </c>
      <c r="G207" s="6">
        <v>10668314922</v>
      </c>
      <c r="H207" s="6">
        <v>4165925359</v>
      </c>
      <c r="I207" s="7">
        <v>10668314922</v>
      </c>
    </row>
    <row r="208" spans="1:9" ht="12" customHeight="1" thickBot="1" x14ac:dyDescent="0.25">
      <c r="A208" s="1" t="s">
        <v>30</v>
      </c>
      <c r="B208" s="1" t="s">
        <v>31</v>
      </c>
      <c r="C208" s="1" t="s">
        <v>11</v>
      </c>
      <c r="D208" s="5">
        <v>45861</v>
      </c>
      <c r="E208" s="6">
        <v>14931029084</v>
      </c>
      <c r="F208" s="6">
        <v>4161928693</v>
      </c>
      <c r="G208" s="6">
        <v>10769100391</v>
      </c>
      <c r="H208" s="6">
        <v>4161928693</v>
      </c>
      <c r="I208" s="7">
        <v>10769100391</v>
      </c>
    </row>
    <row r="209" spans="1:9" ht="12" customHeight="1" thickBot="1" x14ac:dyDescent="0.25">
      <c r="A209" s="1" t="s">
        <v>30</v>
      </c>
      <c r="B209" s="1" t="s">
        <v>31</v>
      </c>
      <c r="C209" s="1" t="s">
        <v>11</v>
      </c>
      <c r="D209" s="5">
        <v>45862</v>
      </c>
      <c r="E209" s="6">
        <v>15034394736</v>
      </c>
      <c r="F209" s="6">
        <v>4152895741</v>
      </c>
      <c r="G209" s="6">
        <v>10881498995</v>
      </c>
      <c r="H209" s="6">
        <v>4152895741</v>
      </c>
      <c r="I209" s="7">
        <v>10881498995</v>
      </c>
    </row>
    <row r="210" spans="1:9" ht="12" customHeight="1" thickBot="1" x14ac:dyDescent="0.25">
      <c r="A210" s="1" t="s">
        <v>30</v>
      </c>
      <c r="B210" s="1" t="s">
        <v>31</v>
      </c>
      <c r="C210" s="1" t="s">
        <v>11</v>
      </c>
      <c r="D210" s="5">
        <v>45863</v>
      </c>
      <c r="E210" s="6">
        <v>15100159744</v>
      </c>
      <c r="F210" s="6">
        <v>4137663532</v>
      </c>
      <c r="G210" s="6">
        <v>10962496212</v>
      </c>
      <c r="H210" s="6">
        <v>4137663532</v>
      </c>
      <c r="I210" s="7">
        <v>10962496212</v>
      </c>
    </row>
    <row r="211" spans="1:9" ht="12" customHeight="1" thickBot="1" x14ac:dyDescent="0.25">
      <c r="A211" s="1" t="s">
        <v>30</v>
      </c>
      <c r="B211" s="1" t="s">
        <v>31</v>
      </c>
      <c r="C211" s="1" t="s">
        <v>11</v>
      </c>
      <c r="D211" s="5">
        <v>45864</v>
      </c>
      <c r="E211" s="6">
        <v>15205376372</v>
      </c>
      <c r="F211" s="6">
        <v>4120666412</v>
      </c>
      <c r="G211" s="6">
        <v>11084709960</v>
      </c>
      <c r="H211" s="6">
        <v>4120666412</v>
      </c>
      <c r="I211" s="7">
        <v>11084709960</v>
      </c>
    </row>
    <row r="212" spans="1:9" ht="12" customHeight="1" thickBot="1" x14ac:dyDescent="0.25">
      <c r="A212" s="1" t="s">
        <v>30</v>
      </c>
      <c r="B212" s="1" t="s">
        <v>31</v>
      </c>
      <c r="C212" s="1" t="s">
        <v>11</v>
      </c>
      <c r="D212" s="5">
        <v>45865</v>
      </c>
      <c r="E212" s="6">
        <v>15334235907</v>
      </c>
      <c r="F212" s="6">
        <v>4115465875</v>
      </c>
      <c r="G212" s="6">
        <v>11218770032</v>
      </c>
      <c r="H212" s="6">
        <v>4115465875</v>
      </c>
      <c r="I212" s="7">
        <v>11218770032</v>
      </c>
    </row>
    <row r="213" spans="1:9" ht="12" customHeight="1" thickBot="1" x14ac:dyDescent="0.25">
      <c r="A213" s="1" t="s">
        <v>30</v>
      </c>
      <c r="B213" s="1" t="s">
        <v>31</v>
      </c>
      <c r="C213" s="1" t="s">
        <v>11</v>
      </c>
      <c r="D213" s="5">
        <v>45866</v>
      </c>
      <c r="E213" s="6">
        <v>15388687420</v>
      </c>
      <c r="F213" s="6">
        <v>4105471425</v>
      </c>
      <c r="G213" s="6">
        <v>11283215995</v>
      </c>
      <c r="H213" s="6">
        <v>4105471425</v>
      </c>
      <c r="I213" s="7">
        <v>11283215995</v>
      </c>
    </row>
    <row r="214" spans="1:9" ht="12" customHeight="1" thickBot="1" x14ac:dyDescent="0.25">
      <c r="A214" s="1" t="s">
        <v>30</v>
      </c>
      <c r="B214" s="1" t="s">
        <v>31</v>
      </c>
      <c r="C214" s="1" t="s">
        <v>11</v>
      </c>
      <c r="D214" s="5">
        <v>45867</v>
      </c>
      <c r="E214" s="6">
        <v>15418979778</v>
      </c>
      <c r="F214" s="6">
        <v>4102338887</v>
      </c>
      <c r="G214" s="6">
        <v>11316640891</v>
      </c>
      <c r="H214" s="6">
        <v>4102338887</v>
      </c>
      <c r="I214" s="7">
        <v>11316640891</v>
      </c>
    </row>
    <row r="215" spans="1:9" ht="12" customHeight="1" thickBot="1" x14ac:dyDescent="0.25">
      <c r="A215" s="1" t="s">
        <v>30</v>
      </c>
      <c r="B215" s="1" t="s">
        <v>31</v>
      </c>
      <c r="C215" s="1" t="s">
        <v>11</v>
      </c>
      <c r="D215" s="5">
        <v>45868</v>
      </c>
      <c r="E215" s="6">
        <v>15453694042</v>
      </c>
      <c r="F215" s="6">
        <v>4094764973</v>
      </c>
      <c r="G215" s="6">
        <v>11358929069</v>
      </c>
      <c r="H215" s="6">
        <v>4094764973</v>
      </c>
      <c r="I215" s="7">
        <v>11358929069</v>
      </c>
    </row>
    <row r="216" spans="1:9" ht="12" customHeight="1" thickBot="1" x14ac:dyDescent="0.25">
      <c r="A216" s="1" t="s">
        <v>30</v>
      </c>
      <c r="B216" s="1" t="s">
        <v>31</v>
      </c>
      <c r="C216" s="1" t="s">
        <v>11</v>
      </c>
      <c r="D216" s="5">
        <v>45869</v>
      </c>
      <c r="E216" s="6">
        <v>15461756531</v>
      </c>
      <c r="F216" s="6">
        <v>4083063304</v>
      </c>
      <c r="G216" s="6">
        <v>11378693227</v>
      </c>
      <c r="H216" s="6">
        <v>4083063304</v>
      </c>
      <c r="I216" s="7">
        <v>11378693227</v>
      </c>
    </row>
    <row r="217" spans="1:9" ht="12" customHeight="1" thickBot="1" x14ac:dyDescent="0.25">
      <c r="A217" s="1" t="s">
        <v>30</v>
      </c>
      <c r="B217" s="1" t="s">
        <v>31</v>
      </c>
      <c r="C217" s="1" t="s">
        <v>11</v>
      </c>
      <c r="D217" s="5">
        <v>45870</v>
      </c>
      <c r="E217" s="6">
        <v>15420446962</v>
      </c>
      <c r="F217" s="6">
        <v>4075425237</v>
      </c>
      <c r="G217" s="6">
        <v>11345021725</v>
      </c>
      <c r="H217" s="6">
        <v>4075425237</v>
      </c>
      <c r="I217" s="7">
        <v>11345021725</v>
      </c>
    </row>
    <row r="218" spans="1:9" ht="12" customHeight="1" thickBot="1" x14ac:dyDescent="0.25">
      <c r="A218" s="1" t="s">
        <v>30</v>
      </c>
      <c r="B218" s="1" t="s">
        <v>31</v>
      </c>
      <c r="C218" s="1" t="s">
        <v>11</v>
      </c>
      <c r="D218" s="5">
        <v>45871</v>
      </c>
      <c r="E218" s="6">
        <v>15455579840</v>
      </c>
      <c r="F218" s="6">
        <v>4067866086</v>
      </c>
      <c r="G218" s="6">
        <v>11387713754</v>
      </c>
      <c r="H218" s="6">
        <v>4067866086</v>
      </c>
      <c r="I218" s="7">
        <v>11387713754</v>
      </c>
    </row>
    <row r="219" spans="1:9" ht="12" customHeight="1" thickBot="1" x14ac:dyDescent="0.25">
      <c r="A219" s="1" t="s">
        <v>30</v>
      </c>
      <c r="B219" s="1" t="s">
        <v>31</v>
      </c>
      <c r="C219" s="1" t="s">
        <v>11</v>
      </c>
      <c r="D219" s="5">
        <v>45872</v>
      </c>
      <c r="E219" s="6">
        <v>15429884726</v>
      </c>
      <c r="F219" s="6">
        <v>4064815942</v>
      </c>
      <c r="G219" s="6">
        <v>11365068784</v>
      </c>
      <c r="H219" s="6">
        <v>4064815942</v>
      </c>
      <c r="I219" s="7">
        <v>11365068784</v>
      </c>
    </row>
    <row r="220" spans="1:9" ht="12" customHeight="1" thickBot="1" x14ac:dyDescent="0.25">
      <c r="A220" s="1" t="s">
        <v>30</v>
      </c>
      <c r="B220" s="1" t="s">
        <v>31</v>
      </c>
      <c r="C220" s="1" t="s">
        <v>11</v>
      </c>
      <c r="D220" s="5">
        <v>45873</v>
      </c>
      <c r="E220" s="6">
        <v>15022991042</v>
      </c>
      <c r="F220" s="6">
        <v>4050983020</v>
      </c>
      <c r="G220" s="6">
        <v>10972008022</v>
      </c>
      <c r="H220" s="6">
        <v>4050983020</v>
      </c>
      <c r="I220" s="7">
        <v>10972008022</v>
      </c>
    </row>
    <row r="221" spans="1:9" ht="12" customHeight="1" thickBot="1" x14ac:dyDescent="0.25">
      <c r="A221" s="1" t="s">
        <v>30</v>
      </c>
      <c r="B221" s="1" t="s">
        <v>31</v>
      </c>
      <c r="C221" s="1" t="s">
        <v>11</v>
      </c>
      <c r="D221" s="5">
        <v>45874</v>
      </c>
      <c r="E221" s="6">
        <v>15028455142</v>
      </c>
      <c r="F221" s="6">
        <v>5703080420</v>
      </c>
      <c r="G221" s="6">
        <v>9325374722</v>
      </c>
      <c r="H221" s="6">
        <v>4040752979</v>
      </c>
      <c r="I221" s="7">
        <v>10987702163</v>
      </c>
    </row>
    <row r="222" spans="1:9" ht="12" customHeight="1" thickBot="1" x14ac:dyDescent="0.25">
      <c r="A222" s="1" t="s">
        <v>30</v>
      </c>
      <c r="B222" s="1" t="s">
        <v>31</v>
      </c>
      <c r="C222" s="1" t="s">
        <v>11</v>
      </c>
      <c r="D222" s="5">
        <v>45875</v>
      </c>
      <c r="E222" s="6">
        <v>15129967612</v>
      </c>
      <c r="F222" s="6">
        <v>5445867596</v>
      </c>
      <c r="G222" s="6">
        <v>9684100016</v>
      </c>
      <c r="H222" s="6">
        <v>4037128896</v>
      </c>
      <c r="I222" s="7">
        <v>11092838716</v>
      </c>
    </row>
    <row r="223" spans="1:9" ht="12" customHeight="1" thickBot="1" x14ac:dyDescent="0.25">
      <c r="A223" s="1" t="s">
        <v>30</v>
      </c>
      <c r="B223" s="1" t="s">
        <v>31</v>
      </c>
      <c r="C223" s="1" t="s">
        <v>11</v>
      </c>
      <c r="D223" s="5">
        <v>45876</v>
      </c>
      <c r="E223" s="6">
        <v>15247258659</v>
      </c>
      <c r="F223" s="6">
        <v>5301065521</v>
      </c>
      <c r="G223" s="6">
        <v>9946193138</v>
      </c>
      <c r="H223" s="6">
        <v>4030897622</v>
      </c>
      <c r="I223" s="7">
        <v>11216361037</v>
      </c>
    </row>
    <row r="224" spans="1:9" ht="12" customHeight="1" thickBot="1" x14ac:dyDescent="0.25">
      <c r="A224" s="1" t="s">
        <v>30</v>
      </c>
      <c r="B224" s="1" t="s">
        <v>31</v>
      </c>
      <c r="C224" s="1" t="s">
        <v>11</v>
      </c>
      <c r="D224" s="5">
        <v>45877</v>
      </c>
      <c r="E224" s="6">
        <v>15349817823</v>
      </c>
      <c r="F224" s="6">
        <v>5202048503</v>
      </c>
      <c r="G224" s="6">
        <v>10147769320</v>
      </c>
      <c r="H224" s="6">
        <v>4020541131</v>
      </c>
      <c r="I224" s="7">
        <v>11329276692</v>
      </c>
    </row>
    <row r="225" spans="1:9" ht="12" customHeight="1" thickBot="1" x14ac:dyDescent="0.25">
      <c r="A225" s="1" t="s">
        <v>30</v>
      </c>
      <c r="B225" s="1" t="s">
        <v>31</v>
      </c>
      <c r="C225" s="1" t="s">
        <v>11</v>
      </c>
      <c r="D225" s="5">
        <v>45878</v>
      </c>
      <c r="E225" s="6">
        <v>15472250473</v>
      </c>
      <c r="F225" s="6">
        <v>5041951847</v>
      </c>
      <c r="G225" s="6">
        <v>10430298626</v>
      </c>
      <c r="H225" s="6">
        <v>4015917344</v>
      </c>
      <c r="I225" s="7">
        <v>11456333129</v>
      </c>
    </row>
    <row r="226" spans="1:9" ht="12" customHeight="1" thickBot="1" x14ac:dyDescent="0.25">
      <c r="A226" s="1" t="s">
        <v>30</v>
      </c>
      <c r="B226" s="1" t="s">
        <v>31</v>
      </c>
      <c r="C226" s="1" t="s">
        <v>11</v>
      </c>
      <c r="D226" s="5">
        <v>45879</v>
      </c>
      <c r="E226" s="6">
        <v>15600410467</v>
      </c>
      <c r="F226" s="6">
        <v>4973745376</v>
      </c>
      <c r="G226" s="6">
        <v>10626665091</v>
      </c>
      <c r="H226" s="6">
        <v>4010177106</v>
      </c>
      <c r="I226" s="7">
        <v>11590233361</v>
      </c>
    </row>
    <row r="227" spans="1:9" ht="12" customHeight="1" thickBot="1" x14ac:dyDescent="0.25">
      <c r="A227" s="1" t="s">
        <v>30</v>
      </c>
      <c r="B227" s="1" t="s">
        <v>31</v>
      </c>
      <c r="C227" s="1" t="s">
        <v>11</v>
      </c>
      <c r="D227" s="5">
        <v>45880</v>
      </c>
      <c r="E227" s="6">
        <v>15730526675</v>
      </c>
      <c r="F227" s="6">
        <v>4925095901</v>
      </c>
      <c r="G227" s="6">
        <v>10805430774</v>
      </c>
      <c r="H227" s="6">
        <v>4005627404</v>
      </c>
      <c r="I227" s="7">
        <v>11724899271</v>
      </c>
    </row>
    <row r="228" spans="1:9" ht="12" customHeight="1" thickBot="1" x14ac:dyDescent="0.25">
      <c r="A228" s="1" t="s">
        <v>30</v>
      </c>
      <c r="B228" s="1" t="s">
        <v>31</v>
      </c>
      <c r="C228" s="1" t="s">
        <v>11</v>
      </c>
      <c r="D228" s="5">
        <v>45881</v>
      </c>
      <c r="E228" s="6">
        <v>15877107594</v>
      </c>
      <c r="F228" s="6">
        <v>4866354089</v>
      </c>
      <c r="G228" s="6">
        <v>11010753505</v>
      </c>
      <c r="H228" s="6">
        <v>4000361585</v>
      </c>
      <c r="I228" s="7">
        <v>11876746009</v>
      </c>
    </row>
    <row r="229" spans="1:9" ht="12" customHeight="1" thickBot="1" x14ac:dyDescent="0.25">
      <c r="A229" s="1" t="s">
        <v>30</v>
      </c>
      <c r="B229" s="1" t="s">
        <v>31</v>
      </c>
      <c r="C229" s="1" t="s">
        <v>11</v>
      </c>
      <c r="D229" s="5">
        <v>45882</v>
      </c>
      <c r="E229" s="6">
        <v>15998586318</v>
      </c>
      <c r="F229" s="6">
        <v>4824741897</v>
      </c>
      <c r="G229" s="6">
        <v>11173844421</v>
      </c>
      <c r="H229" s="6">
        <v>3997504936</v>
      </c>
      <c r="I229" s="7">
        <v>12001081382</v>
      </c>
    </row>
    <row r="230" spans="1:9" ht="12" customHeight="1" thickBot="1" x14ac:dyDescent="0.25">
      <c r="A230" s="1" t="s">
        <v>30</v>
      </c>
      <c r="B230" s="1" t="s">
        <v>31</v>
      </c>
      <c r="C230" s="1" t="s">
        <v>11</v>
      </c>
      <c r="D230" s="5">
        <v>45883</v>
      </c>
      <c r="E230" s="6">
        <v>16140008207</v>
      </c>
      <c r="F230" s="6">
        <v>4758217807</v>
      </c>
      <c r="G230" s="6">
        <v>11381790400</v>
      </c>
      <c r="H230" s="6">
        <v>3993238024</v>
      </c>
      <c r="I230" s="7">
        <v>12146770183</v>
      </c>
    </row>
    <row r="231" spans="1:9" ht="12" customHeight="1" thickBot="1" x14ac:dyDescent="0.25">
      <c r="A231" s="1" t="s">
        <v>30</v>
      </c>
      <c r="B231" s="1" t="s">
        <v>31</v>
      </c>
      <c r="C231" s="1" t="s">
        <v>11</v>
      </c>
      <c r="D231" s="5">
        <v>45884</v>
      </c>
      <c r="E231" s="6">
        <v>16272256703</v>
      </c>
      <c r="F231" s="6">
        <v>4717696977</v>
      </c>
      <c r="G231" s="6">
        <v>11554559726</v>
      </c>
      <c r="H231" s="6">
        <v>4717696977</v>
      </c>
      <c r="I231" s="7">
        <v>11554559726</v>
      </c>
    </row>
    <row r="232" spans="1:9" ht="12" customHeight="1" thickBot="1" x14ac:dyDescent="0.25">
      <c r="A232" s="1" t="s">
        <v>30</v>
      </c>
      <c r="B232" s="1" t="s">
        <v>31</v>
      </c>
      <c r="C232" s="1" t="s">
        <v>11</v>
      </c>
      <c r="D232" s="5">
        <v>45885</v>
      </c>
      <c r="E232" s="6">
        <v>16417118525</v>
      </c>
      <c r="F232" s="6">
        <v>4699878023</v>
      </c>
      <c r="G232" s="6">
        <v>11717240502</v>
      </c>
      <c r="H232" s="6">
        <v>4699878023</v>
      </c>
      <c r="I232" s="7">
        <v>11717240502</v>
      </c>
    </row>
    <row r="233" spans="1:9" ht="12" customHeight="1" thickBot="1" x14ac:dyDescent="0.25">
      <c r="A233" s="1" t="s">
        <v>30</v>
      </c>
      <c r="B233" s="1" t="s">
        <v>31</v>
      </c>
      <c r="C233" s="1" t="s">
        <v>11</v>
      </c>
      <c r="D233" s="5">
        <v>45886</v>
      </c>
      <c r="E233" s="6">
        <v>16538136842</v>
      </c>
      <c r="F233" s="6">
        <v>4688082577</v>
      </c>
      <c r="G233" s="6">
        <v>11850054265</v>
      </c>
      <c r="H233" s="6">
        <v>4688082577</v>
      </c>
      <c r="I233" s="7">
        <v>11850054265</v>
      </c>
    </row>
    <row r="234" spans="1:9" ht="12" customHeight="1" thickBot="1" x14ac:dyDescent="0.25">
      <c r="A234" s="1" t="s">
        <v>30</v>
      </c>
      <c r="B234" s="1" t="s">
        <v>31</v>
      </c>
      <c r="C234" s="1" t="s">
        <v>11</v>
      </c>
      <c r="D234" s="5">
        <v>45887</v>
      </c>
      <c r="E234" s="6">
        <v>16644646135</v>
      </c>
      <c r="F234" s="6">
        <v>4664873692</v>
      </c>
      <c r="G234" s="6">
        <v>11979772443</v>
      </c>
      <c r="H234" s="6">
        <v>4664873692</v>
      </c>
      <c r="I234" s="7">
        <v>11979772443</v>
      </c>
    </row>
    <row r="235" spans="1:9" ht="12" customHeight="1" thickBot="1" x14ac:dyDescent="0.25">
      <c r="A235" s="1" t="s">
        <v>30</v>
      </c>
      <c r="B235" s="1" t="s">
        <v>31</v>
      </c>
      <c r="C235" s="1" t="s">
        <v>11</v>
      </c>
      <c r="D235" s="5">
        <v>45888</v>
      </c>
      <c r="E235" s="6">
        <v>16761159680</v>
      </c>
      <c r="F235" s="6">
        <v>4649474172</v>
      </c>
      <c r="G235" s="6">
        <v>12111685508</v>
      </c>
      <c r="H235" s="6">
        <v>4649474172</v>
      </c>
      <c r="I235" s="7">
        <v>12111685508</v>
      </c>
    </row>
    <row r="236" spans="1:9" ht="12" customHeight="1" thickBot="1" x14ac:dyDescent="0.25">
      <c r="A236" s="1" t="s">
        <v>30</v>
      </c>
      <c r="B236" s="1" t="s">
        <v>31</v>
      </c>
      <c r="C236" s="1" t="s">
        <v>11</v>
      </c>
      <c r="D236" s="5">
        <v>45889</v>
      </c>
      <c r="E236" s="6">
        <v>16885654244</v>
      </c>
      <c r="F236" s="6">
        <v>4641286085</v>
      </c>
      <c r="G236" s="6">
        <v>12244368159</v>
      </c>
      <c r="H236" s="6">
        <v>4641286085</v>
      </c>
      <c r="I236" s="7">
        <v>12244368159</v>
      </c>
    </row>
    <row r="237" spans="1:9" ht="12" customHeight="1" thickBot="1" x14ac:dyDescent="0.25">
      <c r="A237" s="1" t="s">
        <v>30</v>
      </c>
      <c r="B237" s="1" t="s">
        <v>31</v>
      </c>
      <c r="C237" s="1" t="s">
        <v>11</v>
      </c>
      <c r="D237" s="5">
        <v>45890</v>
      </c>
      <c r="E237" s="6">
        <v>16949793085</v>
      </c>
      <c r="F237" s="6">
        <v>4631763829</v>
      </c>
      <c r="G237" s="6">
        <v>12318029256</v>
      </c>
      <c r="H237" s="6">
        <v>4631763829</v>
      </c>
      <c r="I237" s="7">
        <v>12318029256</v>
      </c>
    </row>
    <row r="238" spans="1:9" ht="12" customHeight="1" thickBot="1" x14ac:dyDescent="0.25">
      <c r="A238" s="1" t="s">
        <v>30</v>
      </c>
      <c r="B238" s="1" t="s">
        <v>31</v>
      </c>
      <c r="C238" s="1" t="s">
        <v>11</v>
      </c>
      <c r="D238" s="5">
        <v>45891</v>
      </c>
      <c r="E238" s="6">
        <v>17027747202</v>
      </c>
      <c r="F238" s="6">
        <v>4622748278</v>
      </c>
      <c r="G238" s="6">
        <v>12404998924</v>
      </c>
      <c r="H238" s="6">
        <v>4622748278</v>
      </c>
      <c r="I238" s="7">
        <v>12404998924</v>
      </c>
    </row>
    <row r="239" spans="1:9" ht="12" customHeight="1" thickBot="1" x14ac:dyDescent="0.25">
      <c r="A239" s="1" t="s">
        <v>30</v>
      </c>
      <c r="B239" s="1" t="s">
        <v>31</v>
      </c>
      <c r="C239" s="1" t="s">
        <v>11</v>
      </c>
      <c r="D239" s="5">
        <v>45892</v>
      </c>
      <c r="E239" s="6">
        <v>17123946074</v>
      </c>
      <c r="F239" s="6">
        <v>4615901578</v>
      </c>
      <c r="G239" s="6">
        <v>12508044496</v>
      </c>
      <c r="H239" s="6">
        <v>4615901578</v>
      </c>
      <c r="I239" s="7">
        <v>12508044496</v>
      </c>
    </row>
    <row r="240" spans="1:9" ht="12" customHeight="1" thickBot="1" x14ac:dyDescent="0.25">
      <c r="A240" s="1" t="s">
        <v>30</v>
      </c>
      <c r="B240" s="1" t="s">
        <v>31</v>
      </c>
      <c r="C240" s="1" t="s">
        <v>11</v>
      </c>
      <c r="D240" s="5">
        <v>45893</v>
      </c>
      <c r="E240" s="6">
        <v>17227820979</v>
      </c>
      <c r="F240" s="6">
        <v>4610826385</v>
      </c>
      <c r="G240" s="6">
        <v>12616994594</v>
      </c>
      <c r="H240" s="6">
        <v>4610826385</v>
      </c>
      <c r="I240" s="7">
        <v>12616994594</v>
      </c>
    </row>
    <row r="241" spans="1:9" ht="12" customHeight="1" thickBot="1" x14ac:dyDescent="0.25">
      <c r="A241" s="1" t="s">
        <v>30</v>
      </c>
      <c r="B241" s="1" t="s">
        <v>31</v>
      </c>
      <c r="C241" s="1" t="s">
        <v>11</v>
      </c>
      <c r="D241" s="5">
        <v>45894</v>
      </c>
      <c r="E241" s="6">
        <v>17196039619</v>
      </c>
      <c r="F241" s="6">
        <v>4595870654</v>
      </c>
      <c r="G241" s="6">
        <v>12600168965</v>
      </c>
      <c r="H241" s="6">
        <v>4595870654</v>
      </c>
      <c r="I241" s="7">
        <v>12600168965</v>
      </c>
    </row>
    <row r="242" spans="1:9" ht="12" customHeight="1" thickBot="1" x14ac:dyDescent="0.25">
      <c r="A242" s="1" t="s">
        <v>30</v>
      </c>
      <c r="B242" s="1" t="s">
        <v>31</v>
      </c>
      <c r="C242" s="1" t="s">
        <v>11</v>
      </c>
      <c r="D242" s="5">
        <v>45895</v>
      </c>
      <c r="E242" s="6">
        <v>17250020213</v>
      </c>
      <c r="F242" s="6">
        <v>4589600703</v>
      </c>
      <c r="G242" s="6">
        <v>12660419510</v>
      </c>
      <c r="H242" s="6">
        <v>4589600703</v>
      </c>
      <c r="I242" s="7">
        <v>12660419510</v>
      </c>
    </row>
    <row r="243" spans="1:9" ht="12" customHeight="1" thickBot="1" x14ac:dyDescent="0.25">
      <c r="A243" s="1" t="s">
        <v>30</v>
      </c>
      <c r="B243" s="1" t="s">
        <v>31</v>
      </c>
      <c r="C243" s="1" t="s">
        <v>11</v>
      </c>
      <c r="D243" s="5">
        <v>45896</v>
      </c>
      <c r="E243" s="6">
        <v>17322765979</v>
      </c>
      <c r="F243" s="6">
        <v>4582558245</v>
      </c>
      <c r="G243" s="6">
        <v>12740207734</v>
      </c>
      <c r="H243" s="6">
        <v>4582558245</v>
      </c>
      <c r="I243" s="7">
        <v>12740207734</v>
      </c>
    </row>
    <row r="244" spans="1:9" ht="12" customHeight="1" thickBot="1" x14ac:dyDescent="0.25">
      <c r="A244" s="1" t="s">
        <v>30</v>
      </c>
      <c r="B244" s="1" t="s">
        <v>31</v>
      </c>
      <c r="C244" s="1" t="s">
        <v>11</v>
      </c>
      <c r="D244" s="5">
        <v>45897</v>
      </c>
      <c r="E244" s="6">
        <v>17347565818</v>
      </c>
      <c r="F244" s="6">
        <v>4577209883</v>
      </c>
      <c r="G244" s="6">
        <v>12770355935</v>
      </c>
      <c r="H244" s="6">
        <v>4577209883</v>
      </c>
      <c r="I244" s="7">
        <v>12770355935</v>
      </c>
    </row>
    <row r="245" spans="1:9" ht="12" customHeight="1" thickBot="1" x14ac:dyDescent="0.25">
      <c r="A245" s="1" t="s">
        <v>30</v>
      </c>
      <c r="B245" s="1" t="s">
        <v>31</v>
      </c>
      <c r="C245" s="1" t="s">
        <v>11</v>
      </c>
      <c r="D245" s="5">
        <v>45898</v>
      </c>
      <c r="E245" s="6">
        <v>17363260156</v>
      </c>
      <c r="F245" s="6">
        <v>4565092651</v>
      </c>
      <c r="G245" s="6">
        <v>12798167505</v>
      </c>
      <c r="H245" s="6">
        <v>4565092651</v>
      </c>
      <c r="I245" s="7">
        <v>12798167505</v>
      </c>
    </row>
    <row r="246" spans="1:9" ht="12" customHeight="1" thickBot="1" x14ac:dyDescent="0.25">
      <c r="A246" s="1" t="s">
        <v>30</v>
      </c>
      <c r="B246" s="1" t="s">
        <v>31</v>
      </c>
      <c r="C246" s="1" t="s">
        <v>11</v>
      </c>
      <c r="D246" s="5">
        <v>45899</v>
      </c>
      <c r="E246" s="6">
        <v>17439167941</v>
      </c>
      <c r="F246" s="6">
        <v>4553908509</v>
      </c>
      <c r="G246" s="6">
        <v>12885259432</v>
      </c>
      <c r="H246" s="6">
        <v>4553908509</v>
      </c>
      <c r="I246" s="7">
        <v>12885259432</v>
      </c>
    </row>
    <row r="247" spans="1:9" ht="12" customHeight="1" thickBot="1" x14ac:dyDescent="0.25">
      <c r="A247" s="1" t="s">
        <v>30</v>
      </c>
      <c r="B247" s="1" t="s">
        <v>31</v>
      </c>
      <c r="C247" s="1" t="s">
        <v>11</v>
      </c>
      <c r="D247" s="5">
        <v>45900</v>
      </c>
      <c r="E247" s="6">
        <v>17508750374</v>
      </c>
      <c r="F247" s="6">
        <v>4540468744</v>
      </c>
      <c r="G247" s="6">
        <v>12968281630</v>
      </c>
      <c r="H247" s="6">
        <v>4540468744</v>
      </c>
      <c r="I247" s="7">
        <v>12968281630</v>
      </c>
    </row>
    <row r="248" spans="1:9" ht="12" customHeight="1" thickBot="1" x14ac:dyDescent="0.25">
      <c r="A248" s="1" t="s">
        <v>30</v>
      </c>
      <c r="B248" s="1" t="s">
        <v>31</v>
      </c>
      <c r="C248" s="1" t="s">
        <v>11</v>
      </c>
      <c r="D248" s="5">
        <v>45901</v>
      </c>
      <c r="E248" s="6">
        <v>17513258312</v>
      </c>
      <c r="F248" s="6">
        <v>4539035685</v>
      </c>
      <c r="G248" s="6">
        <v>12974222627</v>
      </c>
      <c r="H248" s="6">
        <v>4539035685</v>
      </c>
      <c r="I248" s="7">
        <v>12974222627</v>
      </c>
    </row>
    <row r="249" spans="1:9" ht="12" customHeight="1" thickBot="1" x14ac:dyDescent="0.25">
      <c r="A249" s="1" t="s">
        <v>30</v>
      </c>
      <c r="B249" s="1" t="s">
        <v>31</v>
      </c>
      <c r="C249" s="1" t="s">
        <v>11</v>
      </c>
      <c r="D249" s="5">
        <v>45902</v>
      </c>
      <c r="E249" s="6">
        <v>17535468117</v>
      </c>
      <c r="F249" s="6">
        <v>4535424253</v>
      </c>
      <c r="G249" s="6">
        <v>13000043864</v>
      </c>
      <c r="H249" s="6">
        <v>4535424253</v>
      </c>
      <c r="I249" s="7">
        <v>13000043864</v>
      </c>
    </row>
    <row r="250" spans="1:9" ht="12" customHeight="1" thickBot="1" x14ac:dyDescent="0.25">
      <c r="A250" s="1" t="s">
        <v>30</v>
      </c>
      <c r="B250" s="1" t="s">
        <v>31</v>
      </c>
      <c r="C250" s="1" t="s">
        <v>11</v>
      </c>
      <c r="D250" s="5">
        <v>45903</v>
      </c>
      <c r="E250" s="6">
        <v>17367643126</v>
      </c>
      <c r="F250" s="6">
        <v>4527568388</v>
      </c>
      <c r="G250" s="6">
        <v>12840074738</v>
      </c>
      <c r="H250" s="6">
        <v>4527568388</v>
      </c>
      <c r="I250" s="7">
        <v>12840074738</v>
      </c>
    </row>
    <row r="251" spans="1:9" ht="12" customHeight="1" thickBot="1" x14ac:dyDescent="0.25">
      <c r="A251" s="1" t="s">
        <v>30</v>
      </c>
      <c r="B251" s="1" t="s">
        <v>31</v>
      </c>
      <c r="C251" s="1" t="s">
        <v>11</v>
      </c>
      <c r="D251" s="5">
        <v>45904</v>
      </c>
      <c r="E251" s="6">
        <v>16972859278</v>
      </c>
      <c r="F251" s="6">
        <v>4518329122</v>
      </c>
      <c r="G251" s="6">
        <v>12454530156</v>
      </c>
      <c r="H251" s="6">
        <v>4518329122</v>
      </c>
      <c r="I251" s="7">
        <v>12454530156</v>
      </c>
    </row>
    <row r="252" spans="1:9" ht="12" customHeight="1" thickBot="1" x14ac:dyDescent="0.25">
      <c r="A252" s="1" t="s">
        <v>30</v>
      </c>
      <c r="B252" s="1" t="s">
        <v>31</v>
      </c>
      <c r="C252" s="1" t="s">
        <v>11</v>
      </c>
      <c r="D252" s="5">
        <v>45905</v>
      </c>
      <c r="E252" s="6">
        <v>16961478452</v>
      </c>
      <c r="F252" s="6">
        <v>6545521425</v>
      </c>
      <c r="G252" s="6">
        <v>10415957027</v>
      </c>
      <c r="H252" s="6">
        <v>4509591966</v>
      </c>
      <c r="I252" s="7">
        <v>12451886486</v>
      </c>
    </row>
    <row r="253" spans="1:9" ht="12" customHeight="1" thickBot="1" x14ac:dyDescent="0.25">
      <c r="A253" s="1" t="s">
        <v>30</v>
      </c>
      <c r="B253" s="1" t="s">
        <v>31</v>
      </c>
      <c r="C253" s="1" t="s">
        <v>11</v>
      </c>
      <c r="D253" s="5">
        <v>45906</v>
      </c>
      <c r="E253" s="6">
        <v>17119238651</v>
      </c>
      <c r="F253" s="6">
        <v>6306243093</v>
      </c>
      <c r="G253" s="6">
        <v>10812995558</v>
      </c>
      <c r="H253" s="6">
        <v>4500679076</v>
      </c>
      <c r="I253" s="7">
        <v>12618559575</v>
      </c>
    </row>
    <row r="254" spans="1:9" ht="12" customHeight="1" thickBot="1" x14ac:dyDescent="0.25">
      <c r="A254" s="1" t="s">
        <v>30</v>
      </c>
      <c r="B254" s="1" t="s">
        <v>31</v>
      </c>
      <c r="C254" s="1" t="s">
        <v>11</v>
      </c>
      <c r="D254" s="5">
        <v>45907</v>
      </c>
      <c r="E254" s="6">
        <v>17266223746</v>
      </c>
      <c r="F254" s="6">
        <v>6187065310</v>
      </c>
      <c r="G254" s="6">
        <v>11079158436</v>
      </c>
      <c r="H254" s="6">
        <v>4493434404</v>
      </c>
      <c r="I254" s="7">
        <v>12772789342</v>
      </c>
    </row>
    <row r="255" spans="1:9" ht="12" customHeight="1" thickBot="1" x14ac:dyDescent="0.25">
      <c r="A255" s="1" t="s">
        <v>30</v>
      </c>
      <c r="B255" s="1" t="s">
        <v>31</v>
      </c>
      <c r="C255" s="1" t="s">
        <v>11</v>
      </c>
      <c r="D255" s="5">
        <v>45908</v>
      </c>
      <c r="E255" s="6">
        <v>17394294785</v>
      </c>
      <c r="F255" s="6">
        <v>6060409507</v>
      </c>
      <c r="G255" s="6">
        <v>11333885278</v>
      </c>
      <c r="H255" s="6">
        <v>4488056789</v>
      </c>
      <c r="I255" s="7">
        <v>12906237996</v>
      </c>
    </row>
    <row r="256" spans="1:9" ht="12" customHeight="1" thickBot="1" x14ac:dyDescent="0.25">
      <c r="A256" s="1" t="s">
        <v>30</v>
      </c>
      <c r="B256" s="1" t="s">
        <v>31</v>
      </c>
      <c r="C256" s="1" t="s">
        <v>11</v>
      </c>
      <c r="D256" s="5">
        <v>45909</v>
      </c>
      <c r="E256" s="6">
        <v>17523294550</v>
      </c>
      <c r="F256" s="6">
        <v>5898787585</v>
      </c>
      <c r="G256" s="6">
        <v>11624506965</v>
      </c>
      <c r="H256" s="6">
        <v>4475038624</v>
      </c>
      <c r="I256" s="7">
        <v>13048255926</v>
      </c>
    </row>
    <row r="257" spans="1:9" ht="12" customHeight="1" thickBot="1" x14ac:dyDescent="0.25">
      <c r="A257" s="1" t="s">
        <v>30</v>
      </c>
      <c r="B257" s="1" t="s">
        <v>31</v>
      </c>
      <c r="C257" s="1" t="s">
        <v>11</v>
      </c>
      <c r="D257" s="5">
        <v>45910</v>
      </c>
      <c r="E257" s="6">
        <v>17662045129</v>
      </c>
      <c r="F257" s="6">
        <v>5736130331</v>
      </c>
      <c r="G257" s="6">
        <v>11925914798</v>
      </c>
      <c r="H257" s="6">
        <v>4461386593</v>
      </c>
      <c r="I257" s="7">
        <v>13200658536</v>
      </c>
    </row>
    <row r="258" spans="1:9" ht="12" customHeight="1" thickBot="1" x14ac:dyDescent="0.25">
      <c r="A258" s="1" t="s">
        <v>30</v>
      </c>
      <c r="B258" s="1" t="s">
        <v>31</v>
      </c>
      <c r="C258" s="1" t="s">
        <v>11</v>
      </c>
      <c r="D258" s="5">
        <v>45911</v>
      </c>
      <c r="E258" s="6">
        <v>17773727881</v>
      </c>
      <c r="F258" s="6">
        <v>5647436502</v>
      </c>
      <c r="G258" s="6">
        <v>12126291379</v>
      </c>
      <c r="H258" s="6">
        <v>4449482275</v>
      </c>
      <c r="I258" s="7">
        <v>13324245606</v>
      </c>
    </row>
    <row r="259" spans="1:9" ht="12" customHeight="1" thickBot="1" x14ac:dyDescent="0.25">
      <c r="A259" s="1" t="s">
        <v>30</v>
      </c>
      <c r="B259" s="1" t="s">
        <v>31</v>
      </c>
      <c r="C259" s="1" t="s">
        <v>11</v>
      </c>
      <c r="D259" s="5">
        <v>45912</v>
      </c>
      <c r="E259" s="6">
        <v>17875051414</v>
      </c>
      <c r="F259" s="6">
        <v>5612905504</v>
      </c>
      <c r="G259" s="6">
        <v>12262145910</v>
      </c>
      <c r="H259" s="6">
        <v>4441446510</v>
      </c>
      <c r="I259" s="7">
        <v>13433604904</v>
      </c>
    </row>
    <row r="260" spans="1:9" ht="12" customHeight="1" thickBot="1" x14ac:dyDescent="0.25">
      <c r="A260" s="1" t="s">
        <v>30</v>
      </c>
      <c r="B260" s="1" t="s">
        <v>31</v>
      </c>
      <c r="C260" s="1" t="s">
        <v>11</v>
      </c>
      <c r="D260" s="5">
        <v>45913</v>
      </c>
      <c r="E260" s="6">
        <v>18020426945</v>
      </c>
      <c r="F260" s="6">
        <v>5559972293</v>
      </c>
      <c r="G260" s="6">
        <v>12460454652</v>
      </c>
      <c r="H260" s="6">
        <v>4434099194</v>
      </c>
      <c r="I260" s="7">
        <v>13586327751</v>
      </c>
    </row>
    <row r="261" spans="1:9" ht="12" customHeight="1" thickBot="1" x14ac:dyDescent="0.25">
      <c r="A261" s="1" t="s">
        <v>30</v>
      </c>
      <c r="B261" s="1" t="s">
        <v>31</v>
      </c>
      <c r="C261" s="1" t="s">
        <v>11</v>
      </c>
      <c r="D261" s="5">
        <v>45914</v>
      </c>
      <c r="E261" s="6">
        <v>18140752892</v>
      </c>
      <c r="F261" s="6">
        <v>5522670444</v>
      </c>
      <c r="G261" s="6">
        <v>12618082448</v>
      </c>
      <c r="H261" s="6">
        <v>4434027194</v>
      </c>
      <c r="I261" s="7">
        <v>13706725698</v>
      </c>
    </row>
    <row r="262" spans="1:9" ht="12" customHeight="1" thickBot="1" x14ac:dyDescent="0.25">
      <c r="A262" s="1" t="s">
        <v>30</v>
      </c>
      <c r="B262" s="1" t="s">
        <v>31</v>
      </c>
      <c r="C262" s="1" t="s">
        <v>11</v>
      </c>
      <c r="D262" s="5">
        <v>45915</v>
      </c>
      <c r="E262" s="6">
        <v>18272029713</v>
      </c>
      <c r="F262" s="6">
        <v>5487874842</v>
      </c>
      <c r="G262" s="6">
        <v>12784154871</v>
      </c>
      <c r="H262" s="6">
        <v>5487874842</v>
      </c>
      <c r="I262" s="7">
        <v>12784154871</v>
      </c>
    </row>
    <row r="263" spans="1:9" ht="12" customHeight="1" thickBot="1" x14ac:dyDescent="0.25">
      <c r="A263" s="1" t="s">
        <v>30</v>
      </c>
      <c r="B263" s="1" t="s">
        <v>31</v>
      </c>
      <c r="C263" s="1" t="s">
        <v>11</v>
      </c>
      <c r="D263" s="5">
        <v>45916</v>
      </c>
      <c r="E263" s="6">
        <v>18383209761</v>
      </c>
      <c r="F263" s="6">
        <v>5456732323</v>
      </c>
      <c r="G263" s="6">
        <v>12926477438</v>
      </c>
      <c r="H263" s="6">
        <v>5456732323</v>
      </c>
      <c r="I263" s="7">
        <v>12926477438</v>
      </c>
    </row>
    <row r="264" spans="1:9" ht="12" customHeight="1" thickBot="1" x14ac:dyDescent="0.25">
      <c r="A264" s="1" t="s">
        <v>30</v>
      </c>
      <c r="B264" s="1" t="s">
        <v>31</v>
      </c>
      <c r="C264" s="1" t="s">
        <v>11</v>
      </c>
      <c r="D264" s="5">
        <v>45917</v>
      </c>
      <c r="E264" s="6">
        <v>18500628697</v>
      </c>
      <c r="F264" s="6">
        <v>5447822597</v>
      </c>
      <c r="G264" s="6">
        <v>13052806100</v>
      </c>
      <c r="H264" s="6">
        <v>5447822597</v>
      </c>
      <c r="I264" s="7">
        <v>13052806100</v>
      </c>
    </row>
    <row r="265" spans="1:9" ht="12" customHeight="1" thickBot="1" x14ac:dyDescent="0.25">
      <c r="A265" s="1" t="s">
        <v>30</v>
      </c>
      <c r="B265" s="1" t="s">
        <v>31</v>
      </c>
      <c r="C265" s="1" t="s">
        <v>11</v>
      </c>
      <c r="D265" s="5">
        <v>45918</v>
      </c>
      <c r="E265" s="6">
        <v>18605795797</v>
      </c>
      <c r="F265" s="6">
        <v>5419462393</v>
      </c>
      <c r="G265" s="6">
        <v>13186333404</v>
      </c>
      <c r="H265" s="6">
        <v>5419462393</v>
      </c>
      <c r="I265" s="7">
        <v>13186333404</v>
      </c>
    </row>
    <row r="266" spans="1:9" ht="12" customHeight="1" thickBot="1" x14ac:dyDescent="0.25">
      <c r="A266" s="1" t="s">
        <v>30</v>
      </c>
      <c r="B266" s="1" t="s">
        <v>31</v>
      </c>
      <c r="C266" s="1" t="s">
        <v>11</v>
      </c>
      <c r="D266" s="5">
        <v>45919</v>
      </c>
      <c r="E266" s="6">
        <v>18724637367</v>
      </c>
      <c r="F266" s="6">
        <v>5393247398</v>
      </c>
      <c r="G266" s="6">
        <v>13331389969</v>
      </c>
      <c r="H266" s="6">
        <v>5393247398</v>
      </c>
      <c r="I266" s="7">
        <v>13331389969</v>
      </c>
    </row>
    <row r="267" spans="1:9" ht="12" customHeight="1" thickBot="1" x14ac:dyDescent="0.25">
      <c r="A267" s="1" t="s">
        <v>30</v>
      </c>
      <c r="B267" s="1" t="s">
        <v>31</v>
      </c>
      <c r="C267" s="1" t="s">
        <v>11</v>
      </c>
      <c r="D267" s="5">
        <v>45920</v>
      </c>
      <c r="E267" s="6">
        <v>18851645252</v>
      </c>
      <c r="F267" s="6">
        <v>5372897838</v>
      </c>
      <c r="G267" s="6">
        <v>13478747414</v>
      </c>
      <c r="H267" s="6">
        <v>5372897838</v>
      </c>
      <c r="I267" s="7">
        <v>13478747414</v>
      </c>
    </row>
    <row r="268" spans="1:9" ht="12" customHeight="1" thickBot="1" x14ac:dyDescent="0.25">
      <c r="A268" s="1" t="s">
        <v>30</v>
      </c>
      <c r="B268" s="1" t="s">
        <v>31</v>
      </c>
      <c r="C268" s="1" t="s">
        <v>11</v>
      </c>
      <c r="D268" s="5">
        <v>45921</v>
      </c>
      <c r="E268" s="6">
        <v>18894797039</v>
      </c>
      <c r="F268" s="6">
        <v>5358118046</v>
      </c>
      <c r="G268" s="6">
        <v>13536678993</v>
      </c>
      <c r="H268" s="6">
        <v>5358118046</v>
      </c>
      <c r="I268" s="7">
        <v>13536678993</v>
      </c>
    </row>
    <row r="269" spans="1:9" ht="12" customHeight="1" thickBot="1" x14ac:dyDescent="0.25">
      <c r="A269" s="1" t="s">
        <v>30</v>
      </c>
      <c r="B269" s="1" t="s">
        <v>31</v>
      </c>
      <c r="C269" s="1" t="s">
        <v>11</v>
      </c>
      <c r="D269" s="5">
        <v>45922</v>
      </c>
      <c r="E269" s="6">
        <v>18973391814</v>
      </c>
      <c r="F269" s="6">
        <v>5338489748</v>
      </c>
      <c r="G269" s="6">
        <v>13634902066</v>
      </c>
      <c r="H269" s="6">
        <v>5338489748</v>
      </c>
      <c r="I269" s="7">
        <v>13634902066</v>
      </c>
    </row>
    <row r="270" spans="1:9" ht="12" customHeight="1" thickBot="1" x14ac:dyDescent="0.25">
      <c r="A270" s="1" t="s">
        <v>30</v>
      </c>
      <c r="B270" s="1" t="s">
        <v>31</v>
      </c>
      <c r="C270" s="1" t="s">
        <v>11</v>
      </c>
      <c r="D270" s="5">
        <v>45923</v>
      </c>
      <c r="E270" s="6">
        <v>19068777117</v>
      </c>
      <c r="F270" s="6">
        <v>5328549462</v>
      </c>
      <c r="G270" s="6">
        <v>13740227655</v>
      </c>
      <c r="H270" s="6">
        <v>5328549462</v>
      </c>
      <c r="I270" s="7">
        <v>13740227655</v>
      </c>
    </row>
    <row r="271" spans="1:9" ht="12" customHeight="1" thickBot="1" x14ac:dyDescent="0.25">
      <c r="A271" s="1" t="s">
        <v>30</v>
      </c>
      <c r="B271" s="1" t="s">
        <v>31</v>
      </c>
      <c r="C271" s="1" t="s">
        <v>11</v>
      </c>
      <c r="D271" s="5">
        <v>45924</v>
      </c>
      <c r="E271" s="6">
        <v>19156189970</v>
      </c>
      <c r="F271" s="6">
        <v>5319822231</v>
      </c>
      <c r="G271" s="6">
        <v>13836367739</v>
      </c>
      <c r="H271" s="6">
        <v>5319822231</v>
      </c>
      <c r="I271" s="7">
        <v>13836367739</v>
      </c>
    </row>
    <row r="272" spans="1:9" ht="12" customHeight="1" thickBot="1" x14ac:dyDescent="0.25">
      <c r="A272" s="1" t="s">
        <v>30</v>
      </c>
      <c r="B272" s="1" t="s">
        <v>31</v>
      </c>
      <c r="C272" s="1" t="s">
        <v>11</v>
      </c>
      <c r="D272" s="5">
        <v>45925</v>
      </c>
      <c r="E272" s="6">
        <v>19175024373</v>
      </c>
      <c r="F272" s="6">
        <v>5301924601</v>
      </c>
      <c r="G272" s="6">
        <v>13873099772</v>
      </c>
      <c r="H272" s="6">
        <v>5301924601</v>
      </c>
      <c r="I272" s="7">
        <v>13873099772</v>
      </c>
    </row>
    <row r="273" spans="1:9" ht="12" customHeight="1" thickBot="1" x14ac:dyDescent="0.25">
      <c r="A273" s="1" t="s">
        <v>30</v>
      </c>
      <c r="B273" s="1" t="s">
        <v>31</v>
      </c>
      <c r="C273" s="1" t="s">
        <v>11</v>
      </c>
      <c r="D273" s="5">
        <v>45926</v>
      </c>
      <c r="E273" s="6">
        <v>19259051984</v>
      </c>
      <c r="F273" s="6">
        <v>5291286355</v>
      </c>
      <c r="G273" s="6">
        <v>13967765629</v>
      </c>
      <c r="H273" s="6">
        <v>5291286355</v>
      </c>
      <c r="I273" s="7">
        <v>13967765629</v>
      </c>
    </row>
    <row r="274" spans="1:9" ht="12" customHeight="1" thickBot="1" x14ac:dyDescent="0.25">
      <c r="A274" s="1" t="s">
        <v>30</v>
      </c>
      <c r="B274" s="1" t="s">
        <v>31</v>
      </c>
      <c r="C274" s="1" t="s">
        <v>11</v>
      </c>
      <c r="D274" s="5">
        <v>45927</v>
      </c>
      <c r="E274" s="6">
        <v>19389549183</v>
      </c>
      <c r="F274" s="6">
        <v>5276670115</v>
      </c>
      <c r="G274" s="6">
        <v>14112879068</v>
      </c>
      <c r="H274" s="6">
        <v>5276670115</v>
      </c>
      <c r="I274" s="7">
        <v>14112879068</v>
      </c>
    </row>
    <row r="275" spans="1:9" ht="12" customHeight="1" thickBot="1" x14ac:dyDescent="0.25">
      <c r="A275" s="1" t="s">
        <v>30</v>
      </c>
      <c r="B275" s="1" t="s">
        <v>31</v>
      </c>
      <c r="C275" s="1" t="s">
        <v>11</v>
      </c>
      <c r="D275" s="5">
        <v>45928</v>
      </c>
      <c r="E275" s="6">
        <v>19481425278</v>
      </c>
      <c r="F275" s="6">
        <v>5267731308</v>
      </c>
      <c r="G275" s="6">
        <v>14213693970</v>
      </c>
      <c r="H275" s="6">
        <v>5267731308</v>
      </c>
      <c r="I275" s="7">
        <v>14213693970</v>
      </c>
    </row>
    <row r="276" spans="1:9" ht="12" customHeight="1" thickBot="1" x14ac:dyDescent="0.25">
      <c r="A276" s="1" t="s">
        <v>30</v>
      </c>
      <c r="B276" s="1" t="s">
        <v>31</v>
      </c>
      <c r="C276" s="1" t="s">
        <v>11</v>
      </c>
      <c r="D276" s="5">
        <v>45929</v>
      </c>
      <c r="E276" s="6">
        <v>19539024107</v>
      </c>
      <c r="F276" s="6">
        <v>5264836308</v>
      </c>
      <c r="G276" s="6">
        <v>14274187799</v>
      </c>
      <c r="H276" s="6">
        <v>5264836308</v>
      </c>
      <c r="I276" s="7">
        <v>14274187799</v>
      </c>
    </row>
    <row r="277" spans="1:9" ht="12" customHeight="1" thickBot="1" x14ac:dyDescent="0.25">
      <c r="A277" s="1" t="s">
        <v>30</v>
      </c>
      <c r="B277" s="1" t="s">
        <v>31</v>
      </c>
      <c r="C277" s="1" t="s">
        <v>11</v>
      </c>
      <c r="D277" s="5">
        <v>45930</v>
      </c>
      <c r="E277" s="6">
        <v>19473181026</v>
      </c>
      <c r="F277" s="6">
        <v>5248327061</v>
      </c>
      <c r="G277" s="6">
        <v>14224853965</v>
      </c>
      <c r="H277" s="6">
        <v>5248327061</v>
      </c>
      <c r="I277" s="7">
        <v>14224853965</v>
      </c>
    </row>
    <row r="278" spans="1:9" ht="12" customHeight="1" thickBot="1" x14ac:dyDescent="0.25">
      <c r="A278" s="1" t="s">
        <v>32</v>
      </c>
      <c r="B278" s="1" t="s">
        <v>12</v>
      </c>
      <c r="C278" s="1" t="s">
        <v>20</v>
      </c>
      <c r="D278" s="5">
        <v>45839</v>
      </c>
      <c r="E278" s="6">
        <v>1104876939974</v>
      </c>
      <c r="F278" s="6">
        <v>182527685693</v>
      </c>
      <c r="G278" s="6">
        <v>922349254281</v>
      </c>
      <c r="H278" s="6">
        <v>162897782301</v>
      </c>
      <c r="I278" s="7">
        <v>941979157673</v>
      </c>
    </row>
    <row r="279" spans="1:9" ht="12" customHeight="1" thickBot="1" x14ac:dyDescent="0.25">
      <c r="A279" s="1" t="s">
        <v>32</v>
      </c>
      <c r="B279" s="1" t="s">
        <v>12</v>
      </c>
      <c r="C279" s="1" t="s">
        <v>20</v>
      </c>
      <c r="D279" s="5">
        <v>45840</v>
      </c>
      <c r="E279" s="6">
        <v>1113711108206</v>
      </c>
      <c r="F279" s="6">
        <v>184059151740</v>
      </c>
      <c r="G279" s="6">
        <v>929651956466</v>
      </c>
      <c r="H279" s="6">
        <v>163626935354</v>
      </c>
      <c r="I279" s="7">
        <v>950084172852</v>
      </c>
    </row>
    <row r="280" spans="1:9" ht="12" customHeight="1" thickBot="1" x14ac:dyDescent="0.25">
      <c r="A280" s="1" t="s">
        <v>32</v>
      </c>
      <c r="B280" s="1" t="s">
        <v>12</v>
      </c>
      <c r="C280" s="1" t="s">
        <v>20</v>
      </c>
      <c r="D280" s="5">
        <v>45841</v>
      </c>
      <c r="E280" s="6">
        <v>1121388761253</v>
      </c>
      <c r="F280" s="6">
        <v>185437210025</v>
      </c>
      <c r="G280" s="6">
        <v>935951551228</v>
      </c>
      <c r="H280" s="6">
        <v>163270485789</v>
      </c>
      <c r="I280" s="7">
        <v>958118275464</v>
      </c>
    </row>
    <row r="281" spans="1:9" ht="12" customHeight="1" thickBot="1" x14ac:dyDescent="0.25">
      <c r="A281" s="1" t="s">
        <v>32</v>
      </c>
      <c r="B281" s="1" t="s">
        <v>12</v>
      </c>
      <c r="C281" s="1" t="s">
        <v>20</v>
      </c>
      <c r="D281" s="5">
        <v>45842</v>
      </c>
      <c r="E281" s="6">
        <v>1128091517687</v>
      </c>
      <c r="F281" s="6">
        <v>186284483652</v>
      </c>
      <c r="G281" s="6">
        <v>941807034035</v>
      </c>
      <c r="H281" s="6">
        <v>165682590452</v>
      </c>
      <c r="I281" s="7">
        <v>962408927235</v>
      </c>
    </row>
    <row r="282" spans="1:9" ht="12" customHeight="1" thickBot="1" x14ac:dyDescent="0.25">
      <c r="A282" s="1" t="s">
        <v>32</v>
      </c>
      <c r="B282" s="1" t="s">
        <v>12</v>
      </c>
      <c r="C282" s="1" t="s">
        <v>20</v>
      </c>
      <c r="D282" s="5">
        <v>45843</v>
      </c>
      <c r="E282" s="6">
        <v>1135525274812</v>
      </c>
      <c r="F282" s="6">
        <v>187651309650</v>
      </c>
      <c r="G282" s="6">
        <v>947873965162</v>
      </c>
      <c r="H282" s="6">
        <v>166413622211</v>
      </c>
      <c r="I282" s="7">
        <v>969111652601</v>
      </c>
    </row>
    <row r="283" spans="1:9" ht="12" customHeight="1" thickBot="1" x14ac:dyDescent="0.25">
      <c r="A283" s="1" t="s">
        <v>32</v>
      </c>
      <c r="B283" s="1" t="s">
        <v>12</v>
      </c>
      <c r="C283" s="1" t="s">
        <v>20</v>
      </c>
      <c r="D283" s="5">
        <v>45844</v>
      </c>
      <c r="E283" s="6">
        <v>1143223972520</v>
      </c>
      <c r="F283" s="6">
        <v>190010320818</v>
      </c>
      <c r="G283" s="6">
        <v>953213651702</v>
      </c>
      <c r="H283" s="6">
        <v>167489402315</v>
      </c>
      <c r="I283" s="7">
        <v>975734570205</v>
      </c>
    </row>
    <row r="284" spans="1:9" ht="12" customHeight="1" thickBot="1" x14ac:dyDescent="0.25">
      <c r="A284" s="1" t="s">
        <v>32</v>
      </c>
      <c r="B284" s="1" t="s">
        <v>12</v>
      </c>
      <c r="C284" s="1" t="s">
        <v>20</v>
      </c>
      <c r="D284" s="5">
        <v>45845</v>
      </c>
      <c r="E284" s="6">
        <v>1148549081794</v>
      </c>
      <c r="F284" s="6">
        <v>186799503897</v>
      </c>
      <c r="G284" s="6">
        <v>961749577897</v>
      </c>
      <c r="H284" s="6">
        <v>168638734020</v>
      </c>
      <c r="I284" s="7">
        <v>979910347774</v>
      </c>
    </row>
    <row r="285" spans="1:9" ht="12" customHeight="1" thickBot="1" x14ac:dyDescent="0.25">
      <c r="A285" s="1" t="s">
        <v>32</v>
      </c>
      <c r="B285" s="1" t="s">
        <v>12</v>
      </c>
      <c r="C285" s="1" t="s">
        <v>20</v>
      </c>
      <c r="D285" s="5">
        <v>45846</v>
      </c>
      <c r="E285" s="6">
        <v>1156745778725</v>
      </c>
      <c r="F285" s="6">
        <v>191625157871</v>
      </c>
      <c r="G285" s="6">
        <v>965120620854</v>
      </c>
      <c r="H285" s="6">
        <v>169404378604</v>
      </c>
      <c r="I285" s="7">
        <v>987341400121</v>
      </c>
    </row>
    <row r="286" spans="1:9" ht="12" customHeight="1" thickBot="1" x14ac:dyDescent="0.25">
      <c r="A286" s="1" t="s">
        <v>32</v>
      </c>
      <c r="B286" s="1" t="s">
        <v>12</v>
      </c>
      <c r="C286" s="1" t="s">
        <v>20</v>
      </c>
      <c r="D286" s="5">
        <v>45847</v>
      </c>
      <c r="E286" s="6">
        <v>1163877613187</v>
      </c>
      <c r="F286" s="6">
        <v>192232995626</v>
      </c>
      <c r="G286" s="6">
        <v>971644617561</v>
      </c>
      <c r="H286" s="6">
        <v>173380001751</v>
      </c>
      <c r="I286" s="7">
        <v>990497611436</v>
      </c>
    </row>
    <row r="287" spans="1:9" ht="12" customHeight="1" thickBot="1" x14ac:dyDescent="0.25">
      <c r="A287" s="1" t="s">
        <v>32</v>
      </c>
      <c r="B287" s="1" t="s">
        <v>12</v>
      </c>
      <c r="C287" s="1" t="s">
        <v>20</v>
      </c>
      <c r="D287" s="5">
        <v>45848</v>
      </c>
      <c r="E287" s="6">
        <v>1172159468878</v>
      </c>
      <c r="F287" s="6">
        <v>192581264782</v>
      </c>
      <c r="G287" s="6">
        <v>979578204096</v>
      </c>
      <c r="H287" s="6">
        <v>172512764731</v>
      </c>
      <c r="I287" s="7">
        <v>999646704147</v>
      </c>
    </row>
    <row r="288" spans="1:9" ht="12" customHeight="1" thickBot="1" x14ac:dyDescent="0.25">
      <c r="A288" s="1" t="s">
        <v>32</v>
      </c>
      <c r="B288" s="1" t="s">
        <v>12</v>
      </c>
      <c r="C288" s="1" t="s">
        <v>20</v>
      </c>
      <c r="D288" s="5">
        <v>45849</v>
      </c>
      <c r="E288" s="6">
        <v>1179331107156</v>
      </c>
      <c r="F288" s="6">
        <v>192964525315</v>
      </c>
      <c r="G288" s="6">
        <v>986366581841</v>
      </c>
      <c r="H288" s="6">
        <v>171569238023</v>
      </c>
      <c r="I288" s="7">
        <v>1007761869133</v>
      </c>
    </row>
    <row r="289" spans="1:9" ht="12" customHeight="1" thickBot="1" x14ac:dyDescent="0.25">
      <c r="A289" s="1" t="s">
        <v>32</v>
      </c>
      <c r="B289" s="1" t="s">
        <v>12</v>
      </c>
      <c r="C289" s="1" t="s">
        <v>20</v>
      </c>
      <c r="D289" s="5">
        <v>45850</v>
      </c>
      <c r="E289" s="6">
        <v>1185379573116</v>
      </c>
      <c r="F289" s="6">
        <v>194805308760</v>
      </c>
      <c r="G289" s="6">
        <v>990574264356</v>
      </c>
      <c r="H289" s="6">
        <v>172559113043</v>
      </c>
      <c r="I289" s="7">
        <v>1012820460073</v>
      </c>
    </row>
    <row r="290" spans="1:9" ht="12" customHeight="1" thickBot="1" x14ac:dyDescent="0.25">
      <c r="A290" s="1" t="s">
        <v>32</v>
      </c>
      <c r="B290" s="1" t="s">
        <v>12</v>
      </c>
      <c r="C290" s="1" t="s">
        <v>20</v>
      </c>
      <c r="D290" s="5">
        <v>45851</v>
      </c>
      <c r="E290" s="6">
        <v>1192795620324</v>
      </c>
      <c r="F290" s="6">
        <v>197590835995</v>
      </c>
      <c r="G290" s="6">
        <v>995204784329</v>
      </c>
      <c r="H290" s="6">
        <v>173614965007</v>
      </c>
      <c r="I290" s="7">
        <v>1019180655317</v>
      </c>
    </row>
    <row r="291" spans="1:9" ht="12" customHeight="1" thickBot="1" x14ac:dyDescent="0.25">
      <c r="A291" s="1" t="s">
        <v>32</v>
      </c>
      <c r="B291" s="1" t="s">
        <v>12</v>
      </c>
      <c r="C291" s="1" t="s">
        <v>20</v>
      </c>
      <c r="D291" s="5">
        <v>45852</v>
      </c>
      <c r="E291" s="6">
        <v>1197607308729</v>
      </c>
      <c r="F291" s="6">
        <v>194400553181</v>
      </c>
      <c r="G291" s="6">
        <v>1003206755548</v>
      </c>
      <c r="H291" s="6">
        <v>174479666373</v>
      </c>
      <c r="I291" s="7">
        <v>1023127642356</v>
      </c>
    </row>
    <row r="292" spans="1:9" ht="12" customHeight="1" thickBot="1" x14ac:dyDescent="0.25">
      <c r="A292" s="1" t="s">
        <v>32</v>
      </c>
      <c r="B292" s="1" t="s">
        <v>12</v>
      </c>
      <c r="C292" s="1" t="s">
        <v>20</v>
      </c>
      <c r="D292" s="5">
        <v>45853</v>
      </c>
      <c r="E292" s="6">
        <v>1205856289685</v>
      </c>
      <c r="F292" s="6">
        <v>198532874030</v>
      </c>
      <c r="G292" s="6">
        <v>1007323415655</v>
      </c>
      <c r="H292" s="6">
        <v>175522826669</v>
      </c>
      <c r="I292" s="7">
        <v>1030333463016</v>
      </c>
    </row>
    <row r="293" spans="1:9" ht="12" customHeight="1" thickBot="1" x14ac:dyDescent="0.25">
      <c r="A293" s="1" t="s">
        <v>32</v>
      </c>
      <c r="B293" s="1" t="s">
        <v>12</v>
      </c>
      <c r="C293" s="1" t="s">
        <v>20</v>
      </c>
      <c r="D293" s="5">
        <v>45854</v>
      </c>
      <c r="E293" s="6">
        <v>1212213467708</v>
      </c>
      <c r="F293" s="6">
        <v>198343211134</v>
      </c>
      <c r="G293" s="6">
        <v>1013870256574</v>
      </c>
      <c r="H293" s="6">
        <v>176365491781</v>
      </c>
      <c r="I293" s="7">
        <v>1035847975927</v>
      </c>
    </row>
    <row r="294" spans="1:9" ht="12" customHeight="1" thickBot="1" x14ac:dyDescent="0.25">
      <c r="A294" s="1" t="s">
        <v>32</v>
      </c>
      <c r="B294" s="1" t="s">
        <v>12</v>
      </c>
      <c r="C294" s="1" t="s">
        <v>20</v>
      </c>
      <c r="D294" s="5">
        <v>45855</v>
      </c>
      <c r="E294" s="6">
        <v>1218017159058</v>
      </c>
      <c r="F294" s="6">
        <v>198557387325</v>
      </c>
      <c r="G294" s="6">
        <v>1019459771733</v>
      </c>
      <c r="H294" s="6">
        <v>175553154832</v>
      </c>
      <c r="I294" s="7">
        <v>1042464004226</v>
      </c>
    </row>
    <row r="295" spans="1:9" ht="12" customHeight="1" thickBot="1" x14ac:dyDescent="0.25">
      <c r="A295" s="1" t="s">
        <v>32</v>
      </c>
      <c r="B295" s="1" t="s">
        <v>12</v>
      </c>
      <c r="C295" s="1" t="s">
        <v>20</v>
      </c>
      <c r="D295" s="5">
        <v>45856</v>
      </c>
      <c r="E295" s="6">
        <v>1224372707258</v>
      </c>
      <c r="F295" s="6">
        <v>198983676034</v>
      </c>
      <c r="G295" s="6">
        <v>1025389031224</v>
      </c>
      <c r="H295" s="6">
        <v>177664754829</v>
      </c>
      <c r="I295" s="7">
        <v>1046707952429</v>
      </c>
    </row>
    <row r="296" spans="1:9" ht="12" customHeight="1" thickBot="1" x14ac:dyDescent="0.25">
      <c r="A296" s="1" t="s">
        <v>32</v>
      </c>
      <c r="B296" s="1" t="s">
        <v>12</v>
      </c>
      <c r="C296" s="1" t="s">
        <v>20</v>
      </c>
      <c r="D296" s="5">
        <v>45857</v>
      </c>
      <c r="E296" s="6">
        <v>1230573034153</v>
      </c>
      <c r="F296" s="6">
        <v>200770619520</v>
      </c>
      <c r="G296" s="6">
        <v>1029802414633</v>
      </c>
      <c r="H296" s="6">
        <v>178623392492</v>
      </c>
      <c r="I296" s="7">
        <v>1051949641661</v>
      </c>
    </row>
    <row r="297" spans="1:9" ht="12" customHeight="1" thickBot="1" x14ac:dyDescent="0.25">
      <c r="A297" s="1" t="s">
        <v>32</v>
      </c>
      <c r="B297" s="1" t="s">
        <v>12</v>
      </c>
      <c r="C297" s="1" t="s">
        <v>20</v>
      </c>
      <c r="D297" s="5">
        <v>45858</v>
      </c>
      <c r="E297" s="6">
        <v>1238369744679</v>
      </c>
      <c r="F297" s="6">
        <v>203557584076</v>
      </c>
      <c r="G297" s="6">
        <v>1034812160603</v>
      </c>
      <c r="H297" s="6">
        <v>180155477467</v>
      </c>
      <c r="I297" s="7">
        <v>1058214267212</v>
      </c>
    </row>
    <row r="298" spans="1:9" ht="12" customHeight="1" thickBot="1" x14ac:dyDescent="0.25">
      <c r="A298" s="1" t="s">
        <v>32</v>
      </c>
      <c r="B298" s="1" t="s">
        <v>12</v>
      </c>
      <c r="C298" s="1" t="s">
        <v>20</v>
      </c>
      <c r="D298" s="5">
        <v>45859</v>
      </c>
      <c r="E298" s="6">
        <v>1243128684886</v>
      </c>
      <c r="F298" s="6">
        <v>200440798077</v>
      </c>
      <c r="G298" s="6">
        <v>1042687886809</v>
      </c>
      <c r="H298" s="6">
        <v>181232313722</v>
      </c>
      <c r="I298" s="7">
        <v>1061896371164</v>
      </c>
    </row>
    <row r="299" spans="1:9" ht="12" customHeight="1" thickBot="1" x14ac:dyDescent="0.25">
      <c r="A299" s="1" t="s">
        <v>32</v>
      </c>
      <c r="B299" s="1" t="s">
        <v>12</v>
      </c>
      <c r="C299" s="1" t="s">
        <v>20</v>
      </c>
      <c r="D299" s="5">
        <v>45860</v>
      </c>
      <c r="E299" s="6">
        <v>1250706117730</v>
      </c>
      <c r="F299" s="6">
        <v>205434480732</v>
      </c>
      <c r="G299" s="6">
        <v>1045271636998</v>
      </c>
      <c r="H299" s="6">
        <v>182400845237</v>
      </c>
      <c r="I299" s="7">
        <v>1068305272493</v>
      </c>
    </row>
    <row r="300" spans="1:9" ht="12" customHeight="1" thickBot="1" x14ac:dyDescent="0.25">
      <c r="A300" s="1" t="s">
        <v>32</v>
      </c>
      <c r="B300" s="1" t="s">
        <v>12</v>
      </c>
      <c r="C300" s="1" t="s">
        <v>20</v>
      </c>
      <c r="D300" s="5">
        <v>45861</v>
      </c>
      <c r="E300" s="6">
        <v>1258233487448</v>
      </c>
      <c r="F300" s="6">
        <v>205452852113</v>
      </c>
      <c r="G300" s="6">
        <v>1052780635335</v>
      </c>
      <c r="H300" s="6">
        <v>183413984333</v>
      </c>
      <c r="I300" s="7">
        <v>1074819503115</v>
      </c>
    </row>
    <row r="301" spans="1:9" ht="12" customHeight="1" thickBot="1" x14ac:dyDescent="0.25">
      <c r="A301" s="1" t="s">
        <v>32</v>
      </c>
      <c r="B301" s="1" t="s">
        <v>12</v>
      </c>
      <c r="C301" s="1" t="s">
        <v>20</v>
      </c>
      <c r="D301" s="5">
        <v>45862</v>
      </c>
      <c r="E301" s="6">
        <v>1264428351369</v>
      </c>
      <c r="F301" s="6">
        <v>207216968046</v>
      </c>
      <c r="G301" s="6">
        <v>1057211383323</v>
      </c>
      <c r="H301" s="6">
        <v>182997304983</v>
      </c>
      <c r="I301" s="7">
        <v>1081431046386</v>
      </c>
    </row>
    <row r="302" spans="1:9" ht="12" customHeight="1" thickBot="1" x14ac:dyDescent="0.25">
      <c r="A302" s="1" t="s">
        <v>32</v>
      </c>
      <c r="B302" s="1" t="s">
        <v>12</v>
      </c>
      <c r="C302" s="1" t="s">
        <v>20</v>
      </c>
      <c r="D302" s="5">
        <v>45863</v>
      </c>
      <c r="E302" s="6">
        <v>1270660121807</v>
      </c>
      <c r="F302" s="6">
        <v>207110442358</v>
      </c>
      <c r="G302" s="6">
        <v>1063549679449</v>
      </c>
      <c r="H302" s="6">
        <v>185719206152</v>
      </c>
      <c r="I302" s="7">
        <v>1084940915655</v>
      </c>
    </row>
    <row r="303" spans="1:9" ht="12" customHeight="1" thickBot="1" x14ac:dyDescent="0.25">
      <c r="A303" s="1" t="s">
        <v>32</v>
      </c>
      <c r="B303" s="1" t="s">
        <v>12</v>
      </c>
      <c r="C303" s="1" t="s">
        <v>20</v>
      </c>
      <c r="D303" s="5">
        <v>45864</v>
      </c>
      <c r="E303" s="6">
        <v>1275654387751</v>
      </c>
      <c r="F303" s="6">
        <v>207944699543</v>
      </c>
      <c r="G303" s="6">
        <v>1067709688208</v>
      </c>
      <c r="H303" s="6">
        <v>186755985959</v>
      </c>
      <c r="I303" s="7">
        <v>1088898401792</v>
      </c>
    </row>
    <row r="304" spans="1:9" ht="12" customHeight="1" thickBot="1" x14ac:dyDescent="0.25">
      <c r="A304" s="1" t="s">
        <v>32</v>
      </c>
      <c r="B304" s="1" t="s">
        <v>12</v>
      </c>
      <c r="C304" s="1" t="s">
        <v>20</v>
      </c>
      <c r="D304" s="5">
        <v>45865</v>
      </c>
      <c r="E304" s="6">
        <v>1283381122800</v>
      </c>
      <c r="F304" s="6">
        <v>209909450476</v>
      </c>
      <c r="G304" s="6">
        <v>1073471672324</v>
      </c>
      <c r="H304" s="6">
        <v>187614520399</v>
      </c>
      <c r="I304" s="7">
        <v>1095766602401</v>
      </c>
    </row>
    <row r="305" spans="1:9" ht="12" customHeight="1" thickBot="1" x14ac:dyDescent="0.25">
      <c r="A305" s="1" t="s">
        <v>32</v>
      </c>
      <c r="B305" s="1" t="s">
        <v>12</v>
      </c>
      <c r="C305" s="1" t="s">
        <v>20</v>
      </c>
      <c r="D305" s="5">
        <v>45866</v>
      </c>
      <c r="E305" s="6">
        <v>1283166497464</v>
      </c>
      <c r="F305" s="6">
        <v>206298854639</v>
      </c>
      <c r="G305" s="6">
        <v>1076867642825</v>
      </c>
      <c r="H305" s="6">
        <v>188449592685</v>
      </c>
      <c r="I305" s="7">
        <v>1094716904779</v>
      </c>
    </row>
    <row r="306" spans="1:9" ht="12" customHeight="1" thickBot="1" x14ac:dyDescent="0.25">
      <c r="A306" s="1" t="s">
        <v>32</v>
      </c>
      <c r="B306" s="1" t="s">
        <v>12</v>
      </c>
      <c r="C306" s="1" t="s">
        <v>20</v>
      </c>
      <c r="D306" s="5">
        <v>45867</v>
      </c>
      <c r="E306" s="6">
        <v>1291242742750</v>
      </c>
      <c r="F306" s="6">
        <v>218798948517</v>
      </c>
      <c r="G306" s="6">
        <v>1072443794233</v>
      </c>
      <c r="H306" s="6">
        <v>189501217120</v>
      </c>
      <c r="I306" s="7">
        <v>1101741525630</v>
      </c>
    </row>
    <row r="307" spans="1:9" ht="12" customHeight="1" thickBot="1" x14ac:dyDescent="0.25">
      <c r="A307" s="1" t="s">
        <v>32</v>
      </c>
      <c r="B307" s="1" t="s">
        <v>12</v>
      </c>
      <c r="C307" s="1" t="s">
        <v>20</v>
      </c>
      <c r="D307" s="5">
        <v>45868</v>
      </c>
      <c r="E307" s="6">
        <v>1299122048166</v>
      </c>
      <c r="F307" s="6">
        <v>214422445351</v>
      </c>
      <c r="G307" s="6">
        <v>1084699602815</v>
      </c>
      <c r="H307" s="6">
        <v>190620766366</v>
      </c>
      <c r="I307" s="7">
        <v>1108501281800</v>
      </c>
    </row>
    <row r="308" spans="1:9" ht="12" customHeight="1" thickBot="1" x14ac:dyDescent="0.25">
      <c r="A308" s="1" t="s">
        <v>32</v>
      </c>
      <c r="B308" s="1" t="s">
        <v>12</v>
      </c>
      <c r="C308" s="1" t="s">
        <v>20</v>
      </c>
      <c r="D308" s="5">
        <v>45869</v>
      </c>
      <c r="E308" s="6">
        <v>1307867369068</v>
      </c>
      <c r="F308" s="6">
        <v>210680012642</v>
      </c>
      <c r="G308" s="6">
        <v>1097187356426</v>
      </c>
      <c r="H308" s="6">
        <v>189619915547</v>
      </c>
      <c r="I308" s="7">
        <v>1118247453521</v>
      </c>
    </row>
    <row r="309" spans="1:9" ht="12" customHeight="1" thickBot="1" x14ac:dyDescent="0.25">
      <c r="A309" s="1" t="s">
        <v>32</v>
      </c>
      <c r="B309" s="1" t="s">
        <v>12</v>
      </c>
      <c r="C309" s="1" t="s">
        <v>20</v>
      </c>
      <c r="D309" s="5">
        <v>45870</v>
      </c>
      <c r="E309" s="6">
        <v>1315801763784</v>
      </c>
      <c r="F309" s="6">
        <v>208892031133</v>
      </c>
      <c r="G309" s="6">
        <v>1106909732651</v>
      </c>
      <c r="H309" s="6">
        <v>191975046776</v>
      </c>
      <c r="I309" s="7">
        <v>1123826717008</v>
      </c>
    </row>
    <row r="310" spans="1:9" ht="12" customHeight="1" thickBot="1" x14ac:dyDescent="0.25">
      <c r="A310" s="1" t="s">
        <v>32</v>
      </c>
      <c r="B310" s="1" t="s">
        <v>12</v>
      </c>
      <c r="C310" s="1" t="s">
        <v>20</v>
      </c>
      <c r="D310" s="5">
        <v>45871</v>
      </c>
      <c r="E310" s="6">
        <v>1321911246209</v>
      </c>
      <c r="F310" s="6">
        <v>213495597271</v>
      </c>
      <c r="G310" s="6">
        <v>1108415648938</v>
      </c>
      <c r="H310" s="6">
        <v>192926653600</v>
      </c>
      <c r="I310" s="7">
        <v>1128984592609</v>
      </c>
    </row>
    <row r="311" spans="1:9" ht="12" customHeight="1" thickBot="1" x14ac:dyDescent="0.25">
      <c r="A311" s="1" t="s">
        <v>32</v>
      </c>
      <c r="B311" s="1" t="s">
        <v>12</v>
      </c>
      <c r="C311" s="1" t="s">
        <v>20</v>
      </c>
      <c r="D311" s="5">
        <v>45872</v>
      </c>
      <c r="E311" s="6">
        <v>1328786540681</v>
      </c>
      <c r="F311" s="6">
        <v>216877448206</v>
      </c>
      <c r="G311" s="6">
        <v>1111909092475</v>
      </c>
      <c r="H311" s="6">
        <v>194038015245</v>
      </c>
      <c r="I311" s="7">
        <v>1134748525436</v>
      </c>
    </row>
    <row r="312" spans="1:9" ht="12" customHeight="1" thickBot="1" x14ac:dyDescent="0.25">
      <c r="A312" s="1" t="s">
        <v>32</v>
      </c>
      <c r="B312" s="1" t="s">
        <v>12</v>
      </c>
      <c r="C312" s="1" t="s">
        <v>20</v>
      </c>
      <c r="D312" s="5">
        <v>45873</v>
      </c>
      <c r="E312" s="6">
        <v>1332253830532</v>
      </c>
      <c r="F312" s="6">
        <v>212959472438</v>
      </c>
      <c r="G312" s="6">
        <v>1119294358094</v>
      </c>
      <c r="H312" s="6">
        <v>194697977906</v>
      </c>
      <c r="I312" s="7">
        <v>1137555852626</v>
      </c>
    </row>
    <row r="313" spans="1:9" ht="12" customHeight="1" thickBot="1" x14ac:dyDescent="0.25">
      <c r="A313" s="1" t="s">
        <v>32</v>
      </c>
      <c r="B313" s="1" t="s">
        <v>12</v>
      </c>
      <c r="C313" s="1" t="s">
        <v>20</v>
      </c>
      <c r="D313" s="5">
        <v>45874</v>
      </c>
      <c r="E313" s="6">
        <v>1337538916499</v>
      </c>
      <c r="F313" s="6">
        <v>220141272638</v>
      </c>
      <c r="G313" s="6">
        <v>1117397643861</v>
      </c>
      <c r="H313" s="6">
        <v>195154513354</v>
      </c>
      <c r="I313" s="7">
        <v>1142384403145</v>
      </c>
    </row>
    <row r="314" spans="1:9" ht="12" customHeight="1" thickBot="1" x14ac:dyDescent="0.25">
      <c r="A314" s="1" t="s">
        <v>32</v>
      </c>
      <c r="B314" s="1" t="s">
        <v>12</v>
      </c>
      <c r="C314" s="1" t="s">
        <v>20</v>
      </c>
      <c r="D314" s="5">
        <v>45875</v>
      </c>
      <c r="E314" s="6">
        <v>1343227046581</v>
      </c>
      <c r="F314" s="6">
        <v>221203389621</v>
      </c>
      <c r="G314" s="6">
        <v>1122023656960</v>
      </c>
      <c r="H314" s="6">
        <v>196009997419</v>
      </c>
      <c r="I314" s="7">
        <v>1147217049162</v>
      </c>
    </row>
    <row r="315" spans="1:9" ht="12" customHeight="1" thickBot="1" x14ac:dyDescent="0.25">
      <c r="A315" s="1" t="s">
        <v>32</v>
      </c>
      <c r="B315" s="1" t="s">
        <v>12</v>
      </c>
      <c r="C315" s="1" t="s">
        <v>20</v>
      </c>
      <c r="D315" s="5">
        <v>45876</v>
      </c>
      <c r="E315" s="6">
        <v>1346894881000</v>
      </c>
      <c r="F315" s="6">
        <v>221444760970</v>
      </c>
      <c r="G315" s="6">
        <v>1125450120030</v>
      </c>
      <c r="H315" s="6">
        <v>195418098559</v>
      </c>
      <c r="I315" s="7">
        <v>1151476782441</v>
      </c>
    </row>
    <row r="316" spans="1:9" ht="12" customHeight="1" thickBot="1" x14ac:dyDescent="0.25">
      <c r="A316" s="1" t="s">
        <v>32</v>
      </c>
      <c r="B316" s="1" t="s">
        <v>12</v>
      </c>
      <c r="C316" s="1" t="s">
        <v>20</v>
      </c>
      <c r="D316" s="5">
        <v>45877</v>
      </c>
      <c r="E316" s="6">
        <v>1351910679431</v>
      </c>
      <c r="F316" s="6">
        <v>221726565857</v>
      </c>
      <c r="G316" s="6">
        <v>1130184113574</v>
      </c>
      <c r="H316" s="6">
        <v>201170868985</v>
      </c>
      <c r="I316" s="7">
        <v>1150739810446</v>
      </c>
    </row>
    <row r="317" spans="1:9" ht="12" customHeight="1" thickBot="1" x14ac:dyDescent="0.25">
      <c r="A317" s="1" t="s">
        <v>32</v>
      </c>
      <c r="B317" s="1" t="s">
        <v>12</v>
      </c>
      <c r="C317" s="1" t="s">
        <v>20</v>
      </c>
      <c r="D317" s="5">
        <v>45878</v>
      </c>
      <c r="E317" s="6">
        <v>1357014095179</v>
      </c>
      <c r="F317" s="6">
        <v>222523747939</v>
      </c>
      <c r="G317" s="6">
        <v>1134490347240</v>
      </c>
      <c r="H317" s="6">
        <v>200558847559</v>
      </c>
      <c r="I317" s="7">
        <v>1156455247620</v>
      </c>
    </row>
    <row r="318" spans="1:9" ht="12" customHeight="1" thickBot="1" x14ac:dyDescent="0.25">
      <c r="A318" s="1" t="s">
        <v>32</v>
      </c>
      <c r="B318" s="1" t="s">
        <v>12</v>
      </c>
      <c r="C318" s="1" t="s">
        <v>20</v>
      </c>
      <c r="D318" s="5">
        <v>45879</v>
      </c>
      <c r="E318" s="6">
        <v>1364731817742</v>
      </c>
      <c r="F318" s="6">
        <v>224628986530</v>
      </c>
      <c r="G318" s="6">
        <v>1140102831212</v>
      </c>
      <c r="H318" s="6">
        <v>200138076458</v>
      </c>
      <c r="I318" s="7">
        <v>1164593741284</v>
      </c>
    </row>
    <row r="319" spans="1:9" ht="12" customHeight="1" thickBot="1" x14ac:dyDescent="0.25">
      <c r="A319" s="1" t="s">
        <v>32</v>
      </c>
      <c r="B319" s="1" t="s">
        <v>12</v>
      </c>
      <c r="C319" s="1" t="s">
        <v>20</v>
      </c>
      <c r="D319" s="5">
        <v>45880</v>
      </c>
      <c r="E319" s="6">
        <v>1367414176551</v>
      </c>
      <c r="F319" s="6">
        <v>220797705724</v>
      </c>
      <c r="G319" s="6">
        <v>1146616470827</v>
      </c>
      <c r="H319" s="6">
        <v>199187184431</v>
      </c>
      <c r="I319" s="7">
        <v>1168226992120</v>
      </c>
    </row>
    <row r="320" spans="1:9" ht="12" customHeight="1" thickBot="1" x14ac:dyDescent="0.25">
      <c r="A320" s="1" t="s">
        <v>32</v>
      </c>
      <c r="B320" s="1" t="s">
        <v>12</v>
      </c>
      <c r="C320" s="1" t="s">
        <v>20</v>
      </c>
      <c r="D320" s="5">
        <v>45881</v>
      </c>
      <c r="E320" s="6">
        <v>1371950413572</v>
      </c>
      <c r="F320" s="6">
        <v>227399555662</v>
      </c>
      <c r="G320" s="6">
        <v>1144550857910</v>
      </c>
      <c r="H320" s="6">
        <v>200701443721</v>
      </c>
      <c r="I320" s="7">
        <v>1171248969851</v>
      </c>
    </row>
    <row r="321" spans="1:9" ht="12" customHeight="1" thickBot="1" x14ac:dyDescent="0.25">
      <c r="A321" s="1" t="s">
        <v>32</v>
      </c>
      <c r="B321" s="1" t="s">
        <v>12</v>
      </c>
      <c r="C321" s="1" t="s">
        <v>20</v>
      </c>
      <c r="D321" s="5">
        <v>45882</v>
      </c>
      <c r="E321" s="6">
        <v>1377214888167</v>
      </c>
      <c r="F321" s="6">
        <v>228262342604</v>
      </c>
      <c r="G321" s="6">
        <v>1148952545563</v>
      </c>
      <c r="H321" s="6">
        <v>201861711894</v>
      </c>
      <c r="I321" s="7">
        <v>1175353176273</v>
      </c>
    </row>
    <row r="322" spans="1:9" ht="12" customHeight="1" thickBot="1" x14ac:dyDescent="0.25">
      <c r="A322" s="1" t="s">
        <v>32</v>
      </c>
      <c r="B322" s="1" t="s">
        <v>12</v>
      </c>
      <c r="C322" s="1" t="s">
        <v>20</v>
      </c>
      <c r="D322" s="5">
        <v>45883</v>
      </c>
      <c r="E322" s="6">
        <v>1382038781706</v>
      </c>
      <c r="F322" s="6">
        <v>228452102996</v>
      </c>
      <c r="G322" s="6">
        <v>1153586678710</v>
      </c>
      <c r="H322" s="6">
        <v>201188688174</v>
      </c>
      <c r="I322" s="7">
        <v>1180850093532</v>
      </c>
    </row>
    <row r="323" spans="1:9" ht="12" customHeight="1" thickBot="1" x14ac:dyDescent="0.25">
      <c r="A323" s="1" t="s">
        <v>32</v>
      </c>
      <c r="B323" s="1" t="s">
        <v>12</v>
      </c>
      <c r="C323" s="1" t="s">
        <v>20</v>
      </c>
      <c r="D323" s="5">
        <v>45884</v>
      </c>
      <c r="E323" s="6">
        <v>1386901694106</v>
      </c>
      <c r="F323" s="6">
        <v>228790119883</v>
      </c>
      <c r="G323" s="6">
        <v>1158111574223</v>
      </c>
      <c r="H323" s="6">
        <v>203678178478</v>
      </c>
      <c r="I323" s="7">
        <v>1183223515628</v>
      </c>
    </row>
    <row r="324" spans="1:9" ht="12" customHeight="1" thickBot="1" x14ac:dyDescent="0.25">
      <c r="A324" s="1" t="s">
        <v>32</v>
      </c>
      <c r="B324" s="1" t="s">
        <v>12</v>
      </c>
      <c r="C324" s="1" t="s">
        <v>20</v>
      </c>
      <c r="D324" s="5">
        <v>45885</v>
      </c>
      <c r="E324" s="6">
        <v>1391468165380</v>
      </c>
      <c r="F324" s="6">
        <v>230569979401</v>
      </c>
      <c r="G324" s="6">
        <v>1160898185979</v>
      </c>
      <c r="H324" s="6">
        <v>205173716463</v>
      </c>
      <c r="I324" s="7">
        <v>1186294448917</v>
      </c>
    </row>
    <row r="325" spans="1:9" ht="12" customHeight="1" thickBot="1" x14ac:dyDescent="0.25">
      <c r="A325" s="1" t="s">
        <v>32</v>
      </c>
      <c r="B325" s="1" t="s">
        <v>12</v>
      </c>
      <c r="C325" s="1" t="s">
        <v>20</v>
      </c>
      <c r="D325" s="5">
        <v>45886</v>
      </c>
      <c r="E325" s="6">
        <v>1397507676366</v>
      </c>
      <c r="F325" s="6">
        <v>232517721818</v>
      </c>
      <c r="G325" s="6">
        <v>1164989954548</v>
      </c>
      <c r="H325" s="6">
        <v>206295324196</v>
      </c>
      <c r="I325" s="7">
        <v>1191212352170</v>
      </c>
    </row>
    <row r="326" spans="1:9" ht="12" customHeight="1" thickBot="1" x14ac:dyDescent="0.25">
      <c r="A326" s="1" t="s">
        <v>32</v>
      </c>
      <c r="B326" s="1" t="s">
        <v>12</v>
      </c>
      <c r="C326" s="1" t="s">
        <v>20</v>
      </c>
      <c r="D326" s="5">
        <v>45887</v>
      </c>
      <c r="E326" s="6">
        <v>1400264057737</v>
      </c>
      <c r="F326" s="6">
        <v>229580927116</v>
      </c>
      <c r="G326" s="6">
        <v>1170683130621</v>
      </c>
      <c r="H326" s="6">
        <v>207357390395</v>
      </c>
      <c r="I326" s="7">
        <v>1192906667342</v>
      </c>
    </row>
    <row r="327" spans="1:9" ht="12" customHeight="1" thickBot="1" x14ac:dyDescent="0.25">
      <c r="A327" s="1" t="s">
        <v>32</v>
      </c>
      <c r="B327" s="1" t="s">
        <v>12</v>
      </c>
      <c r="C327" s="1" t="s">
        <v>20</v>
      </c>
      <c r="D327" s="5">
        <v>45888</v>
      </c>
      <c r="E327" s="6">
        <v>1405879944589</v>
      </c>
      <c r="F327" s="6">
        <v>235446232183</v>
      </c>
      <c r="G327" s="6">
        <v>1170433712406</v>
      </c>
      <c r="H327" s="6">
        <v>208506586791</v>
      </c>
      <c r="I327" s="7">
        <v>1197373357798</v>
      </c>
    </row>
    <row r="328" spans="1:9" ht="12" customHeight="1" thickBot="1" x14ac:dyDescent="0.25">
      <c r="A328" s="1" t="s">
        <v>32</v>
      </c>
      <c r="B328" s="1" t="s">
        <v>12</v>
      </c>
      <c r="C328" s="1" t="s">
        <v>20</v>
      </c>
      <c r="D328" s="5">
        <v>45889</v>
      </c>
      <c r="E328" s="6">
        <v>1411769363424</v>
      </c>
      <c r="F328" s="6">
        <v>236048881681</v>
      </c>
      <c r="G328" s="6">
        <v>1175720481743</v>
      </c>
      <c r="H328" s="6">
        <v>209796625810</v>
      </c>
      <c r="I328" s="7">
        <v>1201972737614</v>
      </c>
    </row>
    <row r="329" spans="1:9" ht="12" customHeight="1" thickBot="1" x14ac:dyDescent="0.25">
      <c r="A329" s="1" t="s">
        <v>32</v>
      </c>
      <c r="B329" s="1" t="s">
        <v>12</v>
      </c>
      <c r="C329" s="1" t="s">
        <v>20</v>
      </c>
      <c r="D329" s="5">
        <v>45890</v>
      </c>
      <c r="E329" s="6">
        <v>1417213637463</v>
      </c>
      <c r="F329" s="6">
        <v>236926885404</v>
      </c>
      <c r="G329" s="6">
        <v>1180286752059</v>
      </c>
      <c r="H329" s="6">
        <v>209298721086</v>
      </c>
      <c r="I329" s="7">
        <v>1207914916377</v>
      </c>
    </row>
    <row r="330" spans="1:9" ht="12" customHeight="1" thickBot="1" x14ac:dyDescent="0.25">
      <c r="A330" s="1" t="s">
        <v>32</v>
      </c>
      <c r="B330" s="1" t="s">
        <v>12</v>
      </c>
      <c r="C330" s="1" t="s">
        <v>20</v>
      </c>
      <c r="D330" s="5">
        <v>45891</v>
      </c>
      <c r="E330" s="6">
        <v>1420951485041</v>
      </c>
      <c r="F330" s="6">
        <v>238491450291</v>
      </c>
      <c r="G330" s="6">
        <v>1182460034750</v>
      </c>
      <c r="H330" s="6">
        <v>212640859423</v>
      </c>
      <c r="I330" s="7">
        <v>1208310625618</v>
      </c>
    </row>
    <row r="331" spans="1:9" ht="12" customHeight="1" thickBot="1" x14ac:dyDescent="0.25">
      <c r="A331" s="1" t="s">
        <v>32</v>
      </c>
      <c r="B331" s="1" t="s">
        <v>12</v>
      </c>
      <c r="C331" s="1" t="s">
        <v>20</v>
      </c>
      <c r="D331" s="5">
        <v>45892</v>
      </c>
      <c r="E331" s="6">
        <v>1426056074268</v>
      </c>
      <c r="F331" s="6">
        <v>241418838082</v>
      </c>
      <c r="G331" s="6">
        <v>1184637236186</v>
      </c>
      <c r="H331" s="6">
        <v>214261207146</v>
      </c>
      <c r="I331" s="7">
        <v>1211794867122</v>
      </c>
    </row>
    <row r="332" spans="1:9" ht="12" customHeight="1" thickBot="1" x14ac:dyDescent="0.25">
      <c r="A332" s="1" t="s">
        <v>32</v>
      </c>
      <c r="B332" s="1" t="s">
        <v>12</v>
      </c>
      <c r="C332" s="1" t="s">
        <v>20</v>
      </c>
      <c r="D332" s="5">
        <v>45893</v>
      </c>
      <c r="E332" s="6">
        <v>1432120199526</v>
      </c>
      <c r="F332" s="6">
        <v>244919360578</v>
      </c>
      <c r="G332" s="6">
        <v>1187200838948</v>
      </c>
      <c r="H332" s="6">
        <v>215791326136</v>
      </c>
      <c r="I332" s="7">
        <v>1216328873390</v>
      </c>
    </row>
    <row r="333" spans="1:9" ht="12" customHeight="1" thickBot="1" x14ac:dyDescent="0.25">
      <c r="A333" s="1" t="s">
        <v>32</v>
      </c>
      <c r="B333" s="1" t="s">
        <v>12</v>
      </c>
      <c r="C333" s="1" t="s">
        <v>20</v>
      </c>
      <c r="D333" s="5">
        <v>45894</v>
      </c>
      <c r="E333" s="6">
        <v>1435752872723</v>
      </c>
      <c r="F333" s="6">
        <v>241158319469</v>
      </c>
      <c r="G333" s="6">
        <v>1194594553254</v>
      </c>
      <c r="H333" s="6">
        <v>217205690048</v>
      </c>
      <c r="I333" s="7">
        <v>1218547182675</v>
      </c>
    </row>
    <row r="334" spans="1:9" ht="12" customHeight="1" thickBot="1" x14ac:dyDescent="0.25">
      <c r="A334" s="1" t="s">
        <v>32</v>
      </c>
      <c r="B334" s="1" t="s">
        <v>12</v>
      </c>
      <c r="C334" s="1" t="s">
        <v>20</v>
      </c>
      <c r="D334" s="5">
        <v>45895</v>
      </c>
      <c r="E334" s="6">
        <v>1442455108612</v>
      </c>
      <c r="F334" s="6">
        <v>248118827069</v>
      </c>
      <c r="G334" s="6">
        <v>1194336281543</v>
      </c>
      <c r="H334" s="6">
        <v>218546992305</v>
      </c>
      <c r="I334" s="7">
        <v>1223908116307</v>
      </c>
    </row>
    <row r="335" spans="1:9" ht="12" customHeight="1" thickBot="1" x14ac:dyDescent="0.25">
      <c r="A335" s="1" t="s">
        <v>32</v>
      </c>
      <c r="B335" s="1" t="s">
        <v>12</v>
      </c>
      <c r="C335" s="1" t="s">
        <v>20</v>
      </c>
      <c r="D335" s="5">
        <v>45896</v>
      </c>
      <c r="E335" s="6">
        <v>1449212267485</v>
      </c>
      <c r="F335" s="6">
        <v>250231575190</v>
      </c>
      <c r="G335" s="6">
        <v>1198980692295</v>
      </c>
      <c r="H335" s="6">
        <v>219759442553</v>
      </c>
      <c r="I335" s="7">
        <v>1229452824932</v>
      </c>
    </row>
    <row r="336" spans="1:9" ht="12" customHeight="1" thickBot="1" x14ac:dyDescent="0.25">
      <c r="A336" s="1" t="s">
        <v>32</v>
      </c>
      <c r="B336" s="1" t="s">
        <v>12</v>
      </c>
      <c r="C336" s="1" t="s">
        <v>20</v>
      </c>
      <c r="D336" s="5">
        <v>45897</v>
      </c>
      <c r="E336" s="6">
        <v>1448750003094</v>
      </c>
      <c r="F336" s="6">
        <v>251511158923</v>
      </c>
      <c r="G336" s="6">
        <v>1197238844171</v>
      </c>
      <c r="H336" s="6">
        <v>219219057904</v>
      </c>
      <c r="I336" s="7">
        <v>1229530945190</v>
      </c>
    </row>
    <row r="337" spans="1:9" ht="12" customHeight="1" thickBot="1" x14ac:dyDescent="0.25">
      <c r="A337" s="1" t="s">
        <v>32</v>
      </c>
      <c r="B337" s="1" t="s">
        <v>12</v>
      </c>
      <c r="C337" s="1" t="s">
        <v>20</v>
      </c>
      <c r="D337" s="5">
        <v>45898</v>
      </c>
      <c r="E337" s="6">
        <v>1452801985004</v>
      </c>
      <c r="F337" s="6">
        <v>263633542433</v>
      </c>
      <c r="G337" s="6">
        <v>1189168442571</v>
      </c>
      <c r="H337" s="6">
        <v>222294964132</v>
      </c>
      <c r="I337" s="7">
        <v>1230507020872</v>
      </c>
    </row>
    <row r="338" spans="1:9" ht="12" customHeight="1" thickBot="1" x14ac:dyDescent="0.25">
      <c r="A338" s="1" t="s">
        <v>32</v>
      </c>
      <c r="B338" s="1" t="s">
        <v>12</v>
      </c>
      <c r="C338" s="1" t="s">
        <v>20</v>
      </c>
      <c r="D338" s="5">
        <v>45899</v>
      </c>
      <c r="E338" s="6">
        <v>1461461885151</v>
      </c>
      <c r="F338" s="6">
        <v>257851745529</v>
      </c>
      <c r="G338" s="6">
        <v>1203610139622</v>
      </c>
      <c r="H338" s="6">
        <v>223959035373</v>
      </c>
      <c r="I338" s="7">
        <v>1237502849778</v>
      </c>
    </row>
    <row r="339" spans="1:9" ht="12" customHeight="1" thickBot="1" x14ac:dyDescent="0.25">
      <c r="A339" s="1" t="s">
        <v>32</v>
      </c>
      <c r="B339" s="1" t="s">
        <v>12</v>
      </c>
      <c r="C339" s="1" t="s">
        <v>20</v>
      </c>
      <c r="D339" s="5">
        <v>45900</v>
      </c>
      <c r="E339" s="6">
        <v>1468037016547</v>
      </c>
      <c r="F339" s="6">
        <v>255116291263</v>
      </c>
      <c r="G339" s="6">
        <v>1212920725284</v>
      </c>
      <c r="H339" s="6">
        <v>225287360949</v>
      </c>
      <c r="I339" s="7">
        <v>1242749655598</v>
      </c>
    </row>
    <row r="340" spans="1:9" ht="12" customHeight="1" thickBot="1" x14ac:dyDescent="0.25">
      <c r="A340" s="1" t="s">
        <v>32</v>
      </c>
      <c r="B340" s="1" t="s">
        <v>12</v>
      </c>
      <c r="C340" s="1" t="s">
        <v>20</v>
      </c>
      <c r="D340" s="5">
        <v>45901</v>
      </c>
      <c r="E340" s="6">
        <v>1474628379793</v>
      </c>
      <c r="F340" s="6">
        <v>253182563405</v>
      </c>
      <c r="G340" s="6">
        <v>1221445816388</v>
      </c>
      <c r="H340" s="6">
        <v>226832536524</v>
      </c>
      <c r="I340" s="7">
        <v>1247795843269</v>
      </c>
    </row>
    <row r="341" spans="1:9" ht="12" customHeight="1" thickBot="1" x14ac:dyDescent="0.25">
      <c r="A341" s="1" t="s">
        <v>32</v>
      </c>
      <c r="B341" s="1" t="s">
        <v>12</v>
      </c>
      <c r="C341" s="1" t="s">
        <v>20</v>
      </c>
      <c r="D341" s="5">
        <v>45902</v>
      </c>
      <c r="E341" s="6">
        <v>1480459945420</v>
      </c>
      <c r="F341" s="6">
        <v>251948306524</v>
      </c>
      <c r="G341" s="6">
        <v>1228511638896</v>
      </c>
      <c r="H341" s="6">
        <v>228842129693</v>
      </c>
      <c r="I341" s="7">
        <v>1251617815727</v>
      </c>
    </row>
    <row r="342" spans="1:9" ht="12" customHeight="1" thickBot="1" x14ac:dyDescent="0.25">
      <c r="A342" s="1" t="s">
        <v>32</v>
      </c>
      <c r="B342" s="1" t="s">
        <v>12</v>
      </c>
      <c r="C342" s="1" t="s">
        <v>20</v>
      </c>
      <c r="D342" s="5">
        <v>45903</v>
      </c>
      <c r="E342" s="6">
        <v>1483071963101</v>
      </c>
      <c r="F342" s="6">
        <v>249669551395</v>
      </c>
      <c r="G342" s="6">
        <v>1233402411706</v>
      </c>
      <c r="H342" s="6">
        <v>230496242595</v>
      </c>
      <c r="I342" s="7">
        <v>1252575720506</v>
      </c>
    </row>
    <row r="343" spans="1:9" ht="12" customHeight="1" thickBot="1" x14ac:dyDescent="0.25">
      <c r="A343" s="1" t="s">
        <v>32</v>
      </c>
      <c r="B343" s="1" t="s">
        <v>12</v>
      </c>
      <c r="C343" s="1" t="s">
        <v>20</v>
      </c>
      <c r="D343" s="5">
        <v>45904</v>
      </c>
      <c r="E343" s="6">
        <v>1495900275982</v>
      </c>
      <c r="F343" s="6">
        <v>262394544481</v>
      </c>
      <c r="G343" s="6">
        <v>1233505731501</v>
      </c>
      <c r="H343" s="6">
        <v>229770862906</v>
      </c>
      <c r="I343" s="7">
        <v>1266129413076</v>
      </c>
    </row>
    <row r="344" spans="1:9" ht="12" customHeight="1" thickBot="1" x14ac:dyDescent="0.25">
      <c r="A344" s="1" t="s">
        <v>32</v>
      </c>
      <c r="B344" s="1" t="s">
        <v>12</v>
      </c>
      <c r="C344" s="1" t="s">
        <v>20</v>
      </c>
      <c r="D344" s="5">
        <v>45905</v>
      </c>
      <c r="E344" s="6">
        <v>1509432536239</v>
      </c>
      <c r="F344" s="6">
        <v>261562602005</v>
      </c>
      <c r="G344" s="6">
        <v>1247869934234</v>
      </c>
      <c r="H344" s="6">
        <v>233486319793</v>
      </c>
      <c r="I344" s="7">
        <v>1275946216446</v>
      </c>
    </row>
    <row r="345" spans="1:9" ht="12" customHeight="1" thickBot="1" x14ac:dyDescent="0.25">
      <c r="A345" s="1" t="s">
        <v>32</v>
      </c>
      <c r="B345" s="1" t="s">
        <v>12</v>
      </c>
      <c r="C345" s="1" t="s">
        <v>20</v>
      </c>
      <c r="D345" s="5">
        <v>45906</v>
      </c>
      <c r="E345" s="6">
        <v>1520506837745</v>
      </c>
      <c r="F345" s="6">
        <v>263475978689</v>
      </c>
      <c r="G345" s="6">
        <v>1257030859056</v>
      </c>
      <c r="H345" s="6">
        <v>235036702408</v>
      </c>
      <c r="I345" s="7">
        <v>1285470135337</v>
      </c>
    </row>
    <row r="346" spans="1:9" ht="12" customHeight="1" thickBot="1" x14ac:dyDescent="0.25">
      <c r="A346" s="1" t="s">
        <v>32</v>
      </c>
      <c r="B346" s="1" t="s">
        <v>12</v>
      </c>
      <c r="C346" s="1" t="s">
        <v>20</v>
      </c>
      <c r="D346" s="5">
        <v>45907</v>
      </c>
      <c r="E346" s="6">
        <v>1532984597169</v>
      </c>
      <c r="F346" s="6">
        <v>265816945796</v>
      </c>
      <c r="G346" s="6">
        <v>1267167651373</v>
      </c>
      <c r="H346" s="6">
        <v>236362676857</v>
      </c>
      <c r="I346" s="7">
        <v>1296621920312</v>
      </c>
    </row>
    <row r="347" spans="1:9" ht="12" customHeight="1" thickBot="1" x14ac:dyDescent="0.25">
      <c r="A347" s="1" t="s">
        <v>32</v>
      </c>
      <c r="B347" s="1" t="s">
        <v>12</v>
      </c>
      <c r="C347" s="1" t="s">
        <v>20</v>
      </c>
      <c r="D347" s="5">
        <v>45908</v>
      </c>
      <c r="E347" s="6">
        <v>1542764890793</v>
      </c>
      <c r="F347" s="6">
        <v>261472807855</v>
      </c>
      <c r="G347" s="6">
        <v>1281292082938</v>
      </c>
      <c r="H347" s="6">
        <v>242746796762</v>
      </c>
      <c r="I347" s="7">
        <v>1300018094031</v>
      </c>
    </row>
    <row r="348" spans="1:9" ht="12" customHeight="1" thickBot="1" x14ac:dyDescent="0.25">
      <c r="A348" s="1" t="s">
        <v>32</v>
      </c>
      <c r="B348" s="1" t="s">
        <v>12</v>
      </c>
      <c r="C348" s="1" t="s">
        <v>20</v>
      </c>
      <c r="D348" s="5">
        <v>45909</v>
      </c>
      <c r="E348" s="6">
        <v>1557448092044</v>
      </c>
      <c r="F348" s="6">
        <v>269528392674</v>
      </c>
      <c r="G348" s="6">
        <v>1287919699370</v>
      </c>
      <c r="H348" s="6">
        <v>242186178295</v>
      </c>
      <c r="I348" s="7">
        <v>1315261913749</v>
      </c>
    </row>
    <row r="349" spans="1:9" ht="12" customHeight="1" thickBot="1" x14ac:dyDescent="0.25">
      <c r="A349" s="1" t="s">
        <v>32</v>
      </c>
      <c r="B349" s="1" t="s">
        <v>12</v>
      </c>
      <c r="C349" s="1" t="s">
        <v>20</v>
      </c>
      <c r="D349" s="5">
        <v>45910</v>
      </c>
      <c r="E349" s="6">
        <v>1570569953312</v>
      </c>
      <c r="F349" s="6">
        <v>268558779404</v>
      </c>
      <c r="G349" s="6">
        <v>1302011173908</v>
      </c>
      <c r="H349" s="6">
        <v>241125371535</v>
      </c>
      <c r="I349" s="7">
        <v>1329444581777</v>
      </c>
    </row>
    <row r="350" spans="1:9" ht="12" customHeight="1" thickBot="1" x14ac:dyDescent="0.25">
      <c r="A350" s="1" t="s">
        <v>32</v>
      </c>
      <c r="B350" s="1" t="s">
        <v>12</v>
      </c>
      <c r="C350" s="1" t="s">
        <v>20</v>
      </c>
      <c r="D350" s="5">
        <v>45911</v>
      </c>
      <c r="E350" s="6">
        <v>1581236622705</v>
      </c>
      <c r="F350" s="6">
        <v>268710819839</v>
      </c>
      <c r="G350" s="6">
        <v>1312525802866</v>
      </c>
      <c r="H350" s="6">
        <v>239993189976</v>
      </c>
      <c r="I350" s="7">
        <v>1341243432729</v>
      </c>
    </row>
    <row r="351" spans="1:9" ht="12" customHeight="1" thickBot="1" x14ac:dyDescent="0.25">
      <c r="A351" s="1" t="s">
        <v>32</v>
      </c>
      <c r="B351" s="1" t="s">
        <v>12</v>
      </c>
      <c r="C351" s="1" t="s">
        <v>20</v>
      </c>
      <c r="D351" s="5">
        <v>45912</v>
      </c>
      <c r="E351" s="6">
        <v>1589295651815</v>
      </c>
      <c r="F351" s="6">
        <v>269776997222</v>
      </c>
      <c r="G351" s="6">
        <v>1319518654593</v>
      </c>
      <c r="H351" s="6">
        <v>239296815849</v>
      </c>
      <c r="I351" s="7">
        <v>1349998835966</v>
      </c>
    </row>
    <row r="352" spans="1:9" ht="12" customHeight="1" thickBot="1" x14ac:dyDescent="0.25">
      <c r="A352" s="1" t="s">
        <v>32</v>
      </c>
      <c r="B352" s="1" t="s">
        <v>12</v>
      </c>
      <c r="C352" s="1" t="s">
        <v>20</v>
      </c>
      <c r="D352" s="5">
        <v>45913</v>
      </c>
      <c r="E352" s="6">
        <v>1598669463816</v>
      </c>
      <c r="F352" s="6">
        <v>272299982480</v>
      </c>
      <c r="G352" s="6">
        <v>1326369481336</v>
      </c>
      <c r="H352" s="6">
        <v>238834841059</v>
      </c>
      <c r="I352" s="7">
        <v>1359834622757</v>
      </c>
    </row>
    <row r="353" spans="1:9" ht="12" customHeight="1" thickBot="1" x14ac:dyDescent="0.25">
      <c r="A353" s="1" t="s">
        <v>32</v>
      </c>
      <c r="B353" s="1" t="s">
        <v>12</v>
      </c>
      <c r="C353" s="1" t="s">
        <v>20</v>
      </c>
      <c r="D353" s="5">
        <v>45914</v>
      </c>
      <c r="E353" s="6">
        <v>1608558104867</v>
      </c>
      <c r="F353" s="6">
        <v>274816763346</v>
      </c>
      <c r="G353" s="6">
        <v>1333741341521</v>
      </c>
      <c r="H353" s="6">
        <v>244480871006</v>
      </c>
      <c r="I353" s="7">
        <v>1364077233861</v>
      </c>
    </row>
    <row r="354" spans="1:9" ht="12" customHeight="1" thickBot="1" x14ac:dyDescent="0.25">
      <c r="A354" s="1" t="s">
        <v>32</v>
      </c>
      <c r="B354" s="1" t="s">
        <v>12</v>
      </c>
      <c r="C354" s="1" t="s">
        <v>20</v>
      </c>
      <c r="D354" s="5">
        <v>45915</v>
      </c>
      <c r="E354" s="6">
        <v>1614616342548</v>
      </c>
      <c r="F354" s="6">
        <v>270565499867</v>
      </c>
      <c r="G354" s="6">
        <v>1344050842681</v>
      </c>
      <c r="H354" s="6">
        <v>245537838625</v>
      </c>
      <c r="I354" s="7">
        <v>1369078503923</v>
      </c>
    </row>
    <row r="355" spans="1:9" ht="12" customHeight="1" thickBot="1" x14ac:dyDescent="0.25">
      <c r="A355" s="1" t="s">
        <v>32</v>
      </c>
      <c r="B355" s="1" t="s">
        <v>12</v>
      </c>
      <c r="C355" s="1" t="s">
        <v>20</v>
      </c>
      <c r="D355" s="5">
        <v>45916</v>
      </c>
      <c r="E355" s="6">
        <v>1623880516331</v>
      </c>
      <c r="F355" s="6">
        <v>276806620014</v>
      </c>
      <c r="G355" s="6">
        <v>1347073896317</v>
      </c>
      <c r="H355" s="6">
        <v>246928455073</v>
      </c>
      <c r="I355" s="7">
        <v>1376952061258</v>
      </c>
    </row>
    <row r="356" spans="1:9" ht="12" customHeight="1" thickBot="1" x14ac:dyDescent="0.25">
      <c r="A356" s="1" t="s">
        <v>32</v>
      </c>
      <c r="B356" s="1" t="s">
        <v>12</v>
      </c>
      <c r="C356" s="1" t="s">
        <v>20</v>
      </c>
      <c r="D356" s="5">
        <v>45917</v>
      </c>
      <c r="E356" s="6">
        <v>1632769758682</v>
      </c>
      <c r="F356" s="6">
        <v>277764867183</v>
      </c>
      <c r="G356" s="6">
        <v>1355004891499</v>
      </c>
      <c r="H356" s="6">
        <v>248180014991</v>
      </c>
      <c r="I356" s="7">
        <v>1384589743691</v>
      </c>
    </row>
    <row r="357" spans="1:9" ht="12" customHeight="1" thickBot="1" x14ac:dyDescent="0.25">
      <c r="A357" s="1" t="s">
        <v>32</v>
      </c>
      <c r="B357" s="1" t="s">
        <v>12</v>
      </c>
      <c r="C357" s="1" t="s">
        <v>20</v>
      </c>
      <c r="D357" s="5">
        <v>45918</v>
      </c>
      <c r="E357" s="6">
        <v>1642209272387</v>
      </c>
      <c r="F357" s="6">
        <v>279229496068</v>
      </c>
      <c r="G357" s="6">
        <v>1362979776319</v>
      </c>
      <c r="H357" s="6">
        <v>247623601862</v>
      </c>
      <c r="I357" s="7">
        <v>1394585670525</v>
      </c>
    </row>
    <row r="358" spans="1:9" ht="12" customHeight="1" thickBot="1" x14ac:dyDescent="0.25">
      <c r="A358" s="1" t="s">
        <v>32</v>
      </c>
      <c r="B358" s="1" t="s">
        <v>12</v>
      </c>
      <c r="C358" s="1" t="s">
        <v>20</v>
      </c>
      <c r="D358" s="5">
        <v>45919</v>
      </c>
      <c r="E358" s="6">
        <v>1650843557859</v>
      </c>
      <c r="F358" s="6">
        <v>281088417491</v>
      </c>
      <c r="G358" s="6">
        <v>1369755140368</v>
      </c>
      <c r="H358" s="6">
        <v>250891308104</v>
      </c>
      <c r="I358" s="7">
        <v>1399952249755</v>
      </c>
    </row>
    <row r="359" spans="1:9" ht="12" customHeight="1" thickBot="1" x14ac:dyDescent="0.25">
      <c r="A359" s="1" t="s">
        <v>32</v>
      </c>
      <c r="B359" s="1" t="s">
        <v>12</v>
      </c>
      <c r="C359" s="1" t="s">
        <v>20</v>
      </c>
      <c r="D359" s="5">
        <v>45920</v>
      </c>
      <c r="E359" s="6">
        <v>1659256567105</v>
      </c>
      <c r="F359" s="6">
        <v>283469930809</v>
      </c>
      <c r="G359" s="6">
        <v>1375786636296</v>
      </c>
      <c r="H359" s="6">
        <v>252818939780</v>
      </c>
      <c r="I359" s="7">
        <v>1406437627325</v>
      </c>
    </row>
    <row r="360" spans="1:9" ht="12" customHeight="1" thickBot="1" x14ac:dyDescent="0.25">
      <c r="A360" s="1" t="s">
        <v>32</v>
      </c>
      <c r="B360" s="1" t="s">
        <v>12</v>
      </c>
      <c r="C360" s="1" t="s">
        <v>20</v>
      </c>
      <c r="D360" s="5">
        <v>45921</v>
      </c>
      <c r="E360" s="6">
        <v>1668203654987</v>
      </c>
      <c r="F360" s="6">
        <v>286132285824</v>
      </c>
      <c r="G360" s="6">
        <v>1382071369163</v>
      </c>
      <c r="H360" s="6">
        <v>254555900201</v>
      </c>
      <c r="I360" s="7">
        <v>1413647754786</v>
      </c>
    </row>
    <row r="361" spans="1:9" ht="12" customHeight="1" thickBot="1" x14ac:dyDescent="0.25">
      <c r="A361" s="1" t="s">
        <v>32</v>
      </c>
      <c r="B361" s="1" t="s">
        <v>12</v>
      </c>
      <c r="C361" s="1" t="s">
        <v>20</v>
      </c>
      <c r="D361" s="5">
        <v>45922</v>
      </c>
      <c r="E361" s="6">
        <v>1675231474009</v>
      </c>
      <c r="F361" s="6">
        <v>282555015686</v>
      </c>
      <c r="G361" s="6">
        <v>1392676458323</v>
      </c>
      <c r="H361" s="6">
        <v>256372248111</v>
      </c>
      <c r="I361" s="7">
        <v>1418859225898</v>
      </c>
    </row>
    <row r="362" spans="1:9" ht="12" customHeight="1" thickBot="1" x14ac:dyDescent="0.25">
      <c r="A362" s="1" t="s">
        <v>32</v>
      </c>
      <c r="B362" s="1" t="s">
        <v>12</v>
      </c>
      <c r="C362" s="1" t="s">
        <v>20</v>
      </c>
      <c r="D362" s="5">
        <v>45923</v>
      </c>
      <c r="E362" s="6">
        <v>1684434835276</v>
      </c>
      <c r="F362" s="6">
        <v>289329603569</v>
      </c>
      <c r="G362" s="6">
        <v>1395105231707</v>
      </c>
      <c r="H362" s="6">
        <v>257800533790</v>
      </c>
      <c r="I362" s="7">
        <v>1426634301486</v>
      </c>
    </row>
    <row r="363" spans="1:9" ht="12" customHeight="1" thickBot="1" x14ac:dyDescent="0.25">
      <c r="A363" s="1" t="s">
        <v>32</v>
      </c>
      <c r="B363" s="1" t="s">
        <v>12</v>
      </c>
      <c r="C363" s="1" t="s">
        <v>20</v>
      </c>
      <c r="D363" s="5">
        <v>45924</v>
      </c>
      <c r="E363" s="6">
        <v>1693731734779</v>
      </c>
      <c r="F363" s="6">
        <v>290989177571</v>
      </c>
      <c r="G363" s="6">
        <v>1402742557208</v>
      </c>
      <c r="H363" s="6">
        <v>259232009525</v>
      </c>
      <c r="I363" s="7">
        <v>1434499725254</v>
      </c>
    </row>
    <row r="364" spans="1:9" ht="12" customHeight="1" thickBot="1" x14ac:dyDescent="0.25">
      <c r="A364" s="1" t="s">
        <v>32</v>
      </c>
      <c r="B364" s="1" t="s">
        <v>12</v>
      </c>
      <c r="C364" s="1" t="s">
        <v>20</v>
      </c>
      <c r="D364" s="5">
        <v>45925</v>
      </c>
      <c r="E364" s="6">
        <v>1702947715364</v>
      </c>
      <c r="F364" s="6">
        <v>292510895866</v>
      </c>
      <c r="G364" s="6">
        <v>1410436819498</v>
      </c>
      <c r="H364" s="6">
        <v>258696258861</v>
      </c>
      <c r="I364" s="7">
        <v>1444251456503</v>
      </c>
    </row>
    <row r="365" spans="1:9" ht="12" customHeight="1" thickBot="1" x14ac:dyDescent="0.25">
      <c r="A365" s="1" t="s">
        <v>32</v>
      </c>
      <c r="B365" s="1" t="s">
        <v>12</v>
      </c>
      <c r="C365" s="1" t="s">
        <v>20</v>
      </c>
      <c r="D365" s="5">
        <v>45926</v>
      </c>
      <c r="E365" s="6">
        <v>1711555585149</v>
      </c>
      <c r="F365" s="6">
        <v>293115023363</v>
      </c>
      <c r="G365" s="6">
        <v>1418440561786</v>
      </c>
      <c r="H365" s="6">
        <v>262524707439</v>
      </c>
      <c r="I365" s="7">
        <v>1449030877710</v>
      </c>
    </row>
    <row r="366" spans="1:9" ht="12" customHeight="1" thickBot="1" x14ac:dyDescent="0.25">
      <c r="A366" s="1" t="s">
        <v>32</v>
      </c>
      <c r="B366" s="1" t="s">
        <v>12</v>
      </c>
      <c r="C366" s="1" t="s">
        <v>20</v>
      </c>
      <c r="D366" s="5">
        <v>45927</v>
      </c>
      <c r="E366" s="6">
        <v>1719696152049</v>
      </c>
      <c r="F366" s="6">
        <v>296511853314</v>
      </c>
      <c r="G366" s="6">
        <v>1423184298735</v>
      </c>
      <c r="H366" s="6">
        <v>264097445535</v>
      </c>
      <c r="I366" s="7">
        <v>1455598706514</v>
      </c>
    </row>
    <row r="367" spans="1:9" ht="12" customHeight="1" thickBot="1" x14ac:dyDescent="0.25">
      <c r="A367" s="1" t="s">
        <v>32</v>
      </c>
      <c r="B367" s="1" t="s">
        <v>12</v>
      </c>
      <c r="C367" s="1" t="s">
        <v>20</v>
      </c>
      <c r="D367" s="5">
        <v>45928</v>
      </c>
      <c r="E367" s="6">
        <v>1728785211597</v>
      </c>
      <c r="F367" s="6">
        <v>299841251805</v>
      </c>
      <c r="G367" s="6">
        <v>1428943959792</v>
      </c>
      <c r="H367" s="6">
        <v>266008245021</v>
      </c>
      <c r="I367" s="7">
        <v>1462776966576</v>
      </c>
    </row>
    <row r="368" spans="1:9" ht="12" customHeight="1" thickBot="1" x14ac:dyDescent="0.25">
      <c r="A368" s="1" t="s">
        <v>32</v>
      </c>
      <c r="B368" s="1" t="s">
        <v>12</v>
      </c>
      <c r="C368" s="1" t="s">
        <v>20</v>
      </c>
      <c r="D368" s="5">
        <v>45929</v>
      </c>
      <c r="E368" s="6">
        <v>1731073359140</v>
      </c>
      <c r="F368" s="6">
        <v>295527868083</v>
      </c>
      <c r="G368" s="6">
        <v>1435545491057</v>
      </c>
      <c r="H368" s="6">
        <v>267533275568</v>
      </c>
      <c r="I368" s="7">
        <v>1463540083572</v>
      </c>
    </row>
    <row r="369" spans="1:9" ht="12" customHeight="1" thickBot="1" x14ac:dyDescent="0.25">
      <c r="A369" s="1" t="s">
        <v>32</v>
      </c>
      <c r="B369" s="1" t="s">
        <v>12</v>
      </c>
      <c r="C369" s="1" t="s">
        <v>20</v>
      </c>
      <c r="D369" s="5">
        <v>45930</v>
      </c>
      <c r="E369" s="6">
        <v>1743138334200</v>
      </c>
      <c r="F369" s="6">
        <v>309907378567</v>
      </c>
      <c r="G369" s="6">
        <v>1433230955633</v>
      </c>
      <c r="H369" s="6">
        <v>269163490830</v>
      </c>
      <c r="I369" s="7">
        <v>1473974843370</v>
      </c>
    </row>
    <row r="370" spans="1:9" ht="12" customHeight="1" thickBot="1" x14ac:dyDescent="0.25">
      <c r="A370" s="1" t="s">
        <v>33</v>
      </c>
      <c r="B370" s="1" t="s">
        <v>34</v>
      </c>
      <c r="C370" s="1" t="s">
        <v>20</v>
      </c>
      <c r="D370" s="5">
        <v>45839</v>
      </c>
      <c r="E370" s="6">
        <v>298111120654</v>
      </c>
      <c r="F370" s="6">
        <v>72657248975</v>
      </c>
      <c r="G370" s="6">
        <v>225453871679</v>
      </c>
      <c r="H370" s="6">
        <v>71443051634</v>
      </c>
      <c r="I370" s="7">
        <v>226668069020</v>
      </c>
    </row>
    <row r="371" spans="1:9" ht="12" customHeight="1" thickBot="1" x14ac:dyDescent="0.25">
      <c r="A371" s="1" t="s">
        <v>33</v>
      </c>
      <c r="B371" s="1" t="s">
        <v>34</v>
      </c>
      <c r="C371" s="1" t="s">
        <v>20</v>
      </c>
      <c r="D371" s="5">
        <v>45840</v>
      </c>
      <c r="E371" s="6">
        <v>300349813784</v>
      </c>
      <c r="F371" s="6">
        <v>72740803298</v>
      </c>
      <c r="G371" s="6">
        <v>227609010486</v>
      </c>
      <c r="H371" s="6">
        <v>71527376665</v>
      </c>
      <c r="I371" s="7">
        <v>228822437119</v>
      </c>
    </row>
    <row r="372" spans="1:9" ht="12" customHeight="1" thickBot="1" x14ac:dyDescent="0.25">
      <c r="A372" s="1" t="s">
        <v>33</v>
      </c>
      <c r="B372" s="1" t="s">
        <v>34</v>
      </c>
      <c r="C372" s="1" t="s">
        <v>20</v>
      </c>
      <c r="D372" s="5">
        <v>45841</v>
      </c>
      <c r="E372" s="6">
        <v>301241216205</v>
      </c>
      <c r="F372" s="6">
        <v>72807940634</v>
      </c>
      <c r="G372" s="6">
        <v>228433275571</v>
      </c>
      <c r="H372" s="6">
        <v>71566908407</v>
      </c>
      <c r="I372" s="7">
        <v>229674307798</v>
      </c>
    </row>
    <row r="373" spans="1:9" ht="12" customHeight="1" thickBot="1" x14ac:dyDescent="0.25">
      <c r="A373" s="1" t="s">
        <v>33</v>
      </c>
      <c r="B373" s="1" t="s">
        <v>34</v>
      </c>
      <c r="C373" s="1" t="s">
        <v>20</v>
      </c>
      <c r="D373" s="5">
        <v>45842</v>
      </c>
      <c r="E373" s="6">
        <v>301906433587</v>
      </c>
      <c r="F373" s="6">
        <v>78561192280</v>
      </c>
      <c r="G373" s="6">
        <v>223345241307</v>
      </c>
      <c r="H373" s="6">
        <v>71594050805</v>
      </c>
      <c r="I373" s="7">
        <v>230312382782</v>
      </c>
    </row>
    <row r="374" spans="1:9" ht="12" customHeight="1" thickBot="1" x14ac:dyDescent="0.25">
      <c r="A374" s="1" t="s">
        <v>33</v>
      </c>
      <c r="B374" s="1" t="s">
        <v>34</v>
      </c>
      <c r="C374" s="1" t="s">
        <v>20</v>
      </c>
      <c r="D374" s="5">
        <v>45843</v>
      </c>
      <c r="E374" s="6">
        <v>302731823557</v>
      </c>
      <c r="F374" s="6">
        <v>78524089550</v>
      </c>
      <c r="G374" s="6">
        <v>224207734007</v>
      </c>
      <c r="H374" s="6">
        <v>71630153206</v>
      </c>
      <c r="I374" s="7">
        <v>231101670351</v>
      </c>
    </row>
    <row r="375" spans="1:9" ht="12" customHeight="1" thickBot="1" x14ac:dyDescent="0.25">
      <c r="A375" s="1" t="s">
        <v>33</v>
      </c>
      <c r="B375" s="1" t="s">
        <v>34</v>
      </c>
      <c r="C375" s="1" t="s">
        <v>20</v>
      </c>
      <c r="D375" s="5">
        <v>45844</v>
      </c>
      <c r="E375" s="6">
        <v>303616537367</v>
      </c>
      <c r="F375" s="6">
        <v>78759845285</v>
      </c>
      <c r="G375" s="6">
        <v>224856692082</v>
      </c>
      <c r="H375" s="6">
        <v>71686249424</v>
      </c>
      <c r="I375" s="7">
        <v>231930287943</v>
      </c>
    </row>
    <row r="376" spans="1:9" ht="12" customHeight="1" thickBot="1" x14ac:dyDescent="0.25">
      <c r="A376" s="1" t="s">
        <v>33</v>
      </c>
      <c r="B376" s="1" t="s">
        <v>34</v>
      </c>
      <c r="C376" s="1" t="s">
        <v>20</v>
      </c>
      <c r="D376" s="5">
        <v>45845</v>
      </c>
      <c r="E376" s="6">
        <v>304416736818</v>
      </c>
      <c r="F376" s="6">
        <v>78768610254</v>
      </c>
      <c r="G376" s="6">
        <v>225648126564</v>
      </c>
      <c r="H376" s="6">
        <v>71711566594</v>
      </c>
      <c r="I376" s="7">
        <v>232705170224</v>
      </c>
    </row>
    <row r="377" spans="1:9" ht="12" customHeight="1" thickBot="1" x14ac:dyDescent="0.25">
      <c r="A377" s="1" t="s">
        <v>33</v>
      </c>
      <c r="B377" s="1" t="s">
        <v>34</v>
      </c>
      <c r="C377" s="1" t="s">
        <v>20</v>
      </c>
      <c r="D377" s="5">
        <v>45846</v>
      </c>
      <c r="E377" s="6">
        <v>304524859480</v>
      </c>
      <c r="F377" s="6">
        <v>78614741464</v>
      </c>
      <c r="G377" s="6">
        <v>225910118016</v>
      </c>
      <c r="H377" s="6">
        <v>71682696481</v>
      </c>
      <c r="I377" s="7">
        <v>232842162999</v>
      </c>
    </row>
    <row r="378" spans="1:9" ht="12" customHeight="1" thickBot="1" x14ac:dyDescent="0.25">
      <c r="A378" s="1" t="s">
        <v>33</v>
      </c>
      <c r="B378" s="1" t="s">
        <v>34</v>
      </c>
      <c r="C378" s="1" t="s">
        <v>20</v>
      </c>
      <c r="D378" s="5">
        <v>45847</v>
      </c>
      <c r="E378" s="6">
        <v>304896243408</v>
      </c>
      <c r="F378" s="6">
        <v>78597339494</v>
      </c>
      <c r="G378" s="6">
        <v>226298903914</v>
      </c>
      <c r="H378" s="6">
        <v>71769859526</v>
      </c>
      <c r="I378" s="7">
        <v>233126383882</v>
      </c>
    </row>
    <row r="379" spans="1:9" ht="12" customHeight="1" thickBot="1" x14ac:dyDescent="0.25">
      <c r="A379" s="1" t="s">
        <v>33</v>
      </c>
      <c r="B379" s="1" t="s">
        <v>34</v>
      </c>
      <c r="C379" s="1" t="s">
        <v>20</v>
      </c>
      <c r="D379" s="5">
        <v>45848</v>
      </c>
      <c r="E379" s="6">
        <v>304860340348</v>
      </c>
      <c r="F379" s="6">
        <v>78639861002</v>
      </c>
      <c r="G379" s="6">
        <v>226220479346</v>
      </c>
      <c r="H379" s="6">
        <v>71850486140</v>
      </c>
      <c r="I379" s="7">
        <v>233009854208</v>
      </c>
    </row>
    <row r="380" spans="1:9" ht="12" customHeight="1" thickBot="1" x14ac:dyDescent="0.25">
      <c r="A380" s="1" t="s">
        <v>33</v>
      </c>
      <c r="B380" s="1" t="s">
        <v>34</v>
      </c>
      <c r="C380" s="1" t="s">
        <v>20</v>
      </c>
      <c r="D380" s="5">
        <v>45849</v>
      </c>
      <c r="E380" s="6">
        <v>304531287732</v>
      </c>
      <c r="F380" s="6">
        <v>78704188663</v>
      </c>
      <c r="G380" s="6">
        <v>225827099069</v>
      </c>
      <c r="H380" s="6">
        <v>71899665407</v>
      </c>
      <c r="I380" s="7">
        <v>232631622325</v>
      </c>
    </row>
    <row r="381" spans="1:9" ht="12" customHeight="1" thickBot="1" x14ac:dyDescent="0.25">
      <c r="A381" s="1" t="s">
        <v>33</v>
      </c>
      <c r="B381" s="1" t="s">
        <v>34</v>
      </c>
      <c r="C381" s="1" t="s">
        <v>20</v>
      </c>
      <c r="D381" s="5">
        <v>45850</v>
      </c>
      <c r="E381" s="6">
        <v>305048348227</v>
      </c>
      <c r="F381" s="6">
        <v>78734355535</v>
      </c>
      <c r="G381" s="6">
        <v>226313992692</v>
      </c>
      <c r="H381" s="6">
        <v>71922328335</v>
      </c>
      <c r="I381" s="7">
        <v>233126019892</v>
      </c>
    </row>
    <row r="382" spans="1:9" ht="12" customHeight="1" thickBot="1" x14ac:dyDescent="0.25">
      <c r="A382" s="1" t="s">
        <v>33</v>
      </c>
      <c r="B382" s="1" t="s">
        <v>34</v>
      </c>
      <c r="C382" s="1" t="s">
        <v>20</v>
      </c>
      <c r="D382" s="5">
        <v>45851</v>
      </c>
      <c r="E382" s="6">
        <v>306151750331</v>
      </c>
      <c r="F382" s="6">
        <v>78866842636</v>
      </c>
      <c r="G382" s="6">
        <v>227284907695</v>
      </c>
      <c r="H382" s="6">
        <v>72040361730</v>
      </c>
      <c r="I382" s="7">
        <v>234111388601</v>
      </c>
    </row>
    <row r="383" spans="1:9" ht="12" customHeight="1" thickBot="1" x14ac:dyDescent="0.25">
      <c r="A383" s="1" t="s">
        <v>33</v>
      </c>
      <c r="B383" s="1" t="s">
        <v>34</v>
      </c>
      <c r="C383" s="1" t="s">
        <v>20</v>
      </c>
      <c r="D383" s="5">
        <v>45852</v>
      </c>
      <c r="E383" s="6">
        <v>306870751556</v>
      </c>
      <c r="F383" s="6">
        <v>78830916727</v>
      </c>
      <c r="G383" s="6">
        <v>228039834829</v>
      </c>
      <c r="H383" s="6">
        <v>77684222086</v>
      </c>
      <c r="I383" s="7">
        <v>229186529470</v>
      </c>
    </row>
    <row r="384" spans="1:9" ht="12" customHeight="1" thickBot="1" x14ac:dyDescent="0.25">
      <c r="A384" s="1" t="s">
        <v>33</v>
      </c>
      <c r="B384" s="1" t="s">
        <v>34</v>
      </c>
      <c r="C384" s="1" t="s">
        <v>20</v>
      </c>
      <c r="D384" s="5">
        <v>45853</v>
      </c>
      <c r="E384" s="6">
        <v>306996407937</v>
      </c>
      <c r="F384" s="6">
        <v>78873207982</v>
      </c>
      <c r="G384" s="6">
        <v>228123199955</v>
      </c>
      <c r="H384" s="6">
        <v>77749083376</v>
      </c>
      <c r="I384" s="7">
        <v>229247324561</v>
      </c>
    </row>
    <row r="385" spans="1:9" ht="12" customHeight="1" thickBot="1" x14ac:dyDescent="0.25">
      <c r="A385" s="1" t="s">
        <v>33</v>
      </c>
      <c r="B385" s="1" t="s">
        <v>34</v>
      </c>
      <c r="C385" s="1" t="s">
        <v>20</v>
      </c>
      <c r="D385" s="5">
        <v>45854</v>
      </c>
      <c r="E385" s="6">
        <v>307424534295</v>
      </c>
      <c r="F385" s="6">
        <v>78868841212</v>
      </c>
      <c r="G385" s="6">
        <v>228555693083</v>
      </c>
      <c r="H385" s="6">
        <v>77821655004</v>
      </c>
      <c r="I385" s="7">
        <v>229602879291</v>
      </c>
    </row>
    <row r="386" spans="1:9" ht="12" customHeight="1" thickBot="1" x14ac:dyDescent="0.25">
      <c r="A386" s="1" t="s">
        <v>33</v>
      </c>
      <c r="B386" s="1" t="s">
        <v>34</v>
      </c>
      <c r="C386" s="1" t="s">
        <v>20</v>
      </c>
      <c r="D386" s="5">
        <v>45855</v>
      </c>
      <c r="E386" s="6">
        <v>307369773102</v>
      </c>
      <c r="F386" s="6">
        <v>78760988044</v>
      </c>
      <c r="G386" s="6">
        <v>228608785058</v>
      </c>
      <c r="H386" s="6">
        <v>77761712872</v>
      </c>
      <c r="I386" s="7">
        <v>229608060230</v>
      </c>
    </row>
    <row r="387" spans="1:9" ht="12" customHeight="1" thickBot="1" x14ac:dyDescent="0.25">
      <c r="A387" s="1" t="s">
        <v>33</v>
      </c>
      <c r="B387" s="1" t="s">
        <v>34</v>
      </c>
      <c r="C387" s="1" t="s">
        <v>20</v>
      </c>
      <c r="D387" s="5">
        <v>45856</v>
      </c>
      <c r="E387" s="6">
        <v>307606174918</v>
      </c>
      <c r="F387" s="6">
        <v>78772558494</v>
      </c>
      <c r="G387" s="6">
        <v>228833616424</v>
      </c>
      <c r="H387" s="6">
        <v>77753138834</v>
      </c>
      <c r="I387" s="7">
        <v>229853036084</v>
      </c>
    </row>
    <row r="388" spans="1:9" ht="12" customHeight="1" thickBot="1" x14ac:dyDescent="0.25">
      <c r="A388" s="1" t="s">
        <v>33</v>
      </c>
      <c r="B388" s="1" t="s">
        <v>34</v>
      </c>
      <c r="C388" s="1" t="s">
        <v>20</v>
      </c>
      <c r="D388" s="5">
        <v>45857</v>
      </c>
      <c r="E388" s="6">
        <v>308318689018</v>
      </c>
      <c r="F388" s="6">
        <v>78844092657</v>
      </c>
      <c r="G388" s="6">
        <v>229474596361</v>
      </c>
      <c r="H388" s="6">
        <v>77787506172</v>
      </c>
      <c r="I388" s="7">
        <v>230531182846</v>
      </c>
    </row>
    <row r="389" spans="1:9" ht="12" customHeight="1" thickBot="1" x14ac:dyDescent="0.25">
      <c r="A389" s="1" t="s">
        <v>33</v>
      </c>
      <c r="B389" s="1" t="s">
        <v>34</v>
      </c>
      <c r="C389" s="1" t="s">
        <v>20</v>
      </c>
      <c r="D389" s="5">
        <v>45858</v>
      </c>
      <c r="E389" s="6">
        <v>308962525874</v>
      </c>
      <c r="F389" s="6">
        <v>78926120662</v>
      </c>
      <c r="G389" s="6">
        <v>230036405212</v>
      </c>
      <c r="H389" s="6">
        <v>77858288123</v>
      </c>
      <c r="I389" s="7">
        <v>231104237751</v>
      </c>
    </row>
    <row r="390" spans="1:9" ht="12" customHeight="1" thickBot="1" x14ac:dyDescent="0.25">
      <c r="A390" s="1" t="s">
        <v>33</v>
      </c>
      <c r="B390" s="1" t="s">
        <v>34</v>
      </c>
      <c r="C390" s="1" t="s">
        <v>20</v>
      </c>
      <c r="D390" s="5">
        <v>45859</v>
      </c>
      <c r="E390" s="6">
        <v>308951222700</v>
      </c>
      <c r="F390" s="6">
        <v>78924765660</v>
      </c>
      <c r="G390" s="6">
        <v>230026457040</v>
      </c>
      <c r="H390" s="6">
        <v>77908361908</v>
      </c>
      <c r="I390" s="7">
        <v>231042860792</v>
      </c>
    </row>
    <row r="391" spans="1:9" ht="12" customHeight="1" thickBot="1" x14ac:dyDescent="0.25">
      <c r="A391" s="1" t="s">
        <v>33</v>
      </c>
      <c r="B391" s="1" t="s">
        <v>34</v>
      </c>
      <c r="C391" s="1" t="s">
        <v>20</v>
      </c>
      <c r="D391" s="5">
        <v>45860</v>
      </c>
      <c r="E391" s="6">
        <v>308416331444</v>
      </c>
      <c r="F391" s="6">
        <v>78848257918</v>
      </c>
      <c r="G391" s="6">
        <v>229568073526</v>
      </c>
      <c r="H391" s="6">
        <v>77958393480</v>
      </c>
      <c r="I391" s="7">
        <v>230457937964</v>
      </c>
    </row>
    <row r="392" spans="1:9" ht="12" customHeight="1" thickBot="1" x14ac:dyDescent="0.25">
      <c r="A392" s="1" t="s">
        <v>33</v>
      </c>
      <c r="B392" s="1" t="s">
        <v>34</v>
      </c>
      <c r="C392" s="1" t="s">
        <v>20</v>
      </c>
      <c r="D392" s="5">
        <v>45861</v>
      </c>
      <c r="E392" s="6">
        <v>308237732740</v>
      </c>
      <c r="F392" s="6">
        <v>78870852833</v>
      </c>
      <c r="G392" s="6">
        <v>229366879907</v>
      </c>
      <c r="H392" s="6">
        <v>78001437071</v>
      </c>
      <c r="I392" s="7">
        <v>230236295669</v>
      </c>
    </row>
    <row r="393" spans="1:9" ht="12" customHeight="1" thickBot="1" x14ac:dyDescent="0.25">
      <c r="A393" s="1" t="s">
        <v>33</v>
      </c>
      <c r="B393" s="1" t="s">
        <v>34</v>
      </c>
      <c r="C393" s="1" t="s">
        <v>20</v>
      </c>
      <c r="D393" s="5">
        <v>45862</v>
      </c>
      <c r="E393" s="6">
        <v>308231491559</v>
      </c>
      <c r="F393" s="6">
        <v>78755622906</v>
      </c>
      <c r="G393" s="6">
        <v>229475868653</v>
      </c>
      <c r="H393" s="6">
        <v>77988348825</v>
      </c>
      <c r="I393" s="7">
        <v>230243142734</v>
      </c>
    </row>
    <row r="394" spans="1:9" ht="12" customHeight="1" thickBot="1" x14ac:dyDescent="0.25">
      <c r="A394" s="1" t="s">
        <v>33</v>
      </c>
      <c r="B394" s="1" t="s">
        <v>34</v>
      </c>
      <c r="C394" s="1" t="s">
        <v>20</v>
      </c>
      <c r="D394" s="5">
        <v>45863</v>
      </c>
      <c r="E394" s="6">
        <v>307954724341</v>
      </c>
      <c r="F394" s="6">
        <v>78822519367</v>
      </c>
      <c r="G394" s="6">
        <v>229132204974</v>
      </c>
      <c r="H394" s="6">
        <v>78021327355</v>
      </c>
      <c r="I394" s="7">
        <v>229933396986</v>
      </c>
    </row>
    <row r="395" spans="1:9" ht="12" customHeight="1" thickBot="1" x14ac:dyDescent="0.25">
      <c r="A395" s="1" t="s">
        <v>33</v>
      </c>
      <c r="B395" s="1" t="s">
        <v>34</v>
      </c>
      <c r="C395" s="1" t="s">
        <v>20</v>
      </c>
      <c r="D395" s="5">
        <v>45864</v>
      </c>
      <c r="E395" s="6">
        <v>307849743625</v>
      </c>
      <c r="F395" s="6">
        <v>78900614370</v>
      </c>
      <c r="G395" s="6">
        <v>228949129255</v>
      </c>
      <c r="H395" s="6">
        <v>78083463142</v>
      </c>
      <c r="I395" s="7">
        <v>229766280483</v>
      </c>
    </row>
    <row r="396" spans="1:9" ht="12" customHeight="1" thickBot="1" x14ac:dyDescent="0.25">
      <c r="A396" s="1" t="s">
        <v>33</v>
      </c>
      <c r="B396" s="1" t="s">
        <v>34</v>
      </c>
      <c r="C396" s="1" t="s">
        <v>20</v>
      </c>
      <c r="D396" s="5">
        <v>45865</v>
      </c>
      <c r="E396" s="6">
        <v>307952964965</v>
      </c>
      <c r="F396" s="6">
        <v>78957899461</v>
      </c>
      <c r="G396" s="6">
        <v>228995065504</v>
      </c>
      <c r="H396" s="6">
        <v>78087991233</v>
      </c>
      <c r="I396" s="7">
        <v>229864973732</v>
      </c>
    </row>
    <row r="397" spans="1:9" ht="12" customHeight="1" thickBot="1" x14ac:dyDescent="0.25">
      <c r="A397" s="1" t="s">
        <v>33</v>
      </c>
      <c r="B397" s="1" t="s">
        <v>34</v>
      </c>
      <c r="C397" s="1" t="s">
        <v>20</v>
      </c>
      <c r="D397" s="5">
        <v>45866</v>
      </c>
      <c r="E397" s="6">
        <v>307377776051</v>
      </c>
      <c r="F397" s="6">
        <v>78850716514</v>
      </c>
      <c r="G397" s="6">
        <v>228527059537</v>
      </c>
      <c r="H397" s="6">
        <v>78080776780</v>
      </c>
      <c r="I397" s="7">
        <v>229296999271</v>
      </c>
    </row>
    <row r="398" spans="1:9" ht="12" customHeight="1" thickBot="1" x14ac:dyDescent="0.25">
      <c r="A398" s="1" t="s">
        <v>33</v>
      </c>
      <c r="B398" s="1" t="s">
        <v>34</v>
      </c>
      <c r="C398" s="1" t="s">
        <v>20</v>
      </c>
      <c r="D398" s="5">
        <v>45867</v>
      </c>
      <c r="E398" s="6">
        <v>305885502860</v>
      </c>
      <c r="F398" s="6">
        <v>78860637496</v>
      </c>
      <c r="G398" s="6">
        <v>227024865364</v>
      </c>
      <c r="H398" s="6">
        <v>78059999257</v>
      </c>
      <c r="I398" s="7">
        <v>227825503603</v>
      </c>
    </row>
    <row r="399" spans="1:9" ht="12" customHeight="1" thickBot="1" x14ac:dyDescent="0.25">
      <c r="A399" s="1" t="s">
        <v>33</v>
      </c>
      <c r="B399" s="1" t="s">
        <v>34</v>
      </c>
      <c r="C399" s="1" t="s">
        <v>20</v>
      </c>
      <c r="D399" s="5">
        <v>45868</v>
      </c>
      <c r="E399" s="6">
        <v>303821088664</v>
      </c>
      <c r="F399" s="6">
        <v>78960198237</v>
      </c>
      <c r="G399" s="6">
        <v>224860890427</v>
      </c>
      <c r="H399" s="6">
        <v>78062127053</v>
      </c>
      <c r="I399" s="7">
        <v>225758961611</v>
      </c>
    </row>
    <row r="400" spans="1:9" ht="12" customHeight="1" thickBot="1" x14ac:dyDescent="0.25">
      <c r="A400" s="1" t="s">
        <v>33</v>
      </c>
      <c r="B400" s="1" t="s">
        <v>34</v>
      </c>
      <c r="C400" s="1" t="s">
        <v>20</v>
      </c>
      <c r="D400" s="5">
        <v>45869</v>
      </c>
      <c r="E400" s="6">
        <v>300619607926</v>
      </c>
      <c r="F400" s="6">
        <v>78934143811</v>
      </c>
      <c r="G400" s="6">
        <v>221685464115</v>
      </c>
      <c r="H400" s="6">
        <v>77998393933</v>
      </c>
      <c r="I400" s="7">
        <v>222621213993</v>
      </c>
    </row>
    <row r="401" spans="1:9" ht="12" customHeight="1" thickBot="1" x14ac:dyDescent="0.25">
      <c r="A401" s="1" t="s">
        <v>33</v>
      </c>
      <c r="B401" s="1" t="s">
        <v>34</v>
      </c>
      <c r="C401" s="1" t="s">
        <v>20</v>
      </c>
      <c r="D401" s="5">
        <v>45870</v>
      </c>
      <c r="E401" s="6">
        <v>299479416924</v>
      </c>
      <c r="F401" s="6">
        <v>78923059680</v>
      </c>
      <c r="G401" s="6">
        <v>220556357244</v>
      </c>
      <c r="H401" s="6">
        <v>77946642239</v>
      </c>
      <c r="I401" s="7">
        <v>221532774685</v>
      </c>
    </row>
    <row r="402" spans="1:9" ht="12" customHeight="1" thickBot="1" x14ac:dyDescent="0.25">
      <c r="A402" s="1" t="s">
        <v>33</v>
      </c>
      <c r="B402" s="1" t="s">
        <v>34</v>
      </c>
      <c r="C402" s="1" t="s">
        <v>20</v>
      </c>
      <c r="D402" s="5">
        <v>45871</v>
      </c>
      <c r="E402" s="6">
        <v>300579118892</v>
      </c>
      <c r="F402" s="6">
        <v>84342167642</v>
      </c>
      <c r="G402" s="6">
        <v>216236951250</v>
      </c>
      <c r="H402" s="6">
        <v>77954915348</v>
      </c>
      <c r="I402" s="7">
        <v>222624203544</v>
      </c>
    </row>
    <row r="403" spans="1:9" ht="12" customHeight="1" thickBot="1" x14ac:dyDescent="0.25">
      <c r="A403" s="1" t="s">
        <v>33</v>
      </c>
      <c r="B403" s="1" t="s">
        <v>34</v>
      </c>
      <c r="C403" s="1" t="s">
        <v>20</v>
      </c>
      <c r="D403" s="5">
        <v>45872</v>
      </c>
      <c r="E403" s="6">
        <v>301624931048</v>
      </c>
      <c r="F403" s="6">
        <v>84300413468</v>
      </c>
      <c r="G403" s="6">
        <v>217324517580</v>
      </c>
      <c r="H403" s="6">
        <v>77929523826</v>
      </c>
      <c r="I403" s="7">
        <v>223695407222</v>
      </c>
    </row>
    <row r="404" spans="1:9" ht="12" customHeight="1" thickBot="1" x14ac:dyDescent="0.25">
      <c r="A404" s="1" t="s">
        <v>33</v>
      </c>
      <c r="B404" s="1" t="s">
        <v>34</v>
      </c>
      <c r="C404" s="1" t="s">
        <v>20</v>
      </c>
      <c r="D404" s="5">
        <v>45873</v>
      </c>
      <c r="E404" s="6">
        <v>302900976920</v>
      </c>
      <c r="F404" s="6">
        <v>84235090475</v>
      </c>
      <c r="G404" s="6">
        <v>218665886445</v>
      </c>
      <c r="H404" s="6">
        <v>77967646938</v>
      </c>
      <c r="I404" s="7">
        <v>224933329982</v>
      </c>
    </row>
    <row r="405" spans="1:9" ht="12" customHeight="1" thickBot="1" x14ac:dyDescent="0.25">
      <c r="A405" s="1" t="s">
        <v>33</v>
      </c>
      <c r="B405" s="1" t="s">
        <v>34</v>
      </c>
      <c r="C405" s="1" t="s">
        <v>20</v>
      </c>
      <c r="D405" s="5">
        <v>45874</v>
      </c>
      <c r="E405" s="6">
        <v>302689463668</v>
      </c>
      <c r="F405" s="6">
        <v>84119314351</v>
      </c>
      <c r="G405" s="6">
        <v>218570149317</v>
      </c>
      <c r="H405" s="6">
        <v>77967421467</v>
      </c>
      <c r="I405" s="7">
        <v>224722042201</v>
      </c>
    </row>
    <row r="406" spans="1:9" ht="12" customHeight="1" thickBot="1" x14ac:dyDescent="0.25">
      <c r="A406" s="1" t="s">
        <v>33</v>
      </c>
      <c r="B406" s="1" t="s">
        <v>34</v>
      </c>
      <c r="C406" s="1" t="s">
        <v>20</v>
      </c>
      <c r="D406" s="5">
        <v>45875</v>
      </c>
      <c r="E406" s="6">
        <v>302305370572</v>
      </c>
      <c r="F406" s="6">
        <v>84156285894</v>
      </c>
      <c r="G406" s="6">
        <v>218149084678</v>
      </c>
      <c r="H406" s="6">
        <v>77950021367</v>
      </c>
      <c r="I406" s="7">
        <v>224355349205</v>
      </c>
    </row>
    <row r="407" spans="1:9" ht="12" customHeight="1" thickBot="1" x14ac:dyDescent="0.25">
      <c r="A407" s="1" t="s">
        <v>33</v>
      </c>
      <c r="B407" s="1" t="s">
        <v>34</v>
      </c>
      <c r="C407" s="1" t="s">
        <v>20</v>
      </c>
      <c r="D407" s="5">
        <v>45876</v>
      </c>
      <c r="E407" s="6">
        <v>301931398453</v>
      </c>
      <c r="F407" s="6">
        <v>84094374010</v>
      </c>
      <c r="G407" s="6">
        <v>217837024443</v>
      </c>
      <c r="H407" s="6">
        <v>77923486369</v>
      </c>
      <c r="I407" s="7">
        <v>224007912084</v>
      </c>
    </row>
    <row r="408" spans="1:9" ht="12" customHeight="1" thickBot="1" x14ac:dyDescent="0.25">
      <c r="A408" s="1" t="s">
        <v>33</v>
      </c>
      <c r="B408" s="1" t="s">
        <v>34</v>
      </c>
      <c r="C408" s="1" t="s">
        <v>20</v>
      </c>
      <c r="D408" s="5">
        <v>45877</v>
      </c>
      <c r="E408" s="6">
        <v>301225266006</v>
      </c>
      <c r="F408" s="6">
        <v>84143085775</v>
      </c>
      <c r="G408" s="6">
        <v>217082180231</v>
      </c>
      <c r="H408" s="6">
        <v>77926613140</v>
      </c>
      <c r="I408" s="7">
        <v>223298652866</v>
      </c>
    </row>
    <row r="409" spans="1:9" ht="12" customHeight="1" thickBot="1" x14ac:dyDescent="0.25">
      <c r="A409" s="1" t="s">
        <v>33</v>
      </c>
      <c r="B409" s="1" t="s">
        <v>34</v>
      </c>
      <c r="C409" s="1" t="s">
        <v>20</v>
      </c>
      <c r="D409" s="5">
        <v>45878</v>
      </c>
      <c r="E409" s="6">
        <v>301204707472</v>
      </c>
      <c r="F409" s="6">
        <v>84146454719</v>
      </c>
      <c r="G409" s="6">
        <v>217058252753</v>
      </c>
      <c r="H409" s="6">
        <v>77976925103</v>
      </c>
      <c r="I409" s="7">
        <v>223227782369</v>
      </c>
    </row>
    <row r="410" spans="1:9" ht="12" customHeight="1" thickBot="1" x14ac:dyDescent="0.25">
      <c r="A410" s="1" t="s">
        <v>33</v>
      </c>
      <c r="B410" s="1" t="s">
        <v>34</v>
      </c>
      <c r="C410" s="1" t="s">
        <v>20</v>
      </c>
      <c r="D410" s="5">
        <v>45879</v>
      </c>
      <c r="E410" s="6">
        <v>301517291744</v>
      </c>
      <c r="F410" s="6">
        <v>84221688684</v>
      </c>
      <c r="G410" s="6">
        <v>217295603060</v>
      </c>
      <c r="H410" s="6">
        <v>77998322856</v>
      </c>
      <c r="I410" s="7">
        <v>223518968888</v>
      </c>
    </row>
    <row r="411" spans="1:9" ht="12" customHeight="1" thickBot="1" x14ac:dyDescent="0.25">
      <c r="A411" s="1" t="s">
        <v>33</v>
      </c>
      <c r="B411" s="1" t="s">
        <v>34</v>
      </c>
      <c r="C411" s="1" t="s">
        <v>20</v>
      </c>
      <c r="D411" s="5">
        <v>45880</v>
      </c>
      <c r="E411" s="6">
        <v>301006518182</v>
      </c>
      <c r="F411" s="6">
        <v>84171398632</v>
      </c>
      <c r="G411" s="6">
        <v>216835119550</v>
      </c>
      <c r="H411" s="6">
        <v>78024940597</v>
      </c>
      <c r="I411" s="7">
        <v>222981577585</v>
      </c>
    </row>
    <row r="412" spans="1:9" ht="12" customHeight="1" thickBot="1" x14ac:dyDescent="0.25">
      <c r="A412" s="1" t="s">
        <v>33</v>
      </c>
      <c r="B412" s="1" t="s">
        <v>34</v>
      </c>
      <c r="C412" s="1" t="s">
        <v>20</v>
      </c>
      <c r="D412" s="5">
        <v>45881</v>
      </c>
      <c r="E412" s="6">
        <v>300578076643</v>
      </c>
      <c r="F412" s="6">
        <v>84089956208</v>
      </c>
      <c r="G412" s="6">
        <v>216488120435</v>
      </c>
      <c r="H412" s="6">
        <v>83297827467</v>
      </c>
      <c r="I412" s="7">
        <v>217280249176</v>
      </c>
    </row>
    <row r="413" spans="1:9" ht="12" customHeight="1" thickBot="1" x14ac:dyDescent="0.25">
      <c r="A413" s="1" t="s">
        <v>33</v>
      </c>
      <c r="B413" s="1" t="s">
        <v>34</v>
      </c>
      <c r="C413" s="1" t="s">
        <v>20</v>
      </c>
      <c r="D413" s="5">
        <v>45882</v>
      </c>
      <c r="E413" s="6">
        <v>299911261895</v>
      </c>
      <c r="F413" s="6">
        <v>84078626762</v>
      </c>
      <c r="G413" s="6">
        <v>215832635133</v>
      </c>
      <c r="H413" s="6">
        <v>83272582928</v>
      </c>
      <c r="I413" s="7">
        <v>216638678967</v>
      </c>
    </row>
    <row r="414" spans="1:9" ht="12" customHeight="1" thickBot="1" x14ac:dyDescent="0.25">
      <c r="A414" s="1" t="s">
        <v>33</v>
      </c>
      <c r="B414" s="1" t="s">
        <v>34</v>
      </c>
      <c r="C414" s="1" t="s">
        <v>20</v>
      </c>
      <c r="D414" s="5">
        <v>45883</v>
      </c>
      <c r="E414" s="6">
        <v>299829671562</v>
      </c>
      <c r="F414" s="6">
        <v>84091577369</v>
      </c>
      <c r="G414" s="6">
        <v>215738094193</v>
      </c>
      <c r="H414" s="6">
        <v>83254503002</v>
      </c>
      <c r="I414" s="7">
        <v>216575168560</v>
      </c>
    </row>
    <row r="415" spans="1:9" ht="12" customHeight="1" thickBot="1" x14ac:dyDescent="0.25">
      <c r="A415" s="1" t="s">
        <v>33</v>
      </c>
      <c r="B415" s="1" t="s">
        <v>34</v>
      </c>
      <c r="C415" s="1" t="s">
        <v>20</v>
      </c>
      <c r="D415" s="5">
        <v>45884</v>
      </c>
      <c r="E415" s="6">
        <v>299919164509</v>
      </c>
      <c r="F415" s="6">
        <v>84087901931</v>
      </c>
      <c r="G415" s="6">
        <v>215831262578</v>
      </c>
      <c r="H415" s="6">
        <v>83216064181</v>
      </c>
      <c r="I415" s="7">
        <v>216703100328</v>
      </c>
    </row>
    <row r="416" spans="1:9" ht="12" customHeight="1" thickBot="1" x14ac:dyDescent="0.25">
      <c r="A416" s="1" t="s">
        <v>33</v>
      </c>
      <c r="B416" s="1" t="s">
        <v>34</v>
      </c>
      <c r="C416" s="1" t="s">
        <v>20</v>
      </c>
      <c r="D416" s="5">
        <v>45885</v>
      </c>
      <c r="E416" s="6">
        <v>300055219759</v>
      </c>
      <c r="F416" s="6">
        <v>84115057085</v>
      </c>
      <c r="G416" s="6">
        <v>215940162674</v>
      </c>
      <c r="H416" s="6">
        <v>83237875214</v>
      </c>
      <c r="I416" s="7">
        <v>216817344545</v>
      </c>
    </row>
    <row r="417" spans="1:9" ht="12" customHeight="1" thickBot="1" x14ac:dyDescent="0.25">
      <c r="A417" s="1" t="s">
        <v>33</v>
      </c>
      <c r="B417" s="1" t="s">
        <v>34</v>
      </c>
      <c r="C417" s="1" t="s">
        <v>20</v>
      </c>
      <c r="D417" s="5">
        <v>45886</v>
      </c>
      <c r="E417" s="6">
        <v>300228937192</v>
      </c>
      <c r="F417" s="6">
        <v>84189296216</v>
      </c>
      <c r="G417" s="6">
        <v>216039640976</v>
      </c>
      <c r="H417" s="6">
        <v>83293462396</v>
      </c>
      <c r="I417" s="7">
        <v>216935474796</v>
      </c>
    </row>
    <row r="418" spans="1:9" ht="12" customHeight="1" thickBot="1" x14ac:dyDescent="0.25">
      <c r="A418" s="1" t="s">
        <v>33</v>
      </c>
      <c r="B418" s="1" t="s">
        <v>34</v>
      </c>
      <c r="C418" s="1" t="s">
        <v>20</v>
      </c>
      <c r="D418" s="5">
        <v>45887</v>
      </c>
      <c r="E418" s="6">
        <v>299887108777</v>
      </c>
      <c r="F418" s="6">
        <v>84217335156</v>
      </c>
      <c r="G418" s="6">
        <v>215669773621</v>
      </c>
      <c r="H418" s="6">
        <v>83290281819</v>
      </c>
      <c r="I418" s="7">
        <v>216596826958</v>
      </c>
    </row>
    <row r="419" spans="1:9" ht="12" customHeight="1" thickBot="1" x14ac:dyDescent="0.25">
      <c r="A419" s="1" t="s">
        <v>33</v>
      </c>
      <c r="B419" s="1" t="s">
        <v>34</v>
      </c>
      <c r="C419" s="1" t="s">
        <v>20</v>
      </c>
      <c r="D419" s="5">
        <v>45888</v>
      </c>
      <c r="E419" s="6">
        <v>299786590816</v>
      </c>
      <c r="F419" s="6">
        <v>84233898999</v>
      </c>
      <c r="G419" s="6">
        <v>215552691817</v>
      </c>
      <c r="H419" s="6">
        <v>83271461519</v>
      </c>
      <c r="I419" s="7">
        <v>216515129297</v>
      </c>
    </row>
    <row r="420" spans="1:9" ht="12" customHeight="1" thickBot="1" x14ac:dyDescent="0.25">
      <c r="A420" s="1" t="s">
        <v>33</v>
      </c>
      <c r="B420" s="1" t="s">
        <v>34</v>
      </c>
      <c r="C420" s="1" t="s">
        <v>20</v>
      </c>
      <c r="D420" s="5">
        <v>45889</v>
      </c>
      <c r="E420" s="6">
        <v>299425331277</v>
      </c>
      <c r="F420" s="6">
        <v>84162442424</v>
      </c>
      <c r="G420" s="6">
        <v>215262888853</v>
      </c>
      <c r="H420" s="6">
        <v>83214718688</v>
      </c>
      <c r="I420" s="7">
        <v>216210612589</v>
      </c>
    </row>
    <row r="421" spans="1:9" ht="12" customHeight="1" thickBot="1" x14ac:dyDescent="0.25">
      <c r="A421" s="1" t="s">
        <v>33</v>
      </c>
      <c r="B421" s="1" t="s">
        <v>34</v>
      </c>
      <c r="C421" s="1" t="s">
        <v>20</v>
      </c>
      <c r="D421" s="5">
        <v>45890</v>
      </c>
      <c r="E421" s="6">
        <v>298945944055</v>
      </c>
      <c r="F421" s="6">
        <v>84154960103</v>
      </c>
      <c r="G421" s="6">
        <v>214790983952</v>
      </c>
      <c r="H421" s="6">
        <v>83219717602</v>
      </c>
      <c r="I421" s="7">
        <v>215726226453</v>
      </c>
    </row>
    <row r="422" spans="1:9" ht="12" customHeight="1" thickBot="1" x14ac:dyDescent="0.25">
      <c r="A422" s="1" t="s">
        <v>33</v>
      </c>
      <c r="B422" s="1" t="s">
        <v>34</v>
      </c>
      <c r="C422" s="1" t="s">
        <v>20</v>
      </c>
      <c r="D422" s="5">
        <v>45891</v>
      </c>
      <c r="E422" s="6">
        <v>298337509771</v>
      </c>
      <c r="F422" s="6">
        <v>84126281052</v>
      </c>
      <c r="G422" s="6">
        <v>214211228719</v>
      </c>
      <c r="H422" s="6">
        <v>83190669199</v>
      </c>
      <c r="I422" s="7">
        <v>215146840572</v>
      </c>
    </row>
    <row r="423" spans="1:9" ht="12" customHeight="1" thickBot="1" x14ac:dyDescent="0.25">
      <c r="A423" s="1" t="s">
        <v>33</v>
      </c>
      <c r="B423" s="1" t="s">
        <v>34</v>
      </c>
      <c r="C423" s="1" t="s">
        <v>20</v>
      </c>
      <c r="D423" s="5">
        <v>45892</v>
      </c>
      <c r="E423" s="6">
        <v>298233190087</v>
      </c>
      <c r="F423" s="6">
        <v>84169401375</v>
      </c>
      <c r="G423" s="6">
        <v>214063788712</v>
      </c>
      <c r="H423" s="6">
        <v>83261364150</v>
      </c>
      <c r="I423" s="7">
        <v>214971825937</v>
      </c>
    </row>
    <row r="424" spans="1:9" ht="12" customHeight="1" thickBot="1" x14ac:dyDescent="0.25">
      <c r="A424" s="1" t="s">
        <v>33</v>
      </c>
      <c r="B424" s="1" t="s">
        <v>34</v>
      </c>
      <c r="C424" s="1" t="s">
        <v>20</v>
      </c>
      <c r="D424" s="5">
        <v>45893</v>
      </c>
      <c r="E424" s="6">
        <v>298200784691</v>
      </c>
      <c r="F424" s="6">
        <v>84305389644</v>
      </c>
      <c r="G424" s="6">
        <v>213895395047</v>
      </c>
      <c r="H424" s="6">
        <v>83286777649</v>
      </c>
      <c r="I424" s="7">
        <v>214914007042</v>
      </c>
    </row>
    <row r="425" spans="1:9" ht="12" customHeight="1" thickBot="1" x14ac:dyDescent="0.25">
      <c r="A425" s="1" t="s">
        <v>33</v>
      </c>
      <c r="B425" s="1" t="s">
        <v>34</v>
      </c>
      <c r="C425" s="1" t="s">
        <v>20</v>
      </c>
      <c r="D425" s="5">
        <v>45894</v>
      </c>
      <c r="E425" s="6">
        <v>297978748856</v>
      </c>
      <c r="F425" s="6">
        <v>84423232526</v>
      </c>
      <c r="G425" s="6">
        <v>213555516330</v>
      </c>
      <c r="H425" s="6">
        <v>83340141479</v>
      </c>
      <c r="I425" s="7">
        <v>214638607377</v>
      </c>
    </row>
    <row r="426" spans="1:9" ht="12" customHeight="1" thickBot="1" x14ac:dyDescent="0.25">
      <c r="A426" s="1" t="s">
        <v>33</v>
      </c>
      <c r="B426" s="1" t="s">
        <v>34</v>
      </c>
      <c r="C426" s="1" t="s">
        <v>20</v>
      </c>
      <c r="D426" s="5">
        <v>45895</v>
      </c>
      <c r="E426" s="6">
        <v>297692506261</v>
      </c>
      <c r="F426" s="6">
        <v>84441958864</v>
      </c>
      <c r="G426" s="6">
        <v>213250547397</v>
      </c>
      <c r="H426" s="6">
        <v>83363602309</v>
      </c>
      <c r="I426" s="7">
        <v>214328903952</v>
      </c>
    </row>
    <row r="427" spans="1:9" ht="12" customHeight="1" thickBot="1" x14ac:dyDescent="0.25">
      <c r="A427" s="1" t="s">
        <v>33</v>
      </c>
      <c r="B427" s="1" t="s">
        <v>34</v>
      </c>
      <c r="C427" s="1" t="s">
        <v>20</v>
      </c>
      <c r="D427" s="5">
        <v>45896</v>
      </c>
      <c r="E427" s="6">
        <v>297169359120</v>
      </c>
      <c r="F427" s="6">
        <v>84520719130</v>
      </c>
      <c r="G427" s="6">
        <v>212648639990</v>
      </c>
      <c r="H427" s="6">
        <v>83374405853</v>
      </c>
      <c r="I427" s="7">
        <v>213794953267</v>
      </c>
    </row>
    <row r="428" spans="1:9" ht="12" customHeight="1" thickBot="1" x14ac:dyDescent="0.25">
      <c r="A428" s="1" t="s">
        <v>33</v>
      </c>
      <c r="B428" s="1" t="s">
        <v>34</v>
      </c>
      <c r="C428" s="1" t="s">
        <v>20</v>
      </c>
      <c r="D428" s="5">
        <v>45897</v>
      </c>
      <c r="E428" s="6">
        <v>295881485447</v>
      </c>
      <c r="F428" s="6">
        <v>84589840765</v>
      </c>
      <c r="G428" s="6">
        <v>211291644682</v>
      </c>
      <c r="H428" s="6">
        <v>83414763278</v>
      </c>
      <c r="I428" s="7">
        <v>212466722169</v>
      </c>
    </row>
    <row r="429" spans="1:9" ht="12" customHeight="1" thickBot="1" x14ac:dyDescent="0.25">
      <c r="A429" s="1" t="s">
        <v>33</v>
      </c>
      <c r="B429" s="1" t="s">
        <v>34</v>
      </c>
      <c r="C429" s="1" t="s">
        <v>20</v>
      </c>
      <c r="D429" s="5">
        <v>45898</v>
      </c>
      <c r="E429" s="6">
        <v>292362235667</v>
      </c>
      <c r="F429" s="6">
        <v>84565567352</v>
      </c>
      <c r="G429" s="6">
        <v>207796668315</v>
      </c>
      <c r="H429" s="6">
        <v>83433799508</v>
      </c>
      <c r="I429" s="7">
        <v>208928436159</v>
      </c>
    </row>
    <row r="430" spans="1:9" ht="12" customHeight="1" thickBot="1" x14ac:dyDescent="0.25">
      <c r="A430" s="1" t="s">
        <v>33</v>
      </c>
      <c r="B430" s="1" t="s">
        <v>34</v>
      </c>
      <c r="C430" s="1" t="s">
        <v>20</v>
      </c>
      <c r="D430" s="5">
        <v>45899</v>
      </c>
      <c r="E430" s="6">
        <v>290398963255</v>
      </c>
      <c r="F430" s="6">
        <v>84617245898</v>
      </c>
      <c r="G430" s="6">
        <v>205781717357</v>
      </c>
      <c r="H430" s="6">
        <v>83464702488</v>
      </c>
      <c r="I430" s="7">
        <v>206934260767</v>
      </c>
    </row>
    <row r="431" spans="1:9" ht="12" customHeight="1" thickBot="1" x14ac:dyDescent="0.25">
      <c r="A431" s="1" t="s">
        <v>33</v>
      </c>
      <c r="B431" s="1" t="s">
        <v>34</v>
      </c>
      <c r="C431" s="1" t="s">
        <v>20</v>
      </c>
      <c r="D431" s="5">
        <v>45900</v>
      </c>
      <c r="E431" s="6">
        <v>289284950835</v>
      </c>
      <c r="F431" s="6">
        <v>84724483940</v>
      </c>
      <c r="G431" s="6">
        <v>204560466895</v>
      </c>
      <c r="H431" s="6">
        <v>83498281662</v>
      </c>
      <c r="I431" s="7">
        <v>205786669173</v>
      </c>
    </row>
    <row r="432" spans="1:9" ht="12" customHeight="1" thickBot="1" x14ac:dyDescent="0.25">
      <c r="A432" s="1" t="s">
        <v>33</v>
      </c>
      <c r="B432" s="1" t="s">
        <v>34</v>
      </c>
      <c r="C432" s="1" t="s">
        <v>20</v>
      </c>
      <c r="D432" s="5">
        <v>45901</v>
      </c>
      <c r="E432" s="6">
        <v>288913504986</v>
      </c>
      <c r="F432" s="6">
        <v>84835602330</v>
      </c>
      <c r="G432" s="6">
        <v>204077902656</v>
      </c>
      <c r="H432" s="6">
        <v>83527520136</v>
      </c>
      <c r="I432" s="7">
        <v>205385984850</v>
      </c>
    </row>
    <row r="433" spans="1:9" ht="12" customHeight="1" thickBot="1" x14ac:dyDescent="0.25">
      <c r="A433" s="1" t="s">
        <v>33</v>
      </c>
      <c r="B433" s="1" t="s">
        <v>34</v>
      </c>
      <c r="C433" s="1" t="s">
        <v>20</v>
      </c>
      <c r="D433" s="5">
        <v>45902</v>
      </c>
      <c r="E433" s="6">
        <v>290220892194</v>
      </c>
      <c r="F433" s="6">
        <v>90974854266</v>
      </c>
      <c r="G433" s="6">
        <v>199246037928</v>
      </c>
      <c r="H433" s="6">
        <v>83568341427</v>
      </c>
      <c r="I433" s="7">
        <v>206652550767</v>
      </c>
    </row>
    <row r="434" spans="1:9" ht="12" customHeight="1" thickBot="1" x14ac:dyDescent="0.25">
      <c r="A434" s="1" t="s">
        <v>33</v>
      </c>
      <c r="B434" s="1" t="s">
        <v>34</v>
      </c>
      <c r="C434" s="1" t="s">
        <v>20</v>
      </c>
      <c r="D434" s="5">
        <v>45903</v>
      </c>
      <c r="E434" s="6">
        <v>290868356649</v>
      </c>
      <c r="F434" s="6">
        <v>90901145471</v>
      </c>
      <c r="G434" s="6">
        <v>199967211178</v>
      </c>
      <c r="H434" s="6">
        <v>83605056710</v>
      </c>
      <c r="I434" s="7">
        <v>207263299939</v>
      </c>
    </row>
    <row r="435" spans="1:9" ht="12" customHeight="1" thickBot="1" x14ac:dyDescent="0.25">
      <c r="A435" s="1" t="s">
        <v>33</v>
      </c>
      <c r="B435" s="1" t="s">
        <v>34</v>
      </c>
      <c r="C435" s="1" t="s">
        <v>20</v>
      </c>
      <c r="D435" s="5">
        <v>45904</v>
      </c>
      <c r="E435" s="6">
        <v>291093629181</v>
      </c>
      <c r="F435" s="6">
        <v>90763815689</v>
      </c>
      <c r="G435" s="6">
        <v>200329813492</v>
      </c>
      <c r="H435" s="6">
        <v>83682648971</v>
      </c>
      <c r="I435" s="7">
        <v>207410980210</v>
      </c>
    </row>
    <row r="436" spans="1:9" ht="12" customHeight="1" thickBot="1" x14ac:dyDescent="0.25">
      <c r="A436" s="1" t="s">
        <v>33</v>
      </c>
      <c r="B436" s="1" t="s">
        <v>34</v>
      </c>
      <c r="C436" s="1" t="s">
        <v>20</v>
      </c>
      <c r="D436" s="5">
        <v>45905</v>
      </c>
      <c r="E436" s="6">
        <v>290978827785</v>
      </c>
      <c r="F436" s="6">
        <v>90780190476</v>
      </c>
      <c r="G436" s="6">
        <v>200198637309</v>
      </c>
      <c r="H436" s="6">
        <v>83664696983</v>
      </c>
      <c r="I436" s="7">
        <v>207314130802</v>
      </c>
    </row>
    <row r="437" spans="1:9" ht="12" customHeight="1" thickBot="1" x14ac:dyDescent="0.25">
      <c r="A437" s="1" t="s">
        <v>33</v>
      </c>
      <c r="B437" s="1" t="s">
        <v>34</v>
      </c>
      <c r="C437" s="1" t="s">
        <v>20</v>
      </c>
      <c r="D437" s="5">
        <v>45906</v>
      </c>
      <c r="E437" s="6">
        <v>290614276648</v>
      </c>
      <c r="F437" s="6">
        <v>90850331423</v>
      </c>
      <c r="G437" s="6">
        <v>199763945225</v>
      </c>
      <c r="H437" s="6">
        <v>83724026856</v>
      </c>
      <c r="I437" s="7">
        <v>206890249792</v>
      </c>
    </row>
    <row r="438" spans="1:9" ht="12" customHeight="1" thickBot="1" x14ac:dyDescent="0.25">
      <c r="A438" s="1" t="s">
        <v>33</v>
      </c>
      <c r="B438" s="1" t="s">
        <v>34</v>
      </c>
      <c r="C438" s="1" t="s">
        <v>20</v>
      </c>
      <c r="D438" s="5">
        <v>45907</v>
      </c>
      <c r="E438" s="6">
        <v>290867101527</v>
      </c>
      <c r="F438" s="6">
        <v>90912634132</v>
      </c>
      <c r="G438" s="6">
        <v>199954467395</v>
      </c>
      <c r="H438" s="6">
        <v>83793073171</v>
      </c>
      <c r="I438" s="7">
        <v>207074028356</v>
      </c>
    </row>
    <row r="439" spans="1:9" ht="12" customHeight="1" thickBot="1" x14ac:dyDescent="0.25">
      <c r="A439" s="1" t="s">
        <v>33</v>
      </c>
      <c r="B439" s="1" t="s">
        <v>34</v>
      </c>
      <c r="C439" s="1" t="s">
        <v>20</v>
      </c>
      <c r="D439" s="5">
        <v>45908</v>
      </c>
      <c r="E439" s="6">
        <v>290396784485</v>
      </c>
      <c r="F439" s="6">
        <v>90865892152</v>
      </c>
      <c r="G439" s="6">
        <v>199530892333</v>
      </c>
      <c r="H439" s="6">
        <v>83829974077</v>
      </c>
      <c r="I439" s="7">
        <v>206566810408</v>
      </c>
    </row>
    <row r="440" spans="1:9" ht="12" customHeight="1" thickBot="1" x14ac:dyDescent="0.25">
      <c r="A440" s="1" t="s">
        <v>33</v>
      </c>
      <c r="B440" s="1" t="s">
        <v>34</v>
      </c>
      <c r="C440" s="1" t="s">
        <v>20</v>
      </c>
      <c r="D440" s="5">
        <v>45909</v>
      </c>
      <c r="E440" s="6">
        <v>290701647530</v>
      </c>
      <c r="F440" s="6">
        <v>90869795511</v>
      </c>
      <c r="G440" s="6">
        <v>199831852019</v>
      </c>
      <c r="H440" s="6">
        <v>83863468378</v>
      </c>
      <c r="I440" s="7">
        <v>206838179152</v>
      </c>
    </row>
    <row r="441" spans="1:9" ht="12" customHeight="1" thickBot="1" x14ac:dyDescent="0.25">
      <c r="A441" s="1" t="s">
        <v>33</v>
      </c>
      <c r="B441" s="1" t="s">
        <v>34</v>
      </c>
      <c r="C441" s="1" t="s">
        <v>20</v>
      </c>
      <c r="D441" s="5">
        <v>45910</v>
      </c>
      <c r="E441" s="6">
        <v>289655011453</v>
      </c>
      <c r="F441" s="6">
        <v>90826723353</v>
      </c>
      <c r="G441" s="6">
        <v>198828288100</v>
      </c>
      <c r="H441" s="6">
        <v>83844836906</v>
      </c>
      <c r="I441" s="7">
        <v>205810174547</v>
      </c>
    </row>
    <row r="442" spans="1:9" ht="12" customHeight="1" thickBot="1" x14ac:dyDescent="0.25">
      <c r="A442" s="1" t="s">
        <v>33</v>
      </c>
      <c r="B442" s="1" t="s">
        <v>34</v>
      </c>
      <c r="C442" s="1" t="s">
        <v>20</v>
      </c>
      <c r="D442" s="5">
        <v>45911</v>
      </c>
      <c r="E442" s="6">
        <v>288784301094</v>
      </c>
      <c r="F442" s="6">
        <v>90839544207</v>
      </c>
      <c r="G442" s="6">
        <v>197944756887</v>
      </c>
      <c r="H442" s="6">
        <v>83903806247</v>
      </c>
      <c r="I442" s="7">
        <v>204880494847</v>
      </c>
    </row>
    <row r="443" spans="1:9" ht="12" customHeight="1" thickBot="1" x14ac:dyDescent="0.25">
      <c r="A443" s="1" t="s">
        <v>33</v>
      </c>
      <c r="B443" s="1" t="s">
        <v>34</v>
      </c>
      <c r="C443" s="1" t="s">
        <v>20</v>
      </c>
      <c r="D443" s="5">
        <v>45912</v>
      </c>
      <c r="E443" s="6">
        <v>287897860994</v>
      </c>
      <c r="F443" s="6">
        <v>90825651271</v>
      </c>
      <c r="G443" s="6">
        <v>197072209723</v>
      </c>
      <c r="H443" s="6">
        <v>89753765687</v>
      </c>
      <c r="I443" s="7">
        <v>198144095307</v>
      </c>
    </row>
    <row r="444" spans="1:9" ht="12" customHeight="1" thickBot="1" x14ac:dyDescent="0.25">
      <c r="A444" s="1" t="s">
        <v>33</v>
      </c>
      <c r="B444" s="1" t="s">
        <v>34</v>
      </c>
      <c r="C444" s="1" t="s">
        <v>20</v>
      </c>
      <c r="D444" s="5">
        <v>45913</v>
      </c>
      <c r="E444" s="6">
        <v>287779390959</v>
      </c>
      <c r="F444" s="6">
        <v>90805604759</v>
      </c>
      <c r="G444" s="6">
        <v>196973786200</v>
      </c>
      <c r="H444" s="6">
        <v>89742056931</v>
      </c>
      <c r="I444" s="7">
        <v>198037334028</v>
      </c>
    </row>
    <row r="445" spans="1:9" ht="12" customHeight="1" thickBot="1" x14ac:dyDescent="0.25">
      <c r="A445" s="1" t="s">
        <v>33</v>
      </c>
      <c r="B445" s="1" t="s">
        <v>34</v>
      </c>
      <c r="C445" s="1" t="s">
        <v>20</v>
      </c>
      <c r="D445" s="5">
        <v>45914</v>
      </c>
      <c r="E445" s="6">
        <v>288125943025</v>
      </c>
      <c r="F445" s="6">
        <v>90882389929</v>
      </c>
      <c r="G445" s="6">
        <v>197243553096</v>
      </c>
      <c r="H445" s="6">
        <v>89774344193</v>
      </c>
      <c r="I445" s="7">
        <v>198351598832</v>
      </c>
    </row>
    <row r="446" spans="1:9" ht="12" customHeight="1" thickBot="1" x14ac:dyDescent="0.25">
      <c r="A446" s="1" t="s">
        <v>33</v>
      </c>
      <c r="B446" s="1" t="s">
        <v>34</v>
      </c>
      <c r="C446" s="1" t="s">
        <v>20</v>
      </c>
      <c r="D446" s="5">
        <v>45915</v>
      </c>
      <c r="E446" s="6">
        <v>287355820986</v>
      </c>
      <c r="F446" s="6">
        <v>90833839988</v>
      </c>
      <c r="G446" s="6">
        <v>196521980998</v>
      </c>
      <c r="H446" s="6">
        <v>89779203273</v>
      </c>
      <c r="I446" s="7">
        <v>197576617713</v>
      </c>
    </row>
    <row r="447" spans="1:9" ht="12" customHeight="1" thickBot="1" x14ac:dyDescent="0.25">
      <c r="A447" s="1" t="s">
        <v>33</v>
      </c>
      <c r="B447" s="1" t="s">
        <v>34</v>
      </c>
      <c r="C447" s="1" t="s">
        <v>20</v>
      </c>
      <c r="D447" s="5">
        <v>45916</v>
      </c>
      <c r="E447" s="6">
        <v>286863357941</v>
      </c>
      <c r="F447" s="6">
        <v>90795042935</v>
      </c>
      <c r="G447" s="6">
        <v>196068315006</v>
      </c>
      <c r="H447" s="6">
        <v>89778154276</v>
      </c>
      <c r="I447" s="7">
        <v>197085203665</v>
      </c>
    </row>
    <row r="448" spans="1:9" ht="12" customHeight="1" thickBot="1" x14ac:dyDescent="0.25">
      <c r="A448" s="1" t="s">
        <v>33</v>
      </c>
      <c r="B448" s="1" t="s">
        <v>34</v>
      </c>
      <c r="C448" s="1" t="s">
        <v>20</v>
      </c>
      <c r="D448" s="5">
        <v>45917</v>
      </c>
      <c r="E448" s="6">
        <v>286231559540</v>
      </c>
      <c r="F448" s="6">
        <v>90810593936</v>
      </c>
      <c r="G448" s="6">
        <v>195420965604</v>
      </c>
      <c r="H448" s="6">
        <v>89835973065</v>
      </c>
      <c r="I448" s="7">
        <v>196395586475</v>
      </c>
    </row>
    <row r="449" spans="1:9" ht="12" customHeight="1" thickBot="1" x14ac:dyDescent="0.25">
      <c r="A449" s="1" t="s">
        <v>33</v>
      </c>
      <c r="B449" s="1" t="s">
        <v>34</v>
      </c>
      <c r="C449" s="1" t="s">
        <v>20</v>
      </c>
      <c r="D449" s="5">
        <v>45918</v>
      </c>
      <c r="E449" s="6">
        <v>285891283725</v>
      </c>
      <c r="F449" s="6">
        <v>90761326065</v>
      </c>
      <c r="G449" s="6">
        <v>195129957660</v>
      </c>
      <c r="H449" s="6">
        <v>89799917954</v>
      </c>
      <c r="I449" s="7">
        <v>196091365771</v>
      </c>
    </row>
    <row r="450" spans="1:9" ht="12" customHeight="1" thickBot="1" x14ac:dyDescent="0.25">
      <c r="A450" s="1" t="s">
        <v>33</v>
      </c>
      <c r="B450" s="1" t="s">
        <v>34</v>
      </c>
      <c r="C450" s="1" t="s">
        <v>20</v>
      </c>
      <c r="D450" s="5">
        <v>45919</v>
      </c>
      <c r="E450" s="6">
        <v>285566652140</v>
      </c>
      <c r="F450" s="6">
        <v>90804084362</v>
      </c>
      <c r="G450" s="6">
        <v>194762567778</v>
      </c>
      <c r="H450" s="6">
        <v>89778836729</v>
      </c>
      <c r="I450" s="7">
        <v>195787815411</v>
      </c>
    </row>
    <row r="451" spans="1:9" ht="12" customHeight="1" thickBot="1" x14ac:dyDescent="0.25">
      <c r="A451" s="1" t="s">
        <v>33</v>
      </c>
      <c r="B451" s="1" t="s">
        <v>34</v>
      </c>
      <c r="C451" s="1" t="s">
        <v>20</v>
      </c>
      <c r="D451" s="5">
        <v>45920</v>
      </c>
      <c r="E451" s="6">
        <v>285391897237</v>
      </c>
      <c r="F451" s="6">
        <v>90798118890</v>
      </c>
      <c r="G451" s="6">
        <v>194593778347</v>
      </c>
      <c r="H451" s="6">
        <v>89834537509</v>
      </c>
      <c r="I451" s="7">
        <v>195557359728</v>
      </c>
    </row>
    <row r="452" spans="1:9" ht="12" customHeight="1" thickBot="1" x14ac:dyDescent="0.25">
      <c r="A452" s="1" t="s">
        <v>33</v>
      </c>
      <c r="B452" s="1" t="s">
        <v>34</v>
      </c>
      <c r="C452" s="1" t="s">
        <v>20</v>
      </c>
      <c r="D452" s="5">
        <v>45921</v>
      </c>
      <c r="E452" s="6">
        <v>285058957832</v>
      </c>
      <c r="F452" s="6">
        <v>90893597615</v>
      </c>
      <c r="G452" s="6">
        <v>194165360217</v>
      </c>
      <c r="H452" s="6">
        <v>89918413880</v>
      </c>
      <c r="I452" s="7">
        <v>195140543952</v>
      </c>
    </row>
    <row r="453" spans="1:9" ht="12" customHeight="1" thickBot="1" x14ac:dyDescent="0.25">
      <c r="A453" s="1" t="s">
        <v>33</v>
      </c>
      <c r="B453" s="1" t="s">
        <v>34</v>
      </c>
      <c r="C453" s="1" t="s">
        <v>20</v>
      </c>
      <c r="D453" s="5">
        <v>45922</v>
      </c>
      <c r="E453" s="6">
        <v>284891126325</v>
      </c>
      <c r="F453" s="6">
        <v>90917704302</v>
      </c>
      <c r="G453" s="6">
        <v>193973422023</v>
      </c>
      <c r="H453" s="6">
        <v>89952767889</v>
      </c>
      <c r="I453" s="7">
        <v>194938358436</v>
      </c>
    </row>
    <row r="454" spans="1:9" ht="12" customHeight="1" thickBot="1" x14ac:dyDescent="0.25">
      <c r="A454" s="1" t="s">
        <v>33</v>
      </c>
      <c r="B454" s="1" t="s">
        <v>34</v>
      </c>
      <c r="C454" s="1" t="s">
        <v>20</v>
      </c>
      <c r="D454" s="5">
        <v>45923</v>
      </c>
      <c r="E454" s="6">
        <v>284847170763</v>
      </c>
      <c r="F454" s="6">
        <v>90925182749</v>
      </c>
      <c r="G454" s="6">
        <v>193921988014</v>
      </c>
      <c r="H454" s="6">
        <v>89982633627</v>
      </c>
      <c r="I454" s="7">
        <v>194864537136</v>
      </c>
    </row>
    <row r="455" spans="1:9" ht="12" customHeight="1" thickBot="1" x14ac:dyDescent="0.25">
      <c r="A455" s="1" t="s">
        <v>33</v>
      </c>
      <c r="B455" s="1" t="s">
        <v>34</v>
      </c>
      <c r="C455" s="1" t="s">
        <v>20</v>
      </c>
      <c r="D455" s="5">
        <v>45924</v>
      </c>
      <c r="E455" s="6">
        <v>284289915158</v>
      </c>
      <c r="F455" s="6">
        <v>90909503916</v>
      </c>
      <c r="G455" s="6">
        <v>193380411242</v>
      </c>
      <c r="H455" s="6">
        <v>89970079233</v>
      </c>
      <c r="I455" s="7">
        <v>194319835925</v>
      </c>
    </row>
    <row r="456" spans="1:9" ht="12" customHeight="1" thickBot="1" x14ac:dyDescent="0.25">
      <c r="A456" s="1" t="s">
        <v>33</v>
      </c>
      <c r="B456" s="1" t="s">
        <v>34</v>
      </c>
      <c r="C456" s="1" t="s">
        <v>20</v>
      </c>
      <c r="D456" s="5">
        <v>45925</v>
      </c>
      <c r="E456" s="6">
        <v>283702504767</v>
      </c>
      <c r="F456" s="6">
        <v>90873821741</v>
      </c>
      <c r="G456" s="6">
        <v>192828683026</v>
      </c>
      <c r="H456" s="6">
        <v>89985162763</v>
      </c>
      <c r="I456" s="7">
        <v>193717342004</v>
      </c>
    </row>
    <row r="457" spans="1:9" ht="12" customHeight="1" thickBot="1" x14ac:dyDescent="0.25">
      <c r="A457" s="1" t="s">
        <v>33</v>
      </c>
      <c r="B457" s="1" t="s">
        <v>34</v>
      </c>
      <c r="C457" s="1" t="s">
        <v>20</v>
      </c>
      <c r="D457" s="5">
        <v>45926</v>
      </c>
      <c r="E457" s="6">
        <v>282893942665</v>
      </c>
      <c r="F457" s="6">
        <v>90903004659</v>
      </c>
      <c r="G457" s="6">
        <v>191990938006</v>
      </c>
      <c r="H457" s="6">
        <v>89959444300</v>
      </c>
      <c r="I457" s="7">
        <v>192934498365</v>
      </c>
    </row>
    <row r="458" spans="1:9" ht="12" customHeight="1" thickBot="1" x14ac:dyDescent="0.25">
      <c r="A458" s="1" t="s">
        <v>33</v>
      </c>
      <c r="B458" s="1" t="s">
        <v>34</v>
      </c>
      <c r="C458" s="1" t="s">
        <v>20</v>
      </c>
      <c r="D458" s="5">
        <v>45927</v>
      </c>
      <c r="E458" s="6">
        <v>282752235470</v>
      </c>
      <c r="F458" s="6">
        <v>90953904981</v>
      </c>
      <c r="G458" s="6">
        <v>191798330489</v>
      </c>
      <c r="H458" s="6">
        <v>89945277756</v>
      </c>
      <c r="I458" s="7">
        <v>192806957714</v>
      </c>
    </row>
    <row r="459" spans="1:9" ht="12" customHeight="1" thickBot="1" x14ac:dyDescent="0.25">
      <c r="A459" s="1" t="s">
        <v>33</v>
      </c>
      <c r="B459" s="1" t="s">
        <v>34</v>
      </c>
      <c r="C459" s="1" t="s">
        <v>20</v>
      </c>
      <c r="D459" s="5">
        <v>45928</v>
      </c>
      <c r="E459" s="6">
        <v>282257682989</v>
      </c>
      <c r="F459" s="6">
        <v>91007263247</v>
      </c>
      <c r="G459" s="6">
        <v>191250419742</v>
      </c>
      <c r="H459" s="6">
        <v>89990225841</v>
      </c>
      <c r="I459" s="7">
        <v>192267457148</v>
      </c>
    </row>
    <row r="460" spans="1:9" ht="12" customHeight="1" thickBot="1" x14ac:dyDescent="0.25">
      <c r="A460" s="1" t="s">
        <v>33</v>
      </c>
      <c r="B460" s="1" t="s">
        <v>34</v>
      </c>
      <c r="C460" s="1" t="s">
        <v>20</v>
      </c>
      <c r="D460" s="5">
        <v>45929</v>
      </c>
      <c r="E460" s="6">
        <v>281101821502</v>
      </c>
      <c r="F460" s="6">
        <v>91134131692</v>
      </c>
      <c r="G460" s="6">
        <v>189967689810</v>
      </c>
      <c r="H460" s="6">
        <v>90013423381</v>
      </c>
      <c r="I460" s="7">
        <v>191088398121</v>
      </c>
    </row>
    <row r="461" spans="1:9" ht="12" customHeight="1" thickBot="1" x14ac:dyDescent="0.25">
      <c r="A461" s="1" t="s">
        <v>33</v>
      </c>
      <c r="B461" s="1" t="s">
        <v>34</v>
      </c>
      <c r="C461" s="1" t="s">
        <v>20</v>
      </c>
      <c r="D461" s="5">
        <v>45930</v>
      </c>
      <c r="E461" s="6">
        <v>277132402651</v>
      </c>
      <c r="F461" s="6">
        <v>91111818258</v>
      </c>
      <c r="G461" s="6">
        <v>186020584393</v>
      </c>
      <c r="H461" s="6">
        <v>89980325668</v>
      </c>
      <c r="I461" s="7">
        <v>187152076983</v>
      </c>
    </row>
    <row r="462" spans="1:9" ht="12" customHeight="1" thickBot="1" x14ac:dyDescent="0.25">
      <c r="A462" s="1" t="s">
        <v>35</v>
      </c>
      <c r="B462" s="1" t="s">
        <v>34</v>
      </c>
      <c r="C462" s="1" t="s">
        <v>20</v>
      </c>
      <c r="D462" s="5">
        <v>45839</v>
      </c>
      <c r="E462" s="6">
        <v>0</v>
      </c>
      <c r="F462" s="6">
        <v>0</v>
      </c>
      <c r="G462" s="6">
        <v>0</v>
      </c>
      <c r="H462" s="6">
        <v>0</v>
      </c>
      <c r="I462" s="7">
        <v>0</v>
      </c>
    </row>
    <row r="463" spans="1:9" ht="12" customHeight="1" thickBot="1" x14ac:dyDescent="0.25">
      <c r="A463" s="1" t="s">
        <v>35</v>
      </c>
      <c r="B463" s="1" t="s">
        <v>34</v>
      </c>
      <c r="C463" s="1" t="s">
        <v>20</v>
      </c>
      <c r="D463" s="5">
        <v>45840</v>
      </c>
      <c r="E463" s="6">
        <v>0</v>
      </c>
      <c r="F463" s="6">
        <v>0</v>
      </c>
      <c r="G463" s="6">
        <v>0</v>
      </c>
      <c r="H463" s="6">
        <v>0</v>
      </c>
      <c r="I463" s="7">
        <v>0</v>
      </c>
    </row>
    <row r="464" spans="1:9" ht="12" customHeight="1" thickBot="1" x14ac:dyDescent="0.25">
      <c r="A464" s="1" t="s">
        <v>35</v>
      </c>
      <c r="B464" s="1" t="s">
        <v>34</v>
      </c>
      <c r="C464" s="1" t="s">
        <v>20</v>
      </c>
      <c r="D464" s="5">
        <v>45841</v>
      </c>
      <c r="E464" s="6">
        <v>0</v>
      </c>
      <c r="F464" s="6">
        <v>0</v>
      </c>
      <c r="G464" s="6">
        <v>0</v>
      </c>
      <c r="H464" s="6">
        <v>0</v>
      </c>
      <c r="I464" s="7">
        <v>0</v>
      </c>
    </row>
    <row r="465" spans="1:9" ht="12" customHeight="1" thickBot="1" x14ac:dyDescent="0.25">
      <c r="A465" s="1" t="s">
        <v>35</v>
      </c>
      <c r="B465" s="1" t="s">
        <v>34</v>
      </c>
      <c r="C465" s="1" t="s">
        <v>20</v>
      </c>
      <c r="D465" s="5">
        <v>45842</v>
      </c>
      <c r="E465" s="6">
        <v>0</v>
      </c>
      <c r="F465" s="6">
        <v>0</v>
      </c>
      <c r="G465" s="6">
        <v>0</v>
      </c>
      <c r="H465" s="6">
        <v>0</v>
      </c>
      <c r="I465" s="7">
        <v>0</v>
      </c>
    </row>
    <row r="466" spans="1:9" ht="12" customHeight="1" thickBot="1" x14ac:dyDescent="0.25">
      <c r="A466" s="1" t="s">
        <v>35</v>
      </c>
      <c r="B466" s="1" t="s">
        <v>34</v>
      </c>
      <c r="C466" s="1" t="s">
        <v>20</v>
      </c>
      <c r="D466" s="5">
        <v>45843</v>
      </c>
      <c r="E466" s="6">
        <v>0</v>
      </c>
      <c r="F466" s="6">
        <v>0</v>
      </c>
      <c r="G466" s="6">
        <v>0</v>
      </c>
      <c r="H466" s="6">
        <v>0</v>
      </c>
      <c r="I466" s="7">
        <v>0</v>
      </c>
    </row>
    <row r="467" spans="1:9" ht="12" customHeight="1" thickBot="1" x14ac:dyDescent="0.25">
      <c r="A467" s="1" t="s">
        <v>35</v>
      </c>
      <c r="B467" s="1" t="s">
        <v>34</v>
      </c>
      <c r="C467" s="1" t="s">
        <v>20</v>
      </c>
      <c r="D467" s="5">
        <v>45844</v>
      </c>
      <c r="E467" s="6">
        <v>0</v>
      </c>
      <c r="F467" s="6">
        <v>0</v>
      </c>
      <c r="G467" s="6">
        <v>0</v>
      </c>
      <c r="H467" s="6">
        <v>0</v>
      </c>
      <c r="I467" s="7">
        <v>0</v>
      </c>
    </row>
    <row r="468" spans="1:9" ht="12" customHeight="1" thickBot="1" x14ac:dyDescent="0.25">
      <c r="A468" s="1" t="s">
        <v>35</v>
      </c>
      <c r="B468" s="1" t="s">
        <v>34</v>
      </c>
      <c r="C468" s="1" t="s">
        <v>20</v>
      </c>
      <c r="D468" s="5">
        <v>45845</v>
      </c>
      <c r="E468" s="6">
        <v>0</v>
      </c>
      <c r="F468" s="6">
        <v>0</v>
      </c>
      <c r="G468" s="6">
        <v>0</v>
      </c>
      <c r="H468" s="6">
        <v>0</v>
      </c>
      <c r="I468" s="7">
        <v>0</v>
      </c>
    </row>
    <row r="469" spans="1:9" ht="12" customHeight="1" thickBot="1" x14ac:dyDescent="0.25">
      <c r="A469" s="1" t="s">
        <v>35</v>
      </c>
      <c r="B469" s="1" t="s">
        <v>34</v>
      </c>
      <c r="C469" s="1" t="s">
        <v>20</v>
      </c>
      <c r="D469" s="5">
        <v>45846</v>
      </c>
      <c r="E469" s="6">
        <v>0</v>
      </c>
      <c r="F469" s="6">
        <v>0</v>
      </c>
      <c r="G469" s="6">
        <v>0</v>
      </c>
      <c r="H469" s="6">
        <v>0</v>
      </c>
      <c r="I469" s="7">
        <v>0</v>
      </c>
    </row>
    <row r="470" spans="1:9" ht="12" customHeight="1" thickBot="1" x14ac:dyDescent="0.25">
      <c r="A470" s="1" t="s">
        <v>35</v>
      </c>
      <c r="B470" s="1" t="s">
        <v>34</v>
      </c>
      <c r="C470" s="1" t="s">
        <v>20</v>
      </c>
      <c r="D470" s="5">
        <v>45847</v>
      </c>
      <c r="E470" s="6">
        <v>0</v>
      </c>
      <c r="F470" s="6">
        <v>0</v>
      </c>
      <c r="G470" s="6">
        <v>0</v>
      </c>
      <c r="H470" s="6">
        <v>0</v>
      </c>
      <c r="I470" s="7">
        <v>0</v>
      </c>
    </row>
    <row r="471" spans="1:9" ht="12" customHeight="1" thickBot="1" x14ac:dyDescent="0.25">
      <c r="A471" s="1" t="s">
        <v>35</v>
      </c>
      <c r="B471" s="1" t="s">
        <v>34</v>
      </c>
      <c r="C471" s="1" t="s">
        <v>20</v>
      </c>
      <c r="D471" s="5">
        <v>45848</v>
      </c>
      <c r="E471" s="6">
        <v>0</v>
      </c>
      <c r="F471" s="6">
        <v>0</v>
      </c>
      <c r="G471" s="6">
        <v>0</v>
      </c>
      <c r="H471" s="6">
        <v>0</v>
      </c>
      <c r="I471" s="7">
        <v>0</v>
      </c>
    </row>
    <row r="472" spans="1:9" ht="12" customHeight="1" thickBot="1" x14ac:dyDescent="0.25">
      <c r="A472" s="1" t="s">
        <v>35</v>
      </c>
      <c r="B472" s="1" t="s">
        <v>34</v>
      </c>
      <c r="C472" s="1" t="s">
        <v>20</v>
      </c>
      <c r="D472" s="5">
        <v>45849</v>
      </c>
      <c r="E472" s="6">
        <v>0</v>
      </c>
      <c r="F472" s="6">
        <v>0</v>
      </c>
      <c r="G472" s="6">
        <v>0</v>
      </c>
      <c r="H472" s="6">
        <v>0</v>
      </c>
      <c r="I472" s="7">
        <v>0</v>
      </c>
    </row>
    <row r="473" spans="1:9" ht="12" customHeight="1" thickBot="1" x14ac:dyDescent="0.25">
      <c r="A473" s="1" t="s">
        <v>35</v>
      </c>
      <c r="B473" s="1" t="s">
        <v>34</v>
      </c>
      <c r="C473" s="1" t="s">
        <v>20</v>
      </c>
      <c r="D473" s="5">
        <v>45850</v>
      </c>
      <c r="E473" s="6">
        <v>0</v>
      </c>
      <c r="F473" s="6">
        <v>0</v>
      </c>
      <c r="G473" s="6">
        <v>0</v>
      </c>
      <c r="H473" s="6">
        <v>0</v>
      </c>
      <c r="I473" s="7">
        <v>0</v>
      </c>
    </row>
    <row r="474" spans="1:9" ht="12" customHeight="1" thickBot="1" x14ac:dyDescent="0.25">
      <c r="A474" s="1" t="s">
        <v>35</v>
      </c>
      <c r="B474" s="1" t="s">
        <v>34</v>
      </c>
      <c r="C474" s="1" t="s">
        <v>20</v>
      </c>
      <c r="D474" s="5">
        <v>45851</v>
      </c>
      <c r="E474" s="6">
        <v>0</v>
      </c>
      <c r="F474" s="6">
        <v>0</v>
      </c>
      <c r="G474" s="6">
        <v>0</v>
      </c>
      <c r="H474" s="6">
        <v>0</v>
      </c>
      <c r="I474" s="7">
        <v>0</v>
      </c>
    </row>
    <row r="475" spans="1:9" ht="12" customHeight="1" thickBot="1" x14ac:dyDescent="0.25">
      <c r="A475" s="1" t="s">
        <v>35</v>
      </c>
      <c r="B475" s="1" t="s">
        <v>34</v>
      </c>
      <c r="C475" s="1" t="s">
        <v>20</v>
      </c>
      <c r="D475" s="5">
        <v>45852</v>
      </c>
      <c r="E475" s="6">
        <v>0</v>
      </c>
      <c r="F475" s="6">
        <v>0</v>
      </c>
      <c r="G475" s="6">
        <v>0</v>
      </c>
      <c r="H475" s="6">
        <v>0</v>
      </c>
      <c r="I475" s="7">
        <v>0</v>
      </c>
    </row>
    <row r="476" spans="1:9" ht="12" customHeight="1" thickBot="1" x14ac:dyDescent="0.25">
      <c r="A476" s="1" t="s">
        <v>35</v>
      </c>
      <c r="B476" s="1" t="s">
        <v>34</v>
      </c>
      <c r="C476" s="1" t="s">
        <v>20</v>
      </c>
      <c r="D476" s="5">
        <v>45853</v>
      </c>
      <c r="E476" s="6">
        <v>0</v>
      </c>
      <c r="F476" s="6">
        <v>0</v>
      </c>
      <c r="G476" s="6">
        <v>0</v>
      </c>
      <c r="H476" s="6">
        <v>0</v>
      </c>
      <c r="I476" s="7">
        <v>0</v>
      </c>
    </row>
    <row r="477" spans="1:9" ht="12" customHeight="1" thickBot="1" x14ac:dyDescent="0.25">
      <c r="A477" s="1" t="s">
        <v>35</v>
      </c>
      <c r="B477" s="1" t="s">
        <v>34</v>
      </c>
      <c r="C477" s="1" t="s">
        <v>20</v>
      </c>
      <c r="D477" s="5">
        <v>45854</v>
      </c>
      <c r="E477" s="6">
        <v>0</v>
      </c>
      <c r="F477" s="6">
        <v>0</v>
      </c>
      <c r="G477" s="6">
        <v>0</v>
      </c>
      <c r="H477" s="6">
        <v>0</v>
      </c>
      <c r="I477" s="7">
        <v>0</v>
      </c>
    </row>
    <row r="478" spans="1:9" ht="12" customHeight="1" thickBot="1" x14ac:dyDescent="0.25">
      <c r="A478" s="1" t="s">
        <v>35</v>
      </c>
      <c r="B478" s="1" t="s">
        <v>34</v>
      </c>
      <c r="C478" s="1" t="s">
        <v>20</v>
      </c>
      <c r="D478" s="5">
        <v>45855</v>
      </c>
      <c r="E478" s="6">
        <v>0</v>
      </c>
      <c r="F478" s="6">
        <v>0</v>
      </c>
      <c r="G478" s="6">
        <v>0</v>
      </c>
      <c r="H478" s="6">
        <v>0</v>
      </c>
      <c r="I478" s="7">
        <v>0</v>
      </c>
    </row>
    <row r="479" spans="1:9" ht="12" customHeight="1" thickBot="1" x14ac:dyDescent="0.25">
      <c r="A479" s="1" t="s">
        <v>35</v>
      </c>
      <c r="B479" s="1" t="s">
        <v>34</v>
      </c>
      <c r="C479" s="1" t="s">
        <v>20</v>
      </c>
      <c r="D479" s="5">
        <v>45856</v>
      </c>
      <c r="E479" s="6">
        <v>0</v>
      </c>
      <c r="F479" s="6">
        <v>0</v>
      </c>
      <c r="G479" s="6">
        <v>0</v>
      </c>
      <c r="H479" s="6">
        <v>0</v>
      </c>
      <c r="I479" s="7">
        <v>0</v>
      </c>
    </row>
    <row r="480" spans="1:9" ht="12" customHeight="1" thickBot="1" x14ac:dyDescent="0.25">
      <c r="A480" s="1" t="s">
        <v>35</v>
      </c>
      <c r="B480" s="1" t="s">
        <v>34</v>
      </c>
      <c r="C480" s="1" t="s">
        <v>20</v>
      </c>
      <c r="D480" s="5">
        <v>45857</v>
      </c>
      <c r="E480" s="6">
        <v>0</v>
      </c>
      <c r="F480" s="6">
        <v>0</v>
      </c>
      <c r="G480" s="6">
        <v>0</v>
      </c>
      <c r="H480" s="6">
        <v>0</v>
      </c>
      <c r="I480" s="7">
        <v>0</v>
      </c>
    </row>
    <row r="481" spans="1:9" ht="12" customHeight="1" thickBot="1" x14ac:dyDescent="0.25">
      <c r="A481" s="1" t="s">
        <v>35</v>
      </c>
      <c r="B481" s="1" t="s">
        <v>34</v>
      </c>
      <c r="C481" s="1" t="s">
        <v>20</v>
      </c>
      <c r="D481" s="5">
        <v>45858</v>
      </c>
      <c r="E481" s="6">
        <v>0</v>
      </c>
      <c r="F481" s="6">
        <v>0</v>
      </c>
      <c r="G481" s="6">
        <v>0</v>
      </c>
      <c r="H481" s="6">
        <v>0</v>
      </c>
      <c r="I481" s="7">
        <v>0</v>
      </c>
    </row>
    <row r="482" spans="1:9" ht="12" customHeight="1" thickBot="1" x14ac:dyDescent="0.25">
      <c r="A482" s="1" t="s">
        <v>35</v>
      </c>
      <c r="B482" s="1" t="s">
        <v>34</v>
      </c>
      <c r="C482" s="1" t="s">
        <v>20</v>
      </c>
      <c r="D482" s="5">
        <v>45859</v>
      </c>
      <c r="E482" s="6">
        <v>0</v>
      </c>
      <c r="F482" s="6">
        <v>0</v>
      </c>
      <c r="G482" s="6">
        <v>0</v>
      </c>
      <c r="H482" s="6">
        <v>0</v>
      </c>
      <c r="I482" s="7">
        <v>0</v>
      </c>
    </row>
    <row r="483" spans="1:9" ht="12" customHeight="1" thickBot="1" x14ac:dyDescent="0.25">
      <c r="A483" s="1" t="s">
        <v>35</v>
      </c>
      <c r="B483" s="1" t="s">
        <v>34</v>
      </c>
      <c r="C483" s="1" t="s">
        <v>20</v>
      </c>
      <c r="D483" s="5">
        <v>45860</v>
      </c>
      <c r="E483" s="6">
        <v>0</v>
      </c>
      <c r="F483" s="6">
        <v>0</v>
      </c>
      <c r="G483" s="6">
        <v>0</v>
      </c>
      <c r="H483" s="6">
        <v>0</v>
      </c>
      <c r="I483" s="7">
        <v>0</v>
      </c>
    </row>
    <row r="484" spans="1:9" ht="12" customHeight="1" thickBot="1" x14ac:dyDescent="0.25">
      <c r="A484" s="1" t="s">
        <v>35</v>
      </c>
      <c r="B484" s="1" t="s">
        <v>34</v>
      </c>
      <c r="C484" s="1" t="s">
        <v>20</v>
      </c>
      <c r="D484" s="5">
        <v>45861</v>
      </c>
      <c r="E484" s="6">
        <v>0</v>
      </c>
      <c r="F484" s="6">
        <v>0</v>
      </c>
      <c r="G484" s="6">
        <v>0</v>
      </c>
      <c r="H484" s="6">
        <v>0</v>
      </c>
      <c r="I484" s="7">
        <v>0</v>
      </c>
    </row>
    <row r="485" spans="1:9" ht="12" customHeight="1" thickBot="1" x14ac:dyDescent="0.25">
      <c r="A485" s="1" t="s">
        <v>35</v>
      </c>
      <c r="B485" s="1" t="s">
        <v>34</v>
      </c>
      <c r="C485" s="1" t="s">
        <v>20</v>
      </c>
      <c r="D485" s="5">
        <v>45862</v>
      </c>
      <c r="E485" s="6">
        <v>0</v>
      </c>
      <c r="F485" s="6">
        <v>0</v>
      </c>
      <c r="G485" s="6">
        <v>0</v>
      </c>
      <c r="H485" s="6">
        <v>0</v>
      </c>
      <c r="I485" s="7">
        <v>0</v>
      </c>
    </row>
    <row r="486" spans="1:9" ht="12" customHeight="1" thickBot="1" x14ac:dyDescent="0.25">
      <c r="A486" s="1" t="s">
        <v>35</v>
      </c>
      <c r="B486" s="1" t="s">
        <v>34</v>
      </c>
      <c r="C486" s="1" t="s">
        <v>20</v>
      </c>
      <c r="D486" s="5">
        <v>45863</v>
      </c>
      <c r="E486" s="6">
        <v>0</v>
      </c>
      <c r="F486" s="6">
        <v>0</v>
      </c>
      <c r="G486" s="6">
        <v>0</v>
      </c>
      <c r="H486" s="6">
        <v>0</v>
      </c>
      <c r="I486" s="7">
        <v>0</v>
      </c>
    </row>
    <row r="487" spans="1:9" ht="12" customHeight="1" thickBot="1" x14ac:dyDescent="0.25">
      <c r="A487" s="1" t="s">
        <v>35</v>
      </c>
      <c r="B487" s="1" t="s">
        <v>34</v>
      </c>
      <c r="C487" s="1" t="s">
        <v>20</v>
      </c>
      <c r="D487" s="5">
        <v>45864</v>
      </c>
      <c r="E487" s="6">
        <v>0</v>
      </c>
      <c r="F487" s="6">
        <v>0</v>
      </c>
      <c r="G487" s="6">
        <v>0</v>
      </c>
      <c r="H487" s="6">
        <v>0</v>
      </c>
      <c r="I487" s="7">
        <v>0</v>
      </c>
    </row>
    <row r="488" spans="1:9" ht="12" customHeight="1" thickBot="1" x14ac:dyDescent="0.25">
      <c r="A488" s="1" t="s">
        <v>35</v>
      </c>
      <c r="B488" s="1" t="s">
        <v>34</v>
      </c>
      <c r="C488" s="1" t="s">
        <v>20</v>
      </c>
      <c r="D488" s="5">
        <v>45865</v>
      </c>
      <c r="E488" s="6">
        <v>0</v>
      </c>
      <c r="F488" s="6">
        <v>0</v>
      </c>
      <c r="G488" s="6">
        <v>0</v>
      </c>
      <c r="H488" s="6">
        <v>0</v>
      </c>
      <c r="I488" s="7">
        <v>0</v>
      </c>
    </row>
    <row r="489" spans="1:9" ht="12" customHeight="1" thickBot="1" x14ac:dyDescent="0.25">
      <c r="A489" s="1" t="s">
        <v>35</v>
      </c>
      <c r="B489" s="1" t="s">
        <v>34</v>
      </c>
      <c r="C489" s="1" t="s">
        <v>20</v>
      </c>
      <c r="D489" s="5">
        <v>45866</v>
      </c>
      <c r="E489" s="6">
        <v>0</v>
      </c>
      <c r="F489" s="6">
        <v>0</v>
      </c>
      <c r="G489" s="6">
        <v>0</v>
      </c>
      <c r="H489" s="6">
        <v>0</v>
      </c>
      <c r="I489" s="7">
        <v>0</v>
      </c>
    </row>
    <row r="490" spans="1:9" ht="12" customHeight="1" thickBot="1" x14ac:dyDescent="0.25">
      <c r="A490" s="1" t="s">
        <v>35</v>
      </c>
      <c r="B490" s="1" t="s">
        <v>34</v>
      </c>
      <c r="C490" s="1" t="s">
        <v>20</v>
      </c>
      <c r="D490" s="5">
        <v>45867</v>
      </c>
      <c r="E490" s="6">
        <v>0</v>
      </c>
      <c r="F490" s="6">
        <v>0</v>
      </c>
      <c r="G490" s="6">
        <v>0</v>
      </c>
      <c r="H490" s="6">
        <v>0</v>
      </c>
      <c r="I490" s="7">
        <v>0</v>
      </c>
    </row>
    <row r="491" spans="1:9" ht="12" customHeight="1" thickBot="1" x14ac:dyDescent="0.25">
      <c r="A491" s="1" t="s">
        <v>35</v>
      </c>
      <c r="B491" s="1" t="s">
        <v>34</v>
      </c>
      <c r="C491" s="1" t="s">
        <v>20</v>
      </c>
      <c r="D491" s="5">
        <v>45868</v>
      </c>
      <c r="E491" s="6">
        <v>0</v>
      </c>
      <c r="F491" s="6">
        <v>0</v>
      </c>
      <c r="G491" s="6">
        <v>0</v>
      </c>
      <c r="H491" s="6">
        <v>0</v>
      </c>
      <c r="I491" s="7">
        <v>0</v>
      </c>
    </row>
    <row r="492" spans="1:9" ht="12" customHeight="1" thickBot="1" x14ac:dyDescent="0.25">
      <c r="A492" s="1" t="s">
        <v>35</v>
      </c>
      <c r="B492" s="1" t="s">
        <v>34</v>
      </c>
      <c r="C492" s="1" t="s">
        <v>20</v>
      </c>
      <c r="D492" s="5">
        <v>45869</v>
      </c>
      <c r="E492" s="6">
        <v>0</v>
      </c>
      <c r="F492" s="6">
        <v>0</v>
      </c>
      <c r="G492" s="6">
        <v>0</v>
      </c>
      <c r="H492" s="6">
        <v>0</v>
      </c>
      <c r="I492" s="7">
        <v>0</v>
      </c>
    </row>
    <row r="493" spans="1:9" ht="12" customHeight="1" thickBot="1" x14ac:dyDescent="0.25">
      <c r="A493" s="1" t="s">
        <v>35</v>
      </c>
      <c r="B493" s="1" t="s">
        <v>34</v>
      </c>
      <c r="C493" s="1" t="s">
        <v>20</v>
      </c>
      <c r="D493" s="5">
        <v>45870</v>
      </c>
      <c r="E493" s="6">
        <v>0</v>
      </c>
      <c r="F493" s="6">
        <v>0</v>
      </c>
      <c r="G493" s="6">
        <v>0</v>
      </c>
      <c r="H493" s="6">
        <v>0</v>
      </c>
      <c r="I493" s="7">
        <v>0</v>
      </c>
    </row>
    <row r="494" spans="1:9" ht="12" customHeight="1" thickBot="1" x14ac:dyDescent="0.25">
      <c r="A494" s="1" t="s">
        <v>35</v>
      </c>
      <c r="B494" s="1" t="s">
        <v>34</v>
      </c>
      <c r="C494" s="1" t="s">
        <v>20</v>
      </c>
      <c r="D494" s="5">
        <v>45871</v>
      </c>
      <c r="E494" s="6">
        <v>0</v>
      </c>
      <c r="F494" s="6">
        <v>0</v>
      </c>
      <c r="G494" s="6">
        <v>0</v>
      </c>
      <c r="H494" s="6">
        <v>0</v>
      </c>
      <c r="I494" s="7">
        <v>0</v>
      </c>
    </row>
    <row r="495" spans="1:9" ht="12" customHeight="1" thickBot="1" x14ac:dyDescent="0.25">
      <c r="A495" s="1" t="s">
        <v>35</v>
      </c>
      <c r="B495" s="1" t="s">
        <v>34</v>
      </c>
      <c r="C495" s="1" t="s">
        <v>20</v>
      </c>
      <c r="D495" s="5">
        <v>45872</v>
      </c>
      <c r="E495" s="6">
        <v>0</v>
      </c>
      <c r="F495" s="6">
        <v>0</v>
      </c>
      <c r="G495" s="6">
        <v>0</v>
      </c>
      <c r="H495" s="6">
        <v>0</v>
      </c>
      <c r="I495" s="7">
        <v>0</v>
      </c>
    </row>
    <row r="496" spans="1:9" ht="12" customHeight="1" thickBot="1" x14ac:dyDescent="0.25">
      <c r="A496" s="1" t="s">
        <v>35</v>
      </c>
      <c r="B496" s="1" t="s">
        <v>34</v>
      </c>
      <c r="C496" s="1" t="s">
        <v>20</v>
      </c>
      <c r="D496" s="5">
        <v>45873</v>
      </c>
      <c r="E496" s="6">
        <v>0</v>
      </c>
      <c r="F496" s="6">
        <v>0</v>
      </c>
      <c r="G496" s="6">
        <v>0</v>
      </c>
      <c r="H496" s="6">
        <v>0</v>
      </c>
      <c r="I496" s="7">
        <v>0</v>
      </c>
    </row>
    <row r="497" spans="1:9" ht="12" customHeight="1" thickBot="1" x14ac:dyDescent="0.25">
      <c r="A497" s="1" t="s">
        <v>35</v>
      </c>
      <c r="B497" s="1" t="s">
        <v>34</v>
      </c>
      <c r="C497" s="1" t="s">
        <v>20</v>
      </c>
      <c r="D497" s="5">
        <v>45874</v>
      </c>
      <c r="E497" s="6">
        <v>0</v>
      </c>
      <c r="F497" s="6">
        <v>0</v>
      </c>
      <c r="G497" s="6">
        <v>0</v>
      </c>
      <c r="H497" s="6">
        <v>0</v>
      </c>
      <c r="I497" s="7">
        <v>0</v>
      </c>
    </row>
    <row r="498" spans="1:9" ht="12" customHeight="1" thickBot="1" x14ac:dyDescent="0.25">
      <c r="A498" s="1" t="s">
        <v>35</v>
      </c>
      <c r="B498" s="1" t="s">
        <v>34</v>
      </c>
      <c r="C498" s="1" t="s">
        <v>20</v>
      </c>
      <c r="D498" s="5">
        <v>45875</v>
      </c>
      <c r="E498" s="6">
        <v>0</v>
      </c>
      <c r="F498" s="6">
        <v>0</v>
      </c>
      <c r="G498" s="6">
        <v>0</v>
      </c>
      <c r="H498" s="6">
        <v>0</v>
      </c>
      <c r="I498" s="7">
        <v>0</v>
      </c>
    </row>
    <row r="499" spans="1:9" ht="12" customHeight="1" thickBot="1" x14ac:dyDescent="0.25">
      <c r="A499" s="1" t="s">
        <v>35</v>
      </c>
      <c r="B499" s="1" t="s">
        <v>34</v>
      </c>
      <c r="C499" s="1" t="s">
        <v>20</v>
      </c>
      <c r="D499" s="5">
        <v>45876</v>
      </c>
      <c r="E499" s="6">
        <v>0</v>
      </c>
      <c r="F499" s="6">
        <v>0</v>
      </c>
      <c r="G499" s="6">
        <v>0</v>
      </c>
      <c r="H499" s="6">
        <v>0</v>
      </c>
      <c r="I499" s="7">
        <v>0</v>
      </c>
    </row>
    <row r="500" spans="1:9" ht="12" customHeight="1" thickBot="1" x14ac:dyDescent="0.25">
      <c r="A500" s="1" t="s">
        <v>35</v>
      </c>
      <c r="B500" s="1" t="s">
        <v>34</v>
      </c>
      <c r="C500" s="1" t="s">
        <v>20</v>
      </c>
      <c r="D500" s="5">
        <v>45877</v>
      </c>
      <c r="E500" s="6">
        <v>0</v>
      </c>
      <c r="F500" s="6">
        <v>0</v>
      </c>
      <c r="G500" s="6">
        <v>0</v>
      </c>
      <c r="H500" s="6">
        <v>0</v>
      </c>
      <c r="I500" s="7">
        <v>0</v>
      </c>
    </row>
    <row r="501" spans="1:9" ht="12" customHeight="1" thickBot="1" x14ac:dyDescent="0.25">
      <c r="A501" s="1" t="s">
        <v>35</v>
      </c>
      <c r="B501" s="1" t="s">
        <v>34</v>
      </c>
      <c r="C501" s="1" t="s">
        <v>20</v>
      </c>
      <c r="D501" s="5">
        <v>45878</v>
      </c>
      <c r="E501" s="6">
        <v>0</v>
      </c>
      <c r="F501" s="6">
        <v>0</v>
      </c>
      <c r="G501" s="6">
        <v>0</v>
      </c>
      <c r="H501" s="6">
        <v>0</v>
      </c>
      <c r="I501" s="7">
        <v>0</v>
      </c>
    </row>
    <row r="502" spans="1:9" ht="12" customHeight="1" thickBot="1" x14ac:dyDescent="0.25">
      <c r="A502" s="1" t="s">
        <v>35</v>
      </c>
      <c r="B502" s="1" t="s">
        <v>34</v>
      </c>
      <c r="C502" s="1" t="s">
        <v>20</v>
      </c>
      <c r="D502" s="5">
        <v>45879</v>
      </c>
      <c r="E502" s="6">
        <v>0</v>
      </c>
      <c r="F502" s="6">
        <v>0</v>
      </c>
      <c r="G502" s="6">
        <v>0</v>
      </c>
      <c r="H502" s="6">
        <v>0</v>
      </c>
      <c r="I502" s="7">
        <v>0</v>
      </c>
    </row>
    <row r="503" spans="1:9" ht="12" customHeight="1" thickBot="1" x14ac:dyDescent="0.25">
      <c r="A503" s="1" t="s">
        <v>35</v>
      </c>
      <c r="B503" s="1" t="s">
        <v>34</v>
      </c>
      <c r="C503" s="1" t="s">
        <v>20</v>
      </c>
      <c r="D503" s="5">
        <v>45880</v>
      </c>
      <c r="E503" s="6">
        <v>0</v>
      </c>
      <c r="F503" s="6">
        <v>0</v>
      </c>
      <c r="G503" s="6">
        <v>0</v>
      </c>
      <c r="H503" s="6">
        <v>0</v>
      </c>
      <c r="I503" s="7">
        <v>0</v>
      </c>
    </row>
    <row r="504" spans="1:9" ht="12" customHeight="1" thickBot="1" x14ac:dyDescent="0.25">
      <c r="A504" s="1" t="s">
        <v>35</v>
      </c>
      <c r="B504" s="1" t="s">
        <v>34</v>
      </c>
      <c r="C504" s="1" t="s">
        <v>20</v>
      </c>
      <c r="D504" s="5">
        <v>45881</v>
      </c>
      <c r="E504" s="6">
        <v>0</v>
      </c>
      <c r="F504" s="6">
        <v>0</v>
      </c>
      <c r="G504" s="6">
        <v>0</v>
      </c>
      <c r="H504" s="6">
        <v>0</v>
      </c>
      <c r="I504" s="7">
        <v>0</v>
      </c>
    </row>
    <row r="505" spans="1:9" ht="12" customHeight="1" thickBot="1" x14ac:dyDescent="0.25">
      <c r="A505" s="1" t="s">
        <v>35</v>
      </c>
      <c r="B505" s="1" t="s">
        <v>34</v>
      </c>
      <c r="C505" s="1" t="s">
        <v>20</v>
      </c>
      <c r="D505" s="5">
        <v>45882</v>
      </c>
      <c r="E505" s="6">
        <v>0</v>
      </c>
      <c r="F505" s="6">
        <v>0</v>
      </c>
      <c r="G505" s="6">
        <v>0</v>
      </c>
      <c r="H505" s="6">
        <v>0</v>
      </c>
      <c r="I505" s="7">
        <v>0</v>
      </c>
    </row>
    <row r="506" spans="1:9" ht="12" customHeight="1" thickBot="1" x14ac:dyDescent="0.25">
      <c r="A506" s="1" t="s">
        <v>35</v>
      </c>
      <c r="B506" s="1" t="s">
        <v>34</v>
      </c>
      <c r="C506" s="1" t="s">
        <v>20</v>
      </c>
      <c r="D506" s="5">
        <v>45883</v>
      </c>
      <c r="E506" s="6">
        <v>0</v>
      </c>
      <c r="F506" s="6">
        <v>0</v>
      </c>
      <c r="G506" s="6">
        <v>0</v>
      </c>
      <c r="H506" s="6">
        <v>0</v>
      </c>
      <c r="I506" s="7">
        <v>0</v>
      </c>
    </row>
    <row r="507" spans="1:9" ht="12" customHeight="1" thickBot="1" x14ac:dyDescent="0.25">
      <c r="A507" s="1" t="s">
        <v>35</v>
      </c>
      <c r="B507" s="1" t="s">
        <v>34</v>
      </c>
      <c r="C507" s="1" t="s">
        <v>20</v>
      </c>
      <c r="D507" s="5">
        <v>45884</v>
      </c>
      <c r="E507" s="6">
        <v>0</v>
      </c>
      <c r="F507" s="6">
        <v>0</v>
      </c>
      <c r="G507" s="6">
        <v>0</v>
      </c>
      <c r="H507" s="6">
        <v>0</v>
      </c>
      <c r="I507" s="7">
        <v>0</v>
      </c>
    </row>
    <row r="508" spans="1:9" ht="12" customHeight="1" thickBot="1" x14ac:dyDescent="0.25">
      <c r="A508" s="1" t="s">
        <v>35</v>
      </c>
      <c r="B508" s="1" t="s">
        <v>34</v>
      </c>
      <c r="C508" s="1" t="s">
        <v>20</v>
      </c>
      <c r="D508" s="5">
        <v>45885</v>
      </c>
      <c r="E508" s="6">
        <v>0</v>
      </c>
      <c r="F508" s="6">
        <v>0</v>
      </c>
      <c r="G508" s="6">
        <v>0</v>
      </c>
      <c r="H508" s="6">
        <v>0</v>
      </c>
      <c r="I508" s="7">
        <v>0</v>
      </c>
    </row>
    <row r="509" spans="1:9" ht="12" customHeight="1" thickBot="1" x14ac:dyDescent="0.25">
      <c r="A509" s="1" t="s">
        <v>35</v>
      </c>
      <c r="B509" s="1" t="s">
        <v>34</v>
      </c>
      <c r="C509" s="1" t="s">
        <v>20</v>
      </c>
      <c r="D509" s="5">
        <v>45886</v>
      </c>
      <c r="E509" s="6">
        <v>0</v>
      </c>
      <c r="F509" s="6">
        <v>0</v>
      </c>
      <c r="G509" s="6">
        <v>0</v>
      </c>
      <c r="H509" s="6">
        <v>0</v>
      </c>
      <c r="I509" s="7">
        <v>0</v>
      </c>
    </row>
    <row r="510" spans="1:9" ht="12" customHeight="1" thickBot="1" x14ac:dyDescent="0.25">
      <c r="A510" s="1" t="s">
        <v>35</v>
      </c>
      <c r="B510" s="1" t="s">
        <v>34</v>
      </c>
      <c r="C510" s="1" t="s">
        <v>20</v>
      </c>
      <c r="D510" s="5">
        <v>45887</v>
      </c>
      <c r="E510" s="6">
        <v>0</v>
      </c>
      <c r="F510" s="6">
        <v>0</v>
      </c>
      <c r="G510" s="6">
        <v>0</v>
      </c>
      <c r="H510" s="6">
        <v>0</v>
      </c>
      <c r="I510" s="7">
        <v>0</v>
      </c>
    </row>
    <row r="511" spans="1:9" ht="12" customHeight="1" thickBot="1" x14ac:dyDescent="0.25">
      <c r="A511" s="1" t="s">
        <v>35</v>
      </c>
      <c r="B511" s="1" t="s">
        <v>34</v>
      </c>
      <c r="C511" s="1" t="s">
        <v>20</v>
      </c>
      <c r="D511" s="5">
        <v>45888</v>
      </c>
      <c r="E511" s="6">
        <v>0</v>
      </c>
      <c r="F511" s="6">
        <v>0</v>
      </c>
      <c r="G511" s="6">
        <v>0</v>
      </c>
      <c r="H511" s="6">
        <v>0</v>
      </c>
      <c r="I511" s="7">
        <v>0</v>
      </c>
    </row>
    <row r="512" spans="1:9" ht="12" customHeight="1" thickBot="1" x14ac:dyDescent="0.25">
      <c r="A512" s="1" t="s">
        <v>35</v>
      </c>
      <c r="B512" s="1" t="s">
        <v>34</v>
      </c>
      <c r="C512" s="1" t="s">
        <v>20</v>
      </c>
      <c r="D512" s="5">
        <v>45889</v>
      </c>
      <c r="E512" s="6">
        <v>0</v>
      </c>
      <c r="F512" s="6">
        <v>0</v>
      </c>
      <c r="G512" s="6">
        <v>0</v>
      </c>
      <c r="H512" s="6">
        <v>0</v>
      </c>
      <c r="I512" s="7">
        <v>0</v>
      </c>
    </row>
    <row r="513" spans="1:9" ht="12" customHeight="1" thickBot="1" x14ac:dyDescent="0.25">
      <c r="A513" s="1" t="s">
        <v>35</v>
      </c>
      <c r="B513" s="1" t="s">
        <v>34</v>
      </c>
      <c r="C513" s="1" t="s">
        <v>20</v>
      </c>
      <c r="D513" s="5">
        <v>45890</v>
      </c>
      <c r="E513" s="6">
        <v>0</v>
      </c>
      <c r="F513" s="6">
        <v>0</v>
      </c>
      <c r="G513" s="6">
        <v>0</v>
      </c>
      <c r="H513" s="6">
        <v>0</v>
      </c>
      <c r="I513" s="7">
        <v>0</v>
      </c>
    </row>
    <row r="514" spans="1:9" ht="12" customHeight="1" thickBot="1" x14ac:dyDescent="0.25">
      <c r="A514" s="1" t="s">
        <v>35</v>
      </c>
      <c r="B514" s="1" t="s">
        <v>34</v>
      </c>
      <c r="C514" s="1" t="s">
        <v>20</v>
      </c>
      <c r="D514" s="5">
        <v>45891</v>
      </c>
      <c r="E514" s="6">
        <v>0</v>
      </c>
      <c r="F514" s="6">
        <v>0</v>
      </c>
      <c r="G514" s="6">
        <v>0</v>
      </c>
      <c r="H514" s="6">
        <v>0</v>
      </c>
      <c r="I514" s="7">
        <v>0</v>
      </c>
    </row>
    <row r="515" spans="1:9" ht="12" customHeight="1" thickBot="1" x14ac:dyDescent="0.25">
      <c r="A515" s="1" t="s">
        <v>35</v>
      </c>
      <c r="B515" s="1" t="s">
        <v>34</v>
      </c>
      <c r="C515" s="1" t="s">
        <v>20</v>
      </c>
      <c r="D515" s="5">
        <v>45892</v>
      </c>
      <c r="E515" s="6">
        <v>0</v>
      </c>
      <c r="F515" s="6">
        <v>0</v>
      </c>
      <c r="G515" s="6">
        <v>0</v>
      </c>
      <c r="H515" s="6">
        <v>0</v>
      </c>
      <c r="I515" s="7">
        <v>0</v>
      </c>
    </row>
    <row r="516" spans="1:9" ht="12" customHeight="1" thickBot="1" x14ac:dyDescent="0.25">
      <c r="A516" s="1" t="s">
        <v>35</v>
      </c>
      <c r="B516" s="1" t="s">
        <v>34</v>
      </c>
      <c r="C516" s="1" t="s">
        <v>20</v>
      </c>
      <c r="D516" s="5">
        <v>45893</v>
      </c>
      <c r="E516" s="6">
        <v>0</v>
      </c>
      <c r="F516" s="6">
        <v>0</v>
      </c>
      <c r="G516" s="6">
        <v>0</v>
      </c>
      <c r="H516" s="6">
        <v>0</v>
      </c>
      <c r="I516" s="7">
        <v>0</v>
      </c>
    </row>
    <row r="517" spans="1:9" ht="12" customHeight="1" thickBot="1" x14ac:dyDescent="0.25">
      <c r="A517" s="1" t="s">
        <v>35</v>
      </c>
      <c r="B517" s="1" t="s">
        <v>34</v>
      </c>
      <c r="C517" s="1" t="s">
        <v>20</v>
      </c>
      <c r="D517" s="5">
        <v>45894</v>
      </c>
      <c r="E517" s="6">
        <v>0</v>
      </c>
      <c r="F517" s="6">
        <v>0</v>
      </c>
      <c r="G517" s="6">
        <v>0</v>
      </c>
      <c r="H517" s="6">
        <v>0</v>
      </c>
      <c r="I517" s="7">
        <v>0</v>
      </c>
    </row>
    <row r="518" spans="1:9" ht="12" customHeight="1" thickBot="1" x14ac:dyDescent="0.25">
      <c r="A518" s="1" t="s">
        <v>35</v>
      </c>
      <c r="B518" s="1" t="s">
        <v>34</v>
      </c>
      <c r="C518" s="1" t="s">
        <v>20</v>
      </c>
      <c r="D518" s="5">
        <v>45895</v>
      </c>
      <c r="E518" s="6">
        <v>0</v>
      </c>
      <c r="F518" s="6">
        <v>0</v>
      </c>
      <c r="G518" s="6">
        <v>0</v>
      </c>
      <c r="H518" s="6">
        <v>0</v>
      </c>
      <c r="I518" s="7">
        <v>0</v>
      </c>
    </row>
    <row r="519" spans="1:9" ht="12" customHeight="1" thickBot="1" x14ac:dyDescent="0.25">
      <c r="A519" s="1" t="s">
        <v>35</v>
      </c>
      <c r="B519" s="1" t="s">
        <v>34</v>
      </c>
      <c r="C519" s="1" t="s">
        <v>20</v>
      </c>
      <c r="D519" s="5">
        <v>45896</v>
      </c>
      <c r="E519" s="6">
        <v>0</v>
      </c>
      <c r="F519" s="6">
        <v>0</v>
      </c>
      <c r="G519" s="6">
        <v>0</v>
      </c>
      <c r="H519" s="6">
        <v>0</v>
      </c>
      <c r="I519" s="7">
        <v>0</v>
      </c>
    </row>
    <row r="520" spans="1:9" ht="12" customHeight="1" thickBot="1" x14ac:dyDescent="0.25">
      <c r="A520" s="1" t="s">
        <v>35</v>
      </c>
      <c r="B520" s="1" t="s">
        <v>34</v>
      </c>
      <c r="C520" s="1" t="s">
        <v>20</v>
      </c>
      <c r="D520" s="5">
        <v>45897</v>
      </c>
      <c r="E520" s="6">
        <v>0</v>
      </c>
      <c r="F520" s="6">
        <v>0</v>
      </c>
      <c r="G520" s="6">
        <v>0</v>
      </c>
      <c r="H520" s="6">
        <v>0</v>
      </c>
      <c r="I520" s="7">
        <v>0</v>
      </c>
    </row>
    <row r="521" spans="1:9" ht="12" customHeight="1" thickBot="1" x14ac:dyDescent="0.25">
      <c r="A521" s="1" t="s">
        <v>35</v>
      </c>
      <c r="B521" s="1" t="s">
        <v>34</v>
      </c>
      <c r="C521" s="1" t="s">
        <v>20</v>
      </c>
      <c r="D521" s="5">
        <v>45898</v>
      </c>
      <c r="E521" s="6">
        <v>0</v>
      </c>
      <c r="F521" s="6">
        <v>0</v>
      </c>
      <c r="G521" s="6">
        <v>0</v>
      </c>
      <c r="H521" s="6">
        <v>0</v>
      </c>
      <c r="I521" s="7">
        <v>0</v>
      </c>
    </row>
    <row r="522" spans="1:9" ht="12" customHeight="1" thickBot="1" x14ac:dyDescent="0.25">
      <c r="A522" s="1" t="s">
        <v>35</v>
      </c>
      <c r="B522" s="1" t="s">
        <v>34</v>
      </c>
      <c r="C522" s="1" t="s">
        <v>20</v>
      </c>
      <c r="D522" s="5">
        <v>45899</v>
      </c>
      <c r="E522" s="6">
        <v>0</v>
      </c>
      <c r="F522" s="6">
        <v>0</v>
      </c>
      <c r="G522" s="6">
        <v>0</v>
      </c>
      <c r="H522" s="6">
        <v>0</v>
      </c>
      <c r="I522" s="7">
        <v>0</v>
      </c>
    </row>
    <row r="523" spans="1:9" ht="12" customHeight="1" thickBot="1" x14ac:dyDescent="0.25">
      <c r="A523" s="1" t="s">
        <v>35</v>
      </c>
      <c r="B523" s="1" t="s">
        <v>34</v>
      </c>
      <c r="C523" s="1" t="s">
        <v>20</v>
      </c>
      <c r="D523" s="5">
        <v>45900</v>
      </c>
      <c r="E523" s="6">
        <v>0</v>
      </c>
      <c r="F523" s="6">
        <v>0</v>
      </c>
      <c r="G523" s="6">
        <v>0</v>
      </c>
      <c r="H523" s="6">
        <v>0</v>
      </c>
      <c r="I523" s="7">
        <v>0</v>
      </c>
    </row>
    <row r="524" spans="1:9" ht="12" customHeight="1" thickBot="1" x14ac:dyDescent="0.25">
      <c r="A524" s="1" t="s">
        <v>35</v>
      </c>
      <c r="B524" s="1" t="s">
        <v>34</v>
      </c>
      <c r="C524" s="1" t="s">
        <v>20</v>
      </c>
      <c r="D524" s="5">
        <v>45901</v>
      </c>
      <c r="E524" s="6">
        <v>0</v>
      </c>
      <c r="F524" s="6">
        <v>0</v>
      </c>
      <c r="G524" s="6">
        <v>0</v>
      </c>
      <c r="H524" s="6">
        <v>0</v>
      </c>
      <c r="I524" s="7">
        <v>0</v>
      </c>
    </row>
    <row r="525" spans="1:9" ht="12" customHeight="1" thickBot="1" x14ac:dyDescent="0.25">
      <c r="A525" s="1" t="s">
        <v>35</v>
      </c>
      <c r="B525" s="1" t="s">
        <v>34</v>
      </c>
      <c r="C525" s="1" t="s">
        <v>20</v>
      </c>
      <c r="D525" s="5">
        <v>45902</v>
      </c>
      <c r="E525" s="6">
        <v>0</v>
      </c>
      <c r="F525" s="6">
        <v>0</v>
      </c>
      <c r="G525" s="6">
        <v>0</v>
      </c>
      <c r="H525" s="6">
        <v>0</v>
      </c>
      <c r="I525" s="7">
        <v>0</v>
      </c>
    </row>
    <row r="526" spans="1:9" ht="12" customHeight="1" thickBot="1" x14ac:dyDescent="0.25">
      <c r="A526" s="1" t="s">
        <v>35</v>
      </c>
      <c r="B526" s="1" t="s">
        <v>34</v>
      </c>
      <c r="C526" s="1" t="s">
        <v>20</v>
      </c>
      <c r="D526" s="5">
        <v>45903</v>
      </c>
      <c r="E526" s="6">
        <v>0</v>
      </c>
      <c r="F526" s="6">
        <v>0</v>
      </c>
      <c r="G526" s="6">
        <v>0</v>
      </c>
      <c r="H526" s="6">
        <v>0</v>
      </c>
      <c r="I526" s="7">
        <v>0</v>
      </c>
    </row>
    <row r="527" spans="1:9" ht="12" customHeight="1" thickBot="1" x14ac:dyDescent="0.25">
      <c r="A527" s="1" t="s">
        <v>35</v>
      </c>
      <c r="B527" s="1" t="s">
        <v>34</v>
      </c>
      <c r="C527" s="1" t="s">
        <v>20</v>
      </c>
      <c r="D527" s="5">
        <v>45904</v>
      </c>
      <c r="E527" s="6">
        <v>0</v>
      </c>
      <c r="F527" s="6">
        <v>0</v>
      </c>
      <c r="G527" s="6">
        <v>0</v>
      </c>
      <c r="H527" s="6">
        <v>0</v>
      </c>
      <c r="I527" s="7">
        <v>0</v>
      </c>
    </row>
    <row r="528" spans="1:9" ht="12" customHeight="1" thickBot="1" x14ac:dyDescent="0.25">
      <c r="A528" s="1" t="s">
        <v>35</v>
      </c>
      <c r="B528" s="1" t="s">
        <v>34</v>
      </c>
      <c r="C528" s="1" t="s">
        <v>20</v>
      </c>
      <c r="D528" s="5">
        <v>45905</v>
      </c>
      <c r="E528" s="6">
        <v>0</v>
      </c>
      <c r="F528" s="6">
        <v>0</v>
      </c>
      <c r="G528" s="6">
        <v>0</v>
      </c>
      <c r="H528" s="6">
        <v>0</v>
      </c>
      <c r="I528" s="7">
        <v>0</v>
      </c>
    </row>
    <row r="529" spans="1:9" ht="12" customHeight="1" thickBot="1" x14ac:dyDescent="0.25">
      <c r="A529" s="1" t="s">
        <v>35</v>
      </c>
      <c r="B529" s="1" t="s">
        <v>34</v>
      </c>
      <c r="C529" s="1" t="s">
        <v>20</v>
      </c>
      <c r="D529" s="5">
        <v>45906</v>
      </c>
      <c r="E529" s="6">
        <v>0</v>
      </c>
      <c r="F529" s="6">
        <v>0</v>
      </c>
      <c r="G529" s="6">
        <v>0</v>
      </c>
      <c r="H529" s="6">
        <v>0</v>
      </c>
      <c r="I529" s="7">
        <v>0</v>
      </c>
    </row>
    <row r="530" spans="1:9" ht="12" customHeight="1" thickBot="1" x14ac:dyDescent="0.25">
      <c r="A530" s="1" t="s">
        <v>35</v>
      </c>
      <c r="B530" s="1" t="s">
        <v>34</v>
      </c>
      <c r="C530" s="1" t="s">
        <v>20</v>
      </c>
      <c r="D530" s="5">
        <v>45907</v>
      </c>
      <c r="E530" s="6">
        <v>0</v>
      </c>
      <c r="F530" s="6">
        <v>0</v>
      </c>
      <c r="G530" s="6">
        <v>0</v>
      </c>
      <c r="H530" s="6">
        <v>0</v>
      </c>
      <c r="I530" s="7">
        <v>0</v>
      </c>
    </row>
    <row r="531" spans="1:9" ht="12" customHeight="1" thickBot="1" x14ac:dyDescent="0.25">
      <c r="A531" s="1" t="s">
        <v>35</v>
      </c>
      <c r="B531" s="1" t="s">
        <v>34</v>
      </c>
      <c r="C531" s="1" t="s">
        <v>20</v>
      </c>
      <c r="D531" s="5">
        <v>45908</v>
      </c>
      <c r="E531" s="6">
        <v>0</v>
      </c>
      <c r="F531" s="6">
        <v>0</v>
      </c>
      <c r="G531" s="6">
        <v>0</v>
      </c>
      <c r="H531" s="6">
        <v>0</v>
      </c>
      <c r="I531" s="7">
        <v>0</v>
      </c>
    </row>
    <row r="532" spans="1:9" ht="12" customHeight="1" thickBot="1" x14ac:dyDescent="0.25">
      <c r="A532" s="1" t="s">
        <v>35</v>
      </c>
      <c r="B532" s="1" t="s">
        <v>34</v>
      </c>
      <c r="C532" s="1" t="s">
        <v>20</v>
      </c>
      <c r="D532" s="5">
        <v>45909</v>
      </c>
      <c r="E532" s="6">
        <v>0</v>
      </c>
      <c r="F532" s="6">
        <v>0</v>
      </c>
      <c r="G532" s="6">
        <v>0</v>
      </c>
      <c r="H532" s="6">
        <v>0</v>
      </c>
      <c r="I532" s="7">
        <v>0</v>
      </c>
    </row>
    <row r="533" spans="1:9" ht="12" customHeight="1" thickBot="1" x14ac:dyDescent="0.25">
      <c r="A533" s="1" t="s">
        <v>35</v>
      </c>
      <c r="B533" s="1" t="s">
        <v>34</v>
      </c>
      <c r="C533" s="1" t="s">
        <v>20</v>
      </c>
      <c r="D533" s="5">
        <v>45910</v>
      </c>
      <c r="E533" s="6">
        <v>0</v>
      </c>
      <c r="F533" s="6">
        <v>0</v>
      </c>
      <c r="G533" s="6">
        <v>0</v>
      </c>
      <c r="H533" s="6">
        <v>0</v>
      </c>
      <c r="I533" s="7">
        <v>0</v>
      </c>
    </row>
    <row r="534" spans="1:9" ht="12" customHeight="1" thickBot="1" x14ac:dyDescent="0.25">
      <c r="A534" s="1" t="s">
        <v>35</v>
      </c>
      <c r="B534" s="1" t="s">
        <v>34</v>
      </c>
      <c r="C534" s="1" t="s">
        <v>20</v>
      </c>
      <c r="D534" s="5">
        <v>45911</v>
      </c>
      <c r="E534" s="6">
        <v>0</v>
      </c>
      <c r="F534" s="6">
        <v>0</v>
      </c>
      <c r="G534" s="6">
        <v>0</v>
      </c>
      <c r="H534" s="6">
        <v>0</v>
      </c>
      <c r="I534" s="7">
        <v>0</v>
      </c>
    </row>
    <row r="535" spans="1:9" ht="12" customHeight="1" thickBot="1" x14ac:dyDescent="0.25">
      <c r="A535" s="1" t="s">
        <v>35</v>
      </c>
      <c r="B535" s="1" t="s">
        <v>34</v>
      </c>
      <c r="C535" s="1" t="s">
        <v>20</v>
      </c>
      <c r="D535" s="5">
        <v>45912</v>
      </c>
      <c r="E535" s="6">
        <v>0</v>
      </c>
      <c r="F535" s="6">
        <v>0</v>
      </c>
      <c r="G535" s="6">
        <v>0</v>
      </c>
      <c r="H535" s="6">
        <v>0</v>
      </c>
      <c r="I535" s="7">
        <v>0</v>
      </c>
    </row>
    <row r="536" spans="1:9" ht="12" customHeight="1" thickBot="1" x14ac:dyDescent="0.25">
      <c r="A536" s="1" t="s">
        <v>35</v>
      </c>
      <c r="B536" s="1" t="s">
        <v>34</v>
      </c>
      <c r="C536" s="1" t="s">
        <v>20</v>
      </c>
      <c r="D536" s="5">
        <v>45913</v>
      </c>
      <c r="E536" s="6">
        <v>0</v>
      </c>
      <c r="F536" s="6">
        <v>0</v>
      </c>
      <c r="G536" s="6">
        <v>0</v>
      </c>
      <c r="H536" s="6">
        <v>0</v>
      </c>
      <c r="I536" s="7">
        <v>0</v>
      </c>
    </row>
    <row r="537" spans="1:9" ht="12" customHeight="1" thickBot="1" x14ac:dyDescent="0.25">
      <c r="A537" s="1" t="s">
        <v>35</v>
      </c>
      <c r="B537" s="1" t="s">
        <v>34</v>
      </c>
      <c r="C537" s="1" t="s">
        <v>20</v>
      </c>
      <c r="D537" s="5">
        <v>45914</v>
      </c>
      <c r="E537" s="6">
        <v>0</v>
      </c>
      <c r="F537" s="6">
        <v>0</v>
      </c>
      <c r="G537" s="6">
        <v>0</v>
      </c>
      <c r="H537" s="6">
        <v>0</v>
      </c>
      <c r="I537" s="7">
        <v>0</v>
      </c>
    </row>
    <row r="538" spans="1:9" ht="12" customHeight="1" thickBot="1" x14ac:dyDescent="0.25">
      <c r="A538" s="1" t="s">
        <v>35</v>
      </c>
      <c r="B538" s="1" t="s">
        <v>34</v>
      </c>
      <c r="C538" s="1" t="s">
        <v>20</v>
      </c>
      <c r="D538" s="5">
        <v>45915</v>
      </c>
      <c r="E538" s="6">
        <v>0</v>
      </c>
      <c r="F538" s="6">
        <v>0</v>
      </c>
      <c r="G538" s="6">
        <v>0</v>
      </c>
      <c r="H538" s="6">
        <v>0</v>
      </c>
      <c r="I538" s="7">
        <v>0</v>
      </c>
    </row>
    <row r="539" spans="1:9" ht="12" customHeight="1" thickBot="1" x14ac:dyDescent="0.25">
      <c r="A539" s="1" t="s">
        <v>35</v>
      </c>
      <c r="B539" s="1" t="s">
        <v>34</v>
      </c>
      <c r="C539" s="1" t="s">
        <v>20</v>
      </c>
      <c r="D539" s="5">
        <v>45916</v>
      </c>
      <c r="E539" s="6">
        <v>0</v>
      </c>
      <c r="F539" s="6">
        <v>0</v>
      </c>
      <c r="G539" s="6">
        <v>0</v>
      </c>
      <c r="H539" s="6">
        <v>0</v>
      </c>
      <c r="I539" s="7">
        <v>0</v>
      </c>
    </row>
    <row r="540" spans="1:9" ht="12" customHeight="1" thickBot="1" x14ac:dyDescent="0.25">
      <c r="A540" s="1" t="s">
        <v>35</v>
      </c>
      <c r="B540" s="1" t="s">
        <v>34</v>
      </c>
      <c r="C540" s="1" t="s">
        <v>20</v>
      </c>
      <c r="D540" s="5">
        <v>45917</v>
      </c>
      <c r="E540" s="6">
        <v>0</v>
      </c>
      <c r="F540" s="6">
        <v>0</v>
      </c>
      <c r="G540" s="6">
        <v>0</v>
      </c>
      <c r="H540" s="6">
        <v>0</v>
      </c>
      <c r="I540" s="7">
        <v>0</v>
      </c>
    </row>
    <row r="541" spans="1:9" ht="12" customHeight="1" thickBot="1" x14ac:dyDescent="0.25">
      <c r="A541" s="1" t="s">
        <v>35</v>
      </c>
      <c r="B541" s="1" t="s">
        <v>34</v>
      </c>
      <c r="C541" s="1" t="s">
        <v>20</v>
      </c>
      <c r="D541" s="5">
        <v>45918</v>
      </c>
      <c r="E541" s="6">
        <v>0</v>
      </c>
      <c r="F541" s="6">
        <v>0</v>
      </c>
      <c r="G541" s="6">
        <v>0</v>
      </c>
      <c r="H541" s="6">
        <v>0</v>
      </c>
      <c r="I541" s="7">
        <v>0</v>
      </c>
    </row>
    <row r="542" spans="1:9" ht="12" customHeight="1" thickBot="1" x14ac:dyDescent="0.25">
      <c r="A542" s="1" t="s">
        <v>35</v>
      </c>
      <c r="B542" s="1" t="s">
        <v>34</v>
      </c>
      <c r="C542" s="1" t="s">
        <v>20</v>
      </c>
      <c r="D542" s="5">
        <v>45919</v>
      </c>
      <c r="E542" s="6">
        <v>0</v>
      </c>
      <c r="F542" s="6">
        <v>0</v>
      </c>
      <c r="G542" s="6">
        <v>0</v>
      </c>
      <c r="H542" s="6">
        <v>0</v>
      </c>
      <c r="I542" s="7">
        <v>0</v>
      </c>
    </row>
    <row r="543" spans="1:9" ht="12" customHeight="1" thickBot="1" x14ac:dyDescent="0.25">
      <c r="A543" s="1" t="s">
        <v>35</v>
      </c>
      <c r="B543" s="1" t="s">
        <v>34</v>
      </c>
      <c r="C543" s="1" t="s">
        <v>20</v>
      </c>
      <c r="D543" s="5">
        <v>45920</v>
      </c>
      <c r="E543" s="6">
        <v>0</v>
      </c>
      <c r="F543" s="6">
        <v>0</v>
      </c>
      <c r="G543" s="6">
        <v>0</v>
      </c>
      <c r="H543" s="6">
        <v>0</v>
      </c>
      <c r="I543" s="7">
        <v>0</v>
      </c>
    </row>
    <row r="544" spans="1:9" ht="12" customHeight="1" thickBot="1" x14ac:dyDescent="0.25">
      <c r="A544" s="1" t="s">
        <v>35</v>
      </c>
      <c r="B544" s="1" t="s">
        <v>34</v>
      </c>
      <c r="C544" s="1" t="s">
        <v>20</v>
      </c>
      <c r="D544" s="5">
        <v>45921</v>
      </c>
      <c r="E544" s="6">
        <v>0</v>
      </c>
      <c r="F544" s="6">
        <v>0</v>
      </c>
      <c r="G544" s="6">
        <v>0</v>
      </c>
      <c r="H544" s="6">
        <v>0</v>
      </c>
      <c r="I544" s="7">
        <v>0</v>
      </c>
    </row>
    <row r="545" spans="1:9" ht="12" customHeight="1" thickBot="1" x14ac:dyDescent="0.25">
      <c r="A545" s="1" t="s">
        <v>35</v>
      </c>
      <c r="B545" s="1" t="s">
        <v>34</v>
      </c>
      <c r="C545" s="1" t="s">
        <v>20</v>
      </c>
      <c r="D545" s="5">
        <v>45922</v>
      </c>
      <c r="E545" s="6">
        <v>0</v>
      </c>
      <c r="F545" s="6">
        <v>0</v>
      </c>
      <c r="G545" s="6">
        <v>0</v>
      </c>
      <c r="H545" s="6">
        <v>0</v>
      </c>
      <c r="I545" s="7">
        <v>0</v>
      </c>
    </row>
    <row r="546" spans="1:9" ht="12" customHeight="1" thickBot="1" x14ac:dyDescent="0.25">
      <c r="A546" s="1" t="s">
        <v>35</v>
      </c>
      <c r="B546" s="1" t="s">
        <v>34</v>
      </c>
      <c r="C546" s="1" t="s">
        <v>20</v>
      </c>
      <c r="D546" s="5">
        <v>45923</v>
      </c>
      <c r="E546" s="6">
        <v>0</v>
      </c>
      <c r="F546" s="6">
        <v>0</v>
      </c>
      <c r="G546" s="6">
        <v>0</v>
      </c>
      <c r="H546" s="6">
        <v>0</v>
      </c>
      <c r="I546" s="7">
        <v>0</v>
      </c>
    </row>
    <row r="547" spans="1:9" ht="12" customHeight="1" thickBot="1" x14ac:dyDescent="0.25">
      <c r="A547" s="1" t="s">
        <v>35</v>
      </c>
      <c r="B547" s="1" t="s">
        <v>34</v>
      </c>
      <c r="C547" s="1" t="s">
        <v>20</v>
      </c>
      <c r="D547" s="5">
        <v>45924</v>
      </c>
      <c r="E547" s="6">
        <v>0</v>
      </c>
      <c r="F547" s="6">
        <v>0</v>
      </c>
      <c r="G547" s="6">
        <v>0</v>
      </c>
      <c r="H547" s="6">
        <v>0</v>
      </c>
      <c r="I547" s="7">
        <v>0</v>
      </c>
    </row>
    <row r="548" spans="1:9" ht="12" customHeight="1" thickBot="1" x14ac:dyDescent="0.25">
      <c r="A548" s="1" t="s">
        <v>35</v>
      </c>
      <c r="B548" s="1" t="s">
        <v>34</v>
      </c>
      <c r="C548" s="1" t="s">
        <v>20</v>
      </c>
      <c r="D548" s="5">
        <v>45925</v>
      </c>
      <c r="E548" s="6">
        <v>0</v>
      </c>
      <c r="F548" s="6">
        <v>0</v>
      </c>
      <c r="G548" s="6">
        <v>0</v>
      </c>
      <c r="H548" s="6">
        <v>0</v>
      </c>
      <c r="I548" s="7">
        <v>0</v>
      </c>
    </row>
    <row r="549" spans="1:9" ht="12" customHeight="1" thickBot="1" x14ac:dyDescent="0.25">
      <c r="A549" s="1" t="s">
        <v>35</v>
      </c>
      <c r="B549" s="1" t="s">
        <v>34</v>
      </c>
      <c r="C549" s="1" t="s">
        <v>20</v>
      </c>
      <c r="D549" s="5">
        <v>45926</v>
      </c>
      <c r="E549" s="6">
        <v>0</v>
      </c>
      <c r="F549" s="6">
        <v>0</v>
      </c>
      <c r="G549" s="6">
        <v>0</v>
      </c>
      <c r="H549" s="6">
        <v>0</v>
      </c>
      <c r="I549" s="7">
        <v>0</v>
      </c>
    </row>
    <row r="550" spans="1:9" ht="12" customHeight="1" thickBot="1" x14ac:dyDescent="0.25">
      <c r="A550" s="1" t="s">
        <v>35</v>
      </c>
      <c r="B550" s="1" t="s">
        <v>34</v>
      </c>
      <c r="C550" s="1" t="s">
        <v>20</v>
      </c>
      <c r="D550" s="5">
        <v>45927</v>
      </c>
      <c r="E550" s="6">
        <v>0</v>
      </c>
      <c r="F550" s="6">
        <v>0</v>
      </c>
      <c r="G550" s="6">
        <v>0</v>
      </c>
      <c r="H550" s="6">
        <v>0</v>
      </c>
      <c r="I550" s="7">
        <v>0</v>
      </c>
    </row>
    <row r="551" spans="1:9" ht="12" customHeight="1" thickBot="1" x14ac:dyDescent="0.25">
      <c r="A551" s="1" t="s">
        <v>35</v>
      </c>
      <c r="B551" s="1" t="s">
        <v>34</v>
      </c>
      <c r="C551" s="1" t="s">
        <v>20</v>
      </c>
      <c r="D551" s="5">
        <v>45928</v>
      </c>
      <c r="E551" s="6">
        <v>0</v>
      </c>
      <c r="F551" s="6">
        <v>0</v>
      </c>
      <c r="G551" s="6">
        <v>0</v>
      </c>
      <c r="H551" s="6">
        <v>0</v>
      </c>
      <c r="I551" s="7">
        <v>0</v>
      </c>
    </row>
    <row r="552" spans="1:9" ht="12" customHeight="1" thickBot="1" x14ac:dyDescent="0.25">
      <c r="A552" s="1" t="s">
        <v>35</v>
      </c>
      <c r="B552" s="1" t="s">
        <v>34</v>
      </c>
      <c r="C552" s="1" t="s">
        <v>20</v>
      </c>
      <c r="D552" s="5">
        <v>45929</v>
      </c>
      <c r="E552" s="6">
        <v>0</v>
      </c>
      <c r="F552" s="6">
        <v>0</v>
      </c>
      <c r="G552" s="6">
        <v>0</v>
      </c>
      <c r="H552" s="6">
        <v>0</v>
      </c>
      <c r="I552" s="7">
        <v>0</v>
      </c>
    </row>
    <row r="553" spans="1:9" ht="12" customHeight="1" thickBot="1" x14ac:dyDescent="0.25">
      <c r="A553" s="1" t="s">
        <v>35</v>
      </c>
      <c r="B553" s="1" t="s">
        <v>34</v>
      </c>
      <c r="C553" s="1" t="s">
        <v>20</v>
      </c>
      <c r="D553" s="5">
        <v>45930</v>
      </c>
      <c r="E553" s="6">
        <v>0</v>
      </c>
      <c r="F553" s="6">
        <v>0</v>
      </c>
      <c r="G553" s="6">
        <v>0</v>
      </c>
      <c r="H553" s="6">
        <v>0</v>
      </c>
      <c r="I553" s="7">
        <v>0</v>
      </c>
    </row>
    <row r="554" spans="1:9" ht="12" customHeight="1" thickBot="1" x14ac:dyDescent="0.25">
      <c r="A554" s="1" t="s">
        <v>36</v>
      </c>
      <c r="B554" s="1" t="s">
        <v>37</v>
      </c>
      <c r="C554" s="1" t="s">
        <v>20</v>
      </c>
      <c r="D554" s="5">
        <v>45859</v>
      </c>
      <c r="E554" s="6">
        <v>16200000</v>
      </c>
      <c r="F554" s="6">
        <v>0</v>
      </c>
      <c r="G554" s="6">
        <v>16200000</v>
      </c>
      <c r="H554" s="6">
        <v>0</v>
      </c>
      <c r="I554" s="7">
        <v>16200000</v>
      </c>
    </row>
    <row r="555" spans="1:9" ht="12" customHeight="1" thickBot="1" x14ac:dyDescent="0.25">
      <c r="A555" s="1" t="s">
        <v>36</v>
      </c>
      <c r="B555" s="1" t="s">
        <v>37</v>
      </c>
      <c r="C555" s="1" t="s">
        <v>20</v>
      </c>
      <c r="D555" s="5">
        <v>45860</v>
      </c>
      <c r="E555" s="6">
        <v>5660854637</v>
      </c>
      <c r="F555" s="6">
        <v>0</v>
      </c>
      <c r="G555" s="6">
        <v>5660854637</v>
      </c>
      <c r="H555" s="6">
        <v>0</v>
      </c>
      <c r="I555" s="7">
        <v>5660854637</v>
      </c>
    </row>
    <row r="556" spans="1:9" ht="12" customHeight="1" thickBot="1" x14ac:dyDescent="0.25">
      <c r="A556" s="1" t="s">
        <v>36</v>
      </c>
      <c r="B556" s="1" t="s">
        <v>37</v>
      </c>
      <c r="C556" s="1" t="s">
        <v>20</v>
      </c>
      <c r="D556" s="5">
        <v>45861</v>
      </c>
      <c r="E556" s="6">
        <v>14356393957</v>
      </c>
      <c r="F556" s="6">
        <v>0</v>
      </c>
      <c r="G556" s="6">
        <v>14356393957</v>
      </c>
      <c r="H556" s="6">
        <v>0</v>
      </c>
      <c r="I556" s="7">
        <v>14356393957</v>
      </c>
    </row>
    <row r="557" spans="1:9" ht="12" customHeight="1" thickBot="1" x14ac:dyDescent="0.25">
      <c r="A557" s="1" t="s">
        <v>36</v>
      </c>
      <c r="B557" s="1" t="s">
        <v>37</v>
      </c>
      <c r="C557" s="1" t="s">
        <v>20</v>
      </c>
      <c r="D557" s="5">
        <v>45862</v>
      </c>
      <c r="E557" s="6">
        <v>21216377418</v>
      </c>
      <c r="F557" s="6">
        <v>0</v>
      </c>
      <c r="G557" s="6">
        <v>21216377418</v>
      </c>
      <c r="H557" s="6">
        <v>0</v>
      </c>
      <c r="I557" s="7">
        <v>21216377418</v>
      </c>
    </row>
    <row r="558" spans="1:9" ht="12" customHeight="1" thickBot="1" x14ac:dyDescent="0.25">
      <c r="A558" s="1" t="s">
        <v>36</v>
      </c>
      <c r="B558" s="1" t="s">
        <v>37</v>
      </c>
      <c r="C558" s="1" t="s">
        <v>20</v>
      </c>
      <c r="D558" s="5">
        <v>45863</v>
      </c>
      <c r="E558" s="6">
        <v>26727006341</v>
      </c>
      <c r="F558" s="6">
        <v>0</v>
      </c>
      <c r="G558" s="6">
        <v>26727006341</v>
      </c>
      <c r="H558" s="6">
        <v>0</v>
      </c>
      <c r="I558" s="7">
        <v>26727006341</v>
      </c>
    </row>
    <row r="559" spans="1:9" ht="12" customHeight="1" thickBot="1" x14ac:dyDescent="0.25">
      <c r="A559" s="1" t="s">
        <v>36</v>
      </c>
      <c r="B559" s="1" t="s">
        <v>37</v>
      </c>
      <c r="C559" s="1" t="s">
        <v>20</v>
      </c>
      <c r="D559" s="5">
        <v>45864</v>
      </c>
      <c r="E559" s="6">
        <v>30644705954</v>
      </c>
      <c r="F559" s="6">
        <v>0</v>
      </c>
      <c r="G559" s="6">
        <v>30644705954</v>
      </c>
      <c r="H559" s="6">
        <v>0</v>
      </c>
      <c r="I559" s="7">
        <v>30644705954</v>
      </c>
    </row>
    <row r="560" spans="1:9" ht="12" customHeight="1" thickBot="1" x14ac:dyDescent="0.25">
      <c r="A560" s="1" t="s">
        <v>36</v>
      </c>
      <c r="B560" s="1" t="s">
        <v>37</v>
      </c>
      <c r="C560" s="1" t="s">
        <v>20</v>
      </c>
      <c r="D560" s="5">
        <v>45865</v>
      </c>
      <c r="E560" s="6">
        <v>34208873945</v>
      </c>
      <c r="F560" s="6">
        <v>0</v>
      </c>
      <c r="G560" s="6">
        <v>34208873945</v>
      </c>
      <c r="H560" s="6">
        <v>0</v>
      </c>
      <c r="I560" s="7">
        <v>34208873945</v>
      </c>
    </row>
    <row r="561" spans="1:9" ht="12" customHeight="1" thickBot="1" x14ac:dyDescent="0.25">
      <c r="A561" s="1" t="s">
        <v>36</v>
      </c>
      <c r="B561" s="1" t="s">
        <v>37</v>
      </c>
      <c r="C561" s="1" t="s">
        <v>20</v>
      </c>
      <c r="D561" s="5">
        <v>45866</v>
      </c>
      <c r="E561" s="6">
        <v>38840172019</v>
      </c>
      <c r="F561" s="6">
        <v>0</v>
      </c>
      <c r="G561" s="6">
        <v>38840172019</v>
      </c>
      <c r="H561" s="6">
        <v>0</v>
      </c>
      <c r="I561" s="7">
        <v>38840172019</v>
      </c>
    </row>
    <row r="562" spans="1:9" ht="12" customHeight="1" thickBot="1" x14ac:dyDescent="0.25">
      <c r="A562" s="1" t="s">
        <v>36</v>
      </c>
      <c r="B562" s="1" t="s">
        <v>37</v>
      </c>
      <c r="C562" s="1" t="s">
        <v>20</v>
      </c>
      <c r="D562" s="5">
        <v>45867</v>
      </c>
      <c r="E562" s="6">
        <v>42666706398</v>
      </c>
      <c r="F562" s="6">
        <v>0</v>
      </c>
      <c r="G562" s="6">
        <v>42666706398</v>
      </c>
      <c r="H562" s="6">
        <v>0</v>
      </c>
      <c r="I562" s="7">
        <v>42666706398</v>
      </c>
    </row>
    <row r="563" spans="1:9" ht="12" customHeight="1" thickBot="1" x14ac:dyDescent="0.25">
      <c r="A563" s="1" t="s">
        <v>36</v>
      </c>
      <c r="B563" s="1" t="s">
        <v>37</v>
      </c>
      <c r="C563" s="1" t="s">
        <v>20</v>
      </c>
      <c r="D563" s="5">
        <v>45868</v>
      </c>
      <c r="E563" s="6">
        <v>45735033375</v>
      </c>
      <c r="F563" s="6">
        <v>0</v>
      </c>
      <c r="G563" s="6">
        <v>45735033375</v>
      </c>
      <c r="H563" s="6">
        <v>0</v>
      </c>
      <c r="I563" s="7">
        <v>45735033375</v>
      </c>
    </row>
    <row r="564" spans="1:9" ht="12" customHeight="1" thickBot="1" x14ac:dyDescent="0.25">
      <c r="A564" s="1" t="s">
        <v>36</v>
      </c>
      <c r="B564" s="1" t="s">
        <v>37</v>
      </c>
      <c r="C564" s="1" t="s">
        <v>20</v>
      </c>
      <c r="D564" s="5">
        <v>45869</v>
      </c>
      <c r="E564" s="6">
        <v>48634267021</v>
      </c>
      <c r="F564" s="6">
        <v>0</v>
      </c>
      <c r="G564" s="6">
        <v>48634267021</v>
      </c>
      <c r="H564" s="6">
        <v>0</v>
      </c>
      <c r="I564" s="7">
        <v>48634267021</v>
      </c>
    </row>
    <row r="565" spans="1:9" ht="12" customHeight="1" thickBot="1" x14ac:dyDescent="0.25">
      <c r="A565" s="1" t="s">
        <v>36</v>
      </c>
      <c r="B565" s="1" t="s">
        <v>37</v>
      </c>
      <c r="C565" s="1" t="s">
        <v>20</v>
      </c>
      <c r="D565" s="5">
        <v>45870</v>
      </c>
      <c r="E565" s="6">
        <v>52224195000</v>
      </c>
      <c r="F565" s="6">
        <v>0</v>
      </c>
      <c r="G565" s="6">
        <v>52224195000</v>
      </c>
      <c r="H565" s="6">
        <v>0</v>
      </c>
      <c r="I565" s="7">
        <v>52224195000</v>
      </c>
    </row>
    <row r="566" spans="1:9" ht="12" customHeight="1" thickBot="1" x14ac:dyDescent="0.25">
      <c r="A566" s="1" t="s">
        <v>36</v>
      </c>
      <c r="B566" s="1" t="s">
        <v>37</v>
      </c>
      <c r="C566" s="1" t="s">
        <v>20</v>
      </c>
      <c r="D566" s="5">
        <v>45871</v>
      </c>
      <c r="E566" s="6">
        <v>54543454414</v>
      </c>
      <c r="F566" s="6">
        <v>0</v>
      </c>
      <c r="G566" s="6">
        <v>54543454414</v>
      </c>
      <c r="H566" s="6">
        <v>0</v>
      </c>
      <c r="I566" s="7">
        <v>54543454414</v>
      </c>
    </row>
    <row r="567" spans="1:9" ht="12" customHeight="1" thickBot="1" x14ac:dyDescent="0.25">
      <c r="A567" s="1" t="s">
        <v>36</v>
      </c>
      <c r="B567" s="1" t="s">
        <v>37</v>
      </c>
      <c r="C567" s="1" t="s">
        <v>20</v>
      </c>
      <c r="D567" s="5">
        <v>45872</v>
      </c>
      <c r="E567" s="6">
        <v>57070425983</v>
      </c>
      <c r="F567" s="6">
        <v>0</v>
      </c>
      <c r="G567" s="6">
        <v>57070425983</v>
      </c>
      <c r="H567" s="6">
        <v>0</v>
      </c>
      <c r="I567" s="7">
        <v>57070425983</v>
      </c>
    </row>
    <row r="568" spans="1:9" ht="12" customHeight="1" thickBot="1" x14ac:dyDescent="0.25">
      <c r="A568" s="1" t="s">
        <v>36</v>
      </c>
      <c r="B568" s="1" t="s">
        <v>37</v>
      </c>
      <c r="C568" s="1" t="s">
        <v>20</v>
      </c>
      <c r="D568" s="5">
        <v>45873</v>
      </c>
      <c r="E568" s="6">
        <v>59880451748</v>
      </c>
      <c r="F568" s="6">
        <v>0</v>
      </c>
      <c r="G568" s="6">
        <v>59880451748</v>
      </c>
      <c r="H568" s="6">
        <v>0</v>
      </c>
      <c r="I568" s="7">
        <v>59880451748</v>
      </c>
    </row>
    <row r="569" spans="1:9" ht="12" customHeight="1" thickBot="1" x14ac:dyDescent="0.25">
      <c r="A569" s="1" t="s">
        <v>36</v>
      </c>
      <c r="B569" s="1" t="s">
        <v>37</v>
      </c>
      <c r="C569" s="1" t="s">
        <v>20</v>
      </c>
      <c r="D569" s="5">
        <v>45874</v>
      </c>
      <c r="E569" s="6">
        <v>62617388016</v>
      </c>
      <c r="F569" s="6">
        <v>0</v>
      </c>
      <c r="G569" s="6">
        <v>62617388016</v>
      </c>
      <c r="H569" s="6">
        <v>0</v>
      </c>
      <c r="I569" s="7">
        <v>62617388016</v>
      </c>
    </row>
    <row r="570" spans="1:9" ht="12" customHeight="1" thickBot="1" x14ac:dyDescent="0.25">
      <c r="A570" s="1" t="s">
        <v>36</v>
      </c>
      <c r="B570" s="1" t="s">
        <v>37</v>
      </c>
      <c r="C570" s="1" t="s">
        <v>20</v>
      </c>
      <c r="D570" s="5">
        <v>45875</v>
      </c>
      <c r="E570" s="6">
        <v>64895114941</v>
      </c>
      <c r="F570" s="6">
        <v>0</v>
      </c>
      <c r="G570" s="6">
        <v>64895114941</v>
      </c>
      <c r="H570" s="6">
        <v>0</v>
      </c>
      <c r="I570" s="7">
        <v>64895114941</v>
      </c>
    </row>
    <row r="571" spans="1:9" ht="12" customHeight="1" thickBot="1" x14ac:dyDescent="0.25">
      <c r="A571" s="1" t="s">
        <v>36</v>
      </c>
      <c r="B571" s="1" t="s">
        <v>37</v>
      </c>
      <c r="C571" s="1" t="s">
        <v>20</v>
      </c>
      <c r="D571" s="5">
        <v>45876</v>
      </c>
      <c r="E571" s="6">
        <v>66802665587</v>
      </c>
      <c r="F571" s="6">
        <v>0</v>
      </c>
      <c r="G571" s="6">
        <v>66802665587</v>
      </c>
      <c r="H571" s="6">
        <v>0</v>
      </c>
      <c r="I571" s="7">
        <v>66802665587</v>
      </c>
    </row>
    <row r="572" spans="1:9" ht="12" customHeight="1" thickBot="1" x14ac:dyDescent="0.25">
      <c r="A572" s="1" t="s">
        <v>36</v>
      </c>
      <c r="B572" s="1" t="s">
        <v>37</v>
      </c>
      <c r="C572" s="1" t="s">
        <v>20</v>
      </c>
      <c r="D572" s="5">
        <v>45877</v>
      </c>
      <c r="E572" s="6">
        <v>68704672489</v>
      </c>
      <c r="F572" s="6">
        <v>0</v>
      </c>
      <c r="G572" s="6">
        <v>68704672489</v>
      </c>
      <c r="H572" s="6">
        <v>0</v>
      </c>
      <c r="I572" s="7">
        <v>68704672489</v>
      </c>
    </row>
    <row r="573" spans="1:9" ht="12" customHeight="1" thickBot="1" x14ac:dyDescent="0.25">
      <c r="A573" s="1" t="s">
        <v>36</v>
      </c>
      <c r="B573" s="1" t="s">
        <v>37</v>
      </c>
      <c r="C573" s="1" t="s">
        <v>20</v>
      </c>
      <c r="D573" s="5">
        <v>45878</v>
      </c>
      <c r="E573" s="6">
        <v>70680096796</v>
      </c>
      <c r="F573" s="6">
        <v>0</v>
      </c>
      <c r="G573" s="6">
        <v>70680096796</v>
      </c>
      <c r="H573" s="6">
        <v>0</v>
      </c>
      <c r="I573" s="7">
        <v>70680096796</v>
      </c>
    </row>
    <row r="574" spans="1:9" ht="12" customHeight="1" thickBot="1" x14ac:dyDescent="0.25">
      <c r="A574" s="1" t="s">
        <v>36</v>
      </c>
      <c r="B574" s="1" t="s">
        <v>37</v>
      </c>
      <c r="C574" s="1" t="s">
        <v>20</v>
      </c>
      <c r="D574" s="5">
        <v>45879</v>
      </c>
      <c r="E574" s="6">
        <v>72762999894</v>
      </c>
      <c r="F574" s="6">
        <v>0</v>
      </c>
      <c r="G574" s="6">
        <v>72762999894</v>
      </c>
      <c r="H574" s="6">
        <v>0</v>
      </c>
      <c r="I574" s="7">
        <v>72762999894</v>
      </c>
    </row>
    <row r="575" spans="1:9" ht="12" customHeight="1" thickBot="1" x14ac:dyDescent="0.25">
      <c r="A575" s="1" t="s">
        <v>36</v>
      </c>
      <c r="B575" s="1" t="s">
        <v>37</v>
      </c>
      <c r="C575" s="1" t="s">
        <v>20</v>
      </c>
      <c r="D575" s="5">
        <v>45880</v>
      </c>
      <c r="E575" s="6">
        <v>74264083700</v>
      </c>
      <c r="F575" s="6">
        <v>0</v>
      </c>
      <c r="G575" s="6">
        <v>74264083700</v>
      </c>
      <c r="H575" s="6">
        <v>0</v>
      </c>
      <c r="I575" s="7">
        <v>74264083700</v>
      </c>
    </row>
    <row r="576" spans="1:9" ht="12" customHeight="1" thickBot="1" x14ac:dyDescent="0.25">
      <c r="A576" s="1" t="s">
        <v>36</v>
      </c>
      <c r="B576" s="1" t="s">
        <v>37</v>
      </c>
      <c r="C576" s="1" t="s">
        <v>20</v>
      </c>
      <c r="D576" s="5">
        <v>45881</v>
      </c>
      <c r="E576" s="6">
        <v>75609640646</v>
      </c>
      <c r="F576" s="6">
        <v>0</v>
      </c>
      <c r="G576" s="6">
        <v>75609640646</v>
      </c>
      <c r="H576" s="6">
        <v>0</v>
      </c>
      <c r="I576" s="7">
        <v>75609640646</v>
      </c>
    </row>
    <row r="577" spans="1:9" ht="12" customHeight="1" thickBot="1" x14ac:dyDescent="0.25">
      <c r="A577" s="1" t="s">
        <v>36</v>
      </c>
      <c r="B577" s="1" t="s">
        <v>37</v>
      </c>
      <c r="C577" s="1" t="s">
        <v>20</v>
      </c>
      <c r="D577" s="5">
        <v>45882</v>
      </c>
      <c r="E577" s="6">
        <v>77105819573</v>
      </c>
      <c r="F577" s="6">
        <v>0</v>
      </c>
      <c r="G577" s="6">
        <v>77105819573</v>
      </c>
      <c r="H577" s="6">
        <v>0</v>
      </c>
      <c r="I577" s="7">
        <v>77105819573</v>
      </c>
    </row>
    <row r="578" spans="1:9" ht="12" customHeight="1" thickBot="1" x14ac:dyDescent="0.25">
      <c r="A578" s="1" t="s">
        <v>36</v>
      </c>
      <c r="B578" s="1" t="s">
        <v>37</v>
      </c>
      <c r="C578" s="1" t="s">
        <v>20</v>
      </c>
      <c r="D578" s="5">
        <v>45883</v>
      </c>
      <c r="E578" s="6">
        <v>78623716308</v>
      </c>
      <c r="F578" s="6">
        <v>0</v>
      </c>
      <c r="G578" s="6">
        <v>78623716308</v>
      </c>
      <c r="H578" s="6">
        <v>0</v>
      </c>
      <c r="I578" s="7">
        <v>78623716308</v>
      </c>
    </row>
    <row r="579" spans="1:9" ht="12" customHeight="1" thickBot="1" x14ac:dyDescent="0.25">
      <c r="A579" s="1" t="s">
        <v>36</v>
      </c>
      <c r="B579" s="1" t="s">
        <v>37</v>
      </c>
      <c r="C579" s="1" t="s">
        <v>20</v>
      </c>
      <c r="D579" s="5">
        <v>45884</v>
      </c>
      <c r="E579" s="6">
        <v>80011974414</v>
      </c>
      <c r="F579" s="6">
        <v>0</v>
      </c>
      <c r="G579" s="6">
        <v>80011974414</v>
      </c>
      <c r="H579" s="6">
        <v>0</v>
      </c>
      <c r="I579" s="7">
        <v>80011974414</v>
      </c>
    </row>
    <row r="580" spans="1:9" ht="12" customHeight="1" thickBot="1" x14ac:dyDescent="0.25">
      <c r="A580" s="1" t="s">
        <v>36</v>
      </c>
      <c r="B580" s="1" t="s">
        <v>37</v>
      </c>
      <c r="C580" s="1" t="s">
        <v>20</v>
      </c>
      <c r="D580" s="5">
        <v>45885</v>
      </c>
      <c r="E580" s="6">
        <v>81500171691</v>
      </c>
      <c r="F580" s="6">
        <v>0</v>
      </c>
      <c r="G580" s="6">
        <v>81500171691</v>
      </c>
      <c r="H580" s="6">
        <v>0</v>
      </c>
      <c r="I580" s="7">
        <v>81500171691</v>
      </c>
    </row>
    <row r="581" spans="1:9" ht="12" customHeight="1" thickBot="1" x14ac:dyDescent="0.25">
      <c r="A581" s="1" t="s">
        <v>36</v>
      </c>
      <c r="B581" s="1" t="s">
        <v>37</v>
      </c>
      <c r="C581" s="1" t="s">
        <v>20</v>
      </c>
      <c r="D581" s="5">
        <v>45886</v>
      </c>
      <c r="E581" s="6">
        <v>82828938056</v>
      </c>
      <c r="F581" s="6">
        <v>0</v>
      </c>
      <c r="G581" s="6">
        <v>82828938056</v>
      </c>
      <c r="H581" s="6">
        <v>0</v>
      </c>
      <c r="I581" s="7">
        <v>82828938056</v>
      </c>
    </row>
    <row r="582" spans="1:9" ht="12" customHeight="1" thickBot="1" x14ac:dyDescent="0.25">
      <c r="A582" s="1" t="s">
        <v>36</v>
      </c>
      <c r="B582" s="1" t="s">
        <v>37</v>
      </c>
      <c r="C582" s="1" t="s">
        <v>20</v>
      </c>
      <c r="D582" s="5">
        <v>45887</v>
      </c>
      <c r="E582" s="6">
        <v>84114826597</v>
      </c>
      <c r="F582" s="6">
        <v>0</v>
      </c>
      <c r="G582" s="6">
        <v>84114826597</v>
      </c>
      <c r="H582" s="6">
        <v>0</v>
      </c>
      <c r="I582" s="7">
        <v>84114826597</v>
      </c>
    </row>
    <row r="583" spans="1:9" ht="12" customHeight="1" thickBot="1" x14ac:dyDescent="0.25">
      <c r="A583" s="1" t="s">
        <v>36</v>
      </c>
      <c r="B583" s="1" t="s">
        <v>37</v>
      </c>
      <c r="C583" s="1" t="s">
        <v>20</v>
      </c>
      <c r="D583" s="5">
        <v>45888</v>
      </c>
      <c r="E583" s="6">
        <v>84794244565</v>
      </c>
      <c r="F583" s="6">
        <v>0</v>
      </c>
      <c r="G583" s="6">
        <v>84794244565</v>
      </c>
      <c r="H583" s="6">
        <v>0</v>
      </c>
      <c r="I583" s="7">
        <v>84794244565</v>
      </c>
    </row>
    <row r="584" spans="1:9" ht="12" customHeight="1" thickBot="1" x14ac:dyDescent="0.25">
      <c r="A584" s="1" t="s">
        <v>36</v>
      </c>
      <c r="B584" s="1" t="s">
        <v>37</v>
      </c>
      <c r="C584" s="1" t="s">
        <v>20</v>
      </c>
      <c r="D584" s="5">
        <v>45889</v>
      </c>
      <c r="E584" s="6">
        <v>84881249198</v>
      </c>
      <c r="F584" s="6">
        <v>0</v>
      </c>
      <c r="G584" s="6">
        <v>84881249198</v>
      </c>
      <c r="H584" s="6">
        <v>0</v>
      </c>
      <c r="I584" s="7">
        <v>84881249198</v>
      </c>
    </row>
    <row r="585" spans="1:9" ht="12" customHeight="1" thickBot="1" x14ac:dyDescent="0.25">
      <c r="A585" s="1" t="s">
        <v>36</v>
      </c>
      <c r="B585" s="1" t="s">
        <v>37</v>
      </c>
      <c r="C585" s="1" t="s">
        <v>20</v>
      </c>
      <c r="D585" s="5">
        <v>45890</v>
      </c>
      <c r="E585" s="6">
        <v>84775225765</v>
      </c>
      <c r="F585" s="6">
        <v>0</v>
      </c>
      <c r="G585" s="6">
        <v>84775225765</v>
      </c>
      <c r="H585" s="6">
        <v>0</v>
      </c>
      <c r="I585" s="7">
        <v>84775225765</v>
      </c>
    </row>
    <row r="586" spans="1:9" ht="12" customHeight="1" thickBot="1" x14ac:dyDescent="0.25">
      <c r="A586" s="1" t="s">
        <v>36</v>
      </c>
      <c r="B586" s="1" t="s">
        <v>37</v>
      </c>
      <c r="C586" s="1" t="s">
        <v>20</v>
      </c>
      <c r="D586" s="5">
        <v>45891</v>
      </c>
      <c r="E586" s="6">
        <v>85004175891</v>
      </c>
      <c r="F586" s="6">
        <v>1285330845</v>
      </c>
      <c r="G586" s="6">
        <v>83718845046</v>
      </c>
      <c r="H586" s="6">
        <v>0</v>
      </c>
      <c r="I586" s="7">
        <v>85004175891</v>
      </c>
    </row>
    <row r="587" spans="1:9" ht="12" customHeight="1" thickBot="1" x14ac:dyDescent="0.25">
      <c r="A587" s="1" t="s">
        <v>36</v>
      </c>
      <c r="B587" s="1" t="s">
        <v>37</v>
      </c>
      <c r="C587" s="1" t="s">
        <v>20</v>
      </c>
      <c r="D587" s="5">
        <v>45892</v>
      </c>
      <c r="E587" s="6">
        <v>86201731152</v>
      </c>
      <c r="F587" s="6">
        <v>3054190415</v>
      </c>
      <c r="G587" s="6">
        <v>83147540737</v>
      </c>
      <c r="H587" s="6">
        <v>0</v>
      </c>
      <c r="I587" s="7">
        <v>86201731152</v>
      </c>
    </row>
    <row r="588" spans="1:9" ht="12" customHeight="1" thickBot="1" x14ac:dyDescent="0.25">
      <c r="A588" s="1" t="s">
        <v>36</v>
      </c>
      <c r="B588" s="1" t="s">
        <v>37</v>
      </c>
      <c r="C588" s="1" t="s">
        <v>20</v>
      </c>
      <c r="D588" s="5">
        <v>45893</v>
      </c>
      <c r="E588" s="6">
        <v>87402350986</v>
      </c>
      <c r="F588" s="6">
        <v>4033330781</v>
      </c>
      <c r="G588" s="6">
        <v>83369020205</v>
      </c>
      <c r="H588" s="6">
        <v>0</v>
      </c>
      <c r="I588" s="7">
        <v>87402350986</v>
      </c>
    </row>
    <row r="589" spans="1:9" ht="12" customHeight="1" thickBot="1" x14ac:dyDescent="0.25">
      <c r="A589" s="1" t="s">
        <v>36</v>
      </c>
      <c r="B589" s="1" t="s">
        <v>37</v>
      </c>
      <c r="C589" s="1" t="s">
        <v>20</v>
      </c>
      <c r="D589" s="5">
        <v>45894</v>
      </c>
      <c r="E589" s="6">
        <v>88716392822</v>
      </c>
      <c r="F589" s="6">
        <v>4761725971</v>
      </c>
      <c r="G589" s="6">
        <v>83954666851</v>
      </c>
      <c r="H589" s="6">
        <v>0</v>
      </c>
      <c r="I589" s="7">
        <v>88716392822</v>
      </c>
    </row>
    <row r="590" spans="1:9" ht="12" customHeight="1" thickBot="1" x14ac:dyDescent="0.25">
      <c r="A590" s="1" t="s">
        <v>36</v>
      </c>
      <c r="B590" s="1" t="s">
        <v>37</v>
      </c>
      <c r="C590" s="1" t="s">
        <v>20</v>
      </c>
      <c r="D590" s="5">
        <v>45895</v>
      </c>
      <c r="E590" s="6">
        <v>89901064197</v>
      </c>
      <c r="F590" s="6">
        <v>5193681823</v>
      </c>
      <c r="G590" s="6">
        <v>84707382374</v>
      </c>
      <c r="H590" s="6">
        <v>0</v>
      </c>
      <c r="I590" s="7">
        <v>89901064197</v>
      </c>
    </row>
    <row r="591" spans="1:9" ht="12" customHeight="1" thickBot="1" x14ac:dyDescent="0.25">
      <c r="A591" s="1" t="s">
        <v>36</v>
      </c>
      <c r="B591" s="1" t="s">
        <v>37</v>
      </c>
      <c r="C591" s="1" t="s">
        <v>20</v>
      </c>
      <c r="D591" s="5">
        <v>45896</v>
      </c>
      <c r="E591" s="6">
        <v>91286860384</v>
      </c>
      <c r="F591" s="6">
        <v>5488815796</v>
      </c>
      <c r="G591" s="6">
        <v>85798044588</v>
      </c>
      <c r="H591" s="6">
        <v>0</v>
      </c>
      <c r="I591" s="7">
        <v>91286860384</v>
      </c>
    </row>
    <row r="592" spans="1:9" ht="12" customHeight="1" thickBot="1" x14ac:dyDescent="0.25">
      <c r="A592" s="1" t="s">
        <v>36</v>
      </c>
      <c r="B592" s="1" t="s">
        <v>37</v>
      </c>
      <c r="C592" s="1" t="s">
        <v>20</v>
      </c>
      <c r="D592" s="5">
        <v>45897</v>
      </c>
      <c r="E592" s="6">
        <v>92814110910</v>
      </c>
      <c r="F592" s="6">
        <v>5915826515</v>
      </c>
      <c r="G592" s="6">
        <v>86898284395</v>
      </c>
      <c r="H592" s="6">
        <v>0</v>
      </c>
      <c r="I592" s="7">
        <v>92814110910</v>
      </c>
    </row>
    <row r="593" spans="1:9" ht="12" customHeight="1" thickBot="1" x14ac:dyDescent="0.25">
      <c r="A593" s="1" t="s">
        <v>36</v>
      </c>
      <c r="B593" s="1" t="s">
        <v>37</v>
      </c>
      <c r="C593" s="1" t="s">
        <v>20</v>
      </c>
      <c r="D593" s="5">
        <v>45898</v>
      </c>
      <c r="E593" s="6">
        <v>93661682314</v>
      </c>
      <c r="F593" s="6">
        <v>6196616615</v>
      </c>
      <c r="G593" s="6">
        <v>87465065699</v>
      </c>
      <c r="H593" s="6">
        <v>0</v>
      </c>
      <c r="I593" s="7">
        <v>93661682314</v>
      </c>
    </row>
    <row r="594" spans="1:9" ht="12" customHeight="1" thickBot="1" x14ac:dyDescent="0.25">
      <c r="A594" s="1" t="s">
        <v>36</v>
      </c>
      <c r="B594" s="1" t="s">
        <v>37</v>
      </c>
      <c r="C594" s="1" t="s">
        <v>20</v>
      </c>
      <c r="D594" s="5">
        <v>45899</v>
      </c>
      <c r="E594" s="6">
        <v>94858896793</v>
      </c>
      <c r="F594" s="6">
        <v>6483095105</v>
      </c>
      <c r="G594" s="6">
        <v>88375801688</v>
      </c>
      <c r="H594" s="6">
        <v>0</v>
      </c>
      <c r="I594" s="7">
        <v>94858896793</v>
      </c>
    </row>
    <row r="595" spans="1:9" ht="12" customHeight="1" thickBot="1" x14ac:dyDescent="0.25">
      <c r="A595" s="1" t="s">
        <v>36</v>
      </c>
      <c r="B595" s="1" t="s">
        <v>37</v>
      </c>
      <c r="C595" s="1" t="s">
        <v>20</v>
      </c>
      <c r="D595" s="5">
        <v>45900</v>
      </c>
      <c r="E595" s="6">
        <v>96267633529</v>
      </c>
      <c r="F595" s="6">
        <v>6749116378</v>
      </c>
      <c r="G595" s="6">
        <v>89518517151</v>
      </c>
      <c r="H595" s="6">
        <v>0</v>
      </c>
      <c r="I595" s="7">
        <v>96267633529</v>
      </c>
    </row>
    <row r="596" spans="1:9" ht="12" customHeight="1" thickBot="1" x14ac:dyDescent="0.25">
      <c r="A596" s="1" t="s">
        <v>36</v>
      </c>
      <c r="B596" s="1" t="s">
        <v>37</v>
      </c>
      <c r="C596" s="1" t="s">
        <v>20</v>
      </c>
      <c r="D596" s="5">
        <v>45901</v>
      </c>
      <c r="E596" s="6">
        <v>97716351503</v>
      </c>
      <c r="F596" s="6">
        <v>7136616464</v>
      </c>
      <c r="G596" s="6">
        <v>90579735039</v>
      </c>
      <c r="H596" s="6">
        <v>927732063</v>
      </c>
      <c r="I596" s="7">
        <v>96788619440</v>
      </c>
    </row>
    <row r="597" spans="1:9" ht="12" customHeight="1" thickBot="1" x14ac:dyDescent="0.25">
      <c r="A597" s="1" t="s">
        <v>36</v>
      </c>
      <c r="B597" s="1" t="s">
        <v>37</v>
      </c>
      <c r="C597" s="1" t="s">
        <v>20</v>
      </c>
      <c r="D597" s="5">
        <v>45902</v>
      </c>
      <c r="E597" s="6">
        <v>98966023673</v>
      </c>
      <c r="F597" s="6">
        <v>6995804829</v>
      </c>
      <c r="G597" s="6">
        <v>91970218844</v>
      </c>
      <c r="H597" s="6">
        <v>2354400607</v>
      </c>
      <c r="I597" s="7">
        <v>96611623066</v>
      </c>
    </row>
    <row r="598" spans="1:9" ht="12" customHeight="1" thickBot="1" x14ac:dyDescent="0.25">
      <c r="A598" s="1" t="s">
        <v>36</v>
      </c>
      <c r="B598" s="1" t="s">
        <v>37</v>
      </c>
      <c r="C598" s="1" t="s">
        <v>20</v>
      </c>
      <c r="D598" s="5">
        <v>45903</v>
      </c>
      <c r="E598" s="6">
        <v>99469664770</v>
      </c>
      <c r="F598" s="6">
        <v>6770755689</v>
      </c>
      <c r="G598" s="6">
        <v>92698909081</v>
      </c>
      <c r="H598" s="6">
        <v>3054999636</v>
      </c>
      <c r="I598" s="7">
        <v>96414665134</v>
      </c>
    </row>
    <row r="599" spans="1:9" ht="12" customHeight="1" thickBot="1" x14ac:dyDescent="0.25">
      <c r="A599" s="1" t="s">
        <v>36</v>
      </c>
      <c r="B599" s="1" t="s">
        <v>37</v>
      </c>
      <c r="C599" s="1" t="s">
        <v>20</v>
      </c>
      <c r="D599" s="5">
        <v>45904</v>
      </c>
      <c r="E599" s="6">
        <v>101002060659</v>
      </c>
      <c r="F599" s="6">
        <v>7832150192</v>
      </c>
      <c r="G599" s="6">
        <v>93169910467</v>
      </c>
      <c r="H599" s="6">
        <v>3669053245</v>
      </c>
      <c r="I599" s="7">
        <v>97333007414</v>
      </c>
    </row>
    <row r="600" spans="1:9" ht="12" customHeight="1" thickBot="1" x14ac:dyDescent="0.25">
      <c r="A600" s="1" t="s">
        <v>36</v>
      </c>
      <c r="B600" s="1" t="s">
        <v>37</v>
      </c>
      <c r="C600" s="1" t="s">
        <v>20</v>
      </c>
      <c r="D600" s="5">
        <v>45905</v>
      </c>
      <c r="E600" s="6">
        <v>101939268848</v>
      </c>
      <c r="F600" s="6">
        <v>7918857362</v>
      </c>
      <c r="G600" s="6">
        <v>94020411486</v>
      </c>
      <c r="H600" s="6">
        <v>4036229639</v>
      </c>
      <c r="I600" s="7">
        <v>97903039209</v>
      </c>
    </row>
    <row r="601" spans="1:9" ht="12" customHeight="1" thickBot="1" x14ac:dyDescent="0.25">
      <c r="A601" s="1" t="s">
        <v>36</v>
      </c>
      <c r="B601" s="1" t="s">
        <v>37</v>
      </c>
      <c r="C601" s="1" t="s">
        <v>20</v>
      </c>
      <c r="D601" s="5">
        <v>45906</v>
      </c>
      <c r="E601" s="6">
        <v>102979461832</v>
      </c>
      <c r="F601" s="6">
        <v>8082846386</v>
      </c>
      <c r="G601" s="6">
        <v>94896615446</v>
      </c>
      <c r="H601" s="6">
        <v>4311742751</v>
      </c>
      <c r="I601" s="7">
        <v>98667719081</v>
      </c>
    </row>
    <row r="602" spans="1:9" ht="12" customHeight="1" thickBot="1" x14ac:dyDescent="0.25">
      <c r="A602" s="1" t="s">
        <v>36</v>
      </c>
      <c r="B602" s="1" t="s">
        <v>37</v>
      </c>
      <c r="C602" s="1" t="s">
        <v>20</v>
      </c>
      <c r="D602" s="5">
        <v>45907</v>
      </c>
      <c r="E602" s="6">
        <v>104060234308</v>
      </c>
      <c r="F602" s="6">
        <v>8277637294</v>
      </c>
      <c r="G602" s="6">
        <v>95782597014</v>
      </c>
      <c r="H602" s="6">
        <v>4683546127</v>
      </c>
      <c r="I602" s="7">
        <v>99376688181</v>
      </c>
    </row>
    <row r="603" spans="1:9" ht="12" customHeight="1" thickBot="1" x14ac:dyDescent="0.25">
      <c r="A603" s="1" t="s">
        <v>36</v>
      </c>
      <c r="B603" s="1" t="s">
        <v>37</v>
      </c>
      <c r="C603" s="1" t="s">
        <v>20</v>
      </c>
      <c r="D603" s="5">
        <v>45908</v>
      </c>
      <c r="E603" s="6">
        <v>104874648835</v>
      </c>
      <c r="F603" s="6">
        <v>8454306499</v>
      </c>
      <c r="G603" s="6">
        <v>96420342336</v>
      </c>
      <c r="H603" s="6">
        <v>5018601019</v>
      </c>
      <c r="I603" s="7">
        <v>99856047816</v>
      </c>
    </row>
    <row r="604" spans="1:9" ht="12" customHeight="1" thickBot="1" x14ac:dyDescent="0.25">
      <c r="A604" s="1" t="s">
        <v>36</v>
      </c>
      <c r="B604" s="1" t="s">
        <v>37</v>
      </c>
      <c r="C604" s="1" t="s">
        <v>20</v>
      </c>
      <c r="D604" s="5">
        <v>45909</v>
      </c>
      <c r="E604" s="6">
        <v>107632864045</v>
      </c>
      <c r="F604" s="6">
        <v>8563042504</v>
      </c>
      <c r="G604" s="6">
        <v>99069821541</v>
      </c>
      <c r="H604" s="6">
        <v>5289291088</v>
      </c>
      <c r="I604" s="7">
        <v>102343572957</v>
      </c>
    </row>
    <row r="605" spans="1:9" ht="12" customHeight="1" thickBot="1" x14ac:dyDescent="0.25">
      <c r="A605" s="1" t="s">
        <v>36</v>
      </c>
      <c r="B605" s="1" t="s">
        <v>37</v>
      </c>
      <c r="C605" s="1" t="s">
        <v>20</v>
      </c>
      <c r="D605" s="5">
        <v>45910</v>
      </c>
      <c r="E605" s="6">
        <v>110362075313</v>
      </c>
      <c r="F605" s="6">
        <v>8566922580</v>
      </c>
      <c r="G605" s="6">
        <v>101795152733</v>
      </c>
      <c r="H605" s="6">
        <v>5465741518</v>
      </c>
      <c r="I605" s="7">
        <v>104896333795</v>
      </c>
    </row>
    <row r="606" spans="1:9" ht="12" customHeight="1" thickBot="1" x14ac:dyDescent="0.25">
      <c r="A606" s="1" t="s">
        <v>36</v>
      </c>
      <c r="B606" s="1" t="s">
        <v>37</v>
      </c>
      <c r="C606" s="1" t="s">
        <v>20</v>
      </c>
      <c r="D606" s="5">
        <v>45911</v>
      </c>
      <c r="E606" s="6">
        <v>113398738313</v>
      </c>
      <c r="F606" s="6">
        <v>8607267126</v>
      </c>
      <c r="G606" s="6">
        <v>104791471187</v>
      </c>
      <c r="H606" s="6">
        <v>5733584700</v>
      </c>
      <c r="I606" s="7">
        <v>107665153613</v>
      </c>
    </row>
    <row r="607" spans="1:9" ht="12" customHeight="1" thickBot="1" x14ac:dyDescent="0.25">
      <c r="A607" s="1" t="s">
        <v>36</v>
      </c>
      <c r="B607" s="1" t="s">
        <v>37</v>
      </c>
      <c r="C607" s="1" t="s">
        <v>20</v>
      </c>
      <c r="D607" s="5">
        <v>45912</v>
      </c>
      <c r="E607" s="6">
        <v>116382197504</v>
      </c>
      <c r="F607" s="6">
        <v>8713765887</v>
      </c>
      <c r="G607" s="6">
        <v>107668431617</v>
      </c>
      <c r="H607" s="6">
        <v>5662208473</v>
      </c>
      <c r="I607" s="7">
        <v>110719989031</v>
      </c>
    </row>
    <row r="608" spans="1:9" ht="12" customHeight="1" thickBot="1" x14ac:dyDescent="0.25">
      <c r="A608" s="1" t="s">
        <v>36</v>
      </c>
      <c r="B608" s="1" t="s">
        <v>37</v>
      </c>
      <c r="C608" s="1" t="s">
        <v>20</v>
      </c>
      <c r="D608" s="5">
        <v>45913</v>
      </c>
      <c r="E608" s="6">
        <v>119397024764</v>
      </c>
      <c r="F608" s="6">
        <v>8891492537</v>
      </c>
      <c r="G608" s="6">
        <v>110505532227</v>
      </c>
      <c r="H608" s="6">
        <v>5611188744</v>
      </c>
      <c r="I608" s="7">
        <v>113785836020</v>
      </c>
    </row>
    <row r="609" spans="1:9" ht="12" customHeight="1" thickBot="1" x14ac:dyDescent="0.25">
      <c r="A609" s="1" t="s">
        <v>36</v>
      </c>
      <c r="B609" s="1" t="s">
        <v>37</v>
      </c>
      <c r="C609" s="1" t="s">
        <v>20</v>
      </c>
      <c r="D609" s="5">
        <v>45914</v>
      </c>
      <c r="E609" s="6">
        <v>122698053574</v>
      </c>
      <c r="F609" s="6">
        <v>9025449761</v>
      </c>
      <c r="G609" s="6">
        <v>113672603813</v>
      </c>
      <c r="H609" s="6">
        <v>6392933543</v>
      </c>
      <c r="I609" s="7">
        <v>116305120031</v>
      </c>
    </row>
    <row r="610" spans="1:9" ht="12" customHeight="1" thickBot="1" x14ac:dyDescent="0.25">
      <c r="A610" s="1" t="s">
        <v>36</v>
      </c>
      <c r="B610" s="1" t="s">
        <v>37</v>
      </c>
      <c r="C610" s="1" t="s">
        <v>20</v>
      </c>
      <c r="D610" s="5">
        <v>45915</v>
      </c>
      <c r="E610" s="6">
        <v>126000567933</v>
      </c>
      <c r="F610" s="6">
        <v>9111569097</v>
      </c>
      <c r="G610" s="6">
        <v>116888998836</v>
      </c>
      <c r="H610" s="6">
        <v>6593998210</v>
      </c>
      <c r="I610" s="7">
        <v>119406569723</v>
      </c>
    </row>
    <row r="611" spans="1:9" ht="12" customHeight="1" thickBot="1" x14ac:dyDescent="0.25">
      <c r="A611" s="1" t="s">
        <v>36</v>
      </c>
      <c r="B611" s="1" t="s">
        <v>37</v>
      </c>
      <c r="C611" s="1" t="s">
        <v>20</v>
      </c>
      <c r="D611" s="5">
        <v>45916</v>
      </c>
      <c r="E611" s="6">
        <v>129242280560</v>
      </c>
      <c r="F611" s="6">
        <v>9191184907</v>
      </c>
      <c r="G611" s="6">
        <v>120051095653</v>
      </c>
      <c r="H611" s="6">
        <v>6725524806</v>
      </c>
      <c r="I611" s="7">
        <v>122516755754</v>
      </c>
    </row>
    <row r="612" spans="1:9" ht="12" customHeight="1" thickBot="1" x14ac:dyDescent="0.25">
      <c r="A612" s="1" t="s">
        <v>36</v>
      </c>
      <c r="B612" s="1" t="s">
        <v>37</v>
      </c>
      <c r="C612" s="1" t="s">
        <v>20</v>
      </c>
      <c r="D612" s="5">
        <v>45917</v>
      </c>
      <c r="E612" s="6">
        <v>132849669766</v>
      </c>
      <c r="F612" s="6">
        <v>9288771275</v>
      </c>
      <c r="G612" s="6">
        <v>123560898491</v>
      </c>
      <c r="H612" s="6">
        <v>6889812299</v>
      </c>
      <c r="I612" s="7">
        <v>125959857467</v>
      </c>
    </row>
    <row r="613" spans="1:9" ht="12" customHeight="1" thickBot="1" x14ac:dyDescent="0.25">
      <c r="A613" s="1" t="s">
        <v>36</v>
      </c>
      <c r="B613" s="1" t="s">
        <v>37</v>
      </c>
      <c r="C613" s="1" t="s">
        <v>20</v>
      </c>
      <c r="D613" s="5">
        <v>45918</v>
      </c>
      <c r="E613" s="6">
        <v>137105045680</v>
      </c>
      <c r="F613" s="6">
        <v>9505955565</v>
      </c>
      <c r="G613" s="6">
        <v>127599090115</v>
      </c>
      <c r="H613" s="6">
        <v>7098986572</v>
      </c>
      <c r="I613" s="7">
        <v>130006059108</v>
      </c>
    </row>
    <row r="614" spans="1:9" ht="12" customHeight="1" thickBot="1" x14ac:dyDescent="0.25">
      <c r="A614" s="1" t="s">
        <v>36</v>
      </c>
      <c r="B614" s="1" t="s">
        <v>37</v>
      </c>
      <c r="C614" s="1" t="s">
        <v>20</v>
      </c>
      <c r="D614" s="5">
        <v>45919</v>
      </c>
      <c r="E614" s="6">
        <v>140109969641</v>
      </c>
      <c r="F614" s="6">
        <v>9682795984</v>
      </c>
      <c r="G614" s="6">
        <v>130427173657</v>
      </c>
      <c r="H614" s="6">
        <v>7236832132</v>
      </c>
      <c r="I614" s="7">
        <v>132873137509</v>
      </c>
    </row>
    <row r="615" spans="1:9" ht="12" customHeight="1" thickBot="1" x14ac:dyDescent="0.25">
      <c r="A615" s="1" t="s">
        <v>36</v>
      </c>
      <c r="B615" s="1" t="s">
        <v>37</v>
      </c>
      <c r="C615" s="1" t="s">
        <v>20</v>
      </c>
      <c r="D615" s="5">
        <v>45920</v>
      </c>
      <c r="E615" s="6">
        <v>143069585446</v>
      </c>
      <c r="F615" s="6">
        <v>9897673755</v>
      </c>
      <c r="G615" s="6">
        <v>133171911691</v>
      </c>
      <c r="H615" s="6">
        <v>7423976493</v>
      </c>
      <c r="I615" s="7">
        <v>135645608953</v>
      </c>
    </row>
    <row r="616" spans="1:9" ht="12" customHeight="1" thickBot="1" x14ac:dyDescent="0.25">
      <c r="A616" s="1" t="s">
        <v>36</v>
      </c>
      <c r="B616" s="1" t="s">
        <v>37</v>
      </c>
      <c r="C616" s="1" t="s">
        <v>20</v>
      </c>
      <c r="D616" s="5">
        <v>45921</v>
      </c>
      <c r="E616" s="6">
        <v>145799799783</v>
      </c>
      <c r="F616" s="6">
        <v>10207373615</v>
      </c>
      <c r="G616" s="6">
        <v>135592426168</v>
      </c>
      <c r="H616" s="6">
        <v>7571713463</v>
      </c>
      <c r="I616" s="7">
        <v>138228086320</v>
      </c>
    </row>
    <row r="617" spans="1:9" ht="12" customHeight="1" thickBot="1" x14ac:dyDescent="0.25">
      <c r="A617" s="1" t="s">
        <v>36</v>
      </c>
      <c r="B617" s="1" t="s">
        <v>37</v>
      </c>
      <c r="C617" s="1" t="s">
        <v>20</v>
      </c>
      <c r="D617" s="5">
        <v>45922</v>
      </c>
      <c r="E617" s="6">
        <v>148520216586</v>
      </c>
      <c r="F617" s="6">
        <v>10415772796</v>
      </c>
      <c r="G617" s="6">
        <v>138104443790</v>
      </c>
      <c r="H617" s="6">
        <v>7742003975</v>
      </c>
      <c r="I617" s="7">
        <v>140778212611</v>
      </c>
    </row>
    <row r="618" spans="1:9" ht="12" customHeight="1" thickBot="1" x14ac:dyDescent="0.25">
      <c r="A618" s="1" t="s">
        <v>36</v>
      </c>
      <c r="B618" s="1" t="s">
        <v>37</v>
      </c>
      <c r="C618" s="1" t="s">
        <v>20</v>
      </c>
      <c r="D618" s="5">
        <v>45923</v>
      </c>
      <c r="E618" s="6">
        <v>151284393082</v>
      </c>
      <c r="F618" s="6">
        <v>10581833027</v>
      </c>
      <c r="G618" s="6">
        <v>140702560055</v>
      </c>
      <c r="H618" s="6">
        <v>7921742340</v>
      </c>
      <c r="I618" s="7">
        <v>143362650742</v>
      </c>
    </row>
    <row r="619" spans="1:9" ht="12" customHeight="1" thickBot="1" x14ac:dyDescent="0.25">
      <c r="A619" s="1" t="s">
        <v>36</v>
      </c>
      <c r="B619" s="1" t="s">
        <v>37</v>
      </c>
      <c r="C619" s="1" t="s">
        <v>20</v>
      </c>
      <c r="D619" s="5">
        <v>45924</v>
      </c>
      <c r="E619" s="6">
        <v>153877688925</v>
      </c>
      <c r="F619" s="6">
        <v>10752052239</v>
      </c>
      <c r="G619" s="6">
        <v>143125636686</v>
      </c>
      <c r="H619" s="6">
        <v>8053028652</v>
      </c>
      <c r="I619" s="7">
        <v>145824660273</v>
      </c>
    </row>
    <row r="620" spans="1:9" ht="12" customHeight="1" thickBot="1" x14ac:dyDescent="0.25">
      <c r="A620" s="1" t="s">
        <v>36</v>
      </c>
      <c r="B620" s="1" t="s">
        <v>37</v>
      </c>
      <c r="C620" s="1" t="s">
        <v>20</v>
      </c>
      <c r="D620" s="5">
        <v>45925</v>
      </c>
      <c r="E620" s="6">
        <v>156725444032</v>
      </c>
      <c r="F620" s="6">
        <v>10952068397</v>
      </c>
      <c r="G620" s="6">
        <v>145773375635</v>
      </c>
      <c r="H620" s="6">
        <v>8193364705</v>
      </c>
      <c r="I620" s="7">
        <v>148532079327</v>
      </c>
    </row>
    <row r="621" spans="1:9" ht="12" customHeight="1" thickBot="1" x14ac:dyDescent="0.25">
      <c r="A621" s="1" t="s">
        <v>36</v>
      </c>
      <c r="B621" s="1" t="s">
        <v>37</v>
      </c>
      <c r="C621" s="1" t="s">
        <v>20</v>
      </c>
      <c r="D621" s="5">
        <v>45926</v>
      </c>
      <c r="E621" s="6">
        <v>159371333927</v>
      </c>
      <c r="F621" s="6">
        <v>11222829379</v>
      </c>
      <c r="G621" s="6">
        <v>148148504548</v>
      </c>
      <c r="H621" s="6">
        <v>8329621043</v>
      </c>
      <c r="I621" s="7">
        <v>151041712884</v>
      </c>
    </row>
    <row r="622" spans="1:9" ht="12" customHeight="1" thickBot="1" x14ac:dyDescent="0.25">
      <c r="A622" s="1" t="s">
        <v>36</v>
      </c>
      <c r="B622" s="1" t="s">
        <v>37</v>
      </c>
      <c r="C622" s="1" t="s">
        <v>20</v>
      </c>
      <c r="D622" s="5">
        <v>45927</v>
      </c>
      <c r="E622" s="6">
        <v>162442816103</v>
      </c>
      <c r="F622" s="6">
        <v>11452495720</v>
      </c>
      <c r="G622" s="6">
        <v>150990320383</v>
      </c>
      <c r="H622" s="6">
        <v>8485083034</v>
      </c>
      <c r="I622" s="7">
        <v>153957733069</v>
      </c>
    </row>
    <row r="623" spans="1:9" ht="12" customHeight="1" thickBot="1" x14ac:dyDescent="0.25">
      <c r="A623" s="1" t="s">
        <v>36</v>
      </c>
      <c r="B623" s="1" t="s">
        <v>37</v>
      </c>
      <c r="C623" s="1" t="s">
        <v>20</v>
      </c>
      <c r="D623" s="5">
        <v>45928</v>
      </c>
      <c r="E623" s="6">
        <v>165207157768</v>
      </c>
      <c r="F623" s="6">
        <v>11785572353</v>
      </c>
      <c r="G623" s="6">
        <v>153421585415</v>
      </c>
      <c r="H623" s="6">
        <v>8662966199</v>
      </c>
      <c r="I623" s="7">
        <v>156544191569</v>
      </c>
    </row>
    <row r="624" spans="1:9" ht="12" customHeight="1" thickBot="1" x14ac:dyDescent="0.25">
      <c r="A624" s="1" t="s">
        <v>36</v>
      </c>
      <c r="B624" s="1" t="s">
        <v>37</v>
      </c>
      <c r="C624" s="1" t="s">
        <v>20</v>
      </c>
      <c r="D624" s="5">
        <v>45929</v>
      </c>
      <c r="E624" s="6">
        <v>167614688036</v>
      </c>
      <c r="F624" s="6">
        <v>12089237756</v>
      </c>
      <c r="G624" s="6">
        <v>155525450280</v>
      </c>
      <c r="H624" s="6">
        <v>8837977357</v>
      </c>
      <c r="I624" s="7">
        <v>158776710679</v>
      </c>
    </row>
    <row r="625" spans="1:9" ht="12" customHeight="1" thickBot="1" x14ac:dyDescent="0.25">
      <c r="A625" s="1" t="s">
        <v>36</v>
      </c>
      <c r="B625" s="1" t="s">
        <v>37</v>
      </c>
      <c r="C625" s="1" t="s">
        <v>20</v>
      </c>
      <c r="D625" s="5">
        <v>45930</v>
      </c>
      <c r="E625" s="6">
        <v>170712874053</v>
      </c>
      <c r="F625" s="6">
        <v>12179406852</v>
      </c>
      <c r="G625" s="6">
        <v>158533467201</v>
      </c>
      <c r="H625" s="6">
        <v>9039564531</v>
      </c>
      <c r="I625" s="7">
        <v>161673309522</v>
      </c>
    </row>
    <row r="626" spans="1:9" ht="12" customHeight="1" thickBot="1" x14ac:dyDescent="0.25">
      <c r="A626" s="1" t="s">
        <v>38</v>
      </c>
      <c r="B626" s="1" t="s">
        <v>31</v>
      </c>
      <c r="C626" s="1" t="s">
        <v>39</v>
      </c>
      <c r="D626" s="5">
        <v>45839</v>
      </c>
      <c r="E626" s="6">
        <v>1931617999</v>
      </c>
      <c r="F626" s="6">
        <v>494898976</v>
      </c>
      <c r="G626" s="6">
        <v>1436719023</v>
      </c>
      <c r="H626" s="6">
        <v>494898976</v>
      </c>
      <c r="I626" s="7">
        <v>1436719023</v>
      </c>
    </row>
    <row r="627" spans="1:9" ht="12" customHeight="1" thickBot="1" x14ac:dyDescent="0.25">
      <c r="A627" s="1" t="s">
        <v>38</v>
      </c>
      <c r="B627" s="1" t="s">
        <v>31</v>
      </c>
      <c r="C627" s="1" t="s">
        <v>39</v>
      </c>
      <c r="D627" s="5">
        <v>45840</v>
      </c>
      <c r="E627" s="6">
        <v>1900028234</v>
      </c>
      <c r="F627" s="6">
        <v>494898976</v>
      </c>
      <c r="G627" s="6">
        <v>1405129258</v>
      </c>
      <c r="H627" s="6">
        <v>494898976</v>
      </c>
      <c r="I627" s="7">
        <v>1405129258</v>
      </c>
    </row>
    <row r="628" spans="1:9" ht="12" customHeight="1" thickBot="1" x14ac:dyDescent="0.25">
      <c r="A628" s="1" t="s">
        <v>38</v>
      </c>
      <c r="B628" s="1" t="s">
        <v>31</v>
      </c>
      <c r="C628" s="1" t="s">
        <v>39</v>
      </c>
      <c r="D628" s="5">
        <v>45841</v>
      </c>
      <c r="E628" s="6">
        <v>1917898097</v>
      </c>
      <c r="F628" s="6">
        <v>494898976</v>
      </c>
      <c r="G628" s="6">
        <v>1422999121</v>
      </c>
      <c r="H628" s="6">
        <v>494898976</v>
      </c>
      <c r="I628" s="7">
        <v>1422999121</v>
      </c>
    </row>
    <row r="629" spans="1:9" ht="12" customHeight="1" thickBot="1" x14ac:dyDescent="0.25">
      <c r="A629" s="1" t="s">
        <v>38</v>
      </c>
      <c r="B629" s="1" t="s">
        <v>31</v>
      </c>
      <c r="C629" s="1" t="s">
        <v>39</v>
      </c>
      <c r="D629" s="5">
        <v>45842</v>
      </c>
      <c r="E629" s="6">
        <v>1925402726</v>
      </c>
      <c r="F629" s="6">
        <v>494898976</v>
      </c>
      <c r="G629" s="6">
        <v>1430503750</v>
      </c>
      <c r="H629" s="6">
        <v>494898976</v>
      </c>
      <c r="I629" s="7">
        <v>1430503750</v>
      </c>
    </row>
    <row r="630" spans="1:9" ht="12" customHeight="1" thickBot="1" x14ac:dyDescent="0.25">
      <c r="A630" s="1" t="s">
        <v>38</v>
      </c>
      <c r="B630" s="1" t="s">
        <v>31</v>
      </c>
      <c r="C630" s="1" t="s">
        <v>39</v>
      </c>
      <c r="D630" s="5">
        <v>45843</v>
      </c>
      <c r="E630" s="6">
        <v>1928048062</v>
      </c>
      <c r="F630" s="6">
        <v>492776729</v>
      </c>
      <c r="G630" s="6">
        <v>1435271333</v>
      </c>
      <c r="H630" s="6">
        <v>492776729</v>
      </c>
      <c r="I630" s="7">
        <v>1435271333</v>
      </c>
    </row>
    <row r="631" spans="1:9" ht="12" customHeight="1" thickBot="1" x14ac:dyDescent="0.25">
      <c r="A631" s="1" t="s">
        <v>38</v>
      </c>
      <c r="B631" s="1" t="s">
        <v>31</v>
      </c>
      <c r="C631" s="1" t="s">
        <v>39</v>
      </c>
      <c r="D631" s="5">
        <v>45844</v>
      </c>
      <c r="E631" s="6">
        <v>1933114135</v>
      </c>
      <c r="F631" s="6">
        <v>751061599</v>
      </c>
      <c r="G631" s="6">
        <v>1182052536</v>
      </c>
      <c r="H631" s="6">
        <v>492776729</v>
      </c>
      <c r="I631" s="7">
        <v>1440337406</v>
      </c>
    </row>
    <row r="632" spans="1:9" ht="12" customHeight="1" thickBot="1" x14ac:dyDescent="0.25">
      <c r="A632" s="1" t="s">
        <v>38</v>
      </c>
      <c r="B632" s="1" t="s">
        <v>31</v>
      </c>
      <c r="C632" s="1" t="s">
        <v>39</v>
      </c>
      <c r="D632" s="5">
        <v>45845</v>
      </c>
      <c r="E632" s="6">
        <v>1941383373</v>
      </c>
      <c r="F632" s="6">
        <v>689801696</v>
      </c>
      <c r="G632" s="6">
        <v>1251581677</v>
      </c>
      <c r="H632" s="6">
        <v>488785661</v>
      </c>
      <c r="I632" s="7">
        <v>1452597712</v>
      </c>
    </row>
    <row r="633" spans="1:9" ht="12" customHeight="1" thickBot="1" x14ac:dyDescent="0.25">
      <c r="A633" s="1" t="s">
        <v>38</v>
      </c>
      <c r="B633" s="1" t="s">
        <v>31</v>
      </c>
      <c r="C633" s="1" t="s">
        <v>39</v>
      </c>
      <c r="D633" s="5">
        <v>45846</v>
      </c>
      <c r="E633" s="6">
        <v>1965847776</v>
      </c>
      <c r="F633" s="6">
        <v>681687358</v>
      </c>
      <c r="G633" s="6">
        <v>1284160418</v>
      </c>
      <c r="H633" s="6">
        <v>488419013</v>
      </c>
      <c r="I633" s="7">
        <v>1477428763</v>
      </c>
    </row>
    <row r="634" spans="1:9" ht="12" customHeight="1" thickBot="1" x14ac:dyDescent="0.25">
      <c r="A634" s="1" t="s">
        <v>38</v>
      </c>
      <c r="B634" s="1" t="s">
        <v>31</v>
      </c>
      <c r="C634" s="1" t="s">
        <v>39</v>
      </c>
      <c r="D634" s="5">
        <v>45847</v>
      </c>
      <c r="E634" s="6">
        <v>1984654575</v>
      </c>
      <c r="F634" s="6">
        <v>669365794</v>
      </c>
      <c r="G634" s="6">
        <v>1315288781</v>
      </c>
      <c r="H634" s="6">
        <v>488419013</v>
      </c>
      <c r="I634" s="7">
        <v>1496235562</v>
      </c>
    </row>
    <row r="635" spans="1:9" ht="12" customHeight="1" thickBot="1" x14ac:dyDescent="0.25">
      <c r="A635" s="1" t="s">
        <v>38</v>
      </c>
      <c r="B635" s="1" t="s">
        <v>31</v>
      </c>
      <c r="C635" s="1" t="s">
        <v>39</v>
      </c>
      <c r="D635" s="5">
        <v>45848</v>
      </c>
      <c r="E635" s="6">
        <v>2006877725</v>
      </c>
      <c r="F635" s="6">
        <v>651824000</v>
      </c>
      <c r="G635" s="6">
        <v>1355053725</v>
      </c>
      <c r="H635" s="6">
        <v>487376513</v>
      </c>
      <c r="I635" s="7">
        <v>1519501212</v>
      </c>
    </row>
    <row r="636" spans="1:9" ht="12" customHeight="1" thickBot="1" x14ac:dyDescent="0.25">
      <c r="A636" s="1" t="s">
        <v>38</v>
      </c>
      <c r="B636" s="1" t="s">
        <v>31</v>
      </c>
      <c r="C636" s="1" t="s">
        <v>39</v>
      </c>
      <c r="D636" s="5">
        <v>45849</v>
      </c>
      <c r="E636" s="6">
        <v>2013343166</v>
      </c>
      <c r="F636" s="6">
        <v>642256969</v>
      </c>
      <c r="G636" s="6">
        <v>1371086197</v>
      </c>
      <c r="H636" s="6">
        <v>487376513</v>
      </c>
      <c r="I636" s="7">
        <v>1525966653</v>
      </c>
    </row>
    <row r="637" spans="1:9" ht="12" customHeight="1" thickBot="1" x14ac:dyDescent="0.25">
      <c r="A637" s="1" t="s">
        <v>38</v>
      </c>
      <c r="B637" s="1" t="s">
        <v>31</v>
      </c>
      <c r="C637" s="1" t="s">
        <v>39</v>
      </c>
      <c r="D637" s="5">
        <v>45850</v>
      </c>
      <c r="E637" s="6">
        <v>2010366500</v>
      </c>
      <c r="F637" s="6">
        <v>627907618</v>
      </c>
      <c r="G637" s="6">
        <v>1382458882</v>
      </c>
      <c r="H637" s="6">
        <v>483424355</v>
      </c>
      <c r="I637" s="7">
        <v>1526942145</v>
      </c>
    </row>
    <row r="638" spans="1:9" ht="12" customHeight="1" thickBot="1" x14ac:dyDescent="0.25">
      <c r="A638" s="1" t="s">
        <v>38</v>
      </c>
      <c r="B638" s="1" t="s">
        <v>31</v>
      </c>
      <c r="C638" s="1" t="s">
        <v>39</v>
      </c>
      <c r="D638" s="5">
        <v>45851</v>
      </c>
      <c r="E638" s="6">
        <v>2019745005</v>
      </c>
      <c r="F638" s="6">
        <v>627907618</v>
      </c>
      <c r="G638" s="6">
        <v>1391837387</v>
      </c>
      <c r="H638" s="6">
        <v>483424355</v>
      </c>
      <c r="I638" s="7">
        <v>1536320650</v>
      </c>
    </row>
    <row r="639" spans="1:9" ht="12" customHeight="1" thickBot="1" x14ac:dyDescent="0.25">
      <c r="A639" s="1" t="s">
        <v>38</v>
      </c>
      <c r="B639" s="1" t="s">
        <v>31</v>
      </c>
      <c r="C639" s="1" t="s">
        <v>39</v>
      </c>
      <c r="D639" s="5">
        <v>45852</v>
      </c>
      <c r="E639" s="6">
        <v>2035390515</v>
      </c>
      <c r="F639" s="6">
        <v>626407618</v>
      </c>
      <c r="G639" s="6">
        <v>1408982897</v>
      </c>
      <c r="H639" s="6">
        <v>483424355</v>
      </c>
      <c r="I639" s="7">
        <v>1551966160</v>
      </c>
    </row>
    <row r="640" spans="1:9" ht="12" customHeight="1" thickBot="1" x14ac:dyDescent="0.25">
      <c r="A640" s="1" t="s">
        <v>38</v>
      </c>
      <c r="B640" s="1" t="s">
        <v>31</v>
      </c>
      <c r="C640" s="1" t="s">
        <v>39</v>
      </c>
      <c r="D640" s="5">
        <v>45853</v>
      </c>
      <c r="E640" s="6">
        <v>2046241029</v>
      </c>
      <c r="F640" s="6">
        <v>613093221</v>
      </c>
      <c r="G640" s="6">
        <v>1433147808</v>
      </c>
      <c r="H640" s="6">
        <v>482820887</v>
      </c>
      <c r="I640" s="7">
        <v>1563420142</v>
      </c>
    </row>
    <row r="641" spans="1:9" ht="12" customHeight="1" thickBot="1" x14ac:dyDescent="0.25">
      <c r="A641" s="1" t="s">
        <v>38</v>
      </c>
      <c r="B641" s="1" t="s">
        <v>31</v>
      </c>
      <c r="C641" s="1" t="s">
        <v>39</v>
      </c>
      <c r="D641" s="5">
        <v>45854</v>
      </c>
      <c r="E641" s="6">
        <v>2046384878</v>
      </c>
      <c r="F641" s="6">
        <v>613093221</v>
      </c>
      <c r="G641" s="6">
        <v>1433291657</v>
      </c>
      <c r="H641" s="6">
        <v>613093221</v>
      </c>
      <c r="I641" s="7">
        <v>1433291657</v>
      </c>
    </row>
    <row r="642" spans="1:9" ht="12" customHeight="1" thickBot="1" x14ac:dyDescent="0.25">
      <c r="A642" s="1" t="s">
        <v>38</v>
      </c>
      <c r="B642" s="1" t="s">
        <v>31</v>
      </c>
      <c r="C642" s="1" t="s">
        <v>39</v>
      </c>
      <c r="D642" s="5">
        <v>45855</v>
      </c>
      <c r="E642" s="6">
        <v>2056994642</v>
      </c>
      <c r="F642" s="6">
        <v>613093221</v>
      </c>
      <c r="G642" s="6">
        <v>1443901421</v>
      </c>
      <c r="H642" s="6">
        <v>613093221</v>
      </c>
      <c r="I642" s="7">
        <v>1443901421</v>
      </c>
    </row>
    <row r="643" spans="1:9" ht="12" customHeight="1" thickBot="1" x14ac:dyDescent="0.25">
      <c r="A643" s="1" t="s">
        <v>38</v>
      </c>
      <c r="B643" s="1" t="s">
        <v>31</v>
      </c>
      <c r="C643" s="1" t="s">
        <v>39</v>
      </c>
      <c r="D643" s="5">
        <v>45856</v>
      </c>
      <c r="E643" s="6">
        <v>2070061197</v>
      </c>
      <c r="F643" s="6">
        <v>610501323</v>
      </c>
      <c r="G643" s="6">
        <v>1459559874</v>
      </c>
      <c r="H643" s="6">
        <v>610501323</v>
      </c>
      <c r="I643" s="7">
        <v>1459559874</v>
      </c>
    </row>
    <row r="644" spans="1:9" ht="12" customHeight="1" thickBot="1" x14ac:dyDescent="0.25">
      <c r="A644" s="1" t="s">
        <v>38</v>
      </c>
      <c r="B644" s="1" t="s">
        <v>31</v>
      </c>
      <c r="C644" s="1" t="s">
        <v>39</v>
      </c>
      <c r="D644" s="5">
        <v>45857</v>
      </c>
      <c r="E644" s="6">
        <v>2074353875</v>
      </c>
      <c r="F644" s="6">
        <v>610270377</v>
      </c>
      <c r="G644" s="6">
        <v>1464083498</v>
      </c>
      <c r="H644" s="6">
        <v>610270377</v>
      </c>
      <c r="I644" s="7">
        <v>1464083498</v>
      </c>
    </row>
    <row r="645" spans="1:9" ht="12" customHeight="1" thickBot="1" x14ac:dyDescent="0.25">
      <c r="A645" s="1" t="s">
        <v>38</v>
      </c>
      <c r="B645" s="1" t="s">
        <v>31</v>
      </c>
      <c r="C645" s="1" t="s">
        <v>39</v>
      </c>
      <c r="D645" s="5">
        <v>45858</v>
      </c>
      <c r="E645" s="6">
        <v>2096369812</v>
      </c>
      <c r="F645" s="6">
        <v>610253377</v>
      </c>
      <c r="G645" s="6">
        <v>1486116435</v>
      </c>
      <c r="H645" s="6">
        <v>610253377</v>
      </c>
      <c r="I645" s="7">
        <v>1486116435</v>
      </c>
    </row>
    <row r="646" spans="1:9" ht="12" customHeight="1" thickBot="1" x14ac:dyDescent="0.25">
      <c r="A646" s="1" t="s">
        <v>38</v>
      </c>
      <c r="B646" s="1" t="s">
        <v>31</v>
      </c>
      <c r="C646" s="1" t="s">
        <v>39</v>
      </c>
      <c r="D646" s="5">
        <v>45859</v>
      </c>
      <c r="E646" s="6">
        <v>2095136714</v>
      </c>
      <c r="F646" s="6">
        <v>610253377</v>
      </c>
      <c r="G646" s="6">
        <v>1484883337</v>
      </c>
      <c r="H646" s="6">
        <v>610253377</v>
      </c>
      <c r="I646" s="7">
        <v>1484883337</v>
      </c>
    </row>
    <row r="647" spans="1:9" ht="12" customHeight="1" thickBot="1" x14ac:dyDescent="0.25">
      <c r="A647" s="1" t="s">
        <v>38</v>
      </c>
      <c r="B647" s="1" t="s">
        <v>31</v>
      </c>
      <c r="C647" s="1" t="s">
        <v>39</v>
      </c>
      <c r="D647" s="5">
        <v>45860</v>
      </c>
      <c r="E647" s="6">
        <v>2082096683</v>
      </c>
      <c r="F647" s="6">
        <v>610253377</v>
      </c>
      <c r="G647" s="6">
        <v>1471843306</v>
      </c>
      <c r="H647" s="6">
        <v>610253377</v>
      </c>
      <c r="I647" s="7">
        <v>1471843306</v>
      </c>
    </row>
    <row r="648" spans="1:9" ht="12" customHeight="1" thickBot="1" x14ac:dyDescent="0.25">
      <c r="A648" s="1" t="s">
        <v>38</v>
      </c>
      <c r="B648" s="1" t="s">
        <v>31</v>
      </c>
      <c r="C648" s="1" t="s">
        <v>39</v>
      </c>
      <c r="D648" s="5">
        <v>45861</v>
      </c>
      <c r="E648" s="6">
        <v>2082473606</v>
      </c>
      <c r="F648" s="6">
        <v>610253377</v>
      </c>
      <c r="G648" s="6">
        <v>1472220229</v>
      </c>
      <c r="H648" s="6">
        <v>610253377</v>
      </c>
      <c r="I648" s="7">
        <v>1472220229</v>
      </c>
    </row>
    <row r="649" spans="1:9" ht="12" customHeight="1" thickBot="1" x14ac:dyDescent="0.25">
      <c r="A649" s="1" t="s">
        <v>38</v>
      </c>
      <c r="B649" s="1" t="s">
        <v>31</v>
      </c>
      <c r="C649" s="1" t="s">
        <v>39</v>
      </c>
      <c r="D649" s="5">
        <v>45862</v>
      </c>
      <c r="E649" s="6">
        <v>2085335347</v>
      </c>
      <c r="F649" s="6">
        <v>606347426</v>
      </c>
      <c r="G649" s="6">
        <v>1478987921</v>
      </c>
      <c r="H649" s="6">
        <v>606347426</v>
      </c>
      <c r="I649" s="7">
        <v>1478987921</v>
      </c>
    </row>
    <row r="650" spans="1:9" ht="12" customHeight="1" thickBot="1" x14ac:dyDescent="0.25">
      <c r="A650" s="1" t="s">
        <v>38</v>
      </c>
      <c r="B650" s="1" t="s">
        <v>31</v>
      </c>
      <c r="C650" s="1" t="s">
        <v>39</v>
      </c>
      <c r="D650" s="5">
        <v>45863</v>
      </c>
      <c r="E650" s="6">
        <v>2091521131</v>
      </c>
      <c r="F650" s="6">
        <v>606347426</v>
      </c>
      <c r="G650" s="6">
        <v>1485173705</v>
      </c>
      <c r="H650" s="6">
        <v>606347426</v>
      </c>
      <c r="I650" s="7">
        <v>1485173705</v>
      </c>
    </row>
    <row r="651" spans="1:9" ht="12" customHeight="1" thickBot="1" x14ac:dyDescent="0.25">
      <c r="A651" s="1" t="s">
        <v>38</v>
      </c>
      <c r="B651" s="1" t="s">
        <v>31</v>
      </c>
      <c r="C651" s="1" t="s">
        <v>39</v>
      </c>
      <c r="D651" s="5">
        <v>45864</v>
      </c>
      <c r="E651" s="6">
        <v>2099458963</v>
      </c>
      <c r="F651" s="6">
        <v>606347426</v>
      </c>
      <c r="G651" s="6">
        <v>1493111537</v>
      </c>
      <c r="H651" s="6">
        <v>606347426</v>
      </c>
      <c r="I651" s="7">
        <v>1493111537</v>
      </c>
    </row>
    <row r="652" spans="1:9" ht="12" customHeight="1" thickBot="1" x14ac:dyDescent="0.25">
      <c r="A652" s="1" t="s">
        <v>38</v>
      </c>
      <c r="B652" s="1" t="s">
        <v>31</v>
      </c>
      <c r="C652" s="1" t="s">
        <v>39</v>
      </c>
      <c r="D652" s="5">
        <v>45865</v>
      </c>
      <c r="E652" s="6">
        <v>2110720287</v>
      </c>
      <c r="F652" s="6">
        <v>606347426</v>
      </c>
      <c r="G652" s="6">
        <v>1504372861</v>
      </c>
      <c r="H652" s="6">
        <v>606347426</v>
      </c>
      <c r="I652" s="7">
        <v>1504372861</v>
      </c>
    </row>
    <row r="653" spans="1:9" ht="12" customHeight="1" thickBot="1" x14ac:dyDescent="0.25">
      <c r="A653" s="1" t="s">
        <v>38</v>
      </c>
      <c r="B653" s="1" t="s">
        <v>31</v>
      </c>
      <c r="C653" s="1" t="s">
        <v>39</v>
      </c>
      <c r="D653" s="5">
        <v>45866</v>
      </c>
      <c r="E653" s="6">
        <v>2107408666</v>
      </c>
      <c r="F653" s="6">
        <v>606347426</v>
      </c>
      <c r="G653" s="6">
        <v>1501061240</v>
      </c>
      <c r="H653" s="6">
        <v>606347426</v>
      </c>
      <c r="I653" s="7">
        <v>1501061240</v>
      </c>
    </row>
    <row r="654" spans="1:9" ht="12" customHeight="1" thickBot="1" x14ac:dyDescent="0.25">
      <c r="A654" s="1" t="s">
        <v>38</v>
      </c>
      <c r="B654" s="1" t="s">
        <v>31</v>
      </c>
      <c r="C654" s="1" t="s">
        <v>39</v>
      </c>
      <c r="D654" s="5">
        <v>45867</v>
      </c>
      <c r="E654" s="6">
        <v>2097641073</v>
      </c>
      <c r="F654" s="6">
        <v>606347426</v>
      </c>
      <c r="G654" s="6">
        <v>1491293647</v>
      </c>
      <c r="H654" s="6">
        <v>606347426</v>
      </c>
      <c r="I654" s="7">
        <v>1491293647</v>
      </c>
    </row>
    <row r="655" spans="1:9" ht="12" customHeight="1" thickBot="1" x14ac:dyDescent="0.25">
      <c r="A655" s="1" t="s">
        <v>38</v>
      </c>
      <c r="B655" s="1" t="s">
        <v>31</v>
      </c>
      <c r="C655" s="1" t="s">
        <v>39</v>
      </c>
      <c r="D655" s="5">
        <v>45868</v>
      </c>
      <c r="E655" s="6">
        <v>2091070374</v>
      </c>
      <c r="F655" s="6">
        <v>601147985</v>
      </c>
      <c r="G655" s="6">
        <v>1489922389</v>
      </c>
      <c r="H655" s="6">
        <v>601147985</v>
      </c>
      <c r="I655" s="7">
        <v>1489922389</v>
      </c>
    </row>
    <row r="656" spans="1:9" ht="12" customHeight="1" thickBot="1" x14ac:dyDescent="0.25">
      <c r="A656" s="1" t="s">
        <v>38</v>
      </c>
      <c r="B656" s="1" t="s">
        <v>31</v>
      </c>
      <c r="C656" s="1" t="s">
        <v>39</v>
      </c>
      <c r="D656" s="5">
        <v>45869</v>
      </c>
      <c r="E656" s="6">
        <v>2087409662</v>
      </c>
      <c r="F656" s="6">
        <v>601147985</v>
      </c>
      <c r="G656" s="6">
        <v>1486261677</v>
      </c>
      <c r="H656" s="6">
        <v>601147985</v>
      </c>
      <c r="I656" s="7">
        <v>1486261677</v>
      </c>
    </row>
    <row r="657" spans="1:9" ht="12" customHeight="1" thickBot="1" x14ac:dyDescent="0.25">
      <c r="A657" s="1" t="s">
        <v>38</v>
      </c>
      <c r="B657" s="1" t="s">
        <v>31</v>
      </c>
      <c r="C657" s="1" t="s">
        <v>39</v>
      </c>
      <c r="D657" s="5">
        <v>45870</v>
      </c>
      <c r="E657" s="6">
        <v>2076848548</v>
      </c>
      <c r="F657" s="6">
        <v>601147985</v>
      </c>
      <c r="G657" s="6">
        <v>1475700563</v>
      </c>
      <c r="H657" s="6">
        <v>601147985</v>
      </c>
      <c r="I657" s="7">
        <v>1475700563</v>
      </c>
    </row>
    <row r="658" spans="1:9" ht="12" customHeight="1" thickBot="1" x14ac:dyDescent="0.25">
      <c r="A658" s="1" t="s">
        <v>38</v>
      </c>
      <c r="B658" s="1" t="s">
        <v>31</v>
      </c>
      <c r="C658" s="1" t="s">
        <v>39</v>
      </c>
      <c r="D658" s="5">
        <v>45871</v>
      </c>
      <c r="E658" s="6">
        <v>2088264763</v>
      </c>
      <c r="F658" s="6">
        <v>601147985</v>
      </c>
      <c r="G658" s="6">
        <v>1487116778</v>
      </c>
      <c r="H658" s="6">
        <v>601147985</v>
      </c>
      <c r="I658" s="7">
        <v>1487116778</v>
      </c>
    </row>
    <row r="659" spans="1:9" ht="12" customHeight="1" thickBot="1" x14ac:dyDescent="0.25">
      <c r="A659" s="1" t="s">
        <v>38</v>
      </c>
      <c r="B659" s="1" t="s">
        <v>31</v>
      </c>
      <c r="C659" s="1" t="s">
        <v>39</v>
      </c>
      <c r="D659" s="5">
        <v>45872</v>
      </c>
      <c r="E659" s="6">
        <v>2094874906</v>
      </c>
      <c r="F659" s="6">
        <v>601147985</v>
      </c>
      <c r="G659" s="6">
        <v>1493726921</v>
      </c>
      <c r="H659" s="6">
        <v>601147985</v>
      </c>
      <c r="I659" s="7">
        <v>1493726921</v>
      </c>
    </row>
    <row r="660" spans="1:9" ht="12" customHeight="1" thickBot="1" x14ac:dyDescent="0.25">
      <c r="A660" s="1" t="s">
        <v>38</v>
      </c>
      <c r="B660" s="1" t="s">
        <v>31</v>
      </c>
      <c r="C660" s="1" t="s">
        <v>39</v>
      </c>
      <c r="D660" s="5">
        <v>45873</v>
      </c>
      <c r="E660" s="6">
        <v>2072038568</v>
      </c>
      <c r="F660" s="6">
        <v>597169690</v>
      </c>
      <c r="G660" s="6">
        <v>1474868878</v>
      </c>
      <c r="H660" s="6">
        <v>597169690</v>
      </c>
      <c r="I660" s="7">
        <v>1474868878</v>
      </c>
    </row>
    <row r="661" spans="1:9" ht="12" customHeight="1" thickBot="1" x14ac:dyDescent="0.25">
      <c r="A661" s="1" t="s">
        <v>38</v>
      </c>
      <c r="B661" s="1" t="s">
        <v>31</v>
      </c>
      <c r="C661" s="1" t="s">
        <v>39</v>
      </c>
      <c r="D661" s="5">
        <v>45874</v>
      </c>
      <c r="E661" s="6">
        <v>2074050714</v>
      </c>
      <c r="F661" s="6">
        <v>788229949</v>
      </c>
      <c r="G661" s="6">
        <v>1285820765</v>
      </c>
      <c r="H661" s="6">
        <v>597169690</v>
      </c>
      <c r="I661" s="7">
        <v>1476881024</v>
      </c>
    </row>
    <row r="662" spans="1:9" ht="12" customHeight="1" thickBot="1" x14ac:dyDescent="0.25">
      <c r="A662" s="1" t="s">
        <v>38</v>
      </c>
      <c r="B662" s="1" t="s">
        <v>31</v>
      </c>
      <c r="C662" s="1" t="s">
        <v>39</v>
      </c>
      <c r="D662" s="5">
        <v>45875</v>
      </c>
      <c r="E662" s="6">
        <v>2094960306</v>
      </c>
      <c r="F662" s="6">
        <v>762307939</v>
      </c>
      <c r="G662" s="6">
        <v>1332652367</v>
      </c>
      <c r="H662" s="6">
        <v>597169690</v>
      </c>
      <c r="I662" s="7">
        <v>1497790616</v>
      </c>
    </row>
    <row r="663" spans="1:9" ht="12" customHeight="1" thickBot="1" x14ac:dyDescent="0.25">
      <c r="A663" s="1" t="s">
        <v>38</v>
      </c>
      <c r="B663" s="1" t="s">
        <v>31</v>
      </c>
      <c r="C663" s="1" t="s">
        <v>39</v>
      </c>
      <c r="D663" s="5">
        <v>45876</v>
      </c>
      <c r="E663" s="6">
        <v>2115452461</v>
      </c>
      <c r="F663" s="6">
        <v>750102101</v>
      </c>
      <c r="G663" s="6">
        <v>1365350360</v>
      </c>
      <c r="H663" s="6">
        <v>597169690</v>
      </c>
      <c r="I663" s="7">
        <v>1518282771</v>
      </c>
    </row>
    <row r="664" spans="1:9" ht="12" customHeight="1" thickBot="1" x14ac:dyDescent="0.25">
      <c r="A664" s="1" t="s">
        <v>38</v>
      </c>
      <c r="B664" s="1" t="s">
        <v>31</v>
      </c>
      <c r="C664" s="1" t="s">
        <v>39</v>
      </c>
      <c r="D664" s="5">
        <v>45877</v>
      </c>
      <c r="E664" s="6">
        <v>2148127533</v>
      </c>
      <c r="F664" s="6">
        <v>743198210</v>
      </c>
      <c r="G664" s="6">
        <v>1404929323</v>
      </c>
      <c r="H664" s="6">
        <v>597169690</v>
      </c>
      <c r="I664" s="7">
        <v>1550957843</v>
      </c>
    </row>
    <row r="665" spans="1:9" ht="12" customHeight="1" thickBot="1" x14ac:dyDescent="0.25">
      <c r="A665" s="1" t="s">
        <v>38</v>
      </c>
      <c r="B665" s="1" t="s">
        <v>31</v>
      </c>
      <c r="C665" s="1" t="s">
        <v>39</v>
      </c>
      <c r="D665" s="5">
        <v>45878</v>
      </c>
      <c r="E665" s="6">
        <v>2157195334</v>
      </c>
      <c r="F665" s="6">
        <v>742211814</v>
      </c>
      <c r="G665" s="6">
        <v>1414983520</v>
      </c>
      <c r="H665" s="6">
        <v>596966490</v>
      </c>
      <c r="I665" s="7">
        <v>1560228844</v>
      </c>
    </row>
    <row r="666" spans="1:9" ht="12" customHeight="1" thickBot="1" x14ac:dyDescent="0.25">
      <c r="A666" s="1" t="s">
        <v>38</v>
      </c>
      <c r="B666" s="1" t="s">
        <v>31</v>
      </c>
      <c r="C666" s="1" t="s">
        <v>39</v>
      </c>
      <c r="D666" s="5">
        <v>45879</v>
      </c>
      <c r="E666" s="6">
        <v>2174729814</v>
      </c>
      <c r="F666" s="6">
        <v>738017920</v>
      </c>
      <c r="G666" s="6">
        <v>1436711894</v>
      </c>
      <c r="H666" s="6">
        <v>596966490</v>
      </c>
      <c r="I666" s="7">
        <v>1577763324</v>
      </c>
    </row>
    <row r="667" spans="1:9" ht="12" customHeight="1" thickBot="1" x14ac:dyDescent="0.25">
      <c r="A667" s="1" t="s">
        <v>38</v>
      </c>
      <c r="B667" s="1" t="s">
        <v>31</v>
      </c>
      <c r="C667" s="1" t="s">
        <v>39</v>
      </c>
      <c r="D667" s="5">
        <v>45880</v>
      </c>
      <c r="E667" s="6">
        <v>2201884140</v>
      </c>
      <c r="F667" s="6">
        <v>725651166</v>
      </c>
      <c r="G667" s="6">
        <v>1476232974</v>
      </c>
      <c r="H667" s="6">
        <v>596380377</v>
      </c>
      <c r="I667" s="7">
        <v>1605503763</v>
      </c>
    </row>
    <row r="668" spans="1:9" ht="12" customHeight="1" thickBot="1" x14ac:dyDescent="0.25">
      <c r="A668" s="1" t="s">
        <v>38</v>
      </c>
      <c r="B668" s="1" t="s">
        <v>31</v>
      </c>
      <c r="C668" s="1" t="s">
        <v>39</v>
      </c>
      <c r="D668" s="5">
        <v>45881</v>
      </c>
      <c r="E668" s="6">
        <v>2212677587</v>
      </c>
      <c r="F668" s="6">
        <v>720805997</v>
      </c>
      <c r="G668" s="6">
        <v>1491871590</v>
      </c>
      <c r="H668" s="6">
        <v>596380377</v>
      </c>
      <c r="I668" s="7">
        <v>1616297210</v>
      </c>
    </row>
    <row r="669" spans="1:9" ht="12" customHeight="1" thickBot="1" x14ac:dyDescent="0.25">
      <c r="A669" s="1" t="s">
        <v>38</v>
      </c>
      <c r="B669" s="1" t="s">
        <v>31</v>
      </c>
      <c r="C669" s="1" t="s">
        <v>39</v>
      </c>
      <c r="D669" s="5">
        <v>45882</v>
      </c>
      <c r="E669" s="6">
        <v>2219085077</v>
      </c>
      <c r="F669" s="6">
        <v>720805997</v>
      </c>
      <c r="G669" s="6">
        <v>1498279080</v>
      </c>
      <c r="H669" s="6">
        <v>596380377</v>
      </c>
      <c r="I669" s="7">
        <v>1622704700</v>
      </c>
    </row>
    <row r="670" spans="1:9" ht="12" customHeight="1" thickBot="1" x14ac:dyDescent="0.25">
      <c r="A670" s="1" t="s">
        <v>38</v>
      </c>
      <c r="B670" s="1" t="s">
        <v>31</v>
      </c>
      <c r="C670" s="1" t="s">
        <v>39</v>
      </c>
      <c r="D670" s="5">
        <v>45883</v>
      </c>
      <c r="E670" s="6">
        <v>2243293838</v>
      </c>
      <c r="F670" s="6">
        <v>717831725</v>
      </c>
      <c r="G670" s="6">
        <v>1525462113</v>
      </c>
      <c r="H670" s="6">
        <v>596380377</v>
      </c>
      <c r="I670" s="7">
        <v>1646913461</v>
      </c>
    </row>
    <row r="671" spans="1:9" ht="12" customHeight="1" thickBot="1" x14ac:dyDescent="0.25">
      <c r="A671" s="1" t="s">
        <v>38</v>
      </c>
      <c r="B671" s="1" t="s">
        <v>31</v>
      </c>
      <c r="C671" s="1" t="s">
        <v>39</v>
      </c>
      <c r="D671" s="5">
        <v>45884</v>
      </c>
      <c r="E671" s="6">
        <v>2264956477</v>
      </c>
      <c r="F671" s="6">
        <v>717831725</v>
      </c>
      <c r="G671" s="6">
        <v>1547124752</v>
      </c>
      <c r="H671" s="6">
        <v>717831725</v>
      </c>
      <c r="I671" s="7">
        <v>1547124752</v>
      </c>
    </row>
    <row r="672" spans="1:9" ht="12" customHeight="1" thickBot="1" x14ac:dyDescent="0.25">
      <c r="A672" s="1" t="s">
        <v>38</v>
      </c>
      <c r="B672" s="1" t="s">
        <v>31</v>
      </c>
      <c r="C672" s="1" t="s">
        <v>39</v>
      </c>
      <c r="D672" s="5">
        <v>45885</v>
      </c>
      <c r="E672" s="6">
        <v>2282620783</v>
      </c>
      <c r="F672" s="6">
        <v>713308327</v>
      </c>
      <c r="G672" s="6">
        <v>1569312456</v>
      </c>
      <c r="H672" s="6">
        <v>713308327</v>
      </c>
      <c r="I672" s="7">
        <v>1569312456</v>
      </c>
    </row>
    <row r="673" spans="1:9" ht="12" customHeight="1" thickBot="1" x14ac:dyDescent="0.25">
      <c r="A673" s="1" t="s">
        <v>38</v>
      </c>
      <c r="B673" s="1" t="s">
        <v>31</v>
      </c>
      <c r="C673" s="1" t="s">
        <v>39</v>
      </c>
      <c r="D673" s="5">
        <v>45886</v>
      </c>
      <c r="E673" s="6">
        <v>2286191535</v>
      </c>
      <c r="F673" s="6">
        <v>713308327</v>
      </c>
      <c r="G673" s="6">
        <v>1572883208</v>
      </c>
      <c r="H673" s="6">
        <v>713308327</v>
      </c>
      <c r="I673" s="7">
        <v>1572883208</v>
      </c>
    </row>
    <row r="674" spans="1:9" ht="12" customHeight="1" thickBot="1" x14ac:dyDescent="0.25">
      <c r="A674" s="1" t="s">
        <v>38</v>
      </c>
      <c r="B674" s="1" t="s">
        <v>31</v>
      </c>
      <c r="C674" s="1" t="s">
        <v>39</v>
      </c>
      <c r="D674" s="5">
        <v>45887</v>
      </c>
      <c r="E674" s="6">
        <v>2301848220</v>
      </c>
      <c r="F674" s="6">
        <v>713308327</v>
      </c>
      <c r="G674" s="6">
        <v>1588539893</v>
      </c>
      <c r="H674" s="6">
        <v>713308327</v>
      </c>
      <c r="I674" s="7">
        <v>1588539893</v>
      </c>
    </row>
    <row r="675" spans="1:9" ht="12" customHeight="1" thickBot="1" x14ac:dyDescent="0.25">
      <c r="A675" s="1" t="s">
        <v>38</v>
      </c>
      <c r="B675" s="1" t="s">
        <v>31</v>
      </c>
      <c r="C675" s="1" t="s">
        <v>39</v>
      </c>
      <c r="D675" s="5">
        <v>45888</v>
      </c>
      <c r="E675" s="6">
        <v>2305155189</v>
      </c>
      <c r="F675" s="6">
        <v>710316596</v>
      </c>
      <c r="G675" s="6">
        <v>1594838593</v>
      </c>
      <c r="H675" s="6">
        <v>710316596</v>
      </c>
      <c r="I675" s="7">
        <v>1594838593</v>
      </c>
    </row>
    <row r="676" spans="1:9" ht="12" customHeight="1" thickBot="1" x14ac:dyDescent="0.25">
      <c r="A676" s="1" t="s">
        <v>38</v>
      </c>
      <c r="B676" s="1" t="s">
        <v>31</v>
      </c>
      <c r="C676" s="1" t="s">
        <v>39</v>
      </c>
      <c r="D676" s="5">
        <v>45889</v>
      </c>
      <c r="E676" s="6">
        <v>2317534319</v>
      </c>
      <c r="F676" s="6">
        <v>706060947</v>
      </c>
      <c r="G676" s="6">
        <v>1611473372</v>
      </c>
      <c r="H676" s="6">
        <v>706060947</v>
      </c>
      <c r="I676" s="7">
        <v>1611473372</v>
      </c>
    </row>
    <row r="677" spans="1:9" ht="12" customHeight="1" thickBot="1" x14ac:dyDescent="0.25">
      <c r="A677" s="1" t="s">
        <v>38</v>
      </c>
      <c r="B677" s="1" t="s">
        <v>31</v>
      </c>
      <c r="C677" s="1" t="s">
        <v>39</v>
      </c>
      <c r="D677" s="5">
        <v>45890</v>
      </c>
      <c r="E677" s="6">
        <v>2308011148</v>
      </c>
      <c r="F677" s="6">
        <v>701074073</v>
      </c>
      <c r="G677" s="6">
        <v>1606937075</v>
      </c>
      <c r="H677" s="6">
        <v>701074073</v>
      </c>
      <c r="I677" s="7">
        <v>1606937075</v>
      </c>
    </row>
    <row r="678" spans="1:9" ht="12" customHeight="1" thickBot="1" x14ac:dyDescent="0.25">
      <c r="A678" s="1" t="s">
        <v>38</v>
      </c>
      <c r="B678" s="1" t="s">
        <v>31</v>
      </c>
      <c r="C678" s="1" t="s">
        <v>39</v>
      </c>
      <c r="D678" s="5">
        <v>45891</v>
      </c>
      <c r="E678" s="6">
        <v>2311818034</v>
      </c>
      <c r="F678" s="6">
        <v>701074073</v>
      </c>
      <c r="G678" s="6">
        <v>1610743961</v>
      </c>
      <c r="H678" s="6">
        <v>701074073</v>
      </c>
      <c r="I678" s="7">
        <v>1610743961</v>
      </c>
    </row>
    <row r="679" spans="1:9" ht="12" customHeight="1" thickBot="1" x14ac:dyDescent="0.25">
      <c r="A679" s="1" t="s">
        <v>38</v>
      </c>
      <c r="B679" s="1" t="s">
        <v>31</v>
      </c>
      <c r="C679" s="1" t="s">
        <v>39</v>
      </c>
      <c r="D679" s="5">
        <v>45892</v>
      </c>
      <c r="E679" s="6">
        <v>2314532344</v>
      </c>
      <c r="F679" s="6">
        <v>701074073</v>
      </c>
      <c r="G679" s="6">
        <v>1613458271</v>
      </c>
      <c r="H679" s="6">
        <v>701074073</v>
      </c>
      <c r="I679" s="7">
        <v>1613458271</v>
      </c>
    </row>
    <row r="680" spans="1:9" ht="12" customHeight="1" thickBot="1" x14ac:dyDescent="0.25">
      <c r="A680" s="1" t="s">
        <v>38</v>
      </c>
      <c r="B680" s="1" t="s">
        <v>31</v>
      </c>
      <c r="C680" s="1" t="s">
        <v>39</v>
      </c>
      <c r="D680" s="5">
        <v>45893</v>
      </c>
      <c r="E680" s="6">
        <v>2316389943</v>
      </c>
      <c r="F680" s="6">
        <v>701074073</v>
      </c>
      <c r="G680" s="6">
        <v>1615315870</v>
      </c>
      <c r="H680" s="6">
        <v>701074073</v>
      </c>
      <c r="I680" s="7">
        <v>1615315870</v>
      </c>
    </row>
    <row r="681" spans="1:9" ht="12" customHeight="1" thickBot="1" x14ac:dyDescent="0.25">
      <c r="A681" s="1" t="s">
        <v>38</v>
      </c>
      <c r="B681" s="1" t="s">
        <v>31</v>
      </c>
      <c r="C681" s="1" t="s">
        <v>39</v>
      </c>
      <c r="D681" s="5">
        <v>45894</v>
      </c>
      <c r="E681" s="6">
        <v>2307398754</v>
      </c>
      <c r="F681" s="6">
        <v>701074073</v>
      </c>
      <c r="G681" s="6">
        <v>1606324681</v>
      </c>
      <c r="H681" s="6">
        <v>701074073</v>
      </c>
      <c r="I681" s="7">
        <v>1606324681</v>
      </c>
    </row>
    <row r="682" spans="1:9" ht="12" customHeight="1" thickBot="1" x14ac:dyDescent="0.25">
      <c r="A682" s="1" t="s">
        <v>38</v>
      </c>
      <c r="B682" s="1" t="s">
        <v>31</v>
      </c>
      <c r="C682" s="1" t="s">
        <v>39</v>
      </c>
      <c r="D682" s="5">
        <v>45895</v>
      </c>
      <c r="E682" s="6">
        <v>2310799645</v>
      </c>
      <c r="F682" s="6">
        <v>697090853</v>
      </c>
      <c r="G682" s="6">
        <v>1613708792</v>
      </c>
      <c r="H682" s="6">
        <v>697090853</v>
      </c>
      <c r="I682" s="7">
        <v>1613708792</v>
      </c>
    </row>
    <row r="683" spans="1:9" ht="12" customHeight="1" thickBot="1" x14ac:dyDescent="0.25">
      <c r="A683" s="1" t="s">
        <v>38</v>
      </c>
      <c r="B683" s="1" t="s">
        <v>31</v>
      </c>
      <c r="C683" s="1" t="s">
        <v>39</v>
      </c>
      <c r="D683" s="5">
        <v>45896</v>
      </c>
      <c r="E683" s="6">
        <v>2302808082</v>
      </c>
      <c r="F683" s="6">
        <v>693095402</v>
      </c>
      <c r="G683" s="6">
        <v>1609712680</v>
      </c>
      <c r="H683" s="6">
        <v>693095402</v>
      </c>
      <c r="I683" s="7">
        <v>1609712680</v>
      </c>
    </row>
    <row r="684" spans="1:9" ht="12" customHeight="1" thickBot="1" x14ac:dyDescent="0.25">
      <c r="A684" s="1" t="s">
        <v>38</v>
      </c>
      <c r="B684" s="1" t="s">
        <v>31</v>
      </c>
      <c r="C684" s="1" t="s">
        <v>39</v>
      </c>
      <c r="D684" s="5">
        <v>45897</v>
      </c>
      <c r="E684" s="6">
        <v>2294270651</v>
      </c>
      <c r="F684" s="6">
        <v>693095402</v>
      </c>
      <c r="G684" s="6">
        <v>1601175249</v>
      </c>
      <c r="H684" s="6">
        <v>693095402</v>
      </c>
      <c r="I684" s="7">
        <v>1601175249</v>
      </c>
    </row>
    <row r="685" spans="1:9" ht="12" customHeight="1" thickBot="1" x14ac:dyDescent="0.25">
      <c r="A685" s="1" t="s">
        <v>38</v>
      </c>
      <c r="B685" s="1" t="s">
        <v>31</v>
      </c>
      <c r="C685" s="1" t="s">
        <v>39</v>
      </c>
      <c r="D685" s="5">
        <v>45898</v>
      </c>
      <c r="E685" s="6">
        <v>2295486026</v>
      </c>
      <c r="F685" s="6">
        <v>693095402</v>
      </c>
      <c r="G685" s="6">
        <v>1602390624</v>
      </c>
      <c r="H685" s="6">
        <v>693095402</v>
      </c>
      <c r="I685" s="7">
        <v>1602390624</v>
      </c>
    </row>
    <row r="686" spans="1:9" ht="12" customHeight="1" thickBot="1" x14ac:dyDescent="0.25">
      <c r="A686" s="1" t="s">
        <v>38</v>
      </c>
      <c r="B686" s="1" t="s">
        <v>31</v>
      </c>
      <c r="C686" s="1" t="s">
        <v>39</v>
      </c>
      <c r="D686" s="5">
        <v>45899</v>
      </c>
      <c r="E686" s="6">
        <v>2302084822</v>
      </c>
      <c r="F686" s="6">
        <v>690440063</v>
      </c>
      <c r="G686" s="6">
        <v>1611644759</v>
      </c>
      <c r="H686" s="6">
        <v>690440063</v>
      </c>
      <c r="I686" s="7">
        <v>1611644759</v>
      </c>
    </row>
    <row r="687" spans="1:9" ht="12" customHeight="1" thickBot="1" x14ac:dyDescent="0.25">
      <c r="A687" s="1" t="s">
        <v>38</v>
      </c>
      <c r="B687" s="1" t="s">
        <v>31</v>
      </c>
      <c r="C687" s="1" t="s">
        <v>39</v>
      </c>
      <c r="D687" s="5">
        <v>45900</v>
      </c>
      <c r="E687" s="6">
        <v>2304540197</v>
      </c>
      <c r="F687" s="6">
        <v>689949412</v>
      </c>
      <c r="G687" s="6">
        <v>1614590785</v>
      </c>
      <c r="H687" s="6">
        <v>689949412</v>
      </c>
      <c r="I687" s="7">
        <v>1614590785</v>
      </c>
    </row>
    <row r="688" spans="1:9" ht="12" customHeight="1" thickBot="1" x14ac:dyDescent="0.25">
      <c r="A688" s="1" t="s">
        <v>38</v>
      </c>
      <c r="B688" s="1" t="s">
        <v>31</v>
      </c>
      <c r="C688" s="1" t="s">
        <v>39</v>
      </c>
      <c r="D688" s="5">
        <v>45901</v>
      </c>
      <c r="E688" s="6">
        <v>2300653140</v>
      </c>
      <c r="F688" s="6">
        <v>689876930</v>
      </c>
      <c r="G688" s="6">
        <v>1610776210</v>
      </c>
      <c r="H688" s="6">
        <v>689876930</v>
      </c>
      <c r="I688" s="7">
        <v>1610776210</v>
      </c>
    </row>
    <row r="689" spans="1:9" ht="12" customHeight="1" thickBot="1" x14ac:dyDescent="0.25">
      <c r="A689" s="1" t="s">
        <v>38</v>
      </c>
      <c r="B689" s="1" t="s">
        <v>31</v>
      </c>
      <c r="C689" s="1" t="s">
        <v>39</v>
      </c>
      <c r="D689" s="5">
        <v>45902</v>
      </c>
      <c r="E689" s="6">
        <v>2298769757</v>
      </c>
      <c r="F689" s="6">
        <v>689876930</v>
      </c>
      <c r="G689" s="6">
        <v>1608892827</v>
      </c>
      <c r="H689" s="6">
        <v>689876930</v>
      </c>
      <c r="I689" s="7">
        <v>1608892827</v>
      </c>
    </row>
    <row r="690" spans="1:9" ht="12" customHeight="1" thickBot="1" x14ac:dyDescent="0.25">
      <c r="A690" s="1" t="s">
        <v>38</v>
      </c>
      <c r="B690" s="1" t="s">
        <v>31</v>
      </c>
      <c r="C690" s="1" t="s">
        <v>39</v>
      </c>
      <c r="D690" s="5">
        <v>45903</v>
      </c>
      <c r="E690" s="6">
        <v>2304136777</v>
      </c>
      <c r="F690" s="6">
        <v>685880514</v>
      </c>
      <c r="G690" s="6">
        <v>1618256263</v>
      </c>
      <c r="H690" s="6">
        <v>685880514</v>
      </c>
      <c r="I690" s="7">
        <v>1618256263</v>
      </c>
    </row>
    <row r="691" spans="1:9" ht="12" customHeight="1" thickBot="1" x14ac:dyDescent="0.25">
      <c r="A691" s="1" t="s">
        <v>38</v>
      </c>
      <c r="B691" s="1" t="s">
        <v>31</v>
      </c>
      <c r="C691" s="1" t="s">
        <v>39</v>
      </c>
      <c r="D691" s="5">
        <v>45904</v>
      </c>
      <c r="E691" s="6">
        <v>2277582873</v>
      </c>
      <c r="F691" s="6">
        <v>685880514</v>
      </c>
      <c r="G691" s="6">
        <v>1591702359</v>
      </c>
      <c r="H691" s="6">
        <v>685880514</v>
      </c>
      <c r="I691" s="7">
        <v>1591702359</v>
      </c>
    </row>
    <row r="692" spans="1:9" ht="12" customHeight="1" thickBot="1" x14ac:dyDescent="0.25">
      <c r="A692" s="1" t="s">
        <v>38</v>
      </c>
      <c r="B692" s="1" t="s">
        <v>31</v>
      </c>
      <c r="C692" s="1" t="s">
        <v>39</v>
      </c>
      <c r="D692" s="5">
        <v>45905</v>
      </c>
      <c r="E692" s="6">
        <v>2315836812</v>
      </c>
      <c r="F692" s="6">
        <v>931647774</v>
      </c>
      <c r="G692" s="6">
        <v>1384189038</v>
      </c>
      <c r="H692" s="6">
        <v>685418514</v>
      </c>
      <c r="I692" s="7">
        <v>1630418298</v>
      </c>
    </row>
    <row r="693" spans="1:9" ht="12" customHeight="1" thickBot="1" x14ac:dyDescent="0.25">
      <c r="A693" s="1" t="s">
        <v>38</v>
      </c>
      <c r="B693" s="1" t="s">
        <v>31</v>
      </c>
      <c r="C693" s="1" t="s">
        <v>39</v>
      </c>
      <c r="D693" s="5">
        <v>45906</v>
      </c>
      <c r="E693" s="6">
        <v>2343096175</v>
      </c>
      <c r="F693" s="6">
        <v>908477255</v>
      </c>
      <c r="G693" s="6">
        <v>1434618920</v>
      </c>
      <c r="H693" s="6">
        <v>685118514</v>
      </c>
      <c r="I693" s="7">
        <v>1657977661</v>
      </c>
    </row>
    <row r="694" spans="1:9" ht="12" customHeight="1" thickBot="1" x14ac:dyDescent="0.25">
      <c r="A694" s="1" t="s">
        <v>38</v>
      </c>
      <c r="B694" s="1" t="s">
        <v>31</v>
      </c>
      <c r="C694" s="1" t="s">
        <v>39</v>
      </c>
      <c r="D694" s="5">
        <v>45907</v>
      </c>
      <c r="E694" s="6">
        <v>2376375414</v>
      </c>
      <c r="F694" s="6">
        <v>904216118</v>
      </c>
      <c r="G694" s="6">
        <v>1472159296</v>
      </c>
      <c r="H694" s="6">
        <v>685118514</v>
      </c>
      <c r="I694" s="7">
        <v>1691256900</v>
      </c>
    </row>
    <row r="695" spans="1:9" ht="12" customHeight="1" thickBot="1" x14ac:dyDescent="0.25">
      <c r="A695" s="1" t="s">
        <v>38</v>
      </c>
      <c r="B695" s="1" t="s">
        <v>31</v>
      </c>
      <c r="C695" s="1" t="s">
        <v>39</v>
      </c>
      <c r="D695" s="5">
        <v>45908</v>
      </c>
      <c r="E695" s="6">
        <v>2394327534</v>
      </c>
      <c r="F695" s="6">
        <v>882737432</v>
      </c>
      <c r="G695" s="6">
        <v>1511590102</v>
      </c>
      <c r="H695" s="6">
        <v>684263514</v>
      </c>
      <c r="I695" s="7">
        <v>1710064020</v>
      </c>
    </row>
    <row r="696" spans="1:9" ht="12" customHeight="1" thickBot="1" x14ac:dyDescent="0.25">
      <c r="A696" s="1" t="s">
        <v>38</v>
      </c>
      <c r="B696" s="1" t="s">
        <v>31</v>
      </c>
      <c r="C696" s="1" t="s">
        <v>39</v>
      </c>
      <c r="D696" s="5">
        <v>45909</v>
      </c>
      <c r="E696" s="6">
        <v>2414644748</v>
      </c>
      <c r="F696" s="6">
        <v>861566167</v>
      </c>
      <c r="G696" s="6">
        <v>1553078581</v>
      </c>
      <c r="H696" s="6">
        <v>682610064</v>
      </c>
      <c r="I696" s="7">
        <v>1732034684</v>
      </c>
    </row>
    <row r="697" spans="1:9" ht="12" customHeight="1" thickBot="1" x14ac:dyDescent="0.25">
      <c r="A697" s="1" t="s">
        <v>38</v>
      </c>
      <c r="B697" s="1" t="s">
        <v>31</v>
      </c>
      <c r="C697" s="1" t="s">
        <v>39</v>
      </c>
      <c r="D697" s="5">
        <v>45910</v>
      </c>
      <c r="E697" s="6">
        <v>2425016661</v>
      </c>
      <c r="F697" s="6">
        <v>858349986</v>
      </c>
      <c r="G697" s="6">
        <v>1566666675</v>
      </c>
      <c r="H697" s="6">
        <v>682610064</v>
      </c>
      <c r="I697" s="7">
        <v>1742406597</v>
      </c>
    </row>
    <row r="698" spans="1:9" ht="12" customHeight="1" thickBot="1" x14ac:dyDescent="0.25">
      <c r="A698" s="1" t="s">
        <v>38</v>
      </c>
      <c r="B698" s="1" t="s">
        <v>31</v>
      </c>
      <c r="C698" s="1" t="s">
        <v>39</v>
      </c>
      <c r="D698" s="5">
        <v>45911</v>
      </c>
      <c r="E698" s="6">
        <v>2431962963</v>
      </c>
      <c r="F698" s="6">
        <v>843197234</v>
      </c>
      <c r="G698" s="6">
        <v>1588765729</v>
      </c>
      <c r="H698" s="6">
        <v>679613513</v>
      </c>
      <c r="I698" s="7">
        <v>1752349450</v>
      </c>
    </row>
    <row r="699" spans="1:9" ht="12" customHeight="1" thickBot="1" x14ac:dyDescent="0.25">
      <c r="A699" s="1" t="s">
        <v>38</v>
      </c>
      <c r="B699" s="1" t="s">
        <v>31</v>
      </c>
      <c r="C699" s="1" t="s">
        <v>39</v>
      </c>
      <c r="D699" s="5">
        <v>45912</v>
      </c>
      <c r="E699" s="6">
        <v>2445798263</v>
      </c>
      <c r="F699" s="6">
        <v>835309509</v>
      </c>
      <c r="G699" s="6">
        <v>1610488754</v>
      </c>
      <c r="H699" s="6">
        <v>675651275</v>
      </c>
      <c r="I699" s="7">
        <v>1770146988</v>
      </c>
    </row>
    <row r="700" spans="1:9" ht="12" customHeight="1" thickBot="1" x14ac:dyDescent="0.25">
      <c r="A700" s="1" t="s">
        <v>38</v>
      </c>
      <c r="B700" s="1" t="s">
        <v>31</v>
      </c>
      <c r="C700" s="1" t="s">
        <v>39</v>
      </c>
      <c r="D700" s="5">
        <v>45913</v>
      </c>
      <c r="E700" s="6">
        <v>2452150468</v>
      </c>
      <c r="F700" s="6">
        <v>835309509</v>
      </c>
      <c r="G700" s="6">
        <v>1616840959</v>
      </c>
      <c r="H700" s="6">
        <v>675651275</v>
      </c>
      <c r="I700" s="7">
        <v>1776499193</v>
      </c>
    </row>
    <row r="701" spans="1:9" ht="12" customHeight="1" thickBot="1" x14ac:dyDescent="0.25">
      <c r="A701" s="1" t="s">
        <v>38</v>
      </c>
      <c r="B701" s="1" t="s">
        <v>31</v>
      </c>
      <c r="C701" s="1" t="s">
        <v>39</v>
      </c>
      <c r="D701" s="5">
        <v>45914</v>
      </c>
      <c r="E701" s="6">
        <v>2464952017</v>
      </c>
      <c r="F701" s="6">
        <v>835309509</v>
      </c>
      <c r="G701" s="6">
        <v>1629642508</v>
      </c>
      <c r="H701" s="6">
        <v>675651275</v>
      </c>
      <c r="I701" s="7">
        <v>1789300742</v>
      </c>
    </row>
    <row r="702" spans="1:9" ht="12" customHeight="1" thickBot="1" x14ac:dyDescent="0.25">
      <c r="A702" s="1" t="s">
        <v>38</v>
      </c>
      <c r="B702" s="1" t="s">
        <v>31</v>
      </c>
      <c r="C702" s="1" t="s">
        <v>39</v>
      </c>
      <c r="D702" s="5">
        <v>45915</v>
      </c>
      <c r="E702" s="6">
        <v>2476055746</v>
      </c>
      <c r="F702" s="6">
        <v>826687616</v>
      </c>
      <c r="G702" s="6">
        <v>1649368130</v>
      </c>
      <c r="H702" s="6">
        <v>826687616</v>
      </c>
      <c r="I702" s="7">
        <v>1649368130</v>
      </c>
    </row>
    <row r="703" spans="1:9" ht="12" customHeight="1" thickBot="1" x14ac:dyDescent="0.25">
      <c r="A703" s="1" t="s">
        <v>38</v>
      </c>
      <c r="B703" s="1" t="s">
        <v>31</v>
      </c>
      <c r="C703" s="1" t="s">
        <v>39</v>
      </c>
      <c r="D703" s="5">
        <v>45916</v>
      </c>
      <c r="E703" s="6">
        <v>2494363932</v>
      </c>
      <c r="F703" s="6">
        <v>826687616</v>
      </c>
      <c r="G703" s="6">
        <v>1667676316</v>
      </c>
      <c r="H703" s="6">
        <v>826687616</v>
      </c>
      <c r="I703" s="7">
        <v>1667676316</v>
      </c>
    </row>
    <row r="704" spans="1:9" ht="12" customHeight="1" thickBot="1" x14ac:dyDescent="0.25">
      <c r="A704" s="1" t="s">
        <v>38</v>
      </c>
      <c r="B704" s="1" t="s">
        <v>31</v>
      </c>
      <c r="C704" s="1" t="s">
        <v>39</v>
      </c>
      <c r="D704" s="5">
        <v>45917</v>
      </c>
      <c r="E704" s="6">
        <v>2497411182</v>
      </c>
      <c r="F704" s="6">
        <v>826687616</v>
      </c>
      <c r="G704" s="6">
        <v>1670723566</v>
      </c>
      <c r="H704" s="6">
        <v>826687616</v>
      </c>
      <c r="I704" s="7">
        <v>1670723566</v>
      </c>
    </row>
    <row r="705" spans="1:9" ht="12" customHeight="1" thickBot="1" x14ac:dyDescent="0.25">
      <c r="A705" s="1" t="s">
        <v>38</v>
      </c>
      <c r="B705" s="1" t="s">
        <v>31</v>
      </c>
      <c r="C705" s="1" t="s">
        <v>39</v>
      </c>
      <c r="D705" s="5">
        <v>45918</v>
      </c>
      <c r="E705" s="6">
        <v>2497290835</v>
      </c>
      <c r="F705" s="6">
        <v>824124416</v>
      </c>
      <c r="G705" s="6">
        <v>1673166419</v>
      </c>
      <c r="H705" s="6">
        <v>824124416</v>
      </c>
      <c r="I705" s="7">
        <v>1673166419</v>
      </c>
    </row>
    <row r="706" spans="1:9" ht="12" customHeight="1" thickBot="1" x14ac:dyDescent="0.25">
      <c r="A706" s="1" t="s">
        <v>38</v>
      </c>
      <c r="B706" s="1" t="s">
        <v>31</v>
      </c>
      <c r="C706" s="1" t="s">
        <v>39</v>
      </c>
      <c r="D706" s="5">
        <v>45919</v>
      </c>
      <c r="E706" s="6">
        <v>2498138335</v>
      </c>
      <c r="F706" s="6">
        <v>824124416</v>
      </c>
      <c r="G706" s="6">
        <v>1674013919</v>
      </c>
      <c r="H706" s="6">
        <v>824124416</v>
      </c>
      <c r="I706" s="7">
        <v>1674013919</v>
      </c>
    </row>
    <row r="707" spans="1:9" ht="12" customHeight="1" thickBot="1" x14ac:dyDescent="0.25">
      <c r="A707" s="1" t="s">
        <v>38</v>
      </c>
      <c r="B707" s="1" t="s">
        <v>31</v>
      </c>
      <c r="C707" s="1" t="s">
        <v>39</v>
      </c>
      <c r="D707" s="5">
        <v>45920</v>
      </c>
      <c r="E707" s="6">
        <v>2506526731</v>
      </c>
      <c r="F707" s="6">
        <v>824124416</v>
      </c>
      <c r="G707" s="6">
        <v>1682402315</v>
      </c>
      <c r="H707" s="6">
        <v>824124416</v>
      </c>
      <c r="I707" s="7">
        <v>1682402315</v>
      </c>
    </row>
    <row r="708" spans="1:9" ht="12" customHeight="1" thickBot="1" x14ac:dyDescent="0.25">
      <c r="A708" s="1" t="s">
        <v>38</v>
      </c>
      <c r="B708" s="1" t="s">
        <v>31</v>
      </c>
      <c r="C708" s="1" t="s">
        <v>39</v>
      </c>
      <c r="D708" s="5">
        <v>45921</v>
      </c>
      <c r="E708" s="6">
        <v>2485694640</v>
      </c>
      <c r="F708" s="6">
        <v>823666916</v>
      </c>
      <c r="G708" s="6">
        <v>1662027724</v>
      </c>
      <c r="H708" s="6">
        <v>823666916</v>
      </c>
      <c r="I708" s="7">
        <v>1662027724</v>
      </c>
    </row>
    <row r="709" spans="1:9" ht="12" customHeight="1" thickBot="1" x14ac:dyDescent="0.25">
      <c r="A709" s="1" t="s">
        <v>38</v>
      </c>
      <c r="B709" s="1" t="s">
        <v>31</v>
      </c>
      <c r="C709" s="1" t="s">
        <v>39</v>
      </c>
      <c r="D709" s="5">
        <v>45922</v>
      </c>
      <c r="E709" s="6">
        <v>2493210334</v>
      </c>
      <c r="F709" s="6">
        <v>823666916</v>
      </c>
      <c r="G709" s="6">
        <v>1669543418</v>
      </c>
      <c r="H709" s="6">
        <v>823666916</v>
      </c>
      <c r="I709" s="7">
        <v>1669543418</v>
      </c>
    </row>
    <row r="710" spans="1:9" ht="12" customHeight="1" thickBot="1" x14ac:dyDescent="0.25">
      <c r="A710" s="1" t="s">
        <v>38</v>
      </c>
      <c r="B710" s="1" t="s">
        <v>31</v>
      </c>
      <c r="C710" s="1" t="s">
        <v>39</v>
      </c>
      <c r="D710" s="5">
        <v>45923</v>
      </c>
      <c r="E710" s="6">
        <v>2499493814</v>
      </c>
      <c r="F710" s="6">
        <v>823432675</v>
      </c>
      <c r="G710" s="6">
        <v>1676061139</v>
      </c>
      <c r="H710" s="6">
        <v>823432675</v>
      </c>
      <c r="I710" s="7">
        <v>1676061139</v>
      </c>
    </row>
    <row r="711" spans="1:9" ht="12" customHeight="1" thickBot="1" x14ac:dyDescent="0.25">
      <c r="A711" s="1" t="s">
        <v>38</v>
      </c>
      <c r="B711" s="1" t="s">
        <v>31</v>
      </c>
      <c r="C711" s="1" t="s">
        <v>39</v>
      </c>
      <c r="D711" s="5">
        <v>45924</v>
      </c>
      <c r="E711" s="6">
        <v>2495971185</v>
      </c>
      <c r="F711" s="6">
        <v>823432675</v>
      </c>
      <c r="G711" s="6">
        <v>1672538510</v>
      </c>
      <c r="H711" s="6">
        <v>823432675</v>
      </c>
      <c r="I711" s="7">
        <v>1672538510</v>
      </c>
    </row>
    <row r="712" spans="1:9" ht="12" customHeight="1" thickBot="1" x14ac:dyDescent="0.25">
      <c r="A712" s="1" t="s">
        <v>38</v>
      </c>
      <c r="B712" s="1" t="s">
        <v>31</v>
      </c>
      <c r="C712" s="1" t="s">
        <v>39</v>
      </c>
      <c r="D712" s="5">
        <v>45925</v>
      </c>
      <c r="E712" s="6">
        <v>2487169161</v>
      </c>
      <c r="F712" s="6">
        <v>823246475</v>
      </c>
      <c r="G712" s="6">
        <v>1663922686</v>
      </c>
      <c r="H712" s="6">
        <v>823246475</v>
      </c>
      <c r="I712" s="7">
        <v>1663922686</v>
      </c>
    </row>
    <row r="713" spans="1:9" ht="12" customHeight="1" thickBot="1" x14ac:dyDescent="0.25">
      <c r="A713" s="1" t="s">
        <v>38</v>
      </c>
      <c r="B713" s="1" t="s">
        <v>31</v>
      </c>
      <c r="C713" s="1" t="s">
        <v>39</v>
      </c>
      <c r="D713" s="5">
        <v>45926</v>
      </c>
      <c r="E713" s="6">
        <v>2467489241</v>
      </c>
      <c r="F713" s="6">
        <v>813999547</v>
      </c>
      <c r="G713" s="6">
        <v>1653489694</v>
      </c>
      <c r="H713" s="6">
        <v>813999547</v>
      </c>
      <c r="I713" s="7">
        <v>1653489694</v>
      </c>
    </row>
    <row r="714" spans="1:9" ht="12" customHeight="1" thickBot="1" x14ac:dyDescent="0.25">
      <c r="A714" s="1" t="s">
        <v>38</v>
      </c>
      <c r="B714" s="1" t="s">
        <v>31</v>
      </c>
      <c r="C714" s="1" t="s">
        <v>39</v>
      </c>
      <c r="D714" s="5">
        <v>45927</v>
      </c>
      <c r="E714" s="6">
        <v>2472569740</v>
      </c>
      <c r="F714" s="6">
        <v>806021111</v>
      </c>
      <c r="G714" s="6">
        <v>1666548629</v>
      </c>
      <c r="H714" s="6">
        <v>806021111</v>
      </c>
      <c r="I714" s="7">
        <v>1666548629</v>
      </c>
    </row>
    <row r="715" spans="1:9" ht="12" customHeight="1" thickBot="1" x14ac:dyDescent="0.25">
      <c r="A715" s="1" t="s">
        <v>38</v>
      </c>
      <c r="B715" s="1" t="s">
        <v>31</v>
      </c>
      <c r="C715" s="1" t="s">
        <v>39</v>
      </c>
      <c r="D715" s="5">
        <v>45928</v>
      </c>
      <c r="E715" s="6">
        <v>2472067217</v>
      </c>
      <c r="F715" s="6">
        <v>804139230</v>
      </c>
      <c r="G715" s="6">
        <v>1667927987</v>
      </c>
      <c r="H715" s="6">
        <v>804139230</v>
      </c>
      <c r="I715" s="7">
        <v>1667927987</v>
      </c>
    </row>
    <row r="716" spans="1:9" ht="12" customHeight="1" thickBot="1" x14ac:dyDescent="0.25">
      <c r="A716" s="1" t="s">
        <v>38</v>
      </c>
      <c r="B716" s="1" t="s">
        <v>31</v>
      </c>
      <c r="C716" s="1" t="s">
        <v>39</v>
      </c>
      <c r="D716" s="5">
        <v>45929</v>
      </c>
      <c r="E716" s="6">
        <v>2473417547</v>
      </c>
      <c r="F716" s="6">
        <v>799148046</v>
      </c>
      <c r="G716" s="6">
        <v>1674269501</v>
      </c>
      <c r="H716" s="6">
        <v>799148046</v>
      </c>
      <c r="I716" s="7">
        <v>1674269501</v>
      </c>
    </row>
    <row r="717" spans="1:9" ht="12" customHeight="1" thickBot="1" x14ac:dyDescent="0.25">
      <c r="A717" s="1" t="s">
        <v>38</v>
      </c>
      <c r="B717" s="1" t="s">
        <v>31</v>
      </c>
      <c r="C717" s="1" t="s">
        <v>39</v>
      </c>
      <c r="D717" s="5">
        <v>45930</v>
      </c>
      <c r="E717" s="6">
        <v>2482090495</v>
      </c>
      <c r="F717" s="6">
        <v>799148046</v>
      </c>
      <c r="G717" s="6">
        <v>1682942449</v>
      </c>
      <c r="H717" s="6">
        <v>799148046</v>
      </c>
      <c r="I717" s="7">
        <v>1682942449</v>
      </c>
    </row>
    <row r="718" spans="1:9" ht="12" customHeight="1" thickBot="1" x14ac:dyDescent="0.25">
      <c r="A718" s="1" t="s">
        <v>40</v>
      </c>
      <c r="B718" s="1" t="s">
        <v>12</v>
      </c>
      <c r="C718" s="1" t="s">
        <v>21</v>
      </c>
      <c r="D718" s="5">
        <v>45839</v>
      </c>
      <c r="E718" s="6">
        <v>144222183992</v>
      </c>
      <c r="F718" s="6">
        <v>12891152226</v>
      </c>
      <c r="G718" s="6">
        <v>131331031766</v>
      </c>
      <c r="H718" s="6">
        <v>10090687286</v>
      </c>
      <c r="I718" s="7">
        <v>134131496706</v>
      </c>
    </row>
    <row r="719" spans="1:9" ht="12" customHeight="1" thickBot="1" x14ac:dyDescent="0.25">
      <c r="A719" s="1" t="s">
        <v>40</v>
      </c>
      <c r="B719" s="1" t="s">
        <v>12</v>
      </c>
      <c r="C719" s="1" t="s">
        <v>21</v>
      </c>
      <c r="D719" s="5">
        <v>45840</v>
      </c>
      <c r="E719" s="6">
        <v>144698536057</v>
      </c>
      <c r="F719" s="6">
        <v>13021081962</v>
      </c>
      <c r="G719" s="6">
        <v>131677454095</v>
      </c>
      <c r="H719" s="6">
        <v>10226511410</v>
      </c>
      <c r="I719" s="7">
        <v>134472024647</v>
      </c>
    </row>
    <row r="720" spans="1:9" ht="12" customHeight="1" thickBot="1" x14ac:dyDescent="0.25">
      <c r="A720" s="1" t="s">
        <v>40</v>
      </c>
      <c r="B720" s="1" t="s">
        <v>12</v>
      </c>
      <c r="C720" s="1" t="s">
        <v>21</v>
      </c>
      <c r="D720" s="5">
        <v>45841</v>
      </c>
      <c r="E720" s="6">
        <v>144911048419</v>
      </c>
      <c r="F720" s="6">
        <v>13223593678</v>
      </c>
      <c r="G720" s="6">
        <v>131687454741</v>
      </c>
      <c r="H720" s="6">
        <v>10191557522</v>
      </c>
      <c r="I720" s="7">
        <v>134719490897</v>
      </c>
    </row>
    <row r="721" spans="1:9" ht="12" customHeight="1" thickBot="1" x14ac:dyDescent="0.25">
      <c r="A721" s="1" t="s">
        <v>40</v>
      </c>
      <c r="B721" s="1" t="s">
        <v>12</v>
      </c>
      <c r="C721" s="1" t="s">
        <v>21</v>
      </c>
      <c r="D721" s="5">
        <v>45842</v>
      </c>
      <c r="E721" s="6">
        <v>146246497593</v>
      </c>
      <c r="F721" s="6">
        <v>13380941526</v>
      </c>
      <c r="G721" s="6">
        <v>132865556067</v>
      </c>
      <c r="H721" s="6">
        <v>10540808716</v>
      </c>
      <c r="I721" s="7">
        <v>135705688877</v>
      </c>
    </row>
    <row r="722" spans="1:9" ht="12" customHeight="1" thickBot="1" x14ac:dyDescent="0.25">
      <c r="A722" s="1" t="s">
        <v>40</v>
      </c>
      <c r="B722" s="1" t="s">
        <v>12</v>
      </c>
      <c r="C722" s="1" t="s">
        <v>21</v>
      </c>
      <c r="D722" s="5">
        <v>45843</v>
      </c>
      <c r="E722" s="6">
        <v>147481240132</v>
      </c>
      <c r="F722" s="6">
        <v>13695223650</v>
      </c>
      <c r="G722" s="6">
        <v>133786016482</v>
      </c>
      <c r="H722" s="6">
        <v>10647975135</v>
      </c>
      <c r="I722" s="7">
        <v>136833264997</v>
      </c>
    </row>
    <row r="723" spans="1:9" ht="12" customHeight="1" thickBot="1" x14ac:dyDescent="0.25">
      <c r="A723" s="1" t="s">
        <v>40</v>
      </c>
      <c r="B723" s="1" t="s">
        <v>12</v>
      </c>
      <c r="C723" s="1" t="s">
        <v>21</v>
      </c>
      <c r="D723" s="5">
        <v>45844</v>
      </c>
      <c r="E723" s="6">
        <v>149069630155</v>
      </c>
      <c r="F723" s="6">
        <v>14088052345</v>
      </c>
      <c r="G723" s="6">
        <v>134981577810</v>
      </c>
      <c r="H723" s="6">
        <v>10772370493</v>
      </c>
      <c r="I723" s="7">
        <v>138297259662</v>
      </c>
    </row>
    <row r="724" spans="1:9" ht="12" customHeight="1" thickBot="1" x14ac:dyDescent="0.25">
      <c r="A724" s="1" t="s">
        <v>40</v>
      </c>
      <c r="B724" s="1" t="s">
        <v>12</v>
      </c>
      <c r="C724" s="1" t="s">
        <v>21</v>
      </c>
      <c r="D724" s="5">
        <v>45845</v>
      </c>
      <c r="E724" s="6">
        <v>150565038077</v>
      </c>
      <c r="F724" s="6">
        <v>13618400962</v>
      </c>
      <c r="G724" s="6">
        <v>136946637115</v>
      </c>
      <c r="H724" s="6">
        <v>10912915887</v>
      </c>
      <c r="I724" s="7">
        <v>139652122190</v>
      </c>
    </row>
    <row r="725" spans="1:9" ht="12" customHeight="1" thickBot="1" x14ac:dyDescent="0.25">
      <c r="A725" s="1" t="s">
        <v>40</v>
      </c>
      <c r="B725" s="1" t="s">
        <v>12</v>
      </c>
      <c r="C725" s="1" t="s">
        <v>21</v>
      </c>
      <c r="D725" s="5">
        <v>45846</v>
      </c>
      <c r="E725" s="6">
        <v>151917512848</v>
      </c>
      <c r="F725" s="6">
        <v>14373106055</v>
      </c>
      <c r="G725" s="6">
        <v>137544406793</v>
      </c>
      <c r="H725" s="6">
        <v>11066213700</v>
      </c>
      <c r="I725" s="7">
        <v>140851299148</v>
      </c>
    </row>
    <row r="726" spans="1:9" ht="12" customHeight="1" thickBot="1" x14ac:dyDescent="0.25">
      <c r="A726" s="1" t="s">
        <v>40</v>
      </c>
      <c r="B726" s="1" t="s">
        <v>12</v>
      </c>
      <c r="C726" s="1" t="s">
        <v>21</v>
      </c>
      <c r="D726" s="5">
        <v>45847</v>
      </c>
      <c r="E726" s="6">
        <v>153590608925</v>
      </c>
      <c r="F726" s="6">
        <v>14642586420</v>
      </c>
      <c r="G726" s="6">
        <v>138948022505</v>
      </c>
      <c r="H726" s="6">
        <v>11572049466</v>
      </c>
      <c r="I726" s="7">
        <v>142018559459</v>
      </c>
    </row>
    <row r="727" spans="1:9" ht="12" customHeight="1" thickBot="1" x14ac:dyDescent="0.25">
      <c r="A727" s="1" t="s">
        <v>40</v>
      </c>
      <c r="B727" s="1" t="s">
        <v>12</v>
      </c>
      <c r="C727" s="1" t="s">
        <v>21</v>
      </c>
      <c r="D727" s="5">
        <v>45848</v>
      </c>
      <c r="E727" s="6">
        <v>155148146274</v>
      </c>
      <c r="F727" s="6">
        <v>14612391228</v>
      </c>
      <c r="G727" s="6">
        <v>140535755046</v>
      </c>
      <c r="H727" s="6">
        <v>11412662419</v>
      </c>
      <c r="I727" s="7">
        <v>143735483855</v>
      </c>
    </row>
    <row r="728" spans="1:9" ht="12" customHeight="1" thickBot="1" x14ac:dyDescent="0.25">
      <c r="A728" s="1" t="s">
        <v>40</v>
      </c>
      <c r="B728" s="1" t="s">
        <v>12</v>
      </c>
      <c r="C728" s="1" t="s">
        <v>21</v>
      </c>
      <c r="D728" s="5">
        <v>45849</v>
      </c>
      <c r="E728" s="6">
        <v>156636992525</v>
      </c>
      <c r="F728" s="6">
        <v>14617624502</v>
      </c>
      <c r="G728" s="6">
        <v>142019368023</v>
      </c>
      <c r="H728" s="6">
        <v>11250119454</v>
      </c>
      <c r="I728" s="7">
        <v>145386873071</v>
      </c>
    </row>
    <row r="729" spans="1:9" ht="12" customHeight="1" thickBot="1" x14ac:dyDescent="0.25">
      <c r="A729" s="1" t="s">
        <v>40</v>
      </c>
      <c r="B729" s="1" t="s">
        <v>12</v>
      </c>
      <c r="C729" s="1" t="s">
        <v>21</v>
      </c>
      <c r="D729" s="5">
        <v>45850</v>
      </c>
      <c r="E729" s="6">
        <v>158140478843</v>
      </c>
      <c r="F729" s="6">
        <v>14816679352</v>
      </c>
      <c r="G729" s="6">
        <v>143323799491</v>
      </c>
      <c r="H729" s="6">
        <v>11335522052</v>
      </c>
      <c r="I729" s="7">
        <v>146804956791</v>
      </c>
    </row>
    <row r="730" spans="1:9" ht="12" customHeight="1" thickBot="1" x14ac:dyDescent="0.25">
      <c r="A730" s="1" t="s">
        <v>40</v>
      </c>
      <c r="B730" s="1" t="s">
        <v>12</v>
      </c>
      <c r="C730" s="1" t="s">
        <v>21</v>
      </c>
      <c r="D730" s="5">
        <v>45851</v>
      </c>
      <c r="E730" s="6">
        <v>160504523048</v>
      </c>
      <c r="F730" s="6">
        <v>15028978111</v>
      </c>
      <c r="G730" s="6">
        <v>145475544937</v>
      </c>
      <c r="H730" s="6">
        <v>11456480049</v>
      </c>
      <c r="I730" s="7">
        <v>149048042999</v>
      </c>
    </row>
    <row r="731" spans="1:9" ht="12" customHeight="1" thickBot="1" x14ac:dyDescent="0.25">
      <c r="A731" s="1" t="s">
        <v>40</v>
      </c>
      <c r="B731" s="1" t="s">
        <v>12</v>
      </c>
      <c r="C731" s="1" t="s">
        <v>21</v>
      </c>
      <c r="D731" s="5">
        <v>45852</v>
      </c>
      <c r="E731" s="6">
        <v>161846339802</v>
      </c>
      <c r="F731" s="6">
        <v>14541724680</v>
      </c>
      <c r="G731" s="6">
        <v>147304615122</v>
      </c>
      <c r="H731" s="6">
        <v>11542552439</v>
      </c>
      <c r="I731" s="7">
        <v>150303787363</v>
      </c>
    </row>
    <row r="732" spans="1:9" ht="12" customHeight="1" thickBot="1" x14ac:dyDescent="0.25">
      <c r="A732" s="1" t="s">
        <v>40</v>
      </c>
      <c r="B732" s="1" t="s">
        <v>12</v>
      </c>
      <c r="C732" s="1" t="s">
        <v>21</v>
      </c>
      <c r="D732" s="5">
        <v>45853</v>
      </c>
      <c r="E732" s="6">
        <v>163203884473</v>
      </c>
      <c r="F732" s="6">
        <v>15536391772</v>
      </c>
      <c r="G732" s="6">
        <v>147667492701</v>
      </c>
      <c r="H732" s="6">
        <v>11692637768</v>
      </c>
      <c r="I732" s="7">
        <v>151511246705</v>
      </c>
    </row>
    <row r="733" spans="1:9" ht="12" customHeight="1" thickBot="1" x14ac:dyDescent="0.25">
      <c r="A733" s="1" t="s">
        <v>40</v>
      </c>
      <c r="B733" s="1" t="s">
        <v>12</v>
      </c>
      <c r="C733" s="1" t="s">
        <v>21</v>
      </c>
      <c r="D733" s="5">
        <v>45854</v>
      </c>
      <c r="E733" s="6">
        <v>164615193408</v>
      </c>
      <c r="F733" s="6">
        <v>15154991316</v>
      </c>
      <c r="G733" s="6">
        <v>149460202092</v>
      </c>
      <c r="H733" s="6">
        <v>11835441479</v>
      </c>
      <c r="I733" s="7">
        <v>152779751929</v>
      </c>
    </row>
    <row r="734" spans="1:9" ht="12" customHeight="1" thickBot="1" x14ac:dyDescent="0.25">
      <c r="A734" s="1" t="s">
        <v>40</v>
      </c>
      <c r="B734" s="1" t="s">
        <v>12</v>
      </c>
      <c r="C734" s="1" t="s">
        <v>21</v>
      </c>
      <c r="D734" s="5">
        <v>45855</v>
      </c>
      <c r="E734" s="6">
        <v>165781272110</v>
      </c>
      <c r="F734" s="6">
        <v>15379238784</v>
      </c>
      <c r="G734" s="6">
        <v>150402033326</v>
      </c>
      <c r="H734" s="6">
        <v>11774278215</v>
      </c>
      <c r="I734" s="7">
        <v>154006993895</v>
      </c>
    </row>
    <row r="735" spans="1:9" ht="12" customHeight="1" thickBot="1" x14ac:dyDescent="0.25">
      <c r="A735" s="1" t="s">
        <v>40</v>
      </c>
      <c r="B735" s="1" t="s">
        <v>12</v>
      </c>
      <c r="C735" s="1" t="s">
        <v>21</v>
      </c>
      <c r="D735" s="5">
        <v>45856</v>
      </c>
      <c r="E735" s="6">
        <v>167370634290</v>
      </c>
      <c r="F735" s="6">
        <v>15625851797</v>
      </c>
      <c r="G735" s="6">
        <v>151744782493</v>
      </c>
      <c r="H735" s="6">
        <v>11994473672</v>
      </c>
      <c r="I735" s="7">
        <v>155376160618</v>
      </c>
    </row>
    <row r="736" spans="1:9" ht="12" customHeight="1" thickBot="1" x14ac:dyDescent="0.25">
      <c r="A736" s="1" t="s">
        <v>40</v>
      </c>
      <c r="B736" s="1" t="s">
        <v>12</v>
      </c>
      <c r="C736" s="1" t="s">
        <v>21</v>
      </c>
      <c r="D736" s="5">
        <v>45857</v>
      </c>
      <c r="E736" s="6">
        <v>168530044599</v>
      </c>
      <c r="F736" s="6">
        <v>15847179259</v>
      </c>
      <c r="G736" s="6">
        <v>152682865340</v>
      </c>
      <c r="H736" s="6">
        <v>12226695337</v>
      </c>
      <c r="I736" s="7">
        <v>156303349262</v>
      </c>
    </row>
    <row r="737" spans="1:9" ht="12" customHeight="1" thickBot="1" x14ac:dyDescent="0.25">
      <c r="A737" s="1" t="s">
        <v>40</v>
      </c>
      <c r="B737" s="1" t="s">
        <v>12</v>
      </c>
      <c r="C737" s="1" t="s">
        <v>21</v>
      </c>
      <c r="D737" s="5">
        <v>45858</v>
      </c>
      <c r="E737" s="6">
        <v>170247883444</v>
      </c>
      <c r="F737" s="6">
        <v>16275579057</v>
      </c>
      <c r="G737" s="6">
        <v>153972304387</v>
      </c>
      <c r="H737" s="6">
        <v>12359603877</v>
      </c>
      <c r="I737" s="7">
        <v>157888279567</v>
      </c>
    </row>
    <row r="738" spans="1:9" ht="12" customHeight="1" thickBot="1" x14ac:dyDescent="0.25">
      <c r="A738" s="1" t="s">
        <v>40</v>
      </c>
      <c r="B738" s="1" t="s">
        <v>12</v>
      </c>
      <c r="C738" s="1" t="s">
        <v>21</v>
      </c>
      <c r="D738" s="5">
        <v>45859</v>
      </c>
      <c r="E738" s="6">
        <v>171344518422</v>
      </c>
      <c r="F738" s="6">
        <v>15661687599</v>
      </c>
      <c r="G738" s="6">
        <v>155682830823</v>
      </c>
      <c r="H738" s="6">
        <v>12447122362</v>
      </c>
      <c r="I738" s="7">
        <v>158897396060</v>
      </c>
    </row>
    <row r="739" spans="1:9" ht="12" customHeight="1" thickBot="1" x14ac:dyDescent="0.25">
      <c r="A739" s="1" t="s">
        <v>40</v>
      </c>
      <c r="B739" s="1" t="s">
        <v>12</v>
      </c>
      <c r="C739" s="1" t="s">
        <v>21</v>
      </c>
      <c r="D739" s="5">
        <v>45860</v>
      </c>
      <c r="E739" s="6">
        <v>172099054364</v>
      </c>
      <c r="F739" s="6">
        <v>16541922292</v>
      </c>
      <c r="G739" s="6">
        <v>155557132072</v>
      </c>
      <c r="H739" s="6">
        <v>12509862026</v>
      </c>
      <c r="I739" s="7">
        <v>159589192338</v>
      </c>
    </row>
    <row r="740" spans="1:9" ht="12" customHeight="1" thickBot="1" x14ac:dyDescent="0.25">
      <c r="A740" s="1" t="s">
        <v>40</v>
      </c>
      <c r="B740" s="1" t="s">
        <v>12</v>
      </c>
      <c r="C740" s="1" t="s">
        <v>21</v>
      </c>
      <c r="D740" s="5">
        <v>45861</v>
      </c>
      <c r="E740" s="6">
        <v>173335859516</v>
      </c>
      <c r="F740" s="6">
        <v>16453322927</v>
      </c>
      <c r="G740" s="6">
        <v>156882536589</v>
      </c>
      <c r="H740" s="6">
        <v>12651071827</v>
      </c>
      <c r="I740" s="7">
        <v>160684787689</v>
      </c>
    </row>
    <row r="741" spans="1:9" ht="12" customHeight="1" thickBot="1" x14ac:dyDescent="0.25">
      <c r="A741" s="1" t="s">
        <v>40</v>
      </c>
      <c r="B741" s="1" t="s">
        <v>12</v>
      </c>
      <c r="C741" s="1" t="s">
        <v>21</v>
      </c>
      <c r="D741" s="5">
        <v>45862</v>
      </c>
      <c r="E741" s="6">
        <v>174252720310</v>
      </c>
      <c r="F741" s="6">
        <v>16839262709</v>
      </c>
      <c r="G741" s="6">
        <v>157413457601</v>
      </c>
      <c r="H741" s="6">
        <v>12588609411</v>
      </c>
      <c r="I741" s="7">
        <v>161664110899</v>
      </c>
    </row>
    <row r="742" spans="1:9" ht="12" customHeight="1" thickBot="1" x14ac:dyDescent="0.25">
      <c r="A742" s="1" t="s">
        <v>40</v>
      </c>
      <c r="B742" s="1" t="s">
        <v>12</v>
      </c>
      <c r="C742" s="1" t="s">
        <v>21</v>
      </c>
      <c r="D742" s="5">
        <v>45863</v>
      </c>
      <c r="E742" s="6">
        <v>175194024178</v>
      </c>
      <c r="F742" s="6">
        <v>16741997756</v>
      </c>
      <c r="G742" s="6">
        <v>158452026422</v>
      </c>
      <c r="H742" s="6">
        <v>13016076852</v>
      </c>
      <c r="I742" s="7">
        <v>162177947326</v>
      </c>
    </row>
    <row r="743" spans="1:9" ht="12" customHeight="1" thickBot="1" x14ac:dyDescent="0.25">
      <c r="A743" s="1" t="s">
        <v>40</v>
      </c>
      <c r="B743" s="1" t="s">
        <v>12</v>
      </c>
      <c r="C743" s="1" t="s">
        <v>21</v>
      </c>
      <c r="D743" s="5">
        <v>45864</v>
      </c>
      <c r="E743" s="6">
        <v>176026065524</v>
      </c>
      <c r="F743" s="6">
        <v>16595902418</v>
      </c>
      <c r="G743" s="6">
        <v>159430163106</v>
      </c>
      <c r="H743" s="6">
        <v>13117008077</v>
      </c>
      <c r="I743" s="7">
        <v>162909057447</v>
      </c>
    </row>
    <row r="744" spans="1:9" ht="12" customHeight="1" thickBot="1" x14ac:dyDescent="0.25">
      <c r="A744" s="1" t="s">
        <v>40</v>
      </c>
      <c r="B744" s="1" t="s">
        <v>12</v>
      </c>
      <c r="C744" s="1" t="s">
        <v>21</v>
      </c>
      <c r="D744" s="5">
        <v>45865</v>
      </c>
      <c r="E744" s="6">
        <v>177629212780</v>
      </c>
      <c r="F744" s="6">
        <v>16476083004</v>
      </c>
      <c r="G744" s="6">
        <v>161153129776</v>
      </c>
      <c r="H744" s="6">
        <v>13062141138</v>
      </c>
      <c r="I744" s="7">
        <v>164567071642</v>
      </c>
    </row>
    <row r="745" spans="1:9" ht="12" customHeight="1" thickBot="1" x14ac:dyDescent="0.25">
      <c r="A745" s="1" t="s">
        <v>40</v>
      </c>
      <c r="B745" s="1" t="s">
        <v>12</v>
      </c>
      <c r="C745" s="1" t="s">
        <v>21</v>
      </c>
      <c r="D745" s="5">
        <v>45866</v>
      </c>
      <c r="E745" s="6">
        <v>178148288250</v>
      </c>
      <c r="F745" s="6">
        <v>15899641494</v>
      </c>
      <c r="G745" s="6">
        <v>162248646756</v>
      </c>
      <c r="H745" s="6">
        <v>13211695330</v>
      </c>
      <c r="I745" s="7">
        <v>164936592920</v>
      </c>
    </row>
    <row r="746" spans="1:9" ht="12" customHeight="1" thickBot="1" x14ac:dyDescent="0.25">
      <c r="A746" s="1" t="s">
        <v>40</v>
      </c>
      <c r="B746" s="1" t="s">
        <v>12</v>
      </c>
      <c r="C746" s="1" t="s">
        <v>21</v>
      </c>
      <c r="D746" s="5">
        <v>45867</v>
      </c>
      <c r="E746" s="6">
        <v>179627463034</v>
      </c>
      <c r="F746" s="6">
        <v>18052249880</v>
      </c>
      <c r="G746" s="6">
        <v>161575213154</v>
      </c>
      <c r="H746" s="6">
        <v>13309440603</v>
      </c>
      <c r="I746" s="7">
        <v>166318022431</v>
      </c>
    </row>
    <row r="747" spans="1:9" ht="12" customHeight="1" thickBot="1" x14ac:dyDescent="0.25">
      <c r="A747" s="1" t="s">
        <v>40</v>
      </c>
      <c r="B747" s="1" t="s">
        <v>12</v>
      </c>
      <c r="C747" s="1" t="s">
        <v>21</v>
      </c>
      <c r="D747" s="5">
        <v>45868</v>
      </c>
      <c r="E747" s="6">
        <v>180969284286</v>
      </c>
      <c r="F747" s="6">
        <v>17189441213</v>
      </c>
      <c r="G747" s="6">
        <v>163779843073</v>
      </c>
      <c r="H747" s="6">
        <v>13409229599</v>
      </c>
      <c r="I747" s="7">
        <v>167560054687</v>
      </c>
    </row>
    <row r="748" spans="1:9" ht="12" customHeight="1" thickBot="1" x14ac:dyDescent="0.25">
      <c r="A748" s="1" t="s">
        <v>40</v>
      </c>
      <c r="B748" s="1" t="s">
        <v>12</v>
      </c>
      <c r="C748" s="1" t="s">
        <v>21</v>
      </c>
      <c r="D748" s="5">
        <v>45869</v>
      </c>
      <c r="E748" s="6">
        <v>182682145901</v>
      </c>
      <c r="F748" s="6">
        <v>16695833588</v>
      </c>
      <c r="G748" s="6">
        <v>165986312313</v>
      </c>
      <c r="H748" s="6">
        <v>13315808881</v>
      </c>
      <c r="I748" s="7">
        <v>169366337020</v>
      </c>
    </row>
    <row r="749" spans="1:9" ht="12" customHeight="1" thickBot="1" x14ac:dyDescent="0.25">
      <c r="A749" s="1" t="s">
        <v>40</v>
      </c>
      <c r="B749" s="1" t="s">
        <v>12</v>
      </c>
      <c r="C749" s="1" t="s">
        <v>21</v>
      </c>
      <c r="D749" s="5">
        <v>45870</v>
      </c>
      <c r="E749" s="6">
        <v>184347768293</v>
      </c>
      <c r="F749" s="6">
        <v>16293630969</v>
      </c>
      <c r="G749" s="6">
        <v>168054137324</v>
      </c>
      <c r="H749" s="6">
        <v>13665551117</v>
      </c>
      <c r="I749" s="7">
        <v>170682217176</v>
      </c>
    </row>
    <row r="750" spans="1:9" ht="12" customHeight="1" thickBot="1" x14ac:dyDescent="0.25">
      <c r="A750" s="1" t="s">
        <v>40</v>
      </c>
      <c r="B750" s="1" t="s">
        <v>12</v>
      </c>
      <c r="C750" s="1" t="s">
        <v>21</v>
      </c>
      <c r="D750" s="5">
        <v>45871</v>
      </c>
      <c r="E750" s="6">
        <v>186095401947</v>
      </c>
      <c r="F750" s="6">
        <v>16752358713</v>
      </c>
      <c r="G750" s="6">
        <v>169343043234</v>
      </c>
      <c r="H750" s="6">
        <v>13915932124</v>
      </c>
      <c r="I750" s="7">
        <v>172179469823</v>
      </c>
    </row>
    <row r="751" spans="1:9" ht="12" customHeight="1" thickBot="1" x14ac:dyDescent="0.25">
      <c r="A751" s="1" t="s">
        <v>40</v>
      </c>
      <c r="B751" s="1" t="s">
        <v>12</v>
      </c>
      <c r="C751" s="1" t="s">
        <v>21</v>
      </c>
      <c r="D751" s="5">
        <v>45872</v>
      </c>
      <c r="E751" s="6">
        <v>187946309024</v>
      </c>
      <c r="F751" s="6">
        <v>17372207757</v>
      </c>
      <c r="G751" s="6">
        <v>170574101267</v>
      </c>
      <c r="H751" s="6">
        <v>14097722261</v>
      </c>
      <c r="I751" s="7">
        <v>173848586763</v>
      </c>
    </row>
    <row r="752" spans="1:9" ht="12" customHeight="1" thickBot="1" x14ac:dyDescent="0.25">
      <c r="A752" s="1" t="s">
        <v>40</v>
      </c>
      <c r="B752" s="1" t="s">
        <v>12</v>
      </c>
      <c r="C752" s="1" t="s">
        <v>21</v>
      </c>
      <c r="D752" s="5">
        <v>45873</v>
      </c>
      <c r="E752" s="6">
        <v>189172085215</v>
      </c>
      <c r="F752" s="6">
        <v>16977007836</v>
      </c>
      <c r="G752" s="6">
        <v>172195077379</v>
      </c>
      <c r="H752" s="6">
        <v>14170775311</v>
      </c>
      <c r="I752" s="7">
        <v>175001309904</v>
      </c>
    </row>
    <row r="753" spans="1:9" ht="12" customHeight="1" thickBot="1" x14ac:dyDescent="0.25">
      <c r="A753" s="1" t="s">
        <v>40</v>
      </c>
      <c r="B753" s="1" t="s">
        <v>12</v>
      </c>
      <c r="C753" s="1" t="s">
        <v>21</v>
      </c>
      <c r="D753" s="5">
        <v>45874</v>
      </c>
      <c r="E753" s="6">
        <v>190533611349</v>
      </c>
      <c r="F753" s="6">
        <v>18544096717</v>
      </c>
      <c r="G753" s="6">
        <v>171989514632</v>
      </c>
      <c r="H753" s="6">
        <v>14318698262</v>
      </c>
      <c r="I753" s="7">
        <v>176214913087</v>
      </c>
    </row>
    <row r="754" spans="1:9" ht="12" customHeight="1" thickBot="1" x14ac:dyDescent="0.25">
      <c r="A754" s="1" t="s">
        <v>40</v>
      </c>
      <c r="B754" s="1" t="s">
        <v>12</v>
      </c>
      <c r="C754" s="1" t="s">
        <v>21</v>
      </c>
      <c r="D754" s="5">
        <v>45875</v>
      </c>
      <c r="E754" s="6">
        <v>192365992964</v>
      </c>
      <c r="F754" s="6">
        <v>18593932445</v>
      </c>
      <c r="G754" s="6">
        <v>173772060519</v>
      </c>
      <c r="H754" s="6">
        <v>14427721972</v>
      </c>
      <c r="I754" s="7">
        <v>177938270992</v>
      </c>
    </row>
    <row r="755" spans="1:9" ht="12" customHeight="1" thickBot="1" x14ac:dyDescent="0.25">
      <c r="A755" s="1" t="s">
        <v>40</v>
      </c>
      <c r="B755" s="1" t="s">
        <v>12</v>
      </c>
      <c r="C755" s="1" t="s">
        <v>21</v>
      </c>
      <c r="D755" s="5">
        <v>45876</v>
      </c>
      <c r="E755" s="6">
        <v>194037786564</v>
      </c>
      <c r="F755" s="6">
        <v>18516611250</v>
      </c>
      <c r="G755" s="6">
        <v>175521175314</v>
      </c>
      <c r="H755" s="6">
        <v>14240115109</v>
      </c>
      <c r="I755" s="7">
        <v>179797671455</v>
      </c>
    </row>
    <row r="756" spans="1:9" ht="12" customHeight="1" thickBot="1" x14ac:dyDescent="0.25">
      <c r="A756" s="1" t="s">
        <v>40</v>
      </c>
      <c r="B756" s="1" t="s">
        <v>12</v>
      </c>
      <c r="C756" s="1" t="s">
        <v>21</v>
      </c>
      <c r="D756" s="5">
        <v>45877</v>
      </c>
      <c r="E756" s="6">
        <v>195591341020</v>
      </c>
      <c r="F756" s="6">
        <v>18603254466</v>
      </c>
      <c r="G756" s="6">
        <v>176988086554</v>
      </c>
      <c r="H756" s="6">
        <v>15110626045</v>
      </c>
      <c r="I756" s="7">
        <v>180480714975</v>
      </c>
    </row>
    <row r="757" spans="1:9" ht="12" customHeight="1" thickBot="1" x14ac:dyDescent="0.25">
      <c r="A757" s="1" t="s">
        <v>40</v>
      </c>
      <c r="B757" s="1" t="s">
        <v>12</v>
      </c>
      <c r="C757" s="1" t="s">
        <v>21</v>
      </c>
      <c r="D757" s="5">
        <v>45878</v>
      </c>
      <c r="E757" s="6">
        <v>197115701785</v>
      </c>
      <c r="F757" s="6">
        <v>18457490124</v>
      </c>
      <c r="G757" s="6">
        <v>178658211661</v>
      </c>
      <c r="H757" s="6">
        <v>14982727747</v>
      </c>
      <c r="I757" s="7">
        <v>182132974038</v>
      </c>
    </row>
    <row r="758" spans="1:9" ht="12" customHeight="1" thickBot="1" x14ac:dyDescent="0.25">
      <c r="A758" s="1" t="s">
        <v>40</v>
      </c>
      <c r="B758" s="1" t="s">
        <v>12</v>
      </c>
      <c r="C758" s="1" t="s">
        <v>21</v>
      </c>
      <c r="D758" s="5">
        <v>45879</v>
      </c>
      <c r="E758" s="6">
        <v>199880518477</v>
      </c>
      <c r="F758" s="6">
        <v>18871549934</v>
      </c>
      <c r="G758" s="6">
        <v>181008968543</v>
      </c>
      <c r="H758" s="6">
        <v>14874678984</v>
      </c>
      <c r="I758" s="7">
        <v>185005839493</v>
      </c>
    </row>
    <row r="759" spans="1:9" ht="12" customHeight="1" thickBot="1" x14ac:dyDescent="0.25">
      <c r="A759" s="1" t="s">
        <v>40</v>
      </c>
      <c r="B759" s="1" t="s">
        <v>12</v>
      </c>
      <c r="C759" s="1" t="s">
        <v>21</v>
      </c>
      <c r="D759" s="5">
        <v>45880</v>
      </c>
      <c r="E759" s="6">
        <v>200936397793</v>
      </c>
      <c r="F759" s="6">
        <v>18213489688</v>
      </c>
      <c r="G759" s="6">
        <v>182722908105</v>
      </c>
      <c r="H759" s="6">
        <v>14714629155</v>
      </c>
      <c r="I759" s="7">
        <v>186221768638</v>
      </c>
    </row>
    <row r="760" spans="1:9" ht="12" customHeight="1" thickBot="1" x14ac:dyDescent="0.25">
      <c r="A760" s="1" t="s">
        <v>40</v>
      </c>
      <c r="B760" s="1" t="s">
        <v>12</v>
      </c>
      <c r="C760" s="1" t="s">
        <v>21</v>
      </c>
      <c r="D760" s="5">
        <v>45881</v>
      </c>
      <c r="E760" s="6">
        <v>202982703870</v>
      </c>
      <c r="F760" s="6">
        <v>19143634161</v>
      </c>
      <c r="G760" s="6">
        <v>183839069709</v>
      </c>
      <c r="H760" s="6">
        <v>14788183555</v>
      </c>
      <c r="I760" s="7">
        <v>188194520315</v>
      </c>
    </row>
    <row r="761" spans="1:9" ht="12" customHeight="1" thickBot="1" x14ac:dyDescent="0.25">
      <c r="A761" s="1" t="s">
        <v>40</v>
      </c>
      <c r="B761" s="1" t="s">
        <v>12</v>
      </c>
      <c r="C761" s="1" t="s">
        <v>21</v>
      </c>
      <c r="D761" s="5">
        <v>45882</v>
      </c>
      <c r="E761" s="6">
        <v>204562110519</v>
      </c>
      <c r="F761" s="6">
        <v>19519525150</v>
      </c>
      <c r="G761" s="6">
        <v>185042585369</v>
      </c>
      <c r="H761" s="6">
        <v>15035281941</v>
      </c>
      <c r="I761" s="7">
        <v>189526828578</v>
      </c>
    </row>
    <row r="762" spans="1:9" ht="12" customHeight="1" thickBot="1" x14ac:dyDescent="0.25">
      <c r="A762" s="1" t="s">
        <v>40</v>
      </c>
      <c r="B762" s="1" t="s">
        <v>12</v>
      </c>
      <c r="C762" s="1" t="s">
        <v>21</v>
      </c>
      <c r="D762" s="5">
        <v>45883</v>
      </c>
      <c r="E762" s="6">
        <v>206237675533</v>
      </c>
      <c r="F762" s="6">
        <v>19560650082</v>
      </c>
      <c r="G762" s="6">
        <v>186677025451</v>
      </c>
      <c r="H762" s="6">
        <v>14922689164</v>
      </c>
      <c r="I762" s="7">
        <v>191314986369</v>
      </c>
    </row>
    <row r="763" spans="1:9" ht="12" customHeight="1" thickBot="1" x14ac:dyDescent="0.25">
      <c r="A763" s="1" t="s">
        <v>40</v>
      </c>
      <c r="B763" s="1" t="s">
        <v>12</v>
      </c>
      <c r="C763" s="1" t="s">
        <v>21</v>
      </c>
      <c r="D763" s="5">
        <v>45884</v>
      </c>
      <c r="E763" s="6">
        <v>207331162959</v>
      </c>
      <c r="F763" s="6">
        <v>19423705431</v>
      </c>
      <c r="G763" s="6">
        <v>187907457528</v>
      </c>
      <c r="H763" s="6">
        <v>15509700447</v>
      </c>
      <c r="I763" s="7">
        <v>191821462512</v>
      </c>
    </row>
    <row r="764" spans="1:9" ht="12" customHeight="1" thickBot="1" x14ac:dyDescent="0.25">
      <c r="A764" s="1" t="s">
        <v>40</v>
      </c>
      <c r="B764" s="1" t="s">
        <v>12</v>
      </c>
      <c r="C764" s="1" t="s">
        <v>21</v>
      </c>
      <c r="D764" s="5">
        <v>45885</v>
      </c>
      <c r="E764" s="6">
        <v>208790410811</v>
      </c>
      <c r="F764" s="6">
        <v>19328208210</v>
      </c>
      <c r="G764" s="6">
        <v>189462202601</v>
      </c>
      <c r="H764" s="6">
        <v>15564079041</v>
      </c>
      <c r="I764" s="7">
        <v>193226331770</v>
      </c>
    </row>
    <row r="765" spans="1:9" ht="12" customHeight="1" thickBot="1" x14ac:dyDescent="0.25">
      <c r="A765" s="1" t="s">
        <v>40</v>
      </c>
      <c r="B765" s="1" t="s">
        <v>12</v>
      </c>
      <c r="C765" s="1" t="s">
        <v>21</v>
      </c>
      <c r="D765" s="5">
        <v>45886</v>
      </c>
      <c r="E765" s="6">
        <v>210980855956</v>
      </c>
      <c r="F765" s="6">
        <v>19595491061</v>
      </c>
      <c r="G765" s="6">
        <v>191385364895</v>
      </c>
      <c r="H765" s="6">
        <v>15670063265</v>
      </c>
      <c r="I765" s="7">
        <v>195310792691</v>
      </c>
    </row>
    <row r="766" spans="1:9" ht="12" customHeight="1" thickBot="1" x14ac:dyDescent="0.25">
      <c r="A766" s="1" t="s">
        <v>40</v>
      </c>
      <c r="B766" s="1" t="s">
        <v>12</v>
      </c>
      <c r="C766" s="1" t="s">
        <v>21</v>
      </c>
      <c r="D766" s="5">
        <v>45887</v>
      </c>
      <c r="E766" s="6">
        <v>211930447481</v>
      </c>
      <c r="F766" s="6">
        <v>18850393792</v>
      </c>
      <c r="G766" s="6">
        <v>193080053689</v>
      </c>
      <c r="H766" s="6">
        <v>15843100530</v>
      </c>
      <c r="I766" s="7">
        <v>196087346951</v>
      </c>
    </row>
    <row r="767" spans="1:9" ht="12" customHeight="1" thickBot="1" x14ac:dyDescent="0.25">
      <c r="A767" s="1" t="s">
        <v>40</v>
      </c>
      <c r="B767" s="1" t="s">
        <v>12</v>
      </c>
      <c r="C767" s="1" t="s">
        <v>21</v>
      </c>
      <c r="D767" s="5">
        <v>45888</v>
      </c>
      <c r="E767" s="6">
        <v>213272371259</v>
      </c>
      <c r="F767" s="6">
        <v>19899709599</v>
      </c>
      <c r="G767" s="6">
        <v>193372661660</v>
      </c>
      <c r="H767" s="6">
        <v>15921559364</v>
      </c>
      <c r="I767" s="7">
        <v>197350811895</v>
      </c>
    </row>
    <row r="768" spans="1:9" ht="12" customHeight="1" thickBot="1" x14ac:dyDescent="0.25">
      <c r="A768" s="1" t="s">
        <v>40</v>
      </c>
      <c r="B768" s="1" t="s">
        <v>12</v>
      </c>
      <c r="C768" s="1" t="s">
        <v>21</v>
      </c>
      <c r="D768" s="5">
        <v>45889</v>
      </c>
      <c r="E768" s="6">
        <v>214592948883</v>
      </c>
      <c r="F768" s="6">
        <v>20049734212</v>
      </c>
      <c r="G768" s="6">
        <v>194543214671</v>
      </c>
      <c r="H768" s="6">
        <v>16070236566</v>
      </c>
      <c r="I768" s="7">
        <v>198522712317</v>
      </c>
    </row>
    <row r="769" spans="1:9" ht="12" customHeight="1" thickBot="1" x14ac:dyDescent="0.25">
      <c r="A769" s="1" t="s">
        <v>40</v>
      </c>
      <c r="B769" s="1" t="s">
        <v>12</v>
      </c>
      <c r="C769" s="1" t="s">
        <v>21</v>
      </c>
      <c r="D769" s="5">
        <v>45890</v>
      </c>
      <c r="E769" s="6">
        <v>216044247157</v>
      </c>
      <c r="F769" s="6">
        <v>20113426518</v>
      </c>
      <c r="G769" s="6">
        <v>195930820639</v>
      </c>
      <c r="H769" s="6">
        <v>15878467803</v>
      </c>
      <c r="I769" s="7">
        <v>200165779354</v>
      </c>
    </row>
    <row r="770" spans="1:9" ht="12" customHeight="1" thickBot="1" x14ac:dyDescent="0.25">
      <c r="A770" s="1" t="s">
        <v>40</v>
      </c>
      <c r="B770" s="1" t="s">
        <v>12</v>
      </c>
      <c r="C770" s="1" t="s">
        <v>21</v>
      </c>
      <c r="D770" s="5">
        <v>45891</v>
      </c>
      <c r="E770" s="6">
        <v>217157636521</v>
      </c>
      <c r="F770" s="6">
        <v>20228706262</v>
      </c>
      <c r="G770" s="6">
        <v>196928930259</v>
      </c>
      <c r="H770" s="6">
        <v>16130276717</v>
      </c>
      <c r="I770" s="7">
        <v>201027359804</v>
      </c>
    </row>
    <row r="771" spans="1:9" ht="12" customHeight="1" thickBot="1" x14ac:dyDescent="0.25">
      <c r="A771" s="1" t="s">
        <v>40</v>
      </c>
      <c r="B771" s="1" t="s">
        <v>12</v>
      </c>
      <c r="C771" s="1" t="s">
        <v>21</v>
      </c>
      <c r="D771" s="5">
        <v>45892</v>
      </c>
      <c r="E771" s="6">
        <v>218548056075</v>
      </c>
      <c r="F771" s="6">
        <v>20278798771</v>
      </c>
      <c r="G771" s="6">
        <v>198269257304</v>
      </c>
      <c r="H771" s="6">
        <v>16264789353</v>
      </c>
      <c r="I771" s="7">
        <v>202283266722</v>
      </c>
    </row>
    <row r="772" spans="1:9" ht="12" customHeight="1" thickBot="1" x14ac:dyDescent="0.25">
      <c r="A772" s="1" t="s">
        <v>40</v>
      </c>
      <c r="B772" s="1" t="s">
        <v>12</v>
      </c>
      <c r="C772" s="1" t="s">
        <v>21</v>
      </c>
      <c r="D772" s="5">
        <v>45893</v>
      </c>
      <c r="E772" s="6">
        <v>220962701136</v>
      </c>
      <c r="F772" s="6">
        <v>20582958713</v>
      </c>
      <c r="G772" s="6">
        <v>200379742423</v>
      </c>
      <c r="H772" s="6">
        <v>16537347596</v>
      </c>
      <c r="I772" s="7">
        <v>204425353540</v>
      </c>
    </row>
    <row r="773" spans="1:9" ht="12" customHeight="1" thickBot="1" x14ac:dyDescent="0.25">
      <c r="A773" s="1" t="s">
        <v>40</v>
      </c>
      <c r="B773" s="1" t="s">
        <v>12</v>
      </c>
      <c r="C773" s="1" t="s">
        <v>21</v>
      </c>
      <c r="D773" s="5">
        <v>45894</v>
      </c>
      <c r="E773" s="6">
        <v>222230272448</v>
      </c>
      <c r="F773" s="6">
        <v>19966805446</v>
      </c>
      <c r="G773" s="6">
        <v>202263467002</v>
      </c>
      <c r="H773" s="6">
        <v>16632753434</v>
      </c>
      <c r="I773" s="7">
        <v>205597519014</v>
      </c>
    </row>
    <row r="774" spans="1:9" ht="12" customHeight="1" thickBot="1" x14ac:dyDescent="0.25">
      <c r="A774" s="1" t="s">
        <v>40</v>
      </c>
      <c r="B774" s="1" t="s">
        <v>12</v>
      </c>
      <c r="C774" s="1" t="s">
        <v>21</v>
      </c>
      <c r="D774" s="5">
        <v>45895</v>
      </c>
      <c r="E774" s="6">
        <v>223880779087</v>
      </c>
      <c r="F774" s="6">
        <v>20844998315</v>
      </c>
      <c r="G774" s="6">
        <v>203035780772</v>
      </c>
      <c r="H774" s="6">
        <v>16798666167</v>
      </c>
      <c r="I774" s="7">
        <v>207082112920</v>
      </c>
    </row>
    <row r="775" spans="1:9" ht="12" customHeight="1" thickBot="1" x14ac:dyDescent="0.25">
      <c r="A775" s="1" t="s">
        <v>40</v>
      </c>
      <c r="B775" s="1" t="s">
        <v>12</v>
      </c>
      <c r="C775" s="1" t="s">
        <v>21</v>
      </c>
      <c r="D775" s="5">
        <v>45896</v>
      </c>
      <c r="E775" s="6">
        <v>225199448606</v>
      </c>
      <c r="F775" s="6">
        <v>21143503687</v>
      </c>
      <c r="G775" s="6">
        <v>204055944919</v>
      </c>
      <c r="H775" s="6">
        <v>17067815486</v>
      </c>
      <c r="I775" s="7">
        <v>208131633120</v>
      </c>
    </row>
    <row r="776" spans="1:9" ht="12" customHeight="1" thickBot="1" x14ac:dyDescent="0.25">
      <c r="A776" s="1" t="s">
        <v>40</v>
      </c>
      <c r="B776" s="1" t="s">
        <v>12</v>
      </c>
      <c r="C776" s="1" t="s">
        <v>21</v>
      </c>
      <c r="D776" s="5">
        <v>45897</v>
      </c>
      <c r="E776" s="6">
        <v>225752108232</v>
      </c>
      <c r="F776" s="6">
        <v>21269300636</v>
      </c>
      <c r="G776" s="6">
        <v>204482807596</v>
      </c>
      <c r="H776" s="6">
        <v>16927991713</v>
      </c>
      <c r="I776" s="7">
        <v>208824116519</v>
      </c>
    </row>
    <row r="777" spans="1:9" ht="12" customHeight="1" thickBot="1" x14ac:dyDescent="0.25">
      <c r="A777" s="1" t="s">
        <v>40</v>
      </c>
      <c r="B777" s="1" t="s">
        <v>12</v>
      </c>
      <c r="C777" s="1" t="s">
        <v>21</v>
      </c>
      <c r="D777" s="5">
        <v>45898</v>
      </c>
      <c r="E777" s="6">
        <v>227177682547</v>
      </c>
      <c r="F777" s="6">
        <v>23731669003</v>
      </c>
      <c r="G777" s="6">
        <v>203446013544</v>
      </c>
      <c r="H777" s="6">
        <v>17261012420</v>
      </c>
      <c r="I777" s="7">
        <v>209916670127</v>
      </c>
    </row>
    <row r="778" spans="1:9" ht="12" customHeight="1" thickBot="1" x14ac:dyDescent="0.25">
      <c r="A778" s="1" t="s">
        <v>40</v>
      </c>
      <c r="B778" s="1" t="s">
        <v>12</v>
      </c>
      <c r="C778" s="1" t="s">
        <v>21</v>
      </c>
      <c r="D778" s="5">
        <v>45899</v>
      </c>
      <c r="E778" s="6">
        <v>228901483247</v>
      </c>
      <c r="F778" s="6">
        <v>22504891909</v>
      </c>
      <c r="G778" s="6">
        <v>206396591338</v>
      </c>
      <c r="H778" s="6">
        <v>17466495686</v>
      </c>
      <c r="I778" s="7">
        <v>211434987561</v>
      </c>
    </row>
    <row r="779" spans="1:9" ht="12" customHeight="1" thickBot="1" x14ac:dyDescent="0.25">
      <c r="A779" s="1" t="s">
        <v>40</v>
      </c>
      <c r="B779" s="1" t="s">
        <v>12</v>
      </c>
      <c r="C779" s="1" t="s">
        <v>21</v>
      </c>
      <c r="D779" s="5">
        <v>45900</v>
      </c>
      <c r="E779" s="6">
        <v>230345078898</v>
      </c>
      <c r="F779" s="6">
        <v>21886174223</v>
      </c>
      <c r="G779" s="6">
        <v>208458904675</v>
      </c>
      <c r="H779" s="6">
        <v>17643118464</v>
      </c>
      <c r="I779" s="7">
        <v>212701960434</v>
      </c>
    </row>
    <row r="780" spans="1:9" ht="12" customHeight="1" thickBot="1" x14ac:dyDescent="0.25">
      <c r="A780" s="1" t="s">
        <v>40</v>
      </c>
      <c r="B780" s="1" t="s">
        <v>12</v>
      </c>
      <c r="C780" s="1" t="s">
        <v>21</v>
      </c>
      <c r="D780" s="5">
        <v>45901</v>
      </c>
      <c r="E780" s="6">
        <v>231988046826</v>
      </c>
      <c r="F780" s="6">
        <v>21579408752</v>
      </c>
      <c r="G780" s="6">
        <v>210408638074</v>
      </c>
      <c r="H780" s="6">
        <v>17835371499</v>
      </c>
      <c r="I780" s="7">
        <v>214152675327</v>
      </c>
    </row>
    <row r="781" spans="1:9" ht="12" customHeight="1" thickBot="1" x14ac:dyDescent="0.25">
      <c r="A781" s="1" t="s">
        <v>40</v>
      </c>
      <c r="B781" s="1" t="s">
        <v>12</v>
      </c>
      <c r="C781" s="1" t="s">
        <v>21</v>
      </c>
      <c r="D781" s="5">
        <v>45902</v>
      </c>
      <c r="E781" s="6">
        <v>233163436534</v>
      </c>
      <c r="F781" s="6">
        <v>21453063387</v>
      </c>
      <c r="G781" s="6">
        <v>211710373147</v>
      </c>
      <c r="H781" s="6">
        <v>18121690238</v>
      </c>
      <c r="I781" s="7">
        <v>215041746296</v>
      </c>
    </row>
    <row r="782" spans="1:9" ht="12" customHeight="1" thickBot="1" x14ac:dyDescent="0.25">
      <c r="A782" s="1" t="s">
        <v>40</v>
      </c>
      <c r="B782" s="1" t="s">
        <v>12</v>
      </c>
      <c r="C782" s="1" t="s">
        <v>21</v>
      </c>
      <c r="D782" s="5">
        <v>45903</v>
      </c>
      <c r="E782" s="6">
        <v>234586455049</v>
      </c>
      <c r="F782" s="6">
        <v>21153996540</v>
      </c>
      <c r="G782" s="6">
        <v>213432458509</v>
      </c>
      <c r="H782" s="6">
        <v>18291668367</v>
      </c>
      <c r="I782" s="7">
        <v>216294786682</v>
      </c>
    </row>
    <row r="783" spans="1:9" ht="12" customHeight="1" thickBot="1" x14ac:dyDescent="0.25">
      <c r="A783" s="1" t="s">
        <v>40</v>
      </c>
      <c r="B783" s="1" t="s">
        <v>12</v>
      </c>
      <c r="C783" s="1" t="s">
        <v>21</v>
      </c>
      <c r="D783" s="5">
        <v>45904</v>
      </c>
      <c r="E783" s="6">
        <v>236773404734</v>
      </c>
      <c r="F783" s="6">
        <v>23250247976</v>
      </c>
      <c r="G783" s="6">
        <v>213523156758</v>
      </c>
      <c r="H783" s="6">
        <v>18203087079</v>
      </c>
      <c r="I783" s="7">
        <v>218570317655</v>
      </c>
    </row>
    <row r="784" spans="1:9" ht="12" customHeight="1" thickBot="1" x14ac:dyDescent="0.25">
      <c r="A784" s="1" t="s">
        <v>40</v>
      </c>
      <c r="B784" s="1" t="s">
        <v>12</v>
      </c>
      <c r="C784" s="1" t="s">
        <v>21</v>
      </c>
      <c r="D784" s="5">
        <v>45905</v>
      </c>
      <c r="E784" s="6">
        <v>239196201725</v>
      </c>
      <c r="F784" s="6">
        <v>23540966697</v>
      </c>
      <c r="G784" s="6">
        <v>215655235028</v>
      </c>
      <c r="H784" s="6">
        <v>18678252214</v>
      </c>
      <c r="I784" s="7">
        <v>220517949511</v>
      </c>
    </row>
    <row r="785" spans="1:9" ht="12" customHeight="1" thickBot="1" x14ac:dyDescent="0.25">
      <c r="A785" s="1" t="s">
        <v>40</v>
      </c>
      <c r="B785" s="1" t="s">
        <v>12</v>
      </c>
      <c r="C785" s="1" t="s">
        <v>21</v>
      </c>
      <c r="D785" s="5">
        <v>45906</v>
      </c>
      <c r="E785" s="6">
        <v>241729794538</v>
      </c>
      <c r="F785" s="6">
        <v>23907337416</v>
      </c>
      <c r="G785" s="6">
        <v>217822457122</v>
      </c>
      <c r="H785" s="6">
        <v>19048557303</v>
      </c>
      <c r="I785" s="7">
        <v>222681237235</v>
      </c>
    </row>
    <row r="786" spans="1:9" ht="12" customHeight="1" thickBot="1" x14ac:dyDescent="0.25">
      <c r="A786" s="1" t="s">
        <v>40</v>
      </c>
      <c r="B786" s="1" t="s">
        <v>12</v>
      </c>
      <c r="C786" s="1" t="s">
        <v>21</v>
      </c>
      <c r="D786" s="5">
        <v>45907</v>
      </c>
      <c r="E786" s="6">
        <v>244497020968</v>
      </c>
      <c r="F786" s="6">
        <v>24479513327</v>
      </c>
      <c r="G786" s="6">
        <v>220017507641</v>
      </c>
      <c r="H786" s="6">
        <v>19172776820</v>
      </c>
      <c r="I786" s="7">
        <v>225324244148</v>
      </c>
    </row>
    <row r="787" spans="1:9" ht="12" customHeight="1" thickBot="1" x14ac:dyDescent="0.25">
      <c r="A787" s="1" t="s">
        <v>40</v>
      </c>
      <c r="B787" s="1" t="s">
        <v>12</v>
      </c>
      <c r="C787" s="1" t="s">
        <v>21</v>
      </c>
      <c r="D787" s="5">
        <v>45908</v>
      </c>
      <c r="E787" s="6">
        <v>247047691511</v>
      </c>
      <c r="F787" s="6">
        <v>23453863884</v>
      </c>
      <c r="G787" s="6">
        <v>223593827627</v>
      </c>
      <c r="H787" s="6">
        <v>20175142862</v>
      </c>
      <c r="I787" s="7">
        <v>226872548649</v>
      </c>
    </row>
    <row r="788" spans="1:9" ht="12" customHeight="1" thickBot="1" x14ac:dyDescent="0.25">
      <c r="A788" s="1" t="s">
        <v>40</v>
      </c>
      <c r="B788" s="1" t="s">
        <v>12</v>
      </c>
      <c r="C788" s="1" t="s">
        <v>21</v>
      </c>
      <c r="D788" s="5">
        <v>45909</v>
      </c>
      <c r="E788" s="6">
        <v>250327563357</v>
      </c>
      <c r="F788" s="6">
        <v>25104731364</v>
      </c>
      <c r="G788" s="6">
        <v>225222831993</v>
      </c>
      <c r="H788" s="6">
        <v>20058967953</v>
      </c>
      <c r="I788" s="7">
        <v>230268595404</v>
      </c>
    </row>
    <row r="789" spans="1:9" ht="12" customHeight="1" thickBot="1" x14ac:dyDescent="0.25">
      <c r="A789" s="1" t="s">
        <v>40</v>
      </c>
      <c r="B789" s="1" t="s">
        <v>12</v>
      </c>
      <c r="C789" s="1" t="s">
        <v>21</v>
      </c>
      <c r="D789" s="5">
        <v>45910</v>
      </c>
      <c r="E789" s="6">
        <v>253952431569</v>
      </c>
      <c r="F789" s="6">
        <v>24826005981</v>
      </c>
      <c r="G789" s="6">
        <v>229126425588</v>
      </c>
      <c r="H789" s="6">
        <v>19718036524</v>
      </c>
      <c r="I789" s="7">
        <v>234234395045</v>
      </c>
    </row>
    <row r="790" spans="1:9" ht="12" customHeight="1" thickBot="1" x14ac:dyDescent="0.25">
      <c r="A790" s="1" t="s">
        <v>40</v>
      </c>
      <c r="B790" s="1" t="s">
        <v>12</v>
      </c>
      <c r="C790" s="1" t="s">
        <v>21</v>
      </c>
      <c r="D790" s="5">
        <v>45911</v>
      </c>
      <c r="E790" s="6">
        <v>256816765523</v>
      </c>
      <c r="F790" s="6">
        <v>24958182025</v>
      </c>
      <c r="G790" s="6">
        <v>231858583498</v>
      </c>
      <c r="H790" s="6">
        <v>19512778982</v>
      </c>
      <c r="I790" s="7">
        <v>237303986541</v>
      </c>
    </row>
    <row r="791" spans="1:9" ht="12" customHeight="1" thickBot="1" x14ac:dyDescent="0.25">
      <c r="A791" s="1" t="s">
        <v>40</v>
      </c>
      <c r="B791" s="1" t="s">
        <v>12</v>
      </c>
      <c r="C791" s="1" t="s">
        <v>21</v>
      </c>
      <c r="D791" s="5">
        <v>45912</v>
      </c>
      <c r="E791" s="6">
        <v>260319893813</v>
      </c>
      <c r="F791" s="6">
        <v>24996934735</v>
      </c>
      <c r="G791" s="6">
        <v>235322959078</v>
      </c>
      <c r="H791" s="6">
        <v>19394708882</v>
      </c>
      <c r="I791" s="7">
        <v>240925184931</v>
      </c>
    </row>
    <row r="792" spans="1:9" ht="12" customHeight="1" thickBot="1" x14ac:dyDescent="0.25">
      <c r="A792" s="1" t="s">
        <v>40</v>
      </c>
      <c r="B792" s="1" t="s">
        <v>12</v>
      </c>
      <c r="C792" s="1" t="s">
        <v>21</v>
      </c>
      <c r="D792" s="5">
        <v>45913</v>
      </c>
      <c r="E792" s="6">
        <v>263416525622</v>
      </c>
      <c r="F792" s="6">
        <v>25505807210</v>
      </c>
      <c r="G792" s="6">
        <v>237910718412</v>
      </c>
      <c r="H792" s="6">
        <v>19300972461</v>
      </c>
      <c r="I792" s="7">
        <v>244115553161</v>
      </c>
    </row>
    <row r="793" spans="1:9" ht="12" customHeight="1" thickBot="1" x14ac:dyDescent="0.25">
      <c r="A793" s="1" t="s">
        <v>40</v>
      </c>
      <c r="B793" s="1" t="s">
        <v>12</v>
      </c>
      <c r="C793" s="1" t="s">
        <v>21</v>
      </c>
      <c r="D793" s="5">
        <v>45914</v>
      </c>
      <c r="E793" s="6">
        <v>267695369496</v>
      </c>
      <c r="F793" s="6">
        <v>25958869945</v>
      </c>
      <c r="G793" s="6">
        <v>241736499551</v>
      </c>
      <c r="H793" s="6">
        <v>20058156611</v>
      </c>
      <c r="I793" s="7">
        <v>247637212885</v>
      </c>
    </row>
    <row r="794" spans="1:9" ht="12" customHeight="1" thickBot="1" x14ac:dyDescent="0.25">
      <c r="A794" s="1" t="s">
        <v>40</v>
      </c>
      <c r="B794" s="1" t="s">
        <v>12</v>
      </c>
      <c r="C794" s="1" t="s">
        <v>21</v>
      </c>
      <c r="D794" s="5">
        <v>45915</v>
      </c>
      <c r="E794" s="6">
        <v>271280263567</v>
      </c>
      <c r="F794" s="6">
        <v>25065122785</v>
      </c>
      <c r="G794" s="6">
        <v>246215140782</v>
      </c>
      <c r="H794" s="6">
        <v>20362876192</v>
      </c>
      <c r="I794" s="7">
        <v>250917387375</v>
      </c>
    </row>
    <row r="795" spans="1:9" ht="12" customHeight="1" thickBot="1" x14ac:dyDescent="0.25">
      <c r="A795" s="1" t="s">
        <v>40</v>
      </c>
      <c r="B795" s="1" t="s">
        <v>12</v>
      </c>
      <c r="C795" s="1" t="s">
        <v>21</v>
      </c>
      <c r="D795" s="5">
        <v>45916</v>
      </c>
      <c r="E795" s="6">
        <v>274524257636</v>
      </c>
      <c r="F795" s="6">
        <v>26295699272</v>
      </c>
      <c r="G795" s="6">
        <v>248228558364</v>
      </c>
      <c r="H795" s="6">
        <v>20490052115</v>
      </c>
      <c r="I795" s="7">
        <v>254034205521</v>
      </c>
    </row>
    <row r="796" spans="1:9" ht="12" customHeight="1" thickBot="1" x14ac:dyDescent="0.25">
      <c r="A796" s="1" t="s">
        <v>40</v>
      </c>
      <c r="B796" s="1" t="s">
        <v>12</v>
      </c>
      <c r="C796" s="1" t="s">
        <v>21</v>
      </c>
      <c r="D796" s="5">
        <v>45917</v>
      </c>
      <c r="E796" s="6">
        <v>277024537231</v>
      </c>
      <c r="F796" s="6">
        <v>26639220795</v>
      </c>
      <c r="G796" s="6">
        <v>250385316436</v>
      </c>
      <c r="H796" s="6">
        <v>20687982412</v>
      </c>
      <c r="I796" s="7">
        <v>256336554819</v>
      </c>
    </row>
    <row r="797" spans="1:9" ht="12" customHeight="1" thickBot="1" x14ac:dyDescent="0.25">
      <c r="A797" s="1" t="s">
        <v>40</v>
      </c>
      <c r="B797" s="1" t="s">
        <v>12</v>
      </c>
      <c r="C797" s="1" t="s">
        <v>21</v>
      </c>
      <c r="D797" s="5">
        <v>45918</v>
      </c>
      <c r="E797" s="6">
        <v>279307778170</v>
      </c>
      <c r="F797" s="6">
        <v>26820942918</v>
      </c>
      <c r="G797" s="6">
        <v>252486835252</v>
      </c>
      <c r="H797" s="6">
        <v>20606884215</v>
      </c>
      <c r="I797" s="7">
        <v>258700893955</v>
      </c>
    </row>
    <row r="798" spans="1:9" ht="12" customHeight="1" thickBot="1" x14ac:dyDescent="0.25">
      <c r="A798" s="1" t="s">
        <v>40</v>
      </c>
      <c r="B798" s="1" t="s">
        <v>12</v>
      </c>
      <c r="C798" s="1" t="s">
        <v>21</v>
      </c>
      <c r="D798" s="5">
        <v>45919</v>
      </c>
      <c r="E798" s="6">
        <v>282573288089</v>
      </c>
      <c r="F798" s="6">
        <v>27459606973</v>
      </c>
      <c r="G798" s="6">
        <v>255113681116</v>
      </c>
      <c r="H798" s="6">
        <v>21341682248</v>
      </c>
      <c r="I798" s="7">
        <v>261231605841</v>
      </c>
    </row>
    <row r="799" spans="1:9" ht="12" customHeight="1" thickBot="1" x14ac:dyDescent="0.25">
      <c r="A799" s="1" t="s">
        <v>40</v>
      </c>
      <c r="B799" s="1" t="s">
        <v>12</v>
      </c>
      <c r="C799" s="1" t="s">
        <v>21</v>
      </c>
      <c r="D799" s="5">
        <v>45920</v>
      </c>
      <c r="E799" s="6">
        <v>285473242930</v>
      </c>
      <c r="F799" s="6">
        <v>27911558882</v>
      </c>
      <c r="G799" s="6">
        <v>257561684048</v>
      </c>
      <c r="H799" s="6">
        <v>21524593152</v>
      </c>
      <c r="I799" s="7">
        <v>263948649778</v>
      </c>
    </row>
    <row r="800" spans="1:9" ht="12" customHeight="1" thickBot="1" x14ac:dyDescent="0.25">
      <c r="A800" s="1" t="s">
        <v>40</v>
      </c>
      <c r="B800" s="1" t="s">
        <v>12</v>
      </c>
      <c r="C800" s="1" t="s">
        <v>21</v>
      </c>
      <c r="D800" s="5">
        <v>45921</v>
      </c>
      <c r="E800" s="6">
        <v>289038895124</v>
      </c>
      <c r="F800" s="6">
        <v>28490399047</v>
      </c>
      <c r="G800" s="6">
        <v>260548496077</v>
      </c>
      <c r="H800" s="6">
        <v>21871924426</v>
      </c>
      <c r="I800" s="7">
        <v>267166970698</v>
      </c>
    </row>
    <row r="801" spans="1:9" ht="12" customHeight="1" thickBot="1" x14ac:dyDescent="0.25">
      <c r="A801" s="1" t="s">
        <v>40</v>
      </c>
      <c r="B801" s="1" t="s">
        <v>12</v>
      </c>
      <c r="C801" s="1" t="s">
        <v>21</v>
      </c>
      <c r="D801" s="5">
        <v>45922</v>
      </c>
      <c r="E801" s="6">
        <v>290864246316</v>
      </c>
      <c r="F801" s="6">
        <v>27555748854</v>
      </c>
      <c r="G801" s="6">
        <v>263308497462</v>
      </c>
      <c r="H801" s="6">
        <v>22132607347</v>
      </c>
      <c r="I801" s="7">
        <v>268731638969</v>
      </c>
    </row>
    <row r="802" spans="1:9" ht="12" customHeight="1" thickBot="1" x14ac:dyDescent="0.25">
      <c r="A802" s="1" t="s">
        <v>40</v>
      </c>
      <c r="B802" s="1" t="s">
        <v>12</v>
      </c>
      <c r="C802" s="1" t="s">
        <v>21</v>
      </c>
      <c r="D802" s="5">
        <v>45923</v>
      </c>
      <c r="E802" s="6">
        <v>293254155291</v>
      </c>
      <c r="F802" s="6">
        <v>28508746068</v>
      </c>
      <c r="G802" s="6">
        <v>264745409223</v>
      </c>
      <c r="H802" s="6">
        <v>22467556892</v>
      </c>
      <c r="I802" s="7">
        <v>270786598399</v>
      </c>
    </row>
    <row r="803" spans="1:9" ht="12" customHeight="1" thickBot="1" x14ac:dyDescent="0.25">
      <c r="A803" s="1" t="s">
        <v>40</v>
      </c>
      <c r="B803" s="1" t="s">
        <v>12</v>
      </c>
      <c r="C803" s="1" t="s">
        <v>21</v>
      </c>
      <c r="D803" s="5">
        <v>45924</v>
      </c>
      <c r="E803" s="6">
        <v>296046519966</v>
      </c>
      <c r="F803" s="6">
        <v>28678382969</v>
      </c>
      <c r="G803" s="6">
        <v>267368136997</v>
      </c>
      <c r="H803" s="6">
        <v>22802182401</v>
      </c>
      <c r="I803" s="7">
        <v>273244337565</v>
      </c>
    </row>
    <row r="804" spans="1:9" ht="12" customHeight="1" thickBot="1" x14ac:dyDescent="0.25">
      <c r="A804" s="1" t="s">
        <v>40</v>
      </c>
      <c r="B804" s="1" t="s">
        <v>12</v>
      </c>
      <c r="C804" s="1" t="s">
        <v>21</v>
      </c>
      <c r="D804" s="5">
        <v>45925</v>
      </c>
      <c r="E804" s="6">
        <v>298719122518</v>
      </c>
      <c r="F804" s="6">
        <v>28822922536</v>
      </c>
      <c r="G804" s="6">
        <v>269896199982</v>
      </c>
      <c r="H804" s="6">
        <v>22646785082</v>
      </c>
      <c r="I804" s="7">
        <v>276072337436</v>
      </c>
    </row>
    <row r="805" spans="1:9" ht="12" customHeight="1" thickBot="1" x14ac:dyDescent="0.25">
      <c r="A805" s="1" t="s">
        <v>40</v>
      </c>
      <c r="B805" s="1" t="s">
        <v>12</v>
      </c>
      <c r="C805" s="1" t="s">
        <v>21</v>
      </c>
      <c r="D805" s="5">
        <v>45926</v>
      </c>
      <c r="E805" s="6">
        <v>300803815488</v>
      </c>
      <c r="F805" s="6">
        <v>28784966448</v>
      </c>
      <c r="G805" s="6">
        <v>272018849040</v>
      </c>
      <c r="H805" s="6">
        <v>23142311614</v>
      </c>
      <c r="I805" s="7">
        <v>277661503874</v>
      </c>
    </row>
    <row r="806" spans="1:9" ht="12" customHeight="1" thickBot="1" x14ac:dyDescent="0.25">
      <c r="A806" s="1" t="s">
        <v>40</v>
      </c>
      <c r="B806" s="1" t="s">
        <v>12</v>
      </c>
      <c r="C806" s="1" t="s">
        <v>21</v>
      </c>
      <c r="D806" s="5">
        <v>45927</v>
      </c>
      <c r="E806" s="6">
        <v>303419004444</v>
      </c>
      <c r="F806" s="6">
        <v>29127050606</v>
      </c>
      <c r="G806" s="6">
        <v>274291953838</v>
      </c>
      <c r="H806" s="6">
        <v>23294136031</v>
      </c>
      <c r="I806" s="7">
        <v>280124868413</v>
      </c>
    </row>
    <row r="807" spans="1:9" ht="12" customHeight="1" thickBot="1" x14ac:dyDescent="0.25">
      <c r="A807" s="1" t="s">
        <v>40</v>
      </c>
      <c r="B807" s="1" t="s">
        <v>12</v>
      </c>
      <c r="C807" s="1" t="s">
        <v>21</v>
      </c>
      <c r="D807" s="5">
        <v>45928</v>
      </c>
      <c r="E807" s="6">
        <v>306406770991</v>
      </c>
      <c r="F807" s="6">
        <v>29761314410</v>
      </c>
      <c r="G807" s="6">
        <v>276645456581</v>
      </c>
      <c r="H807" s="6">
        <v>23453962316</v>
      </c>
      <c r="I807" s="7">
        <v>282952808675</v>
      </c>
    </row>
    <row r="808" spans="1:9" ht="12" customHeight="1" thickBot="1" x14ac:dyDescent="0.25">
      <c r="A808" s="1" t="s">
        <v>40</v>
      </c>
      <c r="B808" s="1" t="s">
        <v>12</v>
      </c>
      <c r="C808" s="1" t="s">
        <v>21</v>
      </c>
      <c r="D808" s="5">
        <v>45929</v>
      </c>
      <c r="E808" s="6">
        <v>308690589907</v>
      </c>
      <c r="F808" s="6">
        <v>29038288996</v>
      </c>
      <c r="G808" s="6">
        <v>279652300911</v>
      </c>
      <c r="H808" s="6">
        <v>23875875178</v>
      </c>
      <c r="I808" s="7">
        <v>284814714729</v>
      </c>
    </row>
    <row r="809" spans="1:9" ht="12" customHeight="1" thickBot="1" x14ac:dyDescent="0.25">
      <c r="A809" s="1" t="s">
        <v>40</v>
      </c>
      <c r="B809" s="1" t="s">
        <v>12</v>
      </c>
      <c r="C809" s="1" t="s">
        <v>21</v>
      </c>
      <c r="D809" s="5">
        <v>45930</v>
      </c>
      <c r="E809" s="6">
        <v>312086013845</v>
      </c>
      <c r="F809" s="6">
        <v>31277877910</v>
      </c>
      <c r="G809" s="6">
        <v>280808135935</v>
      </c>
      <c r="H809" s="6">
        <v>24482646312</v>
      </c>
      <c r="I809" s="7">
        <v>287603367533</v>
      </c>
    </row>
    <row r="810" spans="1:9" ht="12" customHeight="1" thickBot="1" x14ac:dyDescent="0.25">
      <c r="A810" s="1" t="s">
        <v>41</v>
      </c>
      <c r="B810" s="1" t="s">
        <v>31</v>
      </c>
      <c r="C810" s="1" t="s">
        <v>21</v>
      </c>
      <c r="D810" s="5">
        <v>45839</v>
      </c>
      <c r="E810" s="6">
        <v>6145674819</v>
      </c>
      <c r="F810" s="6">
        <v>3639508065</v>
      </c>
      <c r="G810" s="6">
        <v>2506166754</v>
      </c>
      <c r="H810" s="6">
        <v>3639508065</v>
      </c>
      <c r="I810" s="7">
        <v>2506166754</v>
      </c>
    </row>
    <row r="811" spans="1:9" ht="12" customHeight="1" thickBot="1" x14ac:dyDescent="0.25">
      <c r="A811" s="1" t="s">
        <v>41</v>
      </c>
      <c r="B811" s="1" t="s">
        <v>31</v>
      </c>
      <c r="C811" s="1" t="s">
        <v>21</v>
      </c>
      <c r="D811" s="5">
        <v>45840</v>
      </c>
      <c r="E811" s="6">
        <v>6310291989</v>
      </c>
      <c r="F811" s="6">
        <v>3639508065</v>
      </c>
      <c r="G811" s="6">
        <v>2670783924</v>
      </c>
      <c r="H811" s="6">
        <v>3639508065</v>
      </c>
      <c r="I811" s="7">
        <v>2670783924</v>
      </c>
    </row>
    <row r="812" spans="1:9" ht="12" customHeight="1" thickBot="1" x14ac:dyDescent="0.25">
      <c r="A812" s="1" t="s">
        <v>41</v>
      </c>
      <c r="B812" s="1" t="s">
        <v>31</v>
      </c>
      <c r="C812" s="1" t="s">
        <v>21</v>
      </c>
      <c r="D812" s="5">
        <v>45841</v>
      </c>
      <c r="E812" s="6">
        <v>6418636099</v>
      </c>
      <c r="F812" s="6">
        <v>3639208065</v>
      </c>
      <c r="G812" s="6">
        <v>2779428034</v>
      </c>
      <c r="H812" s="6">
        <v>3639208065</v>
      </c>
      <c r="I812" s="7">
        <v>2779428034</v>
      </c>
    </row>
    <row r="813" spans="1:9" ht="12" customHeight="1" thickBot="1" x14ac:dyDescent="0.25">
      <c r="A813" s="1" t="s">
        <v>41</v>
      </c>
      <c r="B813" s="1" t="s">
        <v>31</v>
      </c>
      <c r="C813" s="1" t="s">
        <v>21</v>
      </c>
      <c r="D813" s="5">
        <v>45842</v>
      </c>
      <c r="E813" s="6">
        <v>6502047528</v>
      </c>
      <c r="F813" s="6">
        <v>3634297675</v>
      </c>
      <c r="G813" s="6">
        <v>2867749853</v>
      </c>
      <c r="H813" s="6">
        <v>3634297675</v>
      </c>
      <c r="I813" s="7">
        <v>2867749853</v>
      </c>
    </row>
    <row r="814" spans="1:9" ht="12" customHeight="1" thickBot="1" x14ac:dyDescent="0.25">
      <c r="A814" s="1" t="s">
        <v>41</v>
      </c>
      <c r="B814" s="1" t="s">
        <v>31</v>
      </c>
      <c r="C814" s="1" t="s">
        <v>21</v>
      </c>
      <c r="D814" s="5">
        <v>45843</v>
      </c>
      <c r="E814" s="6">
        <v>6550694926</v>
      </c>
      <c r="F814" s="6">
        <v>3632730058</v>
      </c>
      <c r="G814" s="6">
        <v>2917964868</v>
      </c>
      <c r="H814" s="6">
        <v>3632730058</v>
      </c>
      <c r="I814" s="7">
        <v>2917964868</v>
      </c>
    </row>
    <row r="815" spans="1:9" ht="12" customHeight="1" thickBot="1" x14ac:dyDescent="0.25">
      <c r="A815" s="1" t="s">
        <v>41</v>
      </c>
      <c r="B815" s="1" t="s">
        <v>31</v>
      </c>
      <c r="C815" s="1" t="s">
        <v>21</v>
      </c>
      <c r="D815" s="5">
        <v>45844</v>
      </c>
      <c r="E815" s="6">
        <v>6622950441</v>
      </c>
      <c r="F815" s="6">
        <v>3764071619</v>
      </c>
      <c r="G815" s="6">
        <v>2858878822</v>
      </c>
      <c r="H815" s="6">
        <v>3615800920</v>
      </c>
      <c r="I815" s="7">
        <v>3007149521</v>
      </c>
    </row>
    <row r="816" spans="1:9" ht="12" customHeight="1" thickBot="1" x14ac:dyDescent="0.25">
      <c r="A816" s="1" t="s">
        <v>41</v>
      </c>
      <c r="B816" s="1" t="s">
        <v>31</v>
      </c>
      <c r="C816" s="1" t="s">
        <v>21</v>
      </c>
      <c r="D816" s="5">
        <v>45845</v>
      </c>
      <c r="E816" s="6">
        <v>6669921237</v>
      </c>
      <c r="F816" s="6">
        <v>3732557414</v>
      </c>
      <c r="G816" s="6">
        <v>2937363823</v>
      </c>
      <c r="H816" s="6">
        <v>3614800920</v>
      </c>
      <c r="I816" s="7">
        <v>3055120317</v>
      </c>
    </row>
    <row r="817" spans="1:9" ht="12" customHeight="1" thickBot="1" x14ac:dyDescent="0.25">
      <c r="A817" s="1" t="s">
        <v>41</v>
      </c>
      <c r="B817" s="1" t="s">
        <v>31</v>
      </c>
      <c r="C817" s="1" t="s">
        <v>21</v>
      </c>
      <c r="D817" s="5">
        <v>45846</v>
      </c>
      <c r="E817" s="6">
        <v>6775362395</v>
      </c>
      <c r="F817" s="6">
        <v>3726380996</v>
      </c>
      <c r="G817" s="6">
        <v>3048981399</v>
      </c>
      <c r="H817" s="6">
        <v>3614375920</v>
      </c>
      <c r="I817" s="7">
        <v>3160986475</v>
      </c>
    </row>
    <row r="818" spans="1:9" ht="12" customHeight="1" thickBot="1" x14ac:dyDescent="0.25">
      <c r="A818" s="1" t="s">
        <v>41</v>
      </c>
      <c r="B818" s="1" t="s">
        <v>31</v>
      </c>
      <c r="C818" s="1" t="s">
        <v>21</v>
      </c>
      <c r="D818" s="5">
        <v>45847</v>
      </c>
      <c r="E818" s="6">
        <v>6845313810</v>
      </c>
      <c r="F818" s="6">
        <v>3719298790</v>
      </c>
      <c r="G818" s="6">
        <v>3126015020</v>
      </c>
      <c r="H818" s="6">
        <v>3612004870</v>
      </c>
      <c r="I818" s="7">
        <v>3233308940</v>
      </c>
    </row>
    <row r="819" spans="1:9" ht="12" customHeight="1" thickBot="1" x14ac:dyDescent="0.25">
      <c r="A819" s="1" t="s">
        <v>41</v>
      </c>
      <c r="B819" s="1" t="s">
        <v>31</v>
      </c>
      <c r="C819" s="1" t="s">
        <v>21</v>
      </c>
      <c r="D819" s="5">
        <v>45848</v>
      </c>
      <c r="E819" s="6">
        <v>6904968501</v>
      </c>
      <c r="F819" s="6">
        <v>3705845481</v>
      </c>
      <c r="G819" s="6">
        <v>3199123020</v>
      </c>
      <c r="H819" s="6">
        <v>3598551561</v>
      </c>
      <c r="I819" s="7">
        <v>3306416940</v>
      </c>
    </row>
    <row r="820" spans="1:9" ht="12" customHeight="1" thickBot="1" x14ac:dyDescent="0.25">
      <c r="A820" s="1" t="s">
        <v>41</v>
      </c>
      <c r="B820" s="1" t="s">
        <v>31</v>
      </c>
      <c r="C820" s="1" t="s">
        <v>21</v>
      </c>
      <c r="D820" s="5">
        <v>45849</v>
      </c>
      <c r="E820" s="6">
        <v>6974380911</v>
      </c>
      <c r="F820" s="6">
        <v>3692662819</v>
      </c>
      <c r="G820" s="6">
        <v>3281718092</v>
      </c>
      <c r="H820" s="6">
        <v>3597824264</v>
      </c>
      <c r="I820" s="7">
        <v>3376556647</v>
      </c>
    </row>
    <row r="821" spans="1:9" ht="12" customHeight="1" thickBot="1" x14ac:dyDescent="0.25">
      <c r="A821" s="1" t="s">
        <v>41</v>
      </c>
      <c r="B821" s="1" t="s">
        <v>31</v>
      </c>
      <c r="C821" s="1" t="s">
        <v>21</v>
      </c>
      <c r="D821" s="5">
        <v>45850</v>
      </c>
      <c r="E821" s="6">
        <v>7017473461</v>
      </c>
      <c r="F821" s="6">
        <v>3692662819</v>
      </c>
      <c r="G821" s="6">
        <v>3324810642</v>
      </c>
      <c r="H821" s="6">
        <v>3597824264</v>
      </c>
      <c r="I821" s="7">
        <v>3419649197</v>
      </c>
    </row>
    <row r="822" spans="1:9" ht="12" customHeight="1" thickBot="1" x14ac:dyDescent="0.25">
      <c r="A822" s="1" t="s">
        <v>41</v>
      </c>
      <c r="B822" s="1" t="s">
        <v>31</v>
      </c>
      <c r="C822" s="1" t="s">
        <v>21</v>
      </c>
      <c r="D822" s="5">
        <v>45851</v>
      </c>
      <c r="E822" s="6">
        <v>7073199461</v>
      </c>
      <c r="F822" s="6">
        <v>3692662819</v>
      </c>
      <c r="G822" s="6">
        <v>3380536642</v>
      </c>
      <c r="H822" s="6">
        <v>3597824264</v>
      </c>
      <c r="I822" s="7">
        <v>3475375197</v>
      </c>
    </row>
    <row r="823" spans="1:9" ht="12" customHeight="1" thickBot="1" x14ac:dyDescent="0.25">
      <c r="A823" s="1" t="s">
        <v>41</v>
      </c>
      <c r="B823" s="1" t="s">
        <v>31</v>
      </c>
      <c r="C823" s="1" t="s">
        <v>21</v>
      </c>
      <c r="D823" s="5">
        <v>45852</v>
      </c>
      <c r="E823" s="6">
        <v>7095314837</v>
      </c>
      <c r="F823" s="6">
        <v>3681995496</v>
      </c>
      <c r="G823" s="6">
        <v>3413319341</v>
      </c>
      <c r="H823" s="6">
        <v>3587156941</v>
      </c>
      <c r="I823" s="7">
        <v>3508157896</v>
      </c>
    </row>
    <row r="824" spans="1:9" ht="12" customHeight="1" thickBot="1" x14ac:dyDescent="0.25">
      <c r="A824" s="1" t="s">
        <v>41</v>
      </c>
      <c r="B824" s="1" t="s">
        <v>31</v>
      </c>
      <c r="C824" s="1" t="s">
        <v>21</v>
      </c>
      <c r="D824" s="5">
        <v>45853</v>
      </c>
      <c r="E824" s="6">
        <v>7153756037</v>
      </c>
      <c r="F824" s="6">
        <v>3681995496</v>
      </c>
      <c r="G824" s="6">
        <v>3471760541</v>
      </c>
      <c r="H824" s="6">
        <v>3587156941</v>
      </c>
      <c r="I824" s="7">
        <v>3566599096</v>
      </c>
    </row>
    <row r="825" spans="1:9" ht="12" customHeight="1" thickBot="1" x14ac:dyDescent="0.25">
      <c r="A825" s="1" t="s">
        <v>41</v>
      </c>
      <c r="B825" s="1" t="s">
        <v>31</v>
      </c>
      <c r="C825" s="1" t="s">
        <v>21</v>
      </c>
      <c r="D825" s="5">
        <v>45854</v>
      </c>
      <c r="E825" s="6">
        <v>7180568091</v>
      </c>
      <c r="F825" s="6">
        <v>3674591550</v>
      </c>
      <c r="G825" s="6">
        <v>3505976541</v>
      </c>
      <c r="H825" s="6">
        <v>3674591550</v>
      </c>
      <c r="I825" s="7">
        <v>3505976541</v>
      </c>
    </row>
    <row r="826" spans="1:9" ht="12" customHeight="1" thickBot="1" x14ac:dyDescent="0.25">
      <c r="A826" s="1" t="s">
        <v>41</v>
      </c>
      <c r="B826" s="1" t="s">
        <v>31</v>
      </c>
      <c r="C826" s="1" t="s">
        <v>21</v>
      </c>
      <c r="D826" s="5">
        <v>45855</v>
      </c>
      <c r="E826" s="6">
        <v>7221175731</v>
      </c>
      <c r="F826" s="6">
        <v>3671424190</v>
      </c>
      <c r="G826" s="6">
        <v>3549751541</v>
      </c>
      <c r="H826" s="6">
        <v>3671424190</v>
      </c>
      <c r="I826" s="7">
        <v>3549751541</v>
      </c>
    </row>
    <row r="827" spans="1:9" ht="12" customHeight="1" thickBot="1" x14ac:dyDescent="0.25">
      <c r="A827" s="1" t="s">
        <v>41</v>
      </c>
      <c r="B827" s="1" t="s">
        <v>31</v>
      </c>
      <c r="C827" s="1" t="s">
        <v>21</v>
      </c>
      <c r="D827" s="5">
        <v>45856</v>
      </c>
      <c r="E827" s="6">
        <v>7263562657</v>
      </c>
      <c r="F827" s="6">
        <v>3663811828</v>
      </c>
      <c r="G827" s="6">
        <v>3599750829</v>
      </c>
      <c r="H827" s="6">
        <v>3663811828</v>
      </c>
      <c r="I827" s="7">
        <v>3599750829</v>
      </c>
    </row>
    <row r="828" spans="1:9" ht="12" customHeight="1" thickBot="1" x14ac:dyDescent="0.25">
      <c r="A828" s="1" t="s">
        <v>41</v>
      </c>
      <c r="B828" s="1" t="s">
        <v>31</v>
      </c>
      <c r="C828" s="1" t="s">
        <v>21</v>
      </c>
      <c r="D828" s="5">
        <v>45857</v>
      </c>
      <c r="E828" s="6">
        <v>7325681657</v>
      </c>
      <c r="F828" s="6">
        <v>3660303828</v>
      </c>
      <c r="G828" s="6">
        <v>3665377829</v>
      </c>
      <c r="H828" s="6">
        <v>3660303828</v>
      </c>
      <c r="I828" s="7">
        <v>3665377829</v>
      </c>
    </row>
    <row r="829" spans="1:9" ht="12" customHeight="1" thickBot="1" x14ac:dyDescent="0.25">
      <c r="A829" s="1" t="s">
        <v>41</v>
      </c>
      <c r="B829" s="1" t="s">
        <v>31</v>
      </c>
      <c r="C829" s="1" t="s">
        <v>21</v>
      </c>
      <c r="D829" s="5">
        <v>45858</v>
      </c>
      <c r="E829" s="6">
        <v>7358547280</v>
      </c>
      <c r="F829" s="6">
        <v>3660303828</v>
      </c>
      <c r="G829" s="6">
        <v>3698243452</v>
      </c>
      <c r="H829" s="6">
        <v>3660303828</v>
      </c>
      <c r="I829" s="7">
        <v>3698243452</v>
      </c>
    </row>
    <row r="830" spans="1:9" ht="12" customHeight="1" thickBot="1" x14ac:dyDescent="0.25">
      <c r="A830" s="1" t="s">
        <v>41</v>
      </c>
      <c r="B830" s="1" t="s">
        <v>31</v>
      </c>
      <c r="C830" s="1" t="s">
        <v>21</v>
      </c>
      <c r="D830" s="5">
        <v>45859</v>
      </c>
      <c r="E830" s="6">
        <v>7416096003</v>
      </c>
      <c r="F830" s="6">
        <v>3656677621</v>
      </c>
      <c r="G830" s="6">
        <v>3759418382</v>
      </c>
      <c r="H830" s="6">
        <v>3656677621</v>
      </c>
      <c r="I830" s="7">
        <v>3759418382</v>
      </c>
    </row>
    <row r="831" spans="1:9" ht="12" customHeight="1" thickBot="1" x14ac:dyDescent="0.25">
      <c r="A831" s="1" t="s">
        <v>41</v>
      </c>
      <c r="B831" s="1" t="s">
        <v>31</v>
      </c>
      <c r="C831" s="1" t="s">
        <v>21</v>
      </c>
      <c r="D831" s="5">
        <v>45860</v>
      </c>
      <c r="E831" s="6">
        <v>7443251356</v>
      </c>
      <c r="F831" s="6">
        <v>3649758858</v>
      </c>
      <c r="G831" s="6">
        <v>3793492498</v>
      </c>
      <c r="H831" s="6">
        <v>3649758858</v>
      </c>
      <c r="I831" s="7">
        <v>3793492498</v>
      </c>
    </row>
    <row r="832" spans="1:9" ht="12" customHeight="1" thickBot="1" x14ac:dyDescent="0.25">
      <c r="A832" s="1" t="s">
        <v>41</v>
      </c>
      <c r="B832" s="1" t="s">
        <v>31</v>
      </c>
      <c r="C832" s="1" t="s">
        <v>21</v>
      </c>
      <c r="D832" s="5">
        <v>45861</v>
      </c>
      <c r="E832" s="6">
        <v>7565818918</v>
      </c>
      <c r="F832" s="6">
        <v>3646773920</v>
      </c>
      <c r="G832" s="6">
        <v>3919044998</v>
      </c>
      <c r="H832" s="6">
        <v>3646773920</v>
      </c>
      <c r="I832" s="7">
        <v>3919044998</v>
      </c>
    </row>
    <row r="833" spans="1:9" ht="12" customHeight="1" thickBot="1" x14ac:dyDescent="0.25">
      <c r="A833" s="1" t="s">
        <v>41</v>
      </c>
      <c r="B833" s="1" t="s">
        <v>31</v>
      </c>
      <c r="C833" s="1" t="s">
        <v>21</v>
      </c>
      <c r="D833" s="5">
        <v>45862</v>
      </c>
      <c r="E833" s="6">
        <v>7757921074</v>
      </c>
      <c r="F833" s="6">
        <v>3640937899</v>
      </c>
      <c r="G833" s="6">
        <v>4116983175</v>
      </c>
      <c r="H833" s="6">
        <v>3640937899</v>
      </c>
      <c r="I833" s="7">
        <v>4116983175</v>
      </c>
    </row>
    <row r="834" spans="1:9" ht="12" customHeight="1" thickBot="1" x14ac:dyDescent="0.25">
      <c r="A834" s="1" t="s">
        <v>41</v>
      </c>
      <c r="B834" s="1" t="s">
        <v>31</v>
      </c>
      <c r="C834" s="1" t="s">
        <v>21</v>
      </c>
      <c r="D834" s="5">
        <v>45863</v>
      </c>
      <c r="E834" s="6">
        <v>7892263858</v>
      </c>
      <c r="F834" s="6">
        <v>3635663821</v>
      </c>
      <c r="G834" s="6">
        <v>4256600037</v>
      </c>
      <c r="H834" s="6">
        <v>3635663821</v>
      </c>
      <c r="I834" s="7">
        <v>4256600037</v>
      </c>
    </row>
    <row r="835" spans="1:9" ht="12" customHeight="1" thickBot="1" x14ac:dyDescent="0.25">
      <c r="A835" s="1" t="s">
        <v>41</v>
      </c>
      <c r="B835" s="1" t="s">
        <v>31</v>
      </c>
      <c r="C835" s="1" t="s">
        <v>21</v>
      </c>
      <c r="D835" s="5">
        <v>45864</v>
      </c>
      <c r="E835" s="6">
        <v>8185062709</v>
      </c>
      <c r="F835" s="6">
        <v>3635663821</v>
      </c>
      <c r="G835" s="6">
        <v>4549398888</v>
      </c>
      <c r="H835" s="6">
        <v>3635663821</v>
      </c>
      <c r="I835" s="7">
        <v>4549398888</v>
      </c>
    </row>
    <row r="836" spans="1:9" ht="12" customHeight="1" thickBot="1" x14ac:dyDescent="0.25">
      <c r="A836" s="1" t="s">
        <v>41</v>
      </c>
      <c r="B836" s="1" t="s">
        <v>31</v>
      </c>
      <c r="C836" s="1" t="s">
        <v>21</v>
      </c>
      <c r="D836" s="5">
        <v>45865</v>
      </c>
      <c r="E836" s="6">
        <v>8489933728</v>
      </c>
      <c r="F836" s="6">
        <v>3635663821</v>
      </c>
      <c r="G836" s="6">
        <v>4854269907</v>
      </c>
      <c r="H836" s="6">
        <v>3635663821</v>
      </c>
      <c r="I836" s="7">
        <v>4854269907</v>
      </c>
    </row>
    <row r="837" spans="1:9" ht="12" customHeight="1" thickBot="1" x14ac:dyDescent="0.25">
      <c r="A837" s="1" t="s">
        <v>41</v>
      </c>
      <c r="B837" s="1" t="s">
        <v>31</v>
      </c>
      <c r="C837" s="1" t="s">
        <v>21</v>
      </c>
      <c r="D837" s="5">
        <v>45866</v>
      </c>
      <c r="E837" s="6">
        <v>8636792642</v>
      </c>
      <c r="F837" s="6">
        <v>3635663821</v>
      </c>
      <c r="G837" s="6">
        <v>5001128821</v>
      </c>
      <c r="H837" s="6">
        <v>3635663821</v>
      </c>
      <c r="I837" s="7">
        <v>5001128821</v>
      </c>
    </row>
    <row r="838" spans="1:9" ht="12" customHeight="1" thickBot="1" x14ac:dyDescent="0.25">
      <c r="A838" s="1" t="s">
        <v>41</v>
      </c>
      <c r="B838" s="1" t="s">
        <v>31</v>
      </c>
      <c r="C838" s="1" t="s">
        <v>21</v>
      </c>
      <c r="D838" s="5">
        <v>45867</v>
      </c>
      <c r="E838" s="6">
        <v>8863696611</v>
      </c>
      <c r="F838" s="6">
        <v>3633663821</v>
      </c>
      <c r="G838" s="6">
        <v>5230032790</v>
      </c>
      <c r="H838" s="6">
        <v>3633663821</v>
      </c>
      <c r="I838" s="7">
        <v>5230032790</v>
      </c>
    </row>
    <row r="839" spans="1:9" ht="12" customHeight="1" thickBot="1" x14ac:dyDescent="0.25">
      <c r="A839" s="1" t="s">
        <v>41</v>
      </c>
      <c r="B839" s="1" t="s">
        <v>31</v>
      </c>
      <c r="C839" s="1" t="s">
        <v>21</v>
      </c>
      <c r="D839" s="5">
        <v>45868</v>
      </c>
      <c r="E839" s="6">
        <v>9179617252</v>
      </c>
      <c r="F839" s="6">
        <v>3633279518</v>
      </c>
      <c r="G839" s="6">
        <v>5546337734</v>
      </c>
      <c r="H839" s="6">
        <v>3633279518</v>
      </c>
      <c r="I839" s="7">
        <v>5546337734</v>
      </c>
    </row>
    <row r="840" spans="1:9" ht="12" customHeight="1" thickBot="1" x14ac:dyDescent="0.25">
      <c r="A840" s="1" t="s">
        <v>41</v>
      </c>
      <c r="B840" s="1" t="s">
        <v>31</v>
      </c>
      <c r="C840" s="1" t="s">
        <v>21</v>
      </c>
      <c r="D840" s="5">
        <v>45869</v>
      </c>
      <c r="E840" s="6">
        <v>9413042567</v>
      </c>
      <c r="F840" s="6">
        <v>3633279518</v>
      </c>
      <c r="G840" s="6">
        <v>5779763049</v>
      </c>
      <c r="H840" s="6">
        <v>3633279518</v>
      </c>
      <c r="I840" s="7">
        <v>5779763049</v>
      </c>
    </row>
    <row r="841" spans="1:9" ht="12" customHeight="1" thickBot="1" x14ac:dyDescent="0.25">
      <c r="A841" s="1" t="s">
        <v>41</v>
      </c>
      <c r="B841" s="1" t="s">
        <v>31</v>
      </c>
      <c r="C841" s="1" t="s">
        <v>21</v>
      </c>
      <c r="D841" s="5">
        <v>45870</v>
      </c>
      <c r="E841" s="6">
        <v>9740289280</v>
      </c>
      <c r="F841" s="6">
        <v>3633279518</v>
      </c>
      <c r="G841" s="6">
        <v>6107009762</v>
      </c>
      <c r="H841" s="6">
        <v>3633279518</v>
      </c>
      <c r="I841" s="7">
        <v>6107009762</v>
      </c>
    </row>
    <row r="842" spans="1:9" ht="12" customHeight="1" thickBot="1" x14ac:dyDescent="0.25">
      <c r="A842" s="1" t="s">
        <v>41</v>
      </c>
      <c r="B842" s="1" t="s">
        <v>31</v>
      </c>
      <c r="C842" s="1" t="s">
        <v>21</v>
      </c>
      <c r="D842" s="5">
        <v>45871</v>
      </c>
      <c r="E842" s="6">
        <v>9944895231</v>
      </c>
      <c r="F842" s="6">
        <v>3626761703</v>
      </c>
      <c r="G842" s="6">
        <v>6318133528</v>
      </c>
      <c r="H842" s="6">
        <v>3626761703</v>
      </c>
      <c r="I842" s="7">
        <v>6318133528</v>
      </c>
    </row>
    <row r="843" spans="1:9" ht="12" customHeight="1" thickBot="1" x14ac:dyDescent="0.25">
      <c r="A843" s="1" t="s">
        <v>41</v>
      </c>
      <c r="B843" s="1" t="s">
        <v>31</v>
      </c>
      <c r="C843" s="1" t="s">
        <v>21</v>
      </c>
      <c r="D843" s="5">
        <v>45872</v>
      </c>
      <c r="E843" s="6">
        <v>10207217561</v>
      </c>
      <c r="F843" s="6">
        <v>3622226614</v>
      </c>
      <c r="G843" s="6">
        <v>6584990947</v>
      </c>
      <c r="H843" s="6">
        <v>3622226614</v>
      </c>
      <c r="I843" s="7">
        <v>6584990947</v>
      </c>
    </row>
    <row r="844" spans="1:9" ht="12" customHeight="1" thickBot="1" x14ac:dyDescent="0.25">
      <c r="A844" s="1" t="s">
        <v>41</v>
      </c>
      <c r="B844" s="1" t="s">
        <v>31</v>
      </c>
      <c r="C844" s="1" t="s">
        <v>21</v>
      </c>
      <c r="D844" s="5">
        <v>45873</v>
      </c>
      <c r="E844" s="6">
        <v>10366956642</v>
      </c>
      <c r="F844" s="6">
        <v>3622069122</v>
      </c>
      <c r="G844" s="6">
        <v>6744887520</v>
      </c>
      <c r="H844" s="6">
        <v>3622069122</v>
      </c>
      <c r="I844" s="7">
        <v>6744887520</v>
      </c>
    </row>
    <row r="845" spans="1:9" ht="12" customHeight="1" thickBot="1" x14ac:dyDescent="0.25">
      <c r="A845" s="1" t="s">
        <v>41</v>
      </c>
      <c r="B845" s="1" t="s">
        <v>31</v>
      </c>
      <c r="C845" s="1" t="s">
        <v>21</v>
      </c>
      <c r="D845" s="5">
        <v>45874</v>
      </c>
      <c r="E845" s="6">
        <v>10574630742</v>
      </c>
      <c r="F845" s="6">
        <v>4738043269</v>
      </c>
      <c r="G845" s="6">
        <v>5836587473</v>
      </c>
      <c r="H845" s="6">
        <v>3611007614</v>
      </c>
      <c r="I845" s="7">
        <v>6963623128</v>
      </c>
    </row>
    <row r="846" spans="1:9" ht="12" customHeight="1" thickBot="1" x14ac:dyDescent="0.25">
      <c r="A846" s="1" t="s">
        <v>41</v>
      </c>
      <c r="B846" s="1" t="s">
        <v>31</v>
      </c>
      <c r="C846" s="1" t="s">
        <v>21</v>
      </c>
      <c r="D846" s="5">
        <v>45875</v>
      </c>
      <c r="E846" s="6">
        <v>10847739659</v>
      </c>
      <c r="F846" s="6">
        <v>4667802222</v>
      </c>
      <c r="G846" s="6">
        <v>6179937437</v>
      </c>
      <c r="H846" s="6">
        <v>3595076257</v>
      </c>
      <c r="I846" s="7">
        <v>7252663402</v>
      </c>
    </row>
    <row r="847" spans="1:9" ht="12" customHeight="1" thickBot="1" x14ac:dyDescent="0.25">
      <c r="A847" s="1" t="s">
        <v>41</v>
      </c>
      <c r="B847" s="1" t="s">
        <v>31</v>
      </c>
      <c r="C847" s="1" t="s">
        <v>21</v>
      </c>
      <c r="D847" s="5">
        <v>45876</v>
      </c>
      <c r="E847" s="6">
        <v>11043512174</v>
      </c>
      <c r="F847" s="6">
        <v>4588920832</v>
      </c>
      <c r="G847" s="6">
        <v>6454591342</v>
      </c>
      <c r="H847" s="6">
        <v>3584758804</v>
      </c>
      <c r="I847" s="7">
        <v>7458753370</v>
      </c>
    </row>
    <row r="848" spans="1:9" ht="12" customHeight="1" thickBot="1" x14ac:dyDescent="0.25">
      <c r="A848" s="1" t="s">
        <v>41</v>
      </c>
      <c r="B848" s="1" t="s">
        <v>31</v>
      </c>
      <c r="C848" s="1" t="s">
        <v>21</v>
      </c>
      <c r="D848" s="5">
        <v>45877</v>
      </c>
      <c r="E848" s="6">
        <v>11330690880</v>
      </c>
      <c r="F848" s="6">
        <v>4560068642</v>
      </c>
      <c r="G848" s="6">
        <v>6770622238</v>
      </c>
      <c r="H848" s="6">
        <v>3582214737</v>
      </c>
      <c r="I848" s="7">
        <v>7748476143</v>
      </c>
    </row>
    <row r="849" spans="1:9" ht="12" customHeight="1" thickBot="1" x14ac:dyDescent="0.25">
      <c r="A849" s="1" t="s">
        <v>41</v>
      </c>
      <c r="B849" s="1" t="s">
        <v>31</v>
      </c>
      <c r="C849" s="1" t="s">
        <v>21</v>
      </c>
      <c r="D849" s="5">
        <v>45878</v>
      </c>
      <c r="E849" s="6">
        <v>11523125868</v>
      </c>
      <c r="F849" s="6">
        <v>4518887982</v>
      </c>
      <c r="G849" s="6">
        <v>7004237886</v>
      </c>
      <c r="H849" s="6">
        <v>3582214737</v>
      </c>
      <c r="I849" s="7">
        <v>7940911131</v>
      </c>
    </row>
    <row r="850" spans="1:9" ht="12" customHeight="1" thickBot="1" x14ac:dyDescent="0.25">
      <c r="A850" s="1" t="s">
        <v>41</v>
      </c>
      <c r="B850" s="1" t="s">
        <v>31</v>
      </c>
      <c r="C850" s="1" t="s">
        <v>21</v>
      </c>
      <c r="D850" s="5">
        <v>45879</v>
      </c>
      <c r="E850" s="6">
        <v>11701092762</v>
      </c>
      <c r="F850" s="6">
        <v>4504030851</v>
      </c>
      <c r="G850" s="6">
        <v>7197061911</v>
      </c>
      <c r="H850" s="6">
        <v>3581774764</v>
      </c>
      <c r="I850" s="7">
        <v>8119317998</v>
      </c>
    </row>
    <row r="851" spans="1:9" ht="12" customHeight="1" thickBot="1" x14ac:dyDescent="0.25">
      <c r="A851" s="1" t="s">
        <v>41</v>
      </c>
      <c r="B851" s="1" t="s">
        <v>31</v>
      </c>
      <c r="C851" s="1" t="s">
        <v>21</v>
      </c>
      <c r="D851" s="5">
        <v>45880</v>
      </c>
      <c r="E851" s="6">
        <v>11952596974</v>
      </c>
      <c r="F851" s="6">
        <v>4488153198</v>
      </c>
      <c r="G851" s="6">
        <v>7464443776</v>
      </c>
      <c r="H851" s="6">
        <v>3581195911</v>
      </c>
      <c r="I851" s="7">
        <v>8371401063</v>
      </c>
    </row>
    <row r="852" spans="1:9" ht="12" customHeight="1" thickBot="1" x14ac:dyDescent="0.25">
      <c r="A852" s="1" t="s">
        <v>41</v>
      </c>
      <c r="B852" s="1" t="s">
        <v>31</v>
      </c>
      <c r="C852" s="1" t="s">
        <v>21</v>
      </c>
      <c r="D852" s="5">
        <v>45881</v>
      </c>
      <c r="E852" s="6">
        <v>12192616380</v>
      </c>
      <c r="F852" s="6">
        <v>4459839894</v>
      </c>
      <c r="G852" s="6">
        <v>7732776486</v>
      </c>
      <c r="H852" s="6">
        <v>3578903607</v>
      </c>
      <c r="I852" s="7">
        <v>8613712773</v>
      </c>
    </row>
    <row r="853" spans="1:9" ht="12" customHeight="1" thickBot="1" x14ac:dyDescent="0.25">
      <c r="A853" s="1" t="s">
        <v>41</v>
      </c>
      <c r="B853" s="1" t="s">
        <v>31</v>
      </c>
      <c r="C853" s="1" t="s">
        <v>21</v>
      </c>
      <c r="D853" s="5">
        <v>45882</v>
      </c>
      <c r="E853" s="6">
        <v>12405090246</v>
      </c>
      <c r="F853" s="6">
        <v>4443863361</v>
      </c>
      <c r="G853" s="6">
        <v>7961226885</v>
      </c>
      <c r="H853" s="6">
        <v>3576521074</v>
      </c>
      <c r="I853" s="7">
        <v>8828569172</v>
      </c>
    </row>
    <row r="854" spans="1:9" ht="12" customHeight="1" thickBot="1" x14ac:dyDescent="0.25">
      <c r="A854" s="1" t="s">
        <v>41</v>
      </c>
      <c r="B854" s="1" t="s">
        <v>31</v>
      </c>
      <c r="C854" s="1" t="s">
        <v>21</v>
      </c>
      <c r="D854" s="5">
        <v>45883</v>
      </c>
      <c r="E854" s="6">
        <v>12624986500</v>
      </c>
      <c r="F854" s="6">
        <v>4398596268</v>
      </c>
      <c r="G854" s="6">
        <v>8226390232</v>
      </c>
      <c r="H854" s="6">
        <v>3573257141</v>
      </c>
      <c r="I854" s="7">
        <v>9051729359</v>
      </c>
    </row>
    <row r="855" spans="1:9" ht="12" customHeight="1" thickBot="1" x14ac:dyDescent="0.25">
      <c r="A855" s="1" t="s">
        <v>41</v>
      </c>
      <c r="B855" s="1" t="s">
        <v>31</v>
      </c>
      <c r="C855" s="1" t="s">
        <v>21</v>
      </c>
      <c r="D855" s="5">
        <v>45884</v>
      </c>
      <c r="E855" s="6">
        <v>12742782258</v>
      </c>
      <c r="F855" s="6">
        <v>4375106371</v>
      </c>
      <c r="G855" s="6">
        <v>8367675887</v>
      </c>
      <c r="H855" s="6">
        <v>4375106371</v>
      </c>
      <c r="I855" s="7">
        <v>8367675887</v>
      </c>
    </row>
    <row r="856" spans="1:9" ht="12" customHeight="1" thickBot="1" x14ac:dyDescent="0.25">
      <c r="A856" s="1" t="s">
        <v>41</v>
      </c>
      <c r="B856" s="1" t="s">
        <v>31</v>
      </c>
      <c r="C856" s="1" t="s">
        <v>21</v>
      </c>
      <c r="D856" s="5">
        <v>45885</v>
      </c>
      <c r="E856" s="6">
        <v>12847796579</v>
      </c>
      <c r="F856" s="6">
        <v>4370545621</v>
      </c>
      <c r="G856" s="6">
        <v>8477250958</v>
      </c>
      <c r="H856" s="6">
        <v>4370545621</v>
      </c>
      <c r="I856" s="7">
        <v>8477250958</v>
      </c>
    </row>
    <row r="857" spans="1:9" ht="12" customHeight="1" thickBot="1" x14ac:dyDescent="0.25">
      <c r="A857" s="1" t="s">
        <v>41</v>
      </c>
      <c r="B857" s="1" t="s">
        <v>31</v>
      </c>
      <c r="C857" s="1" t="s">
        <v>21</v>
      </c>
      <c r="D857" s="5">
        <v>45886</v>
      </c>
      <c r="E857" s="6">
        <v>12989874996</v>
      </c>
      <c r="F857" s="6">
        <v>4365023621</v>
      </c>
      <c r="G857" s="6">
        <v>8624851375</v>
      </c>
      <c r="H857" s="6">
        <v>4365023621</v>
      </c>
      <c r="I857" s="7">
        <v>8624851375</v>
      </c>
    </row>
    <row r="858" spans="1:9" ht="12" customHeight="1" thickBot="1" x14ac:dyDescent="0.25">
      <c r="A858" s="1" t="s">
        <v>41</v>
      </c>
      <c r="B858" s="1" t="s">
        <v>31</v>
      </c>
      <c r="C858" s="1" t="s">
        <v>21</v>
      </c>
      <c r="D858" s="5">
        <v>45887</v>
      </c>
      <c r="E858" s="6">
        <v>13013758209</v>
      </c>
      <c r="F858" s="6">
        <v>4351938027</v>
      </c>
      <c r="G858" s="6">
        <v>8661820182</v>
      </c>
      <c r="H858" s="6">
        <v>4351938027</v>
      </c>
      <c r="I858" s="7">
        <v>8661820182</v>
      </c>
    </row>
    <row r="859" spans="1:9" ht="12" customHeight="1" thickBot="1" x14ac:dyDescent="0.25">
      <c r="A859" s="1" t="s">
        <v>41</v>
      </c>
      <c r="B859" s="1" t="s">
        <v>31</v>
      </c>
      <c r="C859" s="1" t="s">
        <v>21</v>
      </c>
      <c r="D859" s="5">
        <v>45888</v>
      </c>
      <c r="E859" s="6">
        <v>13150602804</v>
      </c>
      <c r="F859" s="6">
        <v>4329000505</v>
      </c>
      <c r="G859" s="6">
        <v>8821602299</v>
      </c>
      <c r="H859" s="6">
        <v>4329000505</v>
      </c>
      <c r="I859" s="7">
        <v>8821602299</v>
      </c>
    </row>
    <row r="860" spans="1:9" ht="12" customHeight="1" thickBot="1" x14ac:dyDescent="0.25">
      <c r="A860" s="1" t="s">
        <v>41</v>
      </c>
      <c r="B860" s="1" t="s">
        <v>31</v>
      </c>
      <c r="C860" s="1" t="s">
        <v>21</v>
      </c>
      <c r="D860" s="5">
        <v>45889</v>
      </c>
      <c r="E860" s="6">
        <v>13278901843</v>
      </c>
      <c r="F860" s="6">
        <v>4305296415</v>
      </c>
      <c r="G860" s="6">
        <v>8973605428</v>
      </c>
      <c r="H860" s="6">
        <v>4305296415</v>
      </c>
      <c r="I860" s="7">
        <v>8973605428</v>
      </c>
    </row>
    <row r="861" spans="1:9" ht="12" customHeight="1" thickBot="1" x14ac:dyDescent="0.25">
      <c r="A861" s="1" t="s">
        <v>41</v>
      </c>
      <c r="B861" s="1" t="s">
        <v>31</v>
      </c>
      <c r="C861" s="1" t="s">
        <v>21</v>
      </c>
      <c r="D861" s="5">
        <v>45890</v>
      </c>
      <c r="E861" s="6">
        <v>13415335726</v>
      </c>
      <c r="F861" s="6">
        <v>4300206415</v>
      </c>
      <c r="G861" s="6">
        <v>9115129311</v>
      </c>
      <c r="H861" s="6">
        <v>4300206415</v>
      </c>
      <c r="I861" s="7">
        <v>9115129311</v>
      </c>
    </row>
    <row r="862" spans="1:9" ht="12" customHeight="1" thickBot="1" x14ac:dyDescent="0.25">
      <c r="A862" s="1" t="s">
        <v>41</v>
      </c>
      <c r="B862" s="1" t="s">
        <v>31</v>
      </c>
      <c r="C862" s="1" t="s">
        <v>21</v>
      </c>
      <c r="D862" s="5">
        <v>45891</v>
      </c>
      <c r="E862" s="6">
        <v>13670665192</v>
      </c>
      <c r="F862" s="6">
        <v>4300206415</v>
      </c>
      <c r="G862" s="6">
        <v>9370458777</v>
      </c>
      <c r="H862" s="6">
        <v>4300206415</v>
      </c>
      <c r="I862" s="7">
        <v>9370458777</v>
      </c>
    </row>
    <row r="863" spans="1:9" ht="12" customHeight="1" thickBot="1" x14ac:dyDescent="0.25">
      <c r="A863" s="1" t="s">
        <v>41</v>
      </c>
      <c r="B863" s="1" t="s">
        <v>31</v>
      </c>
      <c r="C863" s="1" t="s">
        <v>21</v>
      </c>
      <c r="D863" s="5">
        <v>45892</v>
      </c>
      <c r="E863" s="6">
        <v>13824530834</v>
      </c>
      <c r="F863" s="6">
        <v>4300206415</v>
      </c>
      <c r="G863" s="6">
        <v>9524324419</v>
      </c>
      <c r="H863" s="6">
        <v>4300206415</v>
      </c>
      <c r="I863" s="7">
        <v>9524324419</v>
      </c>
    </row>
    <row r="864" spans="1:9" ht="12" customHeight="1" thickBot="1" x14ac:dyDescent="0.25">
      <c r="A864" s="1" t="s">
        <v>41</v>
      </c>
      <c r="B864" s="1" t="s">
        <v>31</v>
      </c>
      <c r="C864" s="1" t="s">
        <v>21</v>
      </c>
      <c r="D864" s="5">
        <v>45893</v>
      </c>
      <c r="E864" s="6">
        <v>14065413715</v>
      </c>
      <c r="F864" s="6">
        <v>4300206415</v>
      </c>
      <c r="G864" s="6">
        <v>9765207300</v>
      </c>
      <c r="H864" s="6">
        <v>4300206415</v>
      </c>
      <c r="I864" s="7">
        <v>9765207300</v>
      </c>
    </row>
    <row r="865" spans="1:9" ht="12" customHeight="1" thickBot="1" x14ac:dyDescent="0.25">
      <c r="A865" s="1" t="s">
        <v>41</v>
      </c>
      <c r="B865" s="1" t="s">
        <v>31</v>
      </c>
      <c r="C865" s="1" t="s">
        <v>21</v>
      </c>
      <c r="D865" s="5">
        <v>45894</v>
      </c>
      <c r="E865" s="6">
        <v>9270807471</v>
      </c>
      <c r="F865" s="6">
        <v>4860990137</v>
      </c>
      <c r="G865" s="6">
        <v>4409817334</v>
      </c>
      <c r="H865" s="6">
        <v>4860990137</v>
      </c>
      <c r="I865" s="7">
        <v>4409817334</v>
      </c>
    </row>
    <row r="866" spans="1:9" ht="12" customHeight="1" thickBot="1" x14ac:dyDescent="0.25">
      <c r="A866" s="1" t="s">
        <v>41</v>
      </c>
      <c r="B866" s="1" t="s">
        <v>31</v>
      </c>
      <c r="C866" s="1" t="s">
        <v>21</v>
      </c>
      <c r="D866" s="5">
        <v>45895</v>
      </c>
      <c r="E866" s="6">
        <v>9285173475</v>
      </c>
      <c r="F866" s="6">
        <v>4860990137</v>
      </c>
      <c r="G866" s="6">
        <v>4424183338</v>
      </c>
      <c r="H866" s="6">
        <v>4860990137</v>
      </c>
      <c r="I866" s="7">
        <v>4424183338</v>
      </c>
    </row>
    <row r="867" spans="1:9" ht="12" customHeight="1" thickBot="1" x14ac:dyDescent="0.25">
      <c r="A867" s="1" t="s">
        <v>41</v>
      </c>
      <c r="B867" s="1" t="s">
        <v>31</v>
      </c>
      <c r="C867" s="1" t="s">
        <v>21</v>
      </c>
      <c r="D867" s="5">
        <v>45896</v>
      </c>
      <c r="E867" s="6">
        <v>9308542934</v>
      </c>
      <c r="F867" s="6">
        <v>4860990137</v>
      </c>
      <c r="G867" s="6">
        <v>4447552797</v>
      </c>
      <c r="H867" s="6">
        <v>4860990137</v>
      </c>
      <c r="I867" s="7">
        <v>4447552797</v>
      </c>
    </row>
    <row r="868" spans="1:9" ht="12" customHeight="1" thickBot="1" x14ac:dyDescent="0.25">
      <c r="A868" s="1" t="s">
        <v>41</v>
      </c>
      <c r="B868" s="1" t="s">
        <v>31</v>
      </c>
      <c r="C868" s="1" t="s">
        <v>21</v>
      </c>
      <c r="D868" s="5">
        <v>45897</v>
      </c>
      <c r="E868" s="6">
        <v>9338797088</v>
      </c>
      <c r="F868" s="6">
        <v>4839601241</v>
      </c>
      <c r="G868" s="6">
        <v>4499195847</v>
      </c>
      <c r="H868" s="6">
        <v>4839601241</v>
      </c>
      <c r="I868" s="7">
        <v>4499195847</v>
      </c>
    </row>
    <row r="869" spans="1:9" ht="12" customHeight="1" thickBot="1" x14ac:dyDescent="0.25">
      <c r="A869" s="1" t="s">
        <v>41</v>
      </c>
      <c r="B869" s="1" t="s">
        <v>31</v>
      </c>
      <c r="C869" s="1" t="s">
        <v>21</v>
      </c>
      <c r="D869" s="5">
        <v>45898</v>
      </c>
      <c r="E869" s="6">
        <v>9365871876</v>
      </c>
      <c r="F869" s="6">
        <v>4834911826</v>
      </c>
      <c r="G869" s="6">
        <v>4530960050</v>
      </c>
      <c r="H869" s="6">
        <v>4834911826</v>
      </c>
      <c r="I869" s="7">
        <v>4530960050</v>
      </c>
    </row>
    <row r="870" spans="1:9" ht="12" customHeight="1" thickBot="1" x14ac:dyDescent="0.25">
      <c r="A870" s="1" t="s">
        <v>41</v>
      </c>
      <c r="B870" s="1" t="s">
        <v>31</v>
      </c>
      <c r="C870" s="1" t="s">
        <v>21</v>
      </c>
      <c r="D870" s="5">
        <v>45899</v>
      </c>
      <c r="E870" s="6">
        <v>9402369035</v>
      </c>
      <c r="F870" s="6">
        <v>4834911826</v>
      </c>
      <c r="G870" s="6">
        <v>4567457209</v>
      </c>
      <c r="H870" s="6">
        <v>4834911826</v>
      </c>
      <c r="I870" s="7">
        <v>4567457209</v>
      </c>
    </row>
    <row r="871" spans="1:9" ht="12" customHeight="1" thickBot="1" x14ac:dyDescent="0.25">
      <c r="A871" s="1" t="s">
        <v>41</v>
      </c>
      <c r="B871" s="1" t="s">
        <v>31</v>
      </c>
      <c r="C871" s="1" t="s">
        <v>21</v>
      </c>
      <c r="D871" s="5">
        <v>45900</v>
      </c>
      <c r="E871" s="6">
        <v>9435713304</v>
      </c>
      <c r="F871" s="6">
        <v>4817963854</v>
      </c>
      <c r="G871" s="6">
        <v>4617749450</v>
      </c>
      <c r="H871" s="6">
        <v>4817963854</v>
      </c>
      <c r="I871" s="7">
        <v>4617749450</v>
      </c>
    </row>
    <row r="872" spans="1:9" ht="12" customHeight="1" thickBot="1" x14ac:dyDescent="0.25">
      <c r="A872" s="1" t="s">
        <v>41</v>
      </c>
      <c r="B872" s="1" t="s">
        <v>31</v>
      </c>
      <c r="C872" s="1" t="s">
        <v>21</v>
      </c>
      <c r="D872" s="5">
        <v>45901</v>
      </c>
      <c r="E872" s="6">
        <v>9419382027</v>
      </c>
      <c r="F872" s="6">
        <v>4817963854</v>
      </c>
      <c r="G872" s="6">
        <v>4601418173</v>
      </c>
      <c r="H872" s="6">
        <v>4817963854</v>
      </c>
      <c r="I872" s="7">
        <v>4601418173</v>
      </c>
    </row>
    <row r="873" spans="1:9" ht="12" customHeight="1" thickBot="1" x14ac:dyDescent="0.25">
      <c r="A873" s="1" t="s">
        <v>41</v>
      </c>
      <c r="B873" s="1" t="s">
        <v>31</v>
      </c>
      <c r="C873" s="1" t="s">
        <v>21</v>
      </c>
      <c r="D873" s="5">
        <v>45902</v>
      </c>
      <c r="E873" s="6">
        <v>9439875174</v>
      </c>
      <c r="F873" s="6">
        <v>4817963854</v>
      </c>
      <c r="G873" s="6">
        <v>4621911320</v>
      </c>
      <c r="H873" s="6">
        <v>4817963854</v>
      </c>
      <c r="I873" s="7">
        <v>4621911320</v>
      </c>
    </row>
    <row r="874" spans="1:9" ht="12" customHeight="1" thickBot="1" x14ac:dyDescent="0.25">
      <c r="A874" s="1" t="s">
        <v>41</v>
      </c>
      <c r="B874" s="1" t="s">
        <v>31</v>
      </c>
      <c r="C874" s="1" t="s">
        <v>21</v>
      </c>
      <c r="D874" s="5">
        <v>45903</v>
      </c>
      <c r="E874" s="6">
        <v>9398008804</v>
      </c>
      <c r="F874" s="6">
        <v>4812862376</v>
      </c>
      <c r="G874" s="6">
        <v>4585146428</v>
      </c>
      <c r="H874" s="6">
        <v>4812862376</v>
      </c>
      <c r="I874" s="7">
        <v>4585146428</v>
      </c>
    </row>
    <row r="875" spans="1:9" ht="12" customHeight="1" thickBot="1" x14ac:dyDescent="0.25">
      <c r="A875" s="1" t="s">
        <v>41</v>
      </c>
      <c r="B875" s="1" t="s">
        <v>31</v>
      </c>
      <c r="C875" s="1" t="s">
        <v>21</v>
      </c>
      <c r="D875" s="5">
        <v>45904</v>
      </c>
      <c r="E875" s="6">
        <v>9270465057</v>
      </c>
      <c r="F875" s="6">
        <v>4788627015</v>
      </c>
      <c r="G875" s="6">
        <v>4481838042</v>
      </c>
      <c r="H875" s="6">
        <v>4788627015</v>
      </c>
      <c r="I875" s="7">
        <v>4481838042</v>
      </c>
    </row>
    <row r="876" spans="1:9" ht="12" customHeight="1" thickBot="1" x14ac:dyDescent="0.25">
      <c r="A876" s="1" t="s">
        <v>41</v>
      </c>
      <c r="B876" s="1" t="s">
        <v>31</v>
      </c>
      <c r="C876" s="1" t="s">
        <v>21</v>
      </c>
      <c r="D876" s="5">
        <v>45905</v>
      </c>
      <c r="E876" s="6">
        <v>9285048046</v>
      </c>
      <c r="F876" s="6">
        <v>5892469161</v>
      </c>
      <c r="G876" s="6">
        <v>3392578885</v>
      </c>
      <c r="H876" s="6">
        <v>4767522096</v>
      </c>
      <c r="I876" s="7">
        <v>4517525950</v>
      </c>
    </row>
    <row r="877" spans="1:9" ht="12" customHeight="1" thickBot="1" x14ac:dyDescent="0.25">
      <c r="A877" s="1" t="s">
        <v>41</v>
      </c>
      <c r="B877" s="1" t="s">
        <v>31</v>
      </c>
      <c r="C877" s="1" t="s">
        <v>21</v>
      </c>
      <c r="D877" s="5">
        <v>45906</v>
      </c>
      <c r="E877" s="6">
        <v>9324240618</v>
      </c>
      <c r="F877" s="6">
        <v>5787062264</v>
      </c>
      <c r="G877" s="6">
        <v>3537178354</v>
      </c>
      <c r="H877" s="6">
        <v>4767522096</v>
      </c>
      <c r="I877" s="7">
        <v>4556718522</v>
      </c>
    </row>
    <row r="878" spans="1:9" ht="12" customHeight="1" thickBot="1" x14ac:dyDescent="0.25">
      <c r="A878" s="1" t="s">
        <v>41</v>
      </c>
      <c r="B878" s="1" t="s">
        <v>31</v>
      </c>
      <c r="C878" s="1" t="s">
        <v>21</v>
      </c>
      <c r="D878" s="5">
        <v>45907</v>
      </c>
      <c r="E878" s="6">
        <v>9343892366</v>
      </c>
      <c r="F878" s="6">
        <v>5749268945</v>
      </c>
      <c r="G878" s="6">
        <v>3594623421</v>
      </c>
      <c r="H878" s="6">
        <v>4767522096</v>
      </c>
      <c r="I878" s="7">
        <v>4576370270</v>
      </c>
    </row>
    <row r="879" spans="1:9" ht="12" customHeight="1" thickBot="1" x14ac:dyDescent="0.25">
      <c r="A879" s="1" t="s">
        <v>41</v>
      </c>
      <c r="B879" s="1" t="s">
        <v>31</v>
      </c>
      <c r="C879" s="1" t="s">
        <v>21</v>
      </c>
      <c r="D879" s="5">
        <v>45908</v>
      </c>
      <c r="E879" s="6">
        <v>9359489199</v>
      </c>
      <c r="F879" s="6">
        <v>5728194945</v>
      </c>
      <c r="G879" s="6">
        <v>3631294254</v>
      </c>
      <c r="H879" s="6">
        <v>4767522096</v>
      </c>
      <c r="I879" s="7">
        <v>4591967103</v>
      </c>
    </row>
    <row r="880" spans="1:9" ht="12" customHeight="1" thickBot="1" x14ac:dyDescent="0.25">
      <c r="A880" s="1" t="s">
        <v>41</v>
      </c>
      <c r="B880" s="1" t="s">
        <v>31</v>
      </c>
      <c r="C880" s="1" t="s">
        <v>21</v>
      </c>
      <c r="D880" s="5">
        <v>45909</v>
      </c>
      <c r="E880" s="6">
        <v>9359851285</v>
      </c>
      <c r="F880" s="6">
        <v>5674651805</v>
      </c>
      <c r="G880" s="6">
        <v>3685199480</v>
      </c>
      <c r="H880" s="6">
        <v>4762110096</v>
      </c>
      <c r="I880" s="7">
        <v>4597741189</v>
      </c>
    </row>
    <row r="881" spans="1:9" ht="12" customHeight="1" thickBot="1" x14ac:dyDescent="0.25">
      <c r="A881" s="1" t="s">
        <v>41</v>
      </c>
      <c r="B881" s="1" t="s">
        <v>31</v>
      </c>
      <c r="C881" s="1" t="s">
        <v>21</v>
      </c>
      <c r="D881" s="5">
        <v>45910</v>
      </c>
      <c r="E881" s="6">
        <v>9369509553</v>
      </c>
      <c r="F881" s="6">
        <v>5643533859</v>
      </c>
      <c r="G881" s="6">
        <v>3725975694</v>
      </c>
      <c r="H881" s="6">
        <v>4748688435</v>
      </c>
      <c r="I881" s="7">
        <v>4620821118</v>
      </c>
    </row>
    <row r="882" spans="1:9" ht="12" customHeight="1" thickBot="1" x14ac:dyDescent="0.25">
      <c r="A882" s="1" t="s">
        <v>41</v>
      </c>
      <c r="B882" s="1" t="s">
        <v>31</v>
      </c>
      <c r="C882" s="1" t="s">
        <v>21</v>
      </c>
      <c r="D882" s="5">
        <v>45911</v>
      </c>
      <c r="E882" s="6">
        <v>9368494920</v>
      </c>
      <c r="F882" s="6">
        <v>5600672129</v>
      </c>
      <c r="G882" s="6">
        <v>3767822791</v>
      </c>
      <c r="H882" s="6">
        <v>4748688435</v>
      </c>
      <c r="I882" s="7">
        <v>4619806485</v>
      </c>
    </row>
    <row r="883" spans="1:9" ht="12" customHeight="1" thickBot="1" x14ac:dyDescent="0.25">
      <c r="A883" s="1" t="s">
        <v>41</v>
      </c>
      <c r="B883" s="1" t="s">
        <v>31</v>
      </c>
      <c r="C883" s="1" t="s">
        <v>21</v>
      </c>
      <c r="D883" s="5">
        <v>45912</v>
      </c>
      <c r="E883" s="6">
        <v>9375858427</v>
      </c>
      <c r="F883" s="6">
        <v>5583721463</v>
      </c>
      <c r="G883" s="6">
        <v>3792136964</v>
      </c>
      <c r="H883" s="6">
        <v>4748488435</v>
      </c>
      <c r="I883" s="7">
        <v>4627369992</v>
      </c>
    </row>
    <row r="884" spans="1:9" ht="12" customHeight="1" thickBot="1" x14ac:dyDescent="0.25">
      <c r="A884" s="1" t="s">
        <v>41</v>
      </c>
      <c r="B884" s="1" t="s">
        <v>31</v>
      </c>
      <c r="C884" s="1" t="s">
        <v>21</v>
      </c>
      <c r="D884" s="5">
        <v>45913</v>
      </c>
      <c r="E884" s="6">
        <v>9375007683</v>
      </c>
      <c r="F884" s="6">
        <v>5548868318</v>
      </c>
      <c r="G884" s="6">
        <v>3826139365</v>
      </c>
      <c r="H884" s="6">
        <v>4744887178</v>
      </c>
      <c r="I884" s="7">
        <v>4630120505</v>
      </c>
    </row>
    <row r="885" spans="1:9" ht="12" customHeight="1" thickBot="1" x14ac:dyDescent="0.25">
      <c r="A885" s="1" t="s">
        <v>41</v>
      </c>
      <c r="B885" s="1" t="s">
        <v>31</v>
      </c>
      <c r="C885" s="1" t="s">
        <v>21</v>
      </c>
      <c r="D885" s="5">
        <v>45914</v>
      </c>
      <c r="E885" s="6">
        <v>9388709472</v>
      </c>
      <c r="F885" s="6">
        <v>5521803268</v>
      </c>
      <c r="G885" s="6">
        <v>3866906204</v>
      </c>
      <c r="H885" s="6">
        <v>4744887178</v>
      </c>
      <c r="I885" s="7">
        <v>4643822294</v>
      </c>
    </row>
    <row r="886" spans="1:9" ht="12" customHeight="1" thickBot="1" x14ac:dyDescent="0.25">
      <c r="A886" s="1" t="s">
        <v>41</v>
      </c>
      <c r="B886" s="1" t="s">
        <v>31</v>
      </c>
      <c r="C886" s="1" t="s">
        <v>21</v>
      </c>
      <c r="D886" s="5">
        <v>45915</v>
      </c>
      <c r="E886" s="6">
        <v>9400195582</v>
      </c>
      <c r="F886" s="6">
        <v>5510316601</v>
      </c>
      <c r="G886" s="6">
        <v>3889878981</v>
      </c>
      <c r="H886" s="6">
        <v>5510316601</v>
      </c>
      <c r="I886" s="7">
        <v>3889878981</v>
      </c>
    </row>
    <row r="887" spans="1:9" ht="12" customHeight="1" thickBot="1" x14ac:dyDescent="0.25">
      <c r="A887" s="1" t="s">
        <v>41</v>
      </c>
      <c r="B887" s="1" t="s">
        <v>31</v>
      </c>
      <c r="C887" s="1" t="s">
        <v>21</v>
      </c>
      <c r="D887" s="5">
        <v>45916</v>
      </c>
      <c r="E887" s="6">
        <v>9402661052</v>
      </c>
      <c r="F887" s="6">
        <v>5486575541</v>
      </c>
      <c r="G887" s="6">
        <v>3916085511</v>
      </c>
      <c r="H887" s="6">
        <v>5486575541</v>
      </c>
      <c r="I887" s="7">
        <v>3916085511</v>
      </c>
    </row>
    <row r="888" spans="1:9" ht="12" customHeight="1" thickBot="1" x14ac:dyDescent="0.25">
      <c r="A888" s="1" t="s">
        <v>41</v>
      </c>
      <c r="B888" s="1" t="s">
        <v>31</v>
      </c>
      <c r="C888" s="1" t="s">
        <v>21</v>
      </c>
      <c r="D888" s="5">
        <v>45917</v>
      </c>
      <c r="E888" s="6">
        <v>9405558729</v>
      </c>
      <c r="F888" s="6">
        <v>5465177541</v>
      </c>
      <c r="G888" s="6">
        <v>3940381188</v>
      </c>
      <c r="H888" s="6">
        <v>5465177541</v>
      </c>
      <c r="I888" s="7">
        <v>3940381188</v>
      </c>
    </row>
    <row r="889" spans="1:9" ht="12" customHeight="1" thickBot="1" x14ac:dyDescent="0.25">
      <c r="A889" s="1" t="s">
        <v>41</v>
      </c>
      <c r="B889" s="1" t="s">
        <v>31</v>
      </c>
      <c r="C889" s="1" t="s">
        <v>21</v>
      </c>
      <c r="D889" s="5">
        <v>45918</v>
      </c>
      <c r="E889" s="6">
        <v>9418799341</v>
      </c>
      <c r="F889" s="6">
        <v>5454540353</v>
      </c>
      <c r="G889" s="6">
        <v>3964258988</v>
      </c>
      <c r="H889" s="6">
        <v>5454540353</v>
      </c>
      <c r="I889" s="7">
        <v>3964258988</v>
      </c>
    </row>
    <row r="890" spans="1:9" ht="12" customHeight="1" thickBot="1" x14ac:dyDescent="0.25">
      <c r="A890" s="1" t="s">
        <v>41</v>
      </c>
      <c r="B890" s="1" t="s">
        <v>31</v>
      </c>
      <c r="C890" s="1" t="s">
        <v>21</v>
      </c>
      <c r="D890" s="5">
        <v>45919</v>
      </c>
      <c r="E890" s="6">
        <v>9443268524</v>
      </c>
      <c r="F890" s="6">
        <v>5453777241</v>
      </c>
      <c r="G890" s="6">
        <v>3989491283</v>
      </c>
      <c r="H890" s="6">
        <v>5453777241</v>
      </c>
      <c r="I890" s="7">
        <v>3989491283</v>
      </c>
    </row>
    <row r="891" spans="1:9" ht="12" customHeight="1" thickBot="1" x14ac:dyDescent="0.25">
      <c r="A891" s="1" t="s">
        <v>41</v>
      </c>
      <c r="B891" s="1" t="s">
        <v>31</v>
      </c>
      <c r="C891" s="1" t="s">
        <v>21</v>
      </c>
      <c r="D891" s="5">
        <v>45920</v>
      </c>
      <c r="E891" s="6">
        <v>9500545867</v>
      </c>
      <c r="F891" s="6">
        <v>5446525234</v>
      </c>
      <c r="G891" s="6">
        <v>4054020633</v>
      </c>
      <c r="H891" s="6">
        <v>5446525234</v>
      </c>
      <c r="I891" s="7">
        <v>4054020633</v>
      </c>
    </row>
    <row r="892" spans="1:9" ht="12" customHeight="1" thickBot="1" x14ac:dyDescent="0.25">
      <c r="A892" s="1" t="s">
        <v>41</v>
      </c>
      <c r="B892" s="1" t="s">
        <v>31</v>
      </c>
      <c r="C892" s="1" t="s">
        <v>21</v>
      </c>
      <c r="D892" s="5">
        <v>45921</v>
      </c>
      <c r="E892" s="6">
        <v>9571188075</v>
      </c>
      <c r="F892" s="6">
        <v>5446497007</v>
      </c>
      <c r="G892" s="6">
        <v>4124691068</v>
      </c>
      <c r="H892" s="6">
        <v>5446497007</v>
      </c>
      <c r="I892" s="7">
        <v>4124691068</v>
      </c>
    </row>
    <row r="893" spans="1:9" ht="12" customHeight="1" thickBot="1" x14ac:dyDescent="0.25">
      <c r="A893" s="1" t="s">
        <v>41</v>
      </c>
      <c r="B893" s="1" t="s">
        <v>31</v>
      </c>
      <c r="C893" s="1" t="s">
        <v>21</v>
      </c>
      <c r="D893" s="5">
        <v>45922</v>
      </c>
      <c r="E893" s="6">
        <v>9597245615</v>
      </c>
      <c r="F893" s="6">
        <v>5443212371</v>
      </c>
      <c r="G893" s="6">
        <v>4154033244</v>
      </c>
      <c r="H893" s="6">
        <v>5443212371</v>
      </c>
      <c r="I893" s="7">
        <v>4154033244</v>
      </c>
    </row>
    <row r="894" spans="1:9" ht="12" customHeight="1" thickBot="1" x14ac:dyDescent="0.25">
      <c r="A894" s="1" t="s">
        <v>41</v>
      </c>
      <c r="B894" s="1" t="s">
        <v>31</v>
      </c>
      <c r="C894" s="1" t="s">
        <v>21</v>
      </c>
      <c r="D894" s="5">
        <v>45923</v>
      </c>
      <c r="E894" s="6">
        <v>9584426337</v>
      </c>
      <c r="F894" s="6">
        <v>5435780630</v>
      </c>
      <c r="G894" s="6">
        <v>4148645707</v>
      </c>
      <c r="H894" s="6">
        <v>5435780630</v>
      </c>
      <c r="I894" s="7">
        <v>4148645707</v>
      </c>
    </row>
    <row r="895" spans="1:9" ht="12" customHeight="1" thickBot="1" x14ac:dyDescent="0.25">
      <c r="A895" s="1" t="s">
        <v>41</v>
      </c>
      <c r="B895" s="1" t="s">
        <v>31</v>
      </c>
      <c r="C895" s="1" t="s">
        <v>21</v>
      </c>
      <c r="D895" s="5">
        <v>45924</v>
      </c>
      <c r="E895" s="6">
        <v>9599718886</v>
      </c>
      <c r="F895" s="6">
        <v>5429179121</v>
      </c>
      <c r="G895" s="6">
        <v>4170539765</v>
      </c>
      <c r="H895" s="6">
        <v>5429179121</v>
      </c>
      <c r="I895" s="7">
        <v>4170539765</v>
      </c>
    </row>
    <row r="896" spans="1:9" ht="12" customHeight="1" thickBot="1" x14ac:dyDescent="0.25">
      <c r="A896" s="1" t="s">
        <v>41</v>
      </c>
      <c r="B896" s="1" t="s">
        <v>31</v>
      </c>
      <c r="C896" s="1" t="s">
        <v>21</v>
      </c>
      <c r="D896" s="5">
        <v>45925</v>
      </c>
      <c r="E896" s="6">
        <v>9599461477</v>
      </c>
      <c r="F896" s="6">
        <v>5427693794</v>
      </c>
      <c r="G896" s="6">
        <v>4171767683</v>
      </c>
      <c r="H896" s="6">
        <v>5427693794</v>
      </c>
      <c r="I896" s="7">
        <v>4171767683</v>
      </c>
    </row>
    <row r="897" spans="1:9" ht="12" customHeight="1" thickBot="1" x14ac:dyDescent="0.25">
      <c r="A897" s="1" t="s">
        <v>41</v>
      </c>
      <c r="B897" s="1" t="s">
        <v>31</v>
      </c>
      <c r="C897" s="1" t="s">
        <v>21</v>
      </c>
      <c r="D897" s="5">
        <v>45926</v>
      </c>
      <c r="E897" s="6">
        <v>9596128249</v>
      </c>
      <c r="F897" s="6">
        <v>5422732994</v>
      </c>
      <c r="G897" s="6">
        <v>4173395255</v>
      </c>
      <c r="H897" s="6">
        <v>5422732994</v>
      </c>
      <c r="I897" s="7">
        <v>4173395255</v>
      </c>
    </row>
    <row r="898" spans="1:9" ht="12" customHeight="1" thickBot="1" x14ac:dyDescent="0.25">
      <c r="A898" s="1" t="s">
        <v>41</v>
      </c>
      <c r="B898" s="1" t="s">
        <v>31</v>
      </c>
      <c r="C898" s="1" t="s">
        <v>21</v>
      </c>
      <c r="D898" s="5">
        <v>45927</v>
      </c>
      <c r="E898" s="6">
        <v>9593943815</v>
      </c>
      <c r="F898" s="6">
        <v>5422732994</v>
      </c>
      <c r="G898" s="6">
        <v>4171210821</v>
      </c>
      <c r="H898" s="6">
        <v>5422732994</v>
      </c>
      <c r="I898" s="7">
        <v>4171210821</v>
      </c>
    </row>
    <row r="899" spans="1:9" ht="12" customHeight="1" thickBot="1" x14ac:dyDescent="0.25">
      <c r="A899" s="1" t="s">
        <v>41</v>
      </c>
      <c r="B899" s="1" t="s">
        <v>31</v>
      </c>
      <c r="C899" s="1" t="s">
        <v>21</v>
      </c>
      <c r="D899" s="5">
        <v>45928</v>
      </c>
      <c r="E899" s="6">
        <v>9591837086</v>
      </c>
      <c r="F899" s="6">
        <v>5415649603</v>
      </c>
      <c r="G899" s="6">
        <v>4176187483</v>
      </c>
      <c r="H899" s="6">
        <v>5415649603</v>
      </c>
      <c r="I899" s="7">
        <v>4176187483</v>
      </c>
    </row>
    <row r="900" spans="1:9" ht="12" customHeight="1" thickBot="1" x14ac:dyDescent="0.25">
      <c r="A900" s="1" t="s">
        <v>41</v>
      </c>
      <c r="B900" s="1" t="s">
        <v>31</v>
      </c>
      <c r="C900" s="1" t="s">
        <v>21</v>
      </c>
      <c r="D900" s="5">
        <v>45929</v>
      </c>
      <c r="E900" s="6">
        <v>9583520999</v>
      </c>
      <c r="F900" s="6">
        <v>5415649603</v>
      </c>
      <c r="G900" s="6">
        <v>4167871396</v>
      </c>
      <c r="H900" s="6">
        <v>5415649603</v>
      </c>
      <c r="I900" s="7">
        <v>4167871396</v>
      </c>
    </row>
    <row r="901" spans="1:9" ht="12" customHeight="1" thickBot="1" x14ac:dyDescent="0.25">
      <c r="A901" s="1" t="s">
        <v>41</v>
      </c>
      <c r="B901" s="1" t="s">
        <v>31</v>
      </c>
      <c r="C901" s="1" t="s">
        <v>21</v>
      </c>
      <c r="D901" s="5">
        <v>45930</v>
      </c>
      <c r="E901" s="6">
        <v>9596116144</v>
      </c>
      <c r="F901" s="6">
        <v>5408395387</v>
      </c>
      <c r="G901" s="6">
        <v>4187720757</v>
      </c>
      <c r="H901" s="6">
        <v>5408395387</v>
      </c>
      <c r="I901" s="7">
        <v>4187720757</v>
      </c>
    </row>
    <row r="902" spans="1:9" ht="12" customHeight="1" thickBot="1" x14ac:dyDescent="0.25">
      <c r="A902" s="1" t="s">
        <v>42</v>
      </c>
      <c r="B902" s="1" t="s">
        <v>31</v>
      </c>
      <c r="C902" s="1" t="s">
        <v>21</v>
      </c>
      <c r="D902" s="5">
        <v>45894</v>
      </c>
      <c r="E902" s="6">
        <v>14737251216</v>
      </c>
      <c r="F902" s="6">
        <v>593049202</v>
      </c>
      <c r="G902" s="6">
        <v>14144202014</v>
      </c>
      <c r="H902" s="6">
        <v>593049202</v>
      </c>
      <c r="I902" s="7">
        <v>14144202014</v>
      </c>
    </row>
    <row r="903" spans="1:9" ht="12" customHeight="1" thickBot="1" x14ac:dyDescent="0.25">
      <c r="A903" s="1" t="s">
        <v>42</v>
      </c>
      <c r="B903" s="1" t="s">
        <v>31</v>
      </c>
      <c r="C903" s="1" t="s">
        <v>21</v>
      </c>
      <c r="D903" s="5">
        <v>45895</v>
      </c>
      <c r="E903" s="6">
        <v>14968219556</v>
      </c>
      <c r="F903" s="6">
        <v>593049202</v>
      </c>
      <c r="G903" s="6">
        <v>14375170354</v>
      </c>
      <c r="H903" s="6">
        <v>593049202</v>
      </c>
      <c r="I903" s="7">
        <v>14375170354</v>
      </c>
    </row>
    <row r="904" spans="1:9" ht="12" customHeight="1" thickBot="1" x14ac:dyDescent="0.25">
      <c r="A904" s="1" t="s">
        <v>42</v>
      </c>
      <c r="B904" s="1" t="s">
        <v>31</v>
      </c>
      <c r="C904" s="1" t="s">
        <v>21</v>
      </c>
      <c r="D904" s="5">
        <v>45896</v>
      </c>
      <c r="E904" s="6">
        <v>15142320995</v>
      </c>
      <c r="F904" s="6">
        <v>592571202</v>
      </c>
      <c r="G904" s="6">
        <v>14549749793</v>
      </c>
      <c r="H904" s="6">
        <v>592571202</v>
      </c>
      <c r="I904" s="7">
        <v>14549749793</v>
      </c>
    </row>
    <row r="905" spans="1:9" ht="12" customHeight="1" thickBot="1" x14ac:dyDescent="0.25">
      <c r="A905" s="1" t="s">
        <v>42</v>
      </c>
      <c r="B905" s="1" t="s">
        <v>31</v>
      </c>
      <c r="C905" s="1" t="s">
        <v>21</v>
      </c>
      <c r="D905" s="5">
        <v>45897</v>
      </c>
      <c r="E905" s="6">
        <v>15385400127</v>
      </c>
      <c r="F905" s="6">
        <v>591465191</v>
      </c>
      <c r="G905" s="6">
        <v>14793934936</v>
      </c>
      <c r="H905" s="6">
        <v>591465191</v>
      </c>
      <c r="I905" s="7">
        <v>14793934936</v>
      </c>
    </row>
    <row r="906" spans="1:9" ht="12" customHeight="1" thickBot="1" x14ac:dyDescent="0.25">
      <c r="A906" s="1" t="s">
        <v>42</v>
      </c>
      <c r="B906" s="1" t="s">
        <v>31</v>
      </c>
      <c r="C906" s="1" t="s">
        <v>21</v>
      </c>
      <c r="D906" s="5">
        <v>45898</v>
      </c>
      <c r="E906" s="6">
        <v>15511293484</v>
      </c>
      <c r="F906" s="6">
        <v>590779636</v>
      </c>
      <c r="G906" s="6">
        <v>14920513848</v>
      </c>
      <c r="H906" s="6">
        <v>590779636</v>
      </c>
      <c r="I906" s="7">
        <v>14920513848</v>
      </c>
    </row>
    <row r="907" spans="1:9" ht="12" customHeight="1" thickBot="1" x14ac:dyDescent="0.25">
      <c r="A907" s="1" t="s">
        <v>42</v>
      </c>
      <c r="B907" s="1" t="s">
        <v>31</v>
      </c>
      <c r="C907" s="1" t="s">
        <v>21</v>
      </c>
      <c r="D907" s="5">
        <v>45899</v>
      </c>
      <c r="E907" s="6">
        <v>15741060398</v>
      </c>
      <c r="F907" s="6">
        <v>590779636</v>
      </c>
      <c r="G907" s="6">
        <v>15150280762</v>
      </c>
      <c r="H907" s="6">
        <v>590779636</v>
      </c>
      <c r="I907" s="7">
        <v>15150280762</v>
      </c>
    </row>
    <row r="908" spans="1:9" ht="12" customHeight="1" thickBot="1" x14ac:dyDescent="0.25">
      <c r="A908" s="1" t="s">
        <v>42</v>
      </c>
      <c r="B908" s="1" t="s">
        <v>31</v>
      </c>
      <c r="C908" s="1" t="s">
        <v>21</v>
      </c>
      <c r="D908" s="5">
        <v>45900</v>
      </c>
      <c r="E908" s="6">
        <v>16031834959</v>
      </c>
      <c r="F908" s="6">
        <v>590779636</v>
      </c>
      <c r="G908" s="6">
        <v>15441055323</v>
      </c>
      <c r="H908" s="6">
        <v>590779636</v>
      </c>
      <c r="I908" s="7">
        <v>15441055323</v>
      </c>
    </row>
    <row r="909" spans="1:9" ht="12" customHeight="1" thickBot="1" x14ac:dyDescent="0.25">
      <c r="A909" s="1" t="s">
        <v>42</v>
      </c>
      <c r="B909" s="1" t="s">
        <v>31</v>
      </c>
      <c r="C909" s="1" t="s">
        <v>21</v>
      </c>
      <c r="D909" s="5">
        <v>45901</v>
      </c>
      <c r="E909" s="6">
        <v>16174840164</v>
      </c>
      <c r="F909" s="6">
        <v>590779635</v>
      </c>
      <c r="G909" s="6">
        <v>15584060529</v>
      </c>
      <c r="H909" s="6">
        <v>590779635</v>
      </c>
      <c r="I909" s="7">
        <v>15584060529</v>
      </c>
    </row>
    <row r="910" spans="1:9" ht="12" customHeight="1" thickBot="1" x14ac:dyDescent="0.25">
      <c r="A910" s="1" t="s">
        <v>42</v>
      </c>
      <c r="B910" s="1" t="s">
        <v>31</v>
      </c>
      <c r="C910" s="1" t="s">
        <v>21</v>
      </c>
      <c r="D910" s="5">
        <v>45902</v>
      </c>
      <c r="E910" s="6">
        <v>16361079595</v>
      </c>
      <c r="F910" s="6">
        <v>590779635</v>
      </c>
      <c r="G910" s="6">
        <v>15770299960</v>
      </c>
      <c r="H910" s="6">
        <v>590779635</v>
      </c>
      <c r="I910" s="7">
        <v>15770299960</v>
      </c>
    </row>
    <row r="911" spans="1:9" ht="12" customHeight="1" thickBot="1" x14ac:dyDescent="0.25">
      <c r="A911" s="1" t="s">
        <v>42</v>
      </c>
      <c r="B911" s="1" t="s">
        <v>31</v>
      </c>
      <c r="C911" s="1" t="s">
        <v>21</v>
      </c>
      <c r="D911" s="5">
        <v>45903</v>
      </c>
      <c r="E911" s="6">
        <v>16376198231</v>
      </c>
      <c r="F911" s="6">
        <v>585779635</v>
      </c>
      <c r="G911" s="6">
        <v>15790418596</v>
      </c>
      <c r="H911" s="6">
        <v>585779635</v>
      </c>
      <c r="I911" s="7">
        <v>15790418596</v>
      </c>
    </row>
    <row r="912" spans="1:9" ht="12" customHeight="1" thickBot="1" x14ac:dyDescent="0.25">
      <c r="A912" s="1" t="s">
        <v>42</v>
      </c>
      <c r="B912" s="1" t="s">
        <v>31</v>
      </c>
      <c r="C912" s="1" t="s">
        <v>21</v>
      </c>
      <c r="D912" s="5">
        <v>45904</v>
      </c>
      <c r="E912" s="6">
        <v>15964499397</v>
      </c>
      <c r="F912" s="6">
        <v>584431302</v>
      </c>
      <c r="G912" s="6">
        <v>15380068095</v>
      </c>
      <c r="H912" s="6">
        <v>584431302</v>
      </c>
      <c r="I912" s="7">
        <v>15380068095</v>
      </c>
    </row>
    <row r="913" spans="1:9" ht="12" customHeight="1" thickBot="1" x14ac:dyDescent="0.25">
      <c r="A913" s="1" t="s">
        <v>42</v>
      </c>
      <c r="B913" s="1" t="s">
        <v>31</v>
      </c>
      <c r="C913" s="1" t="s">
        <v>21</v>
      </c>
      <c r="D913" s="5">
        <v>45905</v>
      </c>
      <c r="E913" s="6">
        <v>16021308779</v>
      </c>
      <c r="F913" s="6">
        <v>3458549619</v>
      </c>
      <c r="G913" s="6">
        <v>12562759160</v>
      </c>
      <c r="H913" s="6">
        <v>584003083</v>
      </c>
      <c r="I913" s="7">
        <v>15437305696</v>
      </c>
    </row>
    <row r="914" spans="1:9" ht="12" customHeight="1" thickBot="1" x14ac:dyDescent="0.25">
      <c r="A914" s="1" t="s">
        <v>42</v>
      </c>
      <c r="B914" s="1" t="s">
        <v>31</v>
      </c>
      <c r="C914" s="1" t="s">
        <v>21</v>
      </c>
      <c r="D914" s="5">
        <v>45906</v>
      </c>
      <c r="E914" s="6">
        <v>16488378165</v>
      </c>
      <c r="F914" s="6">
        <v>3219852148</v>
      </c>
      <c r="G914" s="6">
        <v>13268526017</v>
      </c>
      <c r="H914" s="6">
        <v>584003083</v>
      </c>
      <c r="I914" s="7">
        <v>15904375082</v>
      </c>
    </row>
    <row r="915" spans="1:9" ht="12" customHeight="1" thickBot="1" x14ac:dyDescent="0.25">
      <c r="A915" s="1" t="s">
        <v>42</v>
      </c>
      <c r="B915" s="1" t="s">
        <v>31</v>
      </c>
      <c r="C915" s="1" t="s">
        <v>21</v>
      </c>
      <c r="D915" s="5">
        <v>45907</v>
      </c>
      <c r="E915" s="6">
        <v>16903338399</v>
      </c>
      <c r="F915" s="6">
        <v>3113221288</v>
      </c>
      <c r="G915" s="6">
        <v>13790117111</v>
      </c>
      <c r="H915" s="6">
        <v>579003083</v>
      </c>
      <c r="I915" s="7">
        <v>16324335316</v>
      </c>
    </row>
    <row r="916" spans="1:9" ht="12" customHeight="1" thickBot="1" x14ac:dyDescent="0.25">
      <c r="A916" s="1" t="s">
        <v>42</v>
      </c>
      <c r="B916" s="1" t="s">
        <v>31</v>
      </c>
      <c r="C916" s="1" t="s">
        <v>21</v>
      </c>
      <c r="D916" s="5">
        <v>45908</v>
      </c>
      <c r="E916" s="6">
        <v>17256241583</v>
      </c>
      <c r="F916" s="6">
        <v>3005677081</v>
      </c>
      <c r="G916" s="6">
        <v>14250564502</v>
      </c>
      <c r="H916" s="6">
        <v>578476416</v>
      </c>
      <c r="I916" s="7">
        <v>16677765167</v>
      </c>
    </row>
    <row r="917" spans="1:9" ht="12" customHeight="1" thickBot="1" x14ac:dyDescent="0.25">
      <c r="A917" s="1" t="s">
        <v>42</v>
      </c>
      <c r="B917" s="1" t="s">
        <v>31</v>
      </c>
      <c r="C917" s="1" t="s">
        <v>21</v>
      </c>
      <c r="D917" s="5">
        <v>45909</v>
      </c>
      <c r="E917" s="6">
        <v>17621603198</v>
      </c>
      <c r="F917" s="6">
        <v>2787404845</v>
      </c>
      <c r="G917" s="6">
        <v>14834198353</v>
      </c>
      <c r="H917" s="6">
        <v>568056539</v>
      </c>
      <c r="I917" s="7">
        <v>17053546659</v>
      </c>
    </row>
    <row r="918" spans="1:9" ht="12" customHeight="1" thickBot="1" x14ac:dyDescent="0.25">
      <c r="A918" s="1" t="s">
        <v>42</v>
      </c>
      <c r="B918" s="1" t="s">
        <v>31</v>
      </c>
      <c r="C918" s="1" t="s">
        <v>21</v>
      </c>
      <c r="D918" s="5">
        <v>45910</v>
      </c>
      <c r="E918" s="6">
        <v>17889959785</v>
      </c>
      <c r="F918" s="6">
        <v>2677433164</v>
      </c>
      <c r="G918" s="6">
        <v>15212526621</v>
      </c>
      <c r="H918" s="6">
        <v>568056539</v>
      </c>
      <c r="I918" s="7">
        <v>17321903246</v>
      </c>
    </row>
    <row r="919" spans="1:9" ht="12" customHeight="1" thickBot="1" x14ac:dyDescent="0.25">
      <c r="A919" s="1" t="s">
        <v>42</v>
      </c>
      <c r="B919" s="1" t="s">
        <v>31</v>
      </c>
      <c r="C919" s="1" t="s">
        <v>21</v>
      </c>
      <c r="D919" s="5">
        <v>45911</v>
      </c>
      <c r="E919" s="6">
        <v>18109049057</v>
      </c>
      <c r="F919" s="6">
        <v>2591947957</v>
      </c>
      <c r="G919" s="6">
        <v>15517101100</v>
      </c>
      <c r="H919" s="6">
        <v>568056539</v>
      </c>
      <c r="I919" s="7">
        <v>17540992518</v>
      </c>
    </row>
    <row r="920" spans="1:9" ht="12" customHeight="1" thickBot="1" x14ac:dyDescent="0.25">
      <c r="A920" s="1" t="s">
        <v>42</v>
      </c>
      <c r="B920" s="1" t="s">
        <v>31</v>
      </c>
      <c r="C920" s="1" t="s">
        <v>21</v>
      </c>
      <c r="D920" s="5">
        <v>45912</v>
      </c>
      <c r="E920" s="6">
        <v>18448316318</v>
      </c>
      <c r="F920" s="6">
        <v>2519550999</v>
      </c>
      <c r="G920" s="6">
        <v>15928765319</v>
      </c>
      <c r="H920" s="6">
        <v>568056539</v>
      </c>
      <c r="I920" s="7">
        <v>17880259779</v>
      </c>
    </row>
    <row r="921" spans="1:9" ht="12" customHeight="1" thickBot="1" x14ac:dyDescent="0.25">
      <c r="A921" s="1" t="s">
        <v>42</v>
      </c>
      <c r="B921" s="1" t="s">
        <v>31</v>
      </c>
      <c r="C921" s="1" t="s">
        <v>21</v>
      </c>
      <c r="D921" s="5">
        <v>45913</v>
      </c>
      <c r="E921" s="6">
        <v>18784692470</v>
      </c>
      <c r="F921" s="6">
        <v>2497734833</v>
      </c>
      <c r="G921" s="6">
        <v>16286957637</v>
      </c>
      <c r="H921" s="6">
        <v>568056539</v>
      </c>
      <c r="I921" s="7">
        <v>18216635931</v>
      </c>
    </row>
    <row r="922" spans="1:9" ht="12" customHeight="1" thickBot="1" x14ac:dyDescent="0.25">
      <c r="A922" s="1" t="s">
        <v>42</v>
      </c>
      <c r="B922" s="1" t="s">
        <v>31</v>
      </c>
      <c r="C922" s="1" t="s">
        <v>21</v>
      </c>
      <c r="D922" s="5">
        <v>45914</v>
      </c>
      <c r="E922" s="6">
        <v>19188217815</v>
      </c>
      <c r="F922" s="6">
        <v>2433742855</v>
      </c>
      <c r="G922" s="6">
        <v>16754474960</v>
      </c>
      <c r="H922" s="6">
        <v>568056539</v>
      </c>
      <c r="I922" s="7">
        <v>18620161276</v>
      </c>
    </row>
    <row r="923" spans="1:9" ht="12" customHeight="1" thickBot="1" x14ac:dyDescent="0.25">
      <c r="A923" s="1" t="s">
        <v>42</v>
      </c>
      <c r="B923" s="1" t="s">
        <v>31</v>
      </c>
      <c r="C923" s="1" t="s">
        <v>21</v>
      </c>
      <c r="D923" s="5">
        <v>45915</v>
      </c>
      <c r="E923" s="6">
        <v>19401079345</v>
      </c>
      <c r="F923" s="6">
        <v>2380578157</v>
      </c>
      <c r="G923" s="6">
        <v>17020501188</v>
      </c>
      <c r="H923" s="6">
        <v>2380578157</v>
      </c>
      <c r="I923" s="7">
        <v>17020501188</v>
      </c>
    </row>
    <row r="924" spans="1:9" ht="12" customHeight="1" thickBot="1" x14ac:dyDescent="0.25">
      <c r="A924" s="1" t="s">
        <v>42</v>
      </c>
      <c r="B924" s="1" t="s">
        <v>31</v>
      </c>
      <c r="C924" s="1" t="s">
        <v>21</v>
      </c>
      <c r="D924" s="5">
        <v>45916</v>
      </c>
      <c r="E924" s="6">
        <v>19680437205</v>
      </c>
      <c r="F924" s="6">
        <v>2349635049</v>
      </c>
      <c r="G924" s="6">
        <v>17330802156</v>
      </c>
      <c r="H924" s="6">
        <v>2349635049</v>
      </c>
      <c r="I924" s="7">
        <v>17330802156</v>
      </c>
    </row>
    <row r="925" spans="1:9" ht="12" customHeight="1" thickBot="1" x14ac:dyDescent="0.25">
      <c r="A925" s="1" t="s">
        <v>42</v>
      </c>
      <c r="B925" s="1" t="s">
        <v>31</v>
      </c>
      <c r="C925" s="1" t="s">
        <v>21</v>
      </c>
      <c r="D925" s="5">
        <v>45917</v>
      </c>
      <c r="E925" s="6">
        <v>20016600252</v>
      </c>
      <c r="F925" s="6">
        <v>2325258361</v>
      </c>
      <c r="G925" s="6">
        <v>17691341891</v>
      </c>
      <c r="H925" s="6">
        <v>2325258361</v>
      </c>
      <c r="I925" s="7">
        <v>17691341891</v>
      </c>
    </row>
    <row r="926" spans="1:9" ht="12" customHeight="1" thickBot="1" x14ac:dyDescent="0.25">
      <c r="A926" s="1" t="s">
        <v>42</v>
      </c>
      <c r="B926" s="1" t="s">
        <v>31</v>
      </c>
      <c r="C926" s="1" t="s">
        <v>21</v>
      </c>
      <c r="D926" s="5">
        <v>45918</v>
      </c>
      <c r="E926" s="6">
        <v>20284582071</v>
      </c>
      <c r="F926" s="6">
        <v>2286808719</v>
      </c>
      <c r="G926" s="6">
        <v>17997773352</v>
      </c>
      <c r="H926" s="6">
        <v>2286808719</v>
      </c>
      <c r="I926" s="7">
        <v>17997773352</v>
      </c>
    </row>
    <row r="927" spans="1:9" ht="12" customHeight="1" thickBot="1" x14ac:dyDescent="0.25">
      <c r="A927" s="1" t="s">
        <v>42</v>
      </c>
      <c r="B927" s="1" t="s">
        <v>31</v>
      </c>
      <c r="C927" s="1" t="s">
        <v>21</v>
      </c>
      <c r="D927" s="5">
        <v>45919</v>
      </c>
      <c r="E927" s="6">
        <v>20687841927</v>
      </c>
      <c r="F927" s="6">
        <v>2252609624</v>
      </c>
      <c r="G927" s="6">
        <v>18435232303</v>
      </c>
      <c r="H927" s="6">
        <v>2252609624</v>
      </c>
      <c r="I927" s="7">
        <v>18435232303</v>
      </c>
    </row>
    <row r="928" spans="1:9" ht="12" customHeight="1" thickBot="1" x14ac:dyDescent="0.25">
      <c r="A928" s="1" t="s">
        <v>42</v>
      </c>
      <c r="B928" s="1" t="s">
        <v>31</v>
      </c>
      <c r="C928" s="1" t="s">
        <v>21</v>
      </c>
      <c r="D928" s="5">
        <v>45920</v>
      </c>
      <c r="E928" s="6">
        <v>20978327690</v>
      </c>
      <c r="F928" s="6">
        <v>2230362438</v>
      </c>
      <c r="G928" s="6">
        <v>18747965252</v>
      </c>
      <c r="H928" s="6">
        <v>2230362438</v>
      </c>
      <c r="I928" s="7">
        <v>18747965252</v>
      </c>
    </row>
    <row r="929" spans="1:9" ht="12" customHeight="1" thickBot="1" x14ac:dyDescent="0.25">
      <c r="A929" s="1" t="s">
        <v>42</v>
      </c>
      <c r="B929" s="1" t="s">
        <v>31</v>
      </c>
      <c r="C929" s="1" t="s">
        <v>21</v>
      </c>
      <c r="D929" s="5">
        <v>45921</v>
      </c>
      <c r="E929" s="6">
        <v>21243727524</v>
      </c>
      <c r="F929" s="6">
        <v>2218195046</v>
      </c>
      <c r="G929" s="6">
        <v>19025532478</v>
      </c>
      <c r="H929" s="6">
        <v>2218195046</v>
      </c>
      <c r="I929" s="7">
        <v>19025532478</v>
      </c>
    </row>
    <row r="930" spans="1:9" ht="12" customHeight="1" thickBot="1" x14ac:dyDescent="0.25">
      <c r="A930" s="1" t="s">
        <v>42</v>
      </c>
      <c r="B930" s="1" t="s">
        <v>31</v>
      </c>
      <c r="C930" s="1" t="s">
        <v>21</v>
      </c>
      <c r="D930" s="5">
        <v>45922</v>
      </c>
      <c r="E930" s="6">
        <v>21385092561</v>
      </c>
      <c r="F930" s="6">
        <v>2214319489</v>
      </c>
      <c r="G930" s="6">
        <v>19170773072</v>
      </c>
      <c r="H930" s="6">
        <v>2214319489</v>
      </c>
      <c r="I930" s="7">
        <v>19170773072</v>
      </c>
    </row>
    <row r="931" spans="1:9" ht="12" customHeight="1" thickBot="1" x14ac:dyDescent="0.25">
      <c r="A931" s="1" t="s">
        <v>42</v>
      </c>
      <c r="B931" s="1" t="s">
        <v>31</v>
      </c>
      <c r="C931" s="1" t="s">
        <v>21</v>
      </c>
      <c r="D931" s="5">
        <v>45923</v>
      </c>
      <c r="E931" s="6">
        <v>21691997527</v>
      </c>
      <c r="F931" s="6">
        <v>2207172822</v>
      </c>
      <c r="G931" s="6">
        <v>19484824705</v>
      </c>
      <c r="H931" s="6">
        <v>2207172822</v>
      </c>
      <c r="I931" s="7">
        <v>19484824705</v>
      </c>
    </row>
    <row r="932" spans="1:9" ht="12" customHeight="1" thickBot="1" x14ac:dyDescent="0.25">
      <c r="A932" s="1" t="s">
        <v>42</v>
      </c>
      <c r="B932" s="1" t="s">
        <v>31</v>
      </c>
      <c r="C932" s="1" t="s">
        <v>21</v>
      </c>
      <c r="D932" s="5">
        <v>45924</v>
      </c>
      <c r="E932" s="6">
        <v>22127649201</v>
      </c>
      <c r="F932" s="6">
        <v>2194372901</v>
      </c>
      <c r="G932" s="6">
        <v>19933276300</v>
      </c>
      <c r="H932" s="6">
        <v>2194372901</v>
      </c>
      <c r="I932" s="7">
        <v>19933276300</v>
      </c>
    </row>
    <row r="933" spans="1:9" ht="12" customHeight="1" thickBot="1" x14ac:dyDescent="0.25">
      <c r="A933" s="1" t="s">
        <v>42</v>
      </c>
      <c r="B933" s="1" t="s">
        <v>31</v>
      </c>
      <c r="C933" s="1" t="s">
        <v>21</v>
      </c>
      <c r="D933" s="5">
        <v>45925</v>
      </c>
      <c r="E933" s="6">
        <v>22476644263</v>
      </c>
      <c r="F933" s="6">
        <v>2179581573</v>
      </c>
      <c r="G933" s="6">
        <v>20297062690</v>
      </c>
      <c r="H933" s="6">
        <v>2179581573</v>
      </c>
      <c r="I933" s="7">
        <v>20297062690</v>
      </c>
    </row>
    <row r="934" spans="1:9" ht="12" customHeight="1" thickBot="1" x14ac:dyDescent="0.25">
      <c r="A934" s="1" t="s">
        <v>42</v>
      </c>
      <c r="B934" s="1" t="s">
        <v>31</v>
      </c>
      <c r="C934" s="1" t="s">
        <v>21</v>
      </c>
      <c r="D934" s="5">
        <v>45926</v>
      </c>
      <c r="E934" s="6">
        <v>22730254704</v>
      </c>
      <c r="F934" s="6">
        <v>2169852977</v>
      </c>
      <c r="G934" s="6">
        <v>20560401727</v>
      </c>
      <c r="H934" s="6">
        <v>2169852977</v>
      </c>
      <c r="I934" s="7">
        <v>20560401727</v>
      </c>
    </row>
    <row r="935" spans="1:9" ht="12" customHeight="1" thickBot="1" x14ac:dyDescent="0.25">
      <c r="A935" s="1" t="s">
        <v>42</v>
      </c>
      <c r="B935" s="1" t="s">
        <v>31</v>
      </c>
      <c r="C935" s="1" t="s">
        <v>21</v>
      </c>
      <c r="D935" s="5">
        <v>45927</v>
      </c>
      <c r="E935" s="6">
        <v>23062024563</v>
      </c>
      <c r="F935" s="6">
        <v>2169620948</v>
      </c>
      <c r="G935" s="6">
        <v>20892403615</v>
      </c>
      <c r="H935" s="6">
        <v>2169620948</v>
      </c>
      <c r="I935" s="7">
        <v>20892403615</v>
      </c>
    </row>
    <row r="936" spans="1:9" ht="12" customHeight="1" thickBot="1" x14ac:dyDescent="0.25">
      <c r="A936" s="1" t="s">
        <v>42</v>
      </c>
      <c r="B936" s="1" t="s">
        <v>31</v>
      </c>
      <c r="C936" s="1" t="s">
        <v>21</v>
      </c>
      <c r="D936" s="5">
        <v>45928</v>
      </c>
      <c r="E936" s="6">
        <v>23398679441</v>
      </c>
      <c r="F936" s="6">
        <v>2140343089</v>
      </c>
      <c r="G936" s="6">
        <v>21258336352</v>
      </c>
      <c r="H936" s="6">
        <v>2140343089</v>
      </c>
      <c r="I936" s="7">
        <v>21258336352</v>
      </c>
    </row>
    <row r="937" spans="1:9" ht="12" customHeight="1" thickBot="1" x14ac:dyDescent="0.25">
      <c r="A937" s="1" t="s">
        <v>42</v>
      </c>
      <c r="B937" s="1" t="s">
        <v>31</v>
      </c>
      <c r="C937" s="1" t="s">
        <v>21</v>
      </c>
      <c r="D937" s="5">
        <v>45929</v>
      </c>
      <c r="E937" s="6">
        <v>23397750293</v>
      </c>
      <c r="F937" s="6">
        <v>2131657163</v>
      </c>
      <c r="G937" s="6">
        <v>21266093130</v>
      </c>
      <c r="H937" s="6">
        <v>2131657163</v>
      </c>
      <c r="I937" s="7">
        <v>21266093130</v>
      </c>
    </row>
    <row r="938" spans="1:9" ht="12" customHeight="1" thickBot="1" x14ac:dyDescent="0.25">
      <c r="A938" s="1" t="s">
        <v>42</v>
      </c>
      <c r="B938" s="1" t="s">
        <v>31</v>
      </c>
      <c r="C938" s="1" t="s">
        <v>21</v>
      </c>
      <c r="D938" s="5">
        <v>45930</v>
      </c>
      <c r="E938" s="6">
        <v>23508491478</v>
      </c>
      <c r="F938" s="6">
        <v>2122675179</v>
      </c>
      <c r="G938" s="6">
        <v>21385816299</v>
      </c>
      <c r="H938" s="6">
        <v>2122675179</v>
      </c>
      <c r="I938" s="7">
        <v>21385816299</v>
      </c>
    </row>
    <row r="939" spans="1:9" ht="12" customHeight="1" thickBot="1" x14ac:dyDescent="0.25">
      <c r="A939" s="1" t="s">
        <v>43</v>
      </c>
      <c r="B939" s="1" t="s">
        <v>12</v>
      </c>
      <c r="C939" s="1" t="s">
        <v>22</v>
      </c>
      <c r="D939" s="5">
        <v>45839</v>
      </c>
      <c r="E939" s="6">
        <v>59973906716</v>
      </c>
      <c r="F939" s="6">
        <v>44153732926</v>
      </c>
      <c r="G939" s="6">
        <v>15820173790</v>
      </c>
      <c r="H939" s="6">
        <v>43524925949</v>
      </c>
      <c r="I939" s="7">
        <v>16448980767</v>
      </c>
    </row>
    <row r="940" spans="1:9" ht="12" customHeight="1" thickBot="1" x14ac:dyDescent="0.25">
      <c r="A940" s="1" t="s">
        <v>43</v>
      </c>
      <c r="B940" s="1" t="s">
        <v>12</v>
      </c>
      <c r="C940" s="1" t="s">
        <v>22</v>
      </c>
      <c r="D940" s="5">
        <v>45840</v>
      </c>
      <c r="E940" s="6">
        <v>59888815311</v>
      </c>
      <c r="F940" s="6">
        <v>44198195445</v>
      </c>
      <c r="G940" s="6">
        <v>15690619866</v>
      </c>
      <c r="H940" s="6">
        <v>43564157951</v>
      </c>
      <c r="I940" s="7">
        <v>16324657360</v>
      </c>
    </row>
    <row r="941" spans="1:9" ht="12" customHeight="1" thickBot="1" x14ac:dyDescent="0.25">
      <c r="A941" s="1" t="s">
        <v>43</v>
      </c>
      <c r="B941" s="1" t="s">
        <v>12</v>
      </c>
      <c r="C941" s="1" t="s">
        <v>22</v>
      </c>
      <c r="D941" s="5">
        <v>45841</v>
      </c>
      <c r="E941" s="6">
        <v>59812710994</v>
      </c>
      <c r="F941" s="6">
        <v>44195107945</v>
      </c>
      <c r="G941" s="6">
        <v>15617603049</v>
      </c>
      <c r="H941" s="6">
        <v>43514082964</v>
      </c>
      <c r="I941" s="7">
        <v>16298628030</v>
      </c>
    </row>
    <row r="942" spans="1:9" ht="12" customHeight="1" thickBot="1" x14ac:dyDescent="0.25">
      <c r="A942" s="1" t="s">
        <v>43</v>
      </c>
      <c r="B942" s="1" t="s">
        <v>12</v>
      </c>
      <c r="C942" s="1" t="s">
        <v>22</v>
      </c>
      <c r="D942" s="5">
        <v>45842</v>
      </c>
      <c r="E942" s="6">
        <v>59768784214</v>
      </c>
      <c r="F942" s="6">
        <v>44161507953</v>
      </c>
      <c r="G942" s="6">
        <v>15607276261</v>
      </c>
      <c r="H942" s="6">
        <v>43499107912</v>
      </c>
      <c r="I942" s="7">
        <v>16269676302</v>
      </c>
    </row>
    <row r="943" spans="1:9" ht="12" customHeight="1" thickBot="1" x14ac:dyDescent="0.25">
      <c r="A943" s="1" t="s">
        <v>43</v>
      </c>
      <c r="B943" s="1" t="s">
        <v>12</v>
      </c>
      <c r="C943" s="1" t="s">
        <v>22</v>
      </c>
      <c r="D943" s="5">
        <v>45843</v>
      </c>
      <c r="E943" s="6">
        <v>59699968807</v>
      </c>
      <c r="F943" s="6">
        <v>44154002044</v>
      </c>
      <c r="G943" s="6">
        <v>15545966763</v>
      </c>
      <c r="H943" s="6">
        <v>43524724449</v>
      </c>
      <c r="I943" s="7">
        <v>16175244358</v>
      </c>
    </row>
    <row r="944" spans="1:9" ht="12" customHeight="1" thickBot="1" x14ac:dyDescent="0.25">
      <c r="A944" s="1" t="s">
        <v>43</v>
      </c>
      <c r="B944" s="1" t="s">
        <v>12</v>
      </c>
      <c r="C944" s="1" t="s">
        <v>22</v>
      </c>
      <c r="D944" s="5">
        <v>45844</v>
      </c>
      <c r="E944" s="6">
        <v>59647122201</v>
      </c>
      <c r="F944" s="6">
        <v>44233131869</v>
      </c>
      <c r="G944" s="6">
        <v>15413990332</v>
      </c>
      <c r="H944" s="6">
        <v>43573017773</v>
      </c>
      <c r="I944" s="7">
        <v>16074104428</v>
      </c>
    </row>
    <row r="945" spans="1:9" ht="12" customHeight="1" thickBot="1" x14ac:dyDescent="0.25">
      <c r="A945" s="1" t="s">
        <v>43</v>
      </c>
      <c r="B945" s="1" t="s">
        <v>12</v>
      </c>
      <c r="C945" s="1" t="s">
        <v>22</v>
      </c>
      <c r="D945" s="5">
        <v>45845</v>
      </c>
      <c r="E945" s="6">
        <v>59510058657</v>
      </c>
      <c r="F945" s="6">
        <v>44170159199</v>
      </c>
      <c r="G945" s="6">
        <v>15339899458</v>
      </c>
      <c r="H945" s="6">
        <v>43591178996</v>
      </c>
      <c r="I945" s="7">
        <v>15918879661</v>
      </c>
    </row>
    <row r="946" spans="1:9" ht="12" customHeight="1" thickBot="1" x14ac:dyDescent="0.25">
      <c r="A946" s="1" t="s">
        <v>43</v>
      </c>
      <c r="B946" s="1" t="s">
        <v>12</v>
      </c>
      <c r="C946" s="1" t="s">
        <v>22</v>
      </c>
      <c r="D946" s="5">
        <v>45846</v>
      </c>
      <c r="E946" s="6">
        <v>59421222036</v>
      </c>
      <c r="F946" s="6">
        <v>44253444017</v>
      </c>
      <c r="G946" s="6">
        <v>15167778019</v>
      </c>
      <c r="H946" s="6">
        <v>43611449550</v>
      </c>
      <c r="I946" s="7">
        <v>15809772486</v>
      </c>
    </row>
    <row r="947" spans="1:9" ht="12" customHeight="1" thickBot="1" x14ac:dyDescent="0.25">
      <c r="A947" s="1" t="s">
        <v>43</v>
      </c>
      <c r="B947" s="1" t="s">
        <v>12</v>
      </c>
      <c r="C947" s="1" t="s">
        <v>22</v>
      </c>
      <c r="D947" s="5">
        <v>45847</v>
      </c>
      <c r="E947" s="6">
        <v>59350696443</v>
      </c>
      <c r="F947" s="6">
        <v>44302788377</v>
      </c>
      <c r="G947" s="6">
        <v>15047908066</v>
      </c>
      <c r="H947" s="6">
        <v>43705932288</v>
      </c>
      <c r="I947" s="7">
        <v>15644764155</v>
      </c>
    </row>
    <row r="948" spans="1:9" ht="12" customHeight="1" thickBot="1" x14ac:dyDescent="0.25">
      <c r="A948" s="1" t="s">
        <v>43</v>
      </c>
      <c r="B948" s="1" t="s">
        <v>12</v>
      </c>
      <c r="C948" s="1" t="s">
        <v>22</v>
      </c>
      <c r="D948" s="5">
        <v>45848</v>
      </c>
      <c r="E948" s="6">
        <v>59229799921</v>
      </c>
      <c r="F948" s="6">
        <v>44240463709</v>
      </c>
      <c r="G948" s="6">
        <v>14989336212</v>
      </c>
      <c r="H948" s="6">
        <v>43618765885</v>
      </c>
      <c r="I948" s="7">
        <v>15611034036</v>
      </c>
    </row>
    <row r="949" spans="1:9" ht="12" customHeight="1" thickBot="1" x14ac:dyDescent="0.25">
      <c r="A949" s="1" t="s">
        <v>43</v>
      </c>
      <c r="B949" s="1" t="s">
        <v>12</v>
      </c>
      <c r="C949" s="1" t="s">
        <v>22</v>
      </c>
      <c r="D949" s="5">
        <v>45849</v>
      </c>
      <c r="E949" s="6">
        <v>59154250618</v>
      </c>
      <c r="F949" s="6">
        <v>44162184137</v>
      </c>
      <c r="G949" s="6">
        <v>14992066481</v>
      </c>
      <c r="H949" s="6">
        <v>43564338740</v>
      </c>
      <c r="I949" s="7">
        <v>15589911878</v>
      </c>
    </row>
    <row r="950" spans="1:9" ht="12" customHeight="1" thickBot="1" x14ac:dyDescent="0.25">
      <c r="A950" s="1" t="s">
        <v>43</v>
      </c>
      <c r="B950" s="1" t="s">
        <v>12</v>
      </c>
      <c r="C950" s="1" t="s">
        <v>22</v>
      </c>
      <c r="D950" s="5">
        <v>45850</v>
      </c>
      <c r="E950" s="6">
        <v>59041624546</v>
      </c>
      <c r="F950" s="6">
        <v>44096705660</v>
      </c>
      <c r="G950" s="6">
        <v>14944918886</v>
      </c>
      <c r="H950" s="6">
        <v>43533920902</v>
      </c>
      <c r="I950" s="7">
        <v>15507703644</v>
      </c>
    </row>
    <row r="951" spans="1:9" ht="12" customHeight="1" thickBot="1" x14ac:dyDescent="0.25">
      <c r="A951" s="1" t="s">
        <v>43</v>
      </c>
      <c r="B951" s="1" t="s">
        <v>12</v>
      </c>
      <c r="C951" s="1" t="s">
        <v>22</v>
      </c>
      <c r="D951" s="5">
        <v>45851</v>
      </c>
      <c r="E951" s="6">
        <v>59022396276</v>
      </c>
      <c r="F951" s="6">
        <v>44185659425</v>
      </c>
      <c r="G951" s="6">
        <v>14836736851</v>
      </c>
      <c r="H951" s="6">
        <v>43539357808</v>
      </c>
      <c r="I951" s="7">
        <v>15483038468</v>
      </c>
    </row>
    <row r="952" spans="1:9" ht="12" customHeight="1" thickBot="1" x14ac:dyDescent="0.25">
      <c r="A952" s="1" t="s">
        <v>43</v>
      </c>
      <c r="B952" s="1" t="s">
        <v>12</v>
      </c>
      <c r="C952" s="1" t="s">
        <v>22</v>
      </c>
      <c r="D952" s="5">
        <v>45852</v>
      </c>
      <c r="E952" s="6">
        <v>58829921142</v>
      </c>
      <c r="F952" s="6">
        <v>44058158269</v>
      </c>
      <c r="G952" s="6">
        <v>14771762873</v>
      </c>
      <c r="H952" s="6">
        <v>43505638135</v>
      </c>
      <c r="I952" s="7">
        <v>15324283007</v>
      </c>
    </row>
    <row r="953" spans="1:9" ht="12" customHeight="1" thickBot="1" x14ac:dyDescent="0.25">
      <c r="A953" s="1" t="s">
        <v>43</v>
      </c>
      <c r="B953" s="1" t="s">
        <v>12</v>
      </c>
      <c r="C953" s="1" t="s">
        <v>22</v>
      </c>
      <c r="D953" s="5">
        <v>45853</v>
      </c>
      <c r="E953" s="6">
        <v>58698027216</v>
      </c>
      <c r="F953" s="6">
        <v>44141959556</v>
      </c>
      <c r="G953" s="6">
        <v>14556067660</v>
      </c>
      <c r="H953" s="6">
        <v>43521785200</v>
      </c>
      <c r="I953" s="7">
        <v>15176242016</v>
      </c>
    </row>
    <row r="954" spans="1:9" ht="12" customHeight="1" thickBot="1" x14ac:dyDescent="0.25">
      <c r="A954" s="1" t="s">
        <v>43</v>
      </c>
      <c r="B954" s="1" t="s">
        <v>12</v>
      </c>
      <c r="C954" s="1" t="s">
        <v>22</v>
      </c>
      <c r="D954" s="5">
        <v>45854</v>
      </c>
      <c r="E954" s="6">
        <v>58594527991</v>
      </c>
      <c r="F954" s="6">
        <v>44153832221</v>
      </c>
      <c r="G954" s="6">
        <v>14440695770</v>
      </c>
      <c r="H954" s="6">
        <v>43508122714</v>
      </c>
      <c r="I954" s="7">
        <v>15086405277</v>
      </c>
    </row>
    <row r="955" spans="1:9" ht="12" customHeight="1" thickBot="1" x14ac:dyDescent="0.25">
      <c r="A955" s="1" t="s">
        <v>43</v>
      </c>
      <c r="B955" s="1" t="s">
        <v>12</v>
      </c>
      <c r="C955" s="1" t="s">
        <v>22</v>
      </c>
      <c r="D955" s="5">
        <v>45855</v>
      </c>
      <c r="E955" s="6">
        <v>58521990774</v>
      </c>
      <c r="F955" s="6">
        <v>44083194890</v>
      </c>
      <c r="G955" s="6">
        <v>14438795884</v>
      </c>
      <c r="H955" s="6">
        <v>43485646242</v>
      </c>
      <c r="I955" s="7">
        <v>15036344532</v>
      </c>
    </row>
    <row r="956" spans="1:9" ht="12" customHeight="1" thickBot="1" x14ac:dyDescent="0.25">
      <c r="A956" s="1" t="s">
        <v>43</v>
      </c>
      <c r="B956" s="1" t="s">
        <v>12</v>
      </c>
      <c r="C956" s="1" t="s">
        <v>22</v>
      </c>
      <c r="D956" s="5">
        <v>45856</v>
      </c>
      <c r="E956" s="6">
        <v>58448528556</v>
      </c>
      <c r="F956" s="6">
        <v>44185067061</v>
      </c>
      <c r="G956" s="6">
        <v>14263461495</v>
      </c>
      <c r="H956" s="6">
        <v>43539245036</v>
      </c>
      <c r="I956" s="7">
        <v>14909283520</v>
      </c>
    </row>
    <row r="957" spans="1:9" ht="12" customHeight="1" thickBot="1" x14ac:dyDescent="0.25">
      <c r="A957" s="1" t="s">
        <v>43</v>
      </c>
      <c r="B957" s="1" t="s">
        <v>12</v>
      </c>
      <c r="C957" s="1" t="s">
        <v>22</v>
      </c>
      <c r="D957" s="5">
        <v>45857</v>
      </c>
      <c r="E957" s="6">
        <v>58361737420</v>
      </c>
      <c r="F957" s="6">
        <v>44248307103</v>
      </c>
      <c r="G957" s="6">
        <v>14113430317</v>
      </c>
      <c r="H957" s="6">
        <v>43527774706</v>
      </c>
      <c r="I957" s="7">
        <v>14833962714</v>
      </c>
    </row>
    <row r="958" spans="1:9" ht="12" customHeight="1" thickBot="1" x14ac:dyDescent="0.25">
      <c r="A958" s="1" t="s">
        <v>43</v>
      </c>
      <c r="B958" s="1" t="s">
        <v>12</v>
      </c>
      <c r="C958" s="1" t="s">
        <v>22</v>
      </c>
      <c r="D958" s="5">
        <v>45858</v>
      </c>
      <c r="E958" s="6">
        <v>58340573871</v>
      </c>
      <c r="F958" s="6">
        <v>44378857376</v>
      </c>
      <c r="G958" s="6">
        <v>13961716495</v>
      </c>
      <c r="H958" s="6">
        <v>43542798489</v>
      </c>
      <c r="I958" s="7">
        <v>14797775382</v>
      </c>
    </row>
    <row r="959" spans="1:9" ht="12" customHeight="1" thickBot="1" x14ac:dyDescent="0.25">
      <c r="A959" s="1" t="s">
        <v>43</v>
      </c>
      <c r="B959" s="1" t="s">
        <v>12</v>
      </c>
      <c r="C959" s="1" t="s">
        <v>22</v>
      </c>
      <c r="D959" s="5">
        <v>45859</v>
      </c>
      <c r="E959" s="6">
        <v>58215389919</v>
      </c>
      <c r="F959" s="6">
        <v>44229525441</v>
      </c>
      <c r="G959" s="6">
        <v>13985864478</v>
      </c>
      <c r="H959" s="6">
        <v>43558375790</v>
      </c>
      <c r="I959" s="7">
        <v>14657014129</v>
      </c>
    </row>
    <row r="960" spans="1:9" ht="12" customHeight="1" thickBot="1" x14ac:dyDescent="0.25">
      <c r="A960" s="1" t="s">
        <v>43</v>
      </c>
      <c r="B960" s="1" t="s">
        <v>12</v>
      </c>
      <c r="C960" s="1" t="s">
        <v>22</v>
      </c>
      <c r="D960" s="5">
        <v>45860</v>
      </c>
      <c r="E960" s="6">
        <v>58120025377</v>
      </c>
      <c r="F960" s="6">
        <v>44341025007</v>
      </c>
      <c r="G960" s="6">
        <v>13779000370</v>
      </c>
      <c r="H960" s="6">
        <v>43571010036</v>
      </c>
      <c r="I960" s="7">
        <v>14549015341</v>
      </c>
    </row>
    <row r="961" spans="1:9" ht="12" customHeight="1" thickBot="1" x14ac:dyDescent="0.25">
      <c r="A961" s="1" t="s">
        <v>43</v>
      </c>
      <c r="B961" s="1" t="s">
        <v>12</v>
      </c>
      <c r="C961" s="1" t="s">
        <v>22</v>
      </c>
      <c r="D961" s="5">
        <v>45861</v>
      </c>
      <c r="E961" s="6">
        <v>58067019161</v>
      </c>
      <c r="F961" s="6">
        <v>44337511792</v>
      </c>
      <c r="G961" s="6">
        <v>13729507369</v>
      </c>
      <c r="H961" s="6">
        <v>43592900264</v>
      </c>
      <c r="I961" s="7">
        <v>14474118897</v>
      </c>
    </row>
    <row r="962" spans="1:9" ht="12" customHeight="1" thickBot="1" x14ac:dyDescent="0.25">
      <c r="A962" s="1" t="s">
        <v>43</v>
      </c>
      <c r="B962" s="1" t="s">
        <v>12</v>
      </c>
      <c r="C962" s="1" t="s">
        <v>22</v>
      </c>
      <c r="D962" s="5">
        <v>45862</v>
      </c>
      <c r="E962" s="6">
        <v>58018196149</v>
      </c>
      <c r="F962" s="6">
        <v>44347130365</v>
      </c>
      <c r="G962" s="6">
        <v>13671065784</v>
      </c>
      <c r="H962" s="6">
        <v>43576712488</v>
      </c>
      <c r="I962" s="7">
        <v>14441483661</v>
      </c>
    </row>
    <row r="963" spans="1:9" ht="12" customHeight="1" thickBot="1" x14ac:dyDescent="0.25">
      <c r="A963" s="1" t="s">
        <v>43</v>
      </c>
      <c r="B963" s="1" t="s">
        <v>12</v>
      </c>
      <c r="C963" s="1" t="s">
        <v>22</v>
      </c>
      <c r="D963" s="5">
        <v>45863</v>
      </c>
      <c r="E963" s="6">
        <v>57950653913</v>
      </c>
      <c r="F963" s="6">
        <v>44257911712</v>
      </c>
      <c r="G963" s="6">
        <v>13692742201</v>
      </c>
      <c r="H963" s="6">
        <v>43606412418</v>
      </c>
      <c r="I963" s="7">
        <v>14344241495</v>
      </c>
    </row>
    <row r="964" spans="1:9" ht="12" customHeight="1" thickBot="1" x14ac:dyDescent="0.25">
      <c r="A964" s="1" t="s">
        <v>43</v>
      </c>
      <c r="B964" s="1" t="s">
        <v>12</v>
      </c>
      <c r="C964" s="1" t="s">
        <v>22</v>
      </c>
      <c r="D964" s="5">
        <v>45864</v>
      </c>
      <c r="E964" s="6">
        <v>57890204424</v>
      </c>
      <c r="F964" s="6">
        <v>44298683142</v>
      </c>
      <c r="G964" s="6">
        <v>13591521282</v>
      </c>
      <c r="H964" s="6">
        <v>43620245093</v>
      </c>
      <c r="I964" s="7">
        <v>14269959331</v>
      </c>
    </row>
    <row r="965" spans="1:9" ht="12" customHeight="1" thickBot="1" x14ac:dyDescent="0.25">
      <c r="A965" s="1" t="s">
        <v>43</v>
      </c>
      <c r="B965" s="1" t="s">
        <v>12</v>
      </c>
      <c r="C965" s="1" t="s">
        <v>22</v>
      </c>
      <c r="D965" s="5">
        <v>45865</v>
      </c>
      <c r="E965" s="6">
        <v>57864267740</v>
      </c>
      <c r="F965" s="6">
        <v>44271626658</v>
      </c>
      <c r="G965" s="6">
        <v>13592641082</v>
      </c>
      <c r="H965" s="6">
        <v>43614049052</v>
      </c>
      <c r="I965" s="7">
        <v>14250218688</v>
      </c>
    </row>
    <row r="966" spans="1:9" ht="12" customHeight="1" thickBot="1" x14ac:dyDescent="0.25">
      <c r="A966" s="1" t="s">
        <v>43</v>
      </c>
      <c r="B966" s="1" t="s">
        <v>12</v>
      </c>
      <c r="C966" s="1" t="s">
        <v>22</v>
      </c>
      <c r="D966" s="5">
        <v>45866</v>
      </c>
      <c r="E966" s="6">
        <v>57686117834</v>
      </c>
      <c r="F966" s="6">
        <v>44177213768</v>
      </c>
      <c r="G966" s="6">
        <v>13508904066</v>
      </c>
      <c r="H966" s="6">
        <v>43661241444</v>
      </c>
      <c r="I966" s="7">
        <v>14024876390</v>
      </c>
    </row>
    <row r="967" spans="1:9" ht="12" customHeight="1" thickBot="1" x14ac:dyDescent="0.25">
      <c r="A967" s="1" t="s">
        <v>43</v>
      </c>
      <c r="B967" s="1" t="s">
        <v>12</v>
      </c>
      <c r="C967" s="1" t="s">
        <v>22</v>
      </c>
      <c r="D967" s="5">
        <v>45867</v>
      </c>
      <c r="E967" s="6">
        <v>57659982757</v>
      </c>
      <c r="F967" s="6">
        <v>44560386967</v>
      </c>
      <c r="G967" s="6">
        <v>13099595790</v>
      </c>
      <c r="H967" s="6">
        <v>43703387392</v>
      </c>
      <c r="I967" s="7">
        <v>13956595365</v>
      </c>
    </row>
    <row r="968" spans="1:9" ht="12" customHeight="1" thickBot="1" x14ac:dyDescent="0.25">
      <c r="A968" s="1" t="s">
        <v>43</v>
      </c>
      <c r="B968" s="1" t="s">
        <v>12</v>
      </c>
      <c r="C968" s="1" t="s">
        <v>22</v>
      </c>
      <c r="D968" s="5">
        <v>45868</v>
      </c>
      <c r="E968" s="6">
        <v>57636023961</v>
      </c>
      <c r="F968" s="6">
        <v>44406852136</v>
      </c>
      <c r="G968" s="6">
        <v>13229171825</v>
      </c>
      <c r="H968" s="6">
        <v>43712038735</v>
      </c>
      <c r="I968" s="7">
        <v>13923985226</v>
      </c>
    </row>
    <row r="969" spans="1:9" ht="12" customHeight="1" thickBot="1" x14ac:dyDescent="0.25">
      <c r="A969" s="1" t="s">
        <v>43</v>
      </c>
      <c r="B969" s="1" t="s">
        <v>12</v>
      </c>
      <c r="C969" s="1" t="s">
        <v>22</v>
      </c>
      <c r="D969" s="5">
        <v>45869</v>
      </c>
      <c r="E969" s="6">
        <v>57612739468</v>
      </c>
      <c r="F969" s="6">
        <v>44276806143</v>
      </c>
      <c r="G969" s="6">
        <v>13335933325</v>
      </c>
      <c r="H969" s="6">
        <v>43685766586</v>
      </c>
      <c r="I969" s="7">
        <v>13926972882</v>
      </c>
    </row>
    <row r="970" spans="1:9" ht="12" customHeight="1" thickBot="1" x14ac:dyDescent="0.25">
      <c r="A970" s="1" t="s">
        <v>43</v>
      </c>
      <c r="B970" s="1" t="s">
        <v>12</v>
      </c>
      <c r="C970" s="1" t="s">
        <v>22</v>
      </c>
      <c r="D970" s="5">
        <v>45870</v>
      </c>
      <c r="E970" s="6">
        <v>57577174497</v>
      </c>
      <c r="F970" s="6">
        <v>44215992760</v>
      </c>
      <c r="G970" s="6">
        <v>13361181737</v>
      </c>
      <c r="H970" s="6">
        <v>43741683246</v>
      </c>
      <c r="I970" s="7">
        <v>13835491251</v>
      </c>
    </row>
    <row r="971" spans="1:9" ht="12" customHeight="1" thickBot="1" x14ac:dyDescent="0.25">
      <c r="A971" s="1" t="s">
        <v>43</v>
      </c>
      <c r="B971" s="1" t="s">
        <v>12</v>
      </c>
      <c r="C971" s="1" t="s">
        <v>22</v>
      </c>
      <c r="D971" s="5">
        <v>45871</v>
      </c>
      <c r="E971" s="6">
        <v>57518702833</v>
      </c>
      <c r="F971" s="6">
        <v>44304694279</v>
      </c>
      <c r="G971" s="6">
        <v>13214008554</v>
      </c>
      <c r="H971" s="6">
        <v>43814058935</v>
      </c>
      <c r="I971" s="7">
        <v>13704643898</v>
      </c>
    </row>
    <row r="972" spans="1:9" ht="12" customHeight="1" thickBot="1" x14ac:dyDescent="0.25">
      <c r="A972" s="1" t="s">
        <v>43</v>
      </c>
      <c r="B972" s="1" t="s">
        <v>12</v>
      </c>
      <c r="C972" s="1" t="s">
        <v>22</v>
      </c>
      <c r="D972" s="5">
        <v>45872</v>
      </c>
      <c r="E972" s="6">
        <v>57515883660</v>
      </c>
      <c r="F972" s="6">
        <v>44403974448</v>
      </c>
      <c r="G972" s="6">
        <v>13111909212</v>
      </c>
      <c r="H972" s="6">
        <v>43837217380</v>
      </c>
      <c r="I972" s="7">
        <v>13678666280</v>
      </c>
    </row>
    <row r="973" spans="1:9" ht="12" customHeight="1" thickBot="1" x14ac:dyDescent="0.25">
      <c r="A973" s="1" t="s">
        <v>43</v>
      </c>
      <c r="B973" s="1" t="s">
        <v>12</v>
      </c>
      <c r="C973" s="1" t="s">
        <v>22</v>
      </c>
      <c r="D973" s="5">
        <v>45873</v>
      </c>
      <c r="E973" s="6">
        <v>57454573357</v>
      </c>
      <c r="F973" s="6">
        <v>44341541489</v>
      </c>
      <c r="G973" s="6">
        <v>13113031868</v>
      </c>
      <c r="H973" s="6">
        <v>43836148300</v>
      </c>
      <c r="I973" s="7">
        <v>13618425057</v>
      </c>
    </row>
    <row r="974" spans="1:9" ht="12" customHeight="1" thickBot="1" x14ac:dyDescent="0.25">
      <c r="A974" s="1" t="s">
        <v>43</v>
      </c>
      <c r="B974" s="1" t="s">
        <v>12</v>
      </c>
      <c r="C974" s="1" t="s">
        <v>22</v>
      </c>
      <c r="D974" s="5">
        <v>45874</v>
      </c>
      <c r="E974" s="6">
        <v>57404346937</v>
      </c>
      <c r="F974" s="6">
        <v>44417063087</v>
      </c>
      <c r="G974" s="6">
        <v>12987283850</v>
      </c>
      <c r="H974" s="6">
        <v>43865202433</v>
      </c>
      <c r="I974" s="7">
        <v>13539144504</v>
      </c>
    </row>
    <row r="975" spans="1:9" ht="12" customHeight="1" thickBot="1" x14ac:dyDescent="0.25">
      <c r="A975" s="1" t="s">
        <v>43</v>
      </c>
      <c r="B975" s="1" t="s">
        <v>12</v>
      </c>
      <c r="C975" s="1" t="s">
        <v>22</v>
      </c>
      <c r="D975" s="5">
        <v>45875</v>
      </c>
      <c r="E975" s="6">
        <v>57354827722</v>
      </c>
      <c r="F975" s="6">
        <v>44456702224</v>
      </c>
      <c r="G975" s="6">
        <v>12898125498</v>
      </c>
      <c r="H975" s="6">
        <v>43853210735</v>
      </c>
      <c r="I975" s="7">
        <v>13501616987</v>
      </c>
    </row>
    <row r="976" spans="1:9" ht="12" customHeight="1" thickBot="1" x14ac:dyDescent="0.25">
      <c r="A976" s="1" t="s">
        <v>43</v>
      </c>
      <c r="B976" s="1" t="s">
        <v>12</v>
      </c>
      <c r="C976" s="1" t="s">
        <v>22</v>
      </c>
      <c r="D976" s="5">
        <v>45876</v>
      </c>
      <c r="E976" s="6">
        <v>57281780784</v>
      </c>
      <c r="F976" s="6">
        <v>44431695988</v>
      </c>
      <c r="G976" s="6">
        <v>12850084796</v>
      </c>
      <c r="H976" s="6">
        <v>43830109604</v>
      </c>
      <c r="I976" s="7">
        <v>13451671180</v>
      </c>
    </row>
    <row r="977" spans="1:9" ht="12" customHeight="1" thickBot="1" x14ac:dyDescent="0.25">
      <c r="A977" s="1" t="s">
        <v>43</v>
      </c>
      <c r="B977" s="1" t="s">
        <v>12</v>
      </c>
      <c r="C977" s="1" t="s">
        <v>22</v>
      </c>
      <c r="D977" s="5">
        <v>45877</v>
      </c>
      <c r="E977" s="6">
        <v>57204537187</v>
      </c>
      <c r="F977" s="6">
        <v>44329455285</v>
      </c>
      <c r="G977" s="6">
        <v>12875081902</v>
      </c>
      <c r="H977" s="6">
        <v>43952618494</v>
      </c>
      <c r="I977" s="7">
        <v>13251918693</v>
      </c>
    </row>
    <row r="978" spans="1:9" ht="12" customHeight="1" thickBot="1" x14ac:dyDescent="0.25">
      <c r="A978" s="1" t="s">
        <v>43</v>
      </c>
      <c r="B978" s="1" t="s">
        <v>12</v>
      </c>
      <c r="C978" s="1" t="s">
        <v>22</v>
      </c>
      <c r="D978" s="5">
        <v>45878</v>
      </c>
      <c r="E978" s="6">
        <v>57135337431</v>
      </c>
      <c r="F978" s="6">
        <v>44345950064</v>
      </c>
      <c r="G978" s="6">
        <v>12789387367</v>
      </c>
      <c r="H978" s="6">
        <v>43907754565</v>
      </c>
      <c r="I978" s="7">
        <v>13227582866</v>
      </c>
    </row>
    <row r="979" spans="1:9" ht="12" customHeight="1" thickBot="1" x14ac:dyDescent="0.25">
      <c r="A979" s="1" t="s">
        <v>43</v>
      </c>
      <c r="B979" s="1" t="s">
        <v>12</v>
      </c>
      <c r="C979" s="1" t="s">
        <v>22</v>
      </c>
      <c r="D979" s="5">
        <v>45879</v>
      </c>
      <c r="E979" s="6">
        <v>57120772184</v>
      </c>
      <c r="F979" s="6">
        <v>44465668859</v>
      </c>
      <c r="G979" s="6">
        <v>12655103325</v>
      </c>
      <c r="H979" s="6">
        <v>43897060216</v>
      </c>
      <c r="I979" s="7">
        <v>13223711968</v>
      </c>
    </row>
    <row r="980" spans="1:9" ht="12" customHeight="1" thickBot="1" x14ac:dyDescent="0.25">
      <c r="A980" s="1" t="s">
        <v>43</v>
      </c>
      <c r="B980" s="1" t="s">
        <v>12</v>
      </c>
      <c r="C980" s="1" t="s">
        <v>22</v>
      </c>
      <c r="D980" s="5">
        <v>45880</v>
      </c>
      <c r="E980" s="6">
        <v>57024717904</v>
      </c>
      <c r="F980" s="6">
        <v>44278140618</v>
      </c>
      <c r="G980" s="6">
        <v>12746577286</v>
      </c>
      <c r="H980" s="6">
        <v>43819405384</v>
      </c>
      <c r="I980" s="7">
        <v>13205312520</v>
      </c>
    </row>
    <row r="981" spans="1:9" ht="12" customHeight="1" thickBot="1" x14ac:dyDescent="0.25">
      <c r="A981" s="1" t="s">
        <v>43</v>
      </c>
      <c r="B981" s="1" t="s">
        <v>12</v>
      </c>
      <c r="C981" s="1" t="s">
        <v>22</v>
      </c>
      <c r="D981" s="5">
        <v>45881</v>
      </c>
      <c r="E981" s="6">
        <v>56868649806</v>
      </c>
      <c r="F981" s="6">
        <v>44337361215</v>
      </c>
      <c r="G981" s="6">
        <v>12531288591</v>
      </c>
      <c r="H981" s="6">
        <v>43810636385</v>
      </c>
      <c r="I981" s="7">
        <v>13058013421</v>
      </c>
    </row>
    <row r="982" spans="1:9" ht="12" customHeight="1" thickBot="1" x14ac:dyDescent="0.25">
      <c r="A982" s="1" t="s">
        <v>43</v>
      </c>
      <c r="B982" s="1" t="s">
        <v>12</v>
      </c>
      <c r="C982" s="1" t="s">
        <v>22</v>
      </c>
      <c r="D982" s="5">
        <v>45882</v>
      </c>
      <c r="E982" s="6">
        <v>56785238523</v>
      </c>
      <c r="F982" s="6">
        <v>44365543696</v>
      </c>
      <c r="G982" s="6">
        <v>12419694827</v>
      </c>
      <c r="H982" s="6">
        <v>43816839407</v>
      </c>
      <c r="I982" s="7">
        <v>12968399116</v>
      </c>
    </row>
    <row r="983" spans="1:9" ht="12" customHeight="1" thickBot="1" x14ac:dyDescent="0.25">
      <c r="A983" s="1" t="s">
        <v>43</v>
      </c>
      <c r="B983" s="1" t="s">
        <v>12</v>
      </c>
      <c r="C983" s="1" t="s">
        <v>22</v>
      </c>
      <c r="D983" s="5">
        <v>45883</v>
      </c>
      <c r="E983" s="6">
        <v>56683572980</v>
      </c>
      <c r="F983" s="6">
        <v>44447638513</v>
      </c>
      <c r="G983" s="6">
        <v>12235934467</v>
      </c>
      <c r="H983" s="6">
        <v>43792700553</v>
      </c>
      <c r="I983" s="7">
        <v>12890872427</v>
      </c>
    </row>
    <row r="984" spans="1:9" ht="12" customHeight="1" thickBot="1" x14ac:dyDescent="0.25">
      <c r="A984" s="1" t="s">
        <v>43</v>
      </c>
      <c r="B984" s="1" t="s">
        <v>12</v>
      </c>
      <c r="C984" s="1" t="s">
        <v>22</v>
      </c>
      <c r="D984" s="5">
        <v>45884</v>
      </c>
      <c r="E984" s="6">
        <v>56590115931</v>
      </c>
      <c r="F984" s="6">
        <v>44457464936</v>
      </c>
      <c r="G984" s="6">
        <v>12132650995</v>
      </c>
      <c r="H984" s="6">
        <v>43837573547</v>
      </c>
      <c r="I984" s="7">
        <v>12752542384</v>
      </c>
    </row>
    <row r="985" spans="1:9" ht="12" customHeight="1" thickBot="1" x14ac:dyDescent="0.25">
      <c r="A985" s="1" t="s">
        <v>43</v>
      </c>
      <c r="B985" s="1" t="s">
        <v>12</v>
      </c>
      <c r="C985" s="1" t="s">
        <v>22</v>
      </c>
      <c r="D985" s="5">
        <v>45885</v>
      </c>
      <c r="E985" s="6">
        <v>56505923439</v>
      </c>
      <c r="F985" s="6">
        <v>44502268484</v>
      </c>
      <c r="G985" s="6">
        <v>12003654955</v>
      </c>
      <c r="H985" s="6">
        <v>43874337850</v>
      </c>
      <c r="I985" s="7">
        <v>12631585589</v>
      </c>
    </row>
    <row r="986" spans="1:9" ht="12" customHeight="1" thickBot="1" x14ac:dyDescent="0.25">
      <c r="A986" s="1" t="s">
        <v>43</v>
      </c>
      <c r="B986" s="1" t="s">
        <v>12</v>
      </c>
      <c r="C986" s="1" t="s">
        <v>22</v>
      </c>
      <c r="D986" s="5">
        <v>45886</v>
      </c>
      <c r="E986" s="6">
        <v>56491232212</v>
      </c>
      <c r="F986" s="6">
        <v>44507168724</v>
      </c>
      <c r="G986" s="6">
        <v>11984063488</v>
      </c>
      <c r="H986" s="6">
        <v>43904918399</v>
      </c>
      <c r="I986" s="7">
        <v>12586313813</v>
      </c>
    </row>
    <row r="987" spans="1:9" ht="12" customHeight="1" thickBot="1" x14ac:dyDescent="0.25">
      <c r="A987" s="1" t="s">
        <v>43</v>
      </c>
      <c r="B987" s="1" t="s">
        <v>12</v>
      </c>
      <c r="C987" s="1" t="s">
        <v>22</v>
      </c>
      <c r="D987" s="5">
        <v>45887</v>
      </c>
      <c r="E987" s="6">
        <v>56421971849</v>
      </c>
      <c r="F987" s="6">
        <v>44365182016</v>
      </c>
      <c r="G987" s="6">
        <v>12056789833</v>
      </c>
      <c r="H987" s="6">
        <v>43853795814</v>
      </c>
      <c r="I987" s="7">
        <v>12568176035</v>
      </c>
    </row>
    <row r="988" spans="1:9" ht="12" customHeight="1" thickBot="1" x14ac:dyDescent="0.25">
      <c r="A988" s="1" t="s">
        <v>43</v>
      </c>
      <c r="B988" s="1" t="s">
        <v>12</v>
      </c>
      <c r="C988" s="1" t="s">
        <v>22</v>
      </c>
      <c r="D988" s="5">
        <v>45888</v>
      </c>
      <c r="E988" s="6">
        <v>56342045985</v>
      </c>
      <c r="F988" s="6">
        <v>44550478670</v>
      </c>
      <c r="G988" s="6">
        <v>11791567315</v>
      </c>
      <c r="H988" s="6">
        <v>43884318815</v>
      </c>
      <c r="I988" s="7">
        <v>12457727170</v>
      </c>
    </row>
    <row r="989" spans="1:9" ht="12" customHeight="1" thickBot="1" x14ac:dyDescent="0.25">
      <c r="A989" s="1" t="s">
        <v>43</v>
      </c>
      <c r="B989" s="1" t="s">
        <v>12</v>
      </c>
      <c r="C989" s="1" t="s">
        <v>22</v>
      </c>
      <c r="D989" s="5">
        <v>45889</v>
      </c>
      <c r="E989" s="6">
        <v>56283016448</v>
      </c>
      <c r="F989" s="6">
        <v>44663533659</v>
      </c>
      <c r="G989" s="6">
        <v>11619482789</v>
      </c>
      <c r="H989" s="6">
        <v>43919200361</v>
      </c>
      <c r="I989" s="7">
        <v>12363816087</v>
      </c>
    </row>
    <row r="990" spans="1:9" ht="12" customHeight="1" thickBot="1" x14ac:dyDescent="0.25">
      <c r="A990" s="1" t="s">
        <v>43</v>
      </c>
      <c r="B990" s="1" t="s">
        <v>12</v>
      </c>
      <c r="C990" s="1" t="s">
        <v>22</v>
      </c>
      <c r="D990" s="5">
        <v>45890</v>
      </c>
      <c r="E990" s="6">
        <v>56214427322</v>
      </c>
      <c r="F990" s="6">
        <v>44623074397</v>
      </c>
      <c r="G990" s="6">
        <v>11591352925</v>
      </c>
      <c r="H990" s="6">
        <v>43904651889</v>
      </c>
      <c r="I990" s="7">
        <v>12309775433</v>
      </c>
    </row>
    <row r="991" spans="1:9" ht="12" customHeight="1" thickBot="1" x14ac:dyDescent="0.25">
      <c r="A991" s="1" t="s">
        <v>43</v>
      </c>
      <c r="B991" s="1" t="s">
        <v>12</v>
      </c>
      <c r="C991" s="1" t="s">
        <v>22</v>
      </c>
      <c r="D991" s="5">
        <v>45891</v>
      </c>
      <c r="E991" s="6">
        <v>56160269436</v>
      </c>
      <c r="F991" s="6">
        <v>44620959648</v>
      </c>
      <c r="G991" s="6">
        <v>11539309788</v>
      </c>
      <c r="H991" s="6">
        <v>43994262443</v>
      </c>
      <c r="I991" s="7">
        <v>12166006993</v>
      </c>
    </row>
    <row r="992" spans="1:9" ht="12" customHeight="1" thickBot="1" x14ac:dyDescent="0.25">
      <c r="A992" s="1" t="s">
        <v>43</v>
      </c>
      <c r="B992" s="1" t="s">
        <v>12</v>
      </c>
      <c r="C992" s="1" t="s">
        <v>22</v>
      </c>
      <c r="D992" s="5">
        <v>45892</v>
      </c>
      <c r="E992" s="6">
        <v>56140123081</v>
      </c>
      <c r="F992" s="6">
        <v>44700243651</v>
      </c>
      <c r="G992" s="6">
        <v>11439879430</v>
      </c>
      <c r="H992" s="6">
        <v>44007071870</v>
      </c>
      <c r="I992" s="7">
        <v>12133051211</v>
      </c>
    </row>
    <row r="993" spans="1:9" ht="12" customHeight="1" thickBot="1" x14ac:dyDescent="0.25">
      <c r="A993" s="1" t="s">
        <v>43</v>
      </c>
      <c r="B993" s="1" t="s">
        <v>12</v>
      </c>
      <c r="C993" s="1" t="s">
        <v>22</v>
      </c>
      <c r="D993" s="5">
        <v>45893</v>
      </c>
      <c r="E993" s="6">
        <v>56130040453</v>
      </c>
      <c r="F993" s="6">
        <v>44681145859</v>
      </c>
      <c r="G993" s="6">
        <v>11448894594</v>
      </c>
      <c r="H993" s="6">
        <v>44051388725</v>
      </c>
      <c r="I993" s="7">
        <v>12078651728</v>
      </c>
    </row>
    <row r="994" spans="1:9" ht="12" customHeight="1" thickBot="1" x14ac:dyDescent="0.25">
      <c r="A994" s="1" t="s">
        <v>43</v>
      </c>
      <c r="B994" s="1" t="s">
        <v>12</v>
      </c>
      <c r="C994" s="1" t="s">
        <v>22</v>
      </c>
      <c r="D994" s="5">
        <v>45894</v>
      </c>
      <c r="E994" s="6">
        <v>56086059366</v>
      </c>
      <c r="F994" s="6">
        <v>44618305753</v>
      </c>
      <c r="G994" s="6">
        <v>11467753613</v>
      </c>
      <c r="H994" s="6">
        <v>44049665090</v>
      </c>
      <c r="I994" s="7">
        <v>12036394276</v>
      </c>
    </row>
    <row r="995" spans="1:9" ht="12" customHeight="1" thickBot="1" x14ac:dyDescent="0.25">
      <c r="A995" s="1" t="s">
        <v>43</v>
      </c>
      <c r="B995" s="1" t="s">
        <v>12</v>
      </c>
      <c r="C995" s="1" t="s">
        <v>22</v>
      </c>
      <c r="D995" s="5">
        <v>45895</v>
      </c>
      <c r="E995" s="6">
        <v>56028116245</v>
      </c>
      <c r="F995" s="6">
        <v>44686812224</v>
      </c>
      <c r="G995" s="6">
        <v>11341304021</v>
      </c>
      <c r="H995" s="6">
        <v>44067605305</v>
      </c>
      <c r="I995" s="7">
        <v>11960510940</v>
      </c>
    </row>
    <row r="996" spans="1:9" ht="12" customHeight="1" thickBot="1" x14ac:dyDescent="0.25">
      <c r="A996" s="1" t="s">
        <v>43</v>
      </c>
      <c r="B996" s="1" t="s">
        <v>12</v>
      </c>
      <c r="C996" s="1" t="s">
        <v>22</v>
      </c>
      <c r="D996" s="5">
        <v>45896</v>
      </c>
      <c r="E996" s="6">
        <v>55976289280</v>
      </c>
      <c r="F996" s="6">
        <v>44648635547</v>
      </c>
      <c r="G996" s="6">
        <v>11327653733</v>
      </c>
      <c r="H996" s="6">
        <v>44086554563</v>
      </c>
      <c r="I996" s="7">
        <v>11889734717</v>
      </c>
    </row>
    <row r="997" spans="1:9" ht="12" customHeight="1" thickBot="1" x14ac:dyDescent="0.25">
      <c r="A997" s="1" t="s">
        <v>43</v>
      </c>
      <c r="B997" s="1" t="s">
        <v>12</v>
      </c>
      <c r="C997" s="1" t="s">
        <v>22</v>
      </c>
      <c r="D997" s="5">
        <v>45897</v>
      </c>
      <c r="E997" s="6">
        <v>55906456378</v>
      </c>
      <c r="F997" s="6">
        <v>44762601883</v>
      </c>
      <c r="G997" s="6">
        <v>11143854495</v>
      </c>
      <c r="H997" s="6">
        <v>44047255131</v>
      </c>
      <c r="I997" s="7">
        <v>11859201247</v>
      </c>
    </row>
    <row r="998" spans="1:9" ht="12" customHeight="1" thickBot="1" x14ac:dyDescent="0.25">
      <c r="A998" s="1" t="s">
        <v>43</v>
      </c>
      <c r="B998" s="1" t="s">
        <v>12</v>
      </c>
      <c r="C998" s="1" t="s">
        <v>22</v>
      </c>
      <c r="D998" s="5">
        <v>45898</v>
      </c>
      <c r="E998" s="6">
        <v>55877950512</v>
      </c>
      <c r="F998" s="6">
        <v>44804539118</v>
      </c>
      <c r="G998" s="6">
        <v>11073411394</v>
      </c>
      <c r="H998" s="6">
        <v>44066753980</v>
      </c>
      <c r="I998" s="7">
        <v>11811196532</v>
      </c>
    </row>
    <row r="999" spans="1:9" ht="12" customHeight="1" thickBot="1" x14ac:dyDescent="0.25">
      <c r="A999" s="1" t="s">
        <v>43</v>
      </c>
      <c r="B999" s="1" t="s">
        <v>12</v>
      </c>
      <c r="C999" s="1" t="s">
        <v>22</v>
      </c>
      <c r="D999" s="5">
        <v>45899</v>
      </c>
      <c r="E999" s="6">
        <v>55869099448</v>
      </c>
      <c r="F999" s="6">
        <v>44705475296</v>
      </c>
      <c r="G999" s="6">
        <v>11163624152</v>
      </c>
      <c r="H999" s="6">
        <v>44149204562</v>
      </c>
      <c r="I999" s="7">
        <v>11719894886</v>
      </c>
    </row>
    <row r="1000" spans="1:9" ht="12" customHeight="1" thickBot="1" x14ac:dyDescent="0.25">
      <c r="A1000" s="1" t="s">
        <v>43</v>
      </c>
      <c r="B1000" s="1" t="s">
        <v>12</v>
      </c>
      <c r="C1000" s="1" t="s">
        <v>22</v>
      </c>
      <c r="D1000" s="5">
        <v>45900</v>
      </c>
      <c r="E1000" s="6">
        <v>55863330966</v>
      </c>
      <c r="F1000" s="6">
        <v>44623566206</v>
      </c>
      <c r="G1000" s="6">
        <v>11239764760</v>
      </c>
      <c r="H1000" s="6">
        <v>44161696558</v>
      </c>
      <c r="I1000" s="7">
        <v>11701634408</v>
      </c>
    </row>
    <row r="1001" spans="1:9" ht="12" customHeight="1" thickBot="1" x14ac:dyDescent="0.25">
      <c r="A1001" s="1" t="s">
        <v>43</v>
      </c>
      <c r="B1001" s="1" t="s">
        <v>12</v>
      </c>
      <c r="C1001" s="1" t="s">
        <v>22</v>
      </c>
      <c r="D1001" s="5">
        <v>45901</v>
      </c>
      <c r="E1001" s="6">
        <v>55854662500</v>
      </c>
      <c r="F1001" s="6">
        <v>44614346897</v>
      </c>
      <c r="G1001" s="6">
        <v>11240315603</v>
      </c>
      <c r="H1001" s="6">
        <v>44200008962</v>
      </c>
      <c r="I1001" s="7">
        <v>11654653538</v>
      </c>
    </row>
    <row r="1002" spans="1:9" ht="12" customHeight="1" thickBot="1" x14ac:dyDescent="0.25">
      <c r="A1002" s="1" t="s">
        <v>43</v>
      </c>
      <c r="B1002" s="1" t="s">
        <v>12</v>
      </c>
      <c r="C1002" s="1" t="s">
        <v>22</v>
      </c>
      <c r="D1002" s="5">
        <v>45902</v>
      </c>
      <c r="E1002" s="6">
        <v>55850978615</v>
      </c>
      <c r="F1002" s="6">
        <v>44605260088</v>
      </c>
      <c r="G1002" s="6">
        <v>11245718527</v>
      </c>
      <c r="H1002" s="6">
        <v>44235599678</v>
      </c>
      <c r="I1002" s="7">
        <v>11615378937</v>
      </c>
    </row>
    <row r="1003" spans="1:9" ht="12" customHeight="1" thickBot="1" x14ac:dyDescent="0.25">
      <c r="A1003" s="1" t="s">
        <v>43</v>
      </c>
      <c r="B1003" s="1" t="s">
        <v>12</v>
      </c>
      <c r="C1003" s="1" t="s">
        <v>22</v>
      </c>
      <c r="D1003" s="5">
        <v>45903</v>
      </c>
      <c r="E1003" s="6">
        <v>55786275006</v>
      </c>
      <c r="F1003" s="6">
        <v>44531340900</v>
      </c>
      <c r="G1003" s="6">
        <v>11254934106</v>
      </c>
      <c r="H1003" s="6">
        <v>44191646941</v>
      </c>
      <c r="I1003" s="7">
        <v>11594628065</v>
      </c>
    </row>
    <row r="1004" spans="1:9" ht="12" customHeight="1" thickBot="1" x14ac:dyDescent="0.25">
      <c r="A1004" s="1" t="s">
        <v>43</v>
      </c>
      <c r="B1004" s="1" t="s">
        <v>12</v>
      </c>
      <c r="C1004" s="1" t="s">
        <v>22</v>
      </c>
      <c r="D1004" s="5">
        <v>45904</v>
      </c>
      <c r="E1004" s="6">
        <v>55762922206</v>
      </c>
      <c r="F1004" s="6">
        <v>44812520685</v>
      </c>
      <c r="G1004" s="6">
        <v>10950401521</v>
      </c>
      <c r="H1004" s="6">
        <v>44185748413</v>
      </c>
      <c r="I1004" s="7">
        <v>11577173793</v>
      </c>
    </row>
    <row r="1005" spans="1:9" ht="12" customHeight="1" thickBot="1" x14ac:dyDescent="0.25">
      <c r="A1005" s="1" t="s">
        <v>43</v>
      </c>
      <c r="B1005" s="1" t="s">
        <v>12</v>
      </c>
      <c r="C1005" s="1" t="s">
        <v>22</v>
      </c>
      <c r="D1005" s="5">
        <v>45905</v>
      </c>
      <c r="E1005" s="6">
        <v>55729267471</v>
      </c>
      <c r="F1005" s="6">
        <v>44776019029</v>
      </c>
      <c r="G1005" s="6">
        <v>10953248442</v>
      </c>
      <c r="H1005" s="6">
        <v>44246866217</v>
      </c>
      <c r="I1005" s="7">
        <v>11482401254</v>
      </c>
    </row>
    <row r="1006" spans="1:9" ht="12" customHeight="1" thickBot="1" x14ac:dyDescent="0.25">
      <c r="A1006" s="1" t="s">
        <v>43</v>
      </c>
      <c r="B1006" s="1" t="s">
        <v>12</v>
      </c>
      <c r="C1006" s="1" t="s">
        <v>22</v>
      </c>
      <c r="D1006" s="5">
        <v>45906</v>
      </c>
      <c r="E1006" s="6">
        <v>55695009865</v>
      </c>
      <c r="F1006" s="6">
        <v>44833258113</v>
      </c>
      <c r="G1006" s="6">
        <v>10861751752</v>
      </c>
      <c r="H1006" s="6">
        <v>44257505003</v>
      </c>
      <c r="I1006" s="7">
        <v>11437504862</v>
      </c>
    </row>
    <row r="1007" spans="1:9" ht="12" customHeight="1" thickBot="1" x14ac:dyDescent="0.25">
      <c r="A1007" s="1" t="s">
        <v>43</v>
      </c>
      <c r="B1007" s="1" t="s">
        <v>12</v>
      </c>
      <c r="C1007" s="1" t="s">
        <v>22</v>
      </c>
      <c r="D1007" s="5">
        <v>45907</v>
      </c>
      <c r="E1007" s="6">
        <v>55680970617</v>
      </c>
      <c r="F1007" s="6">
        <v>44870580277</v>
      </c>
      <c r="G1007" s="6">
        <v>10810390340</v>
      </c>
      <c r="H1007" s="6">
        <v>44316962468</v>
      </c>
      <c r="I1007" s="7">
        <v>11364008149</v>
      </c>
    </row>
    <row r="1008" spans="1:9" ht="12" customHeight="1" thickBot="1" x14ac:dyDescent="0.25">
      <c r="A1008" s="1" t="s">
        <v>43</v>
      </c>
      <c r="B1008" s="1" t="s">
        <v>12</v>
      </c>
      <c r="C1008" s="1" t="s">
        <v>22</v>
      </c>
      <c r="D1008" s="5">
        <v>45908</v>
      </c>
      <c r="E1008" s="6">
        <v>55605371352</v>
      </c>
      <c r="F1008" s="6">
        <v>44791131607</v>
      </c>
      <c r="G1008" s="6">
        <v>10814239745</v>
      </c>
      <c r="H1008" s="6">
        <v>44425961624</v>
      </c>
      <c r="I1008" s="7">
        <v>11179409728</v>
      </c>
    </row>
    <row r="1009" spans="1:9" ht="12" customHeight="1" thickBot="1" x14ac:dyDescent="0.25">
      <c r="A1009" s="1" t="s">
        <v>43</v>
      </c>
      <c r="B1009" s="1" t="s">
        <v>12</v>
      </c>
      <c r="C1009" s="1" t="s">
        <v>22</v>
      </c>
      <c r="D1009" s="5">
        <v>45909</v>
      </c>
      <c r="E1009" s="6">
        <v>55535434169</v>
      </c>
      <c r="F1009" s="6">
        <v>44926985332</v>
      </c>
      <c r="G1009" s="6">
        <v>10608448837</v>
      </c>
      <c r="H1009" s="6">
        <v>44385717104</v>
      </c>
      <c r="I1009" s="7">
        <v>11149717065</v>
      </c>
    </row>
    <row r="1010" spans="1:9" ht="12" customHeight="1" thickBot="1" x14ac:dyDescent="0.25">
      <c r="A1010" s="1" t="s">
        <v>43</v>
      </c>
      <c r="B1010" s="1" t="s">
        <v>12</v>
      </c>
      <c r="C1010" s="1" t="s">
        <v>22</v>
      </c>
      <c r="D1010" s="5">
        <v>45910</v>
      </c>
      <c r="E1010" s="6">
        <v>55463072076</v>
      </c>
      <c r="F1010" s="6">
        <v>44843255076</v>
      </c>
      <c r="G1010" s="6">
        <v>10619817000</v>
      </c>
      <c r="H1010" s="6">
        <v>44365976873</v>
      </c>
      <c r="I1010" s="7">
        <v>11097095203</v>
      </c>
    </row>
    <row r="1011" spans="1:9" ht="12" customHeight="1" thickBot="1" x14ac:dyDescent="0.25">
      <c r="A1011" s="1" t="s">
        <v>43</v>
      </c>
      <c r="B1011" s="1" t="s">
        <v>12</v>
      </c>
      <c r="C1011" s="1" t="s">
        <v>22</v>
      </c>
      <c r="D1011" s="5">
        <v>45911</v>
      </c>
      <c r="E1011" s="6">
        <v>55405061296</v>
      </c>
      <c r="F1011" s="6">
        <v>44826184775</v>
      </c>
      <c r="G1011" s="6">
        <v>10578876521</v>
      </c>
      <c r="H1011" s="6">
        <v>44334721654</v>
      </c>
      <c r="I1011" s="7">
        <v>11070339642</v>
      </c>
    </row>
    <row r="1012" spans="1:9" ht="12" customHeight="1" thickBot="1" x14ac:dyDescent="0.25">
      <c r="A1012" s="1" t="s">
        <v>43</v>
      </c>
      <c r="B1012" s="1" t="s">
        <v>12</v>
      </c>
      <c r="C1012" s="1" t="s">
        <v>22</v>
      </c>
      <c r="D1012" s="5">
        <v>45912</v>
      </c>
      <c r="E1012" s="6">
        <v>55340237927</v>
      </c>
      <c r="F1012" s="6">
        <v>44810665576</v>
      </c>
      <c r="G1012" s="6">
        <v>10529572351</v>
      </c>
      <c r="H1012" s="6">
        <v>44297592339</v>
      </c>
      <c r="I1012" s="7">
        <v>11042645588</v>
      </c>
    </row>
    <row r="1013" spans="1:9" ht="12" customHeight="1" thickBot="1" x14ac:dyDescent="0.25">
      <c r="A1013" s="1" t="s">
        <v>43</v>
      </c>
      <c r="B1013" s="1" t="s">
        <v>12</v>
      </c>
      <c r="C1013" s="1" t="s">
        <v>22</v>
      </c>
      <c r="D1013" s="5">
        <v>45913</v>
      </c>
      <c r="E1013" s="6">
        <v>55269834253</v>
      </c>
      <c r="F1013" s="6">
        <v>44888417263</v>
      </c>
      <c r="G1013" s="6">
        <v>10381416990</v>
      </c>
      <c r="H1013" s="6">
        <v>44276005550</v>
      </c>
      <c r="I1013" s="7">
        <v>10993828703</v>
      </c>
    </row>
    <row r="1014" spans="1:9" ht="12" customHeight="1" thickBot="1" x14ac:dyDescent="0.25">
      <c r="A1014" s="1" t="s">
        <v>43</v>
      </c>
      <c r="B1014" s="1" t="s">
        <v>12</v>
      </c>
      <c r="C1014" s="1" t="s">
        <v>22</v>
      </c>
      <c r="D1014" s="5">
        <v>45914</v>
      </c>
      <c r="E1014" s="6">
        <v>55258039023</v>
      </c>
      <c r="F1014" s="6">
        <v>45001615021</v>
      </c>
      <c r="G1014" s="6">
        <v>10256424002</v>
      </c>
      <c r="H1014" s="6">
        <v>44350062276</v>
      </c>
      <c r="I1014" s="7">
        <v>10907976747</v>
      </c>
    </row>
    <row r="1015" spans="1:9" ht="12" customHeight="1" thickBot="1" x14ac:dyDescent="0.25">
      <c r="A1015" s="1" t="s">
        <v>43</v>
      </c>
      <c r="B1015" s="1" t="s">
        <v>12</v>
      </c>
      <c r="C1015" s="1" t="s">
        <v>22</v>
      </c>
      <c r="D1015" s="5">
        <v>45915</v>
      </c>
      <c r="E1015" s="6">
        <v>55156329907</v>
      </c>
      <c r="F1015" s="6">
        <v>44822753290</v>
      </c>
      <c r="G1015" s="6">
        <v>10333576617</v>
      </c>
      <c r="H1015" s="6">
        <v>44363867472</v>
      </c>
      <c r="I1015" s="7">
        <v>10792462435</v>
      </c>
    </row>
    <row r="1016" spans="1:9" ht="12" customHeight="1" thickBot="1" x14ac:dyDescent="0.25">
      <c r="A1016" s="1" t="s">
        <v>43</v>
      </c>
      <c r="B1016" s="1" t="s">
        <v>12</v>
      </c>
      <c r="C1016" s="1" t="s">
        <v>22</v>
      </c>
      <c r="D1016" s="5">
        <v>45916</v>
      </c>
      <c r="E1016" s="6">
        <v>55104693129</v>
      </c>
      <c r="F1016" s="6">
        <v>44940617748</v>
      </c>
      <c r="G1016" s="6">
        <v>10164075381</v>
      </c>
      <c r="H1016" s="6">
        <v>44375977589</v>
      </c>
      <c r="I1016" s="7">
        <v>10728715540</v>
      </c>
    </row>
    <row r="1017" spans="1:9" ht="12" customHeight="1" thickBot="1" x14ac:dyDescent="0.25">
      <c r="A1017" s="1" t="s">
        <v>43</v>
      </c>
      <c r="B1017" s="1" t="s">
        <v>12</v>
      </c>
      <c r="C1017" s="1" t="s">
        <v>22</v>
      </c>
      <c r="D1017" s="5">
        <v>45917</v>
      </c>
      <c r="E1017" s="6">
        <v>55057455070</v>
      </c>
      <c r="F1017" s="6">
        <v>44855600898</v>
      </c>
      <c r="G1017" s="6">
        <v>10201854172</v>
      </c>
      <c r="H1017" s="6">
        <v>44395284653</v>
      </c>
      <c r="I1017" s="7">
        <v>10662170417</v>
      </c>
    </row>
    <row r="1018" spans="1:9" ht="12" customHeight="1" thickBot="1" x14ac:dyDescent="0.25">
      <c r="A1018" s="1" t="s">
        <v>43</v>
      </c>
      <c r="B1018" s="1" t="s">
        <v>12</v>
      </c>
      <c r="C1018" s="1" t="s">
        <v>22</v>
      </c>
      <c r="D1018" s="5">
        <v>45918</v>
      </c>
      <c r="E1018" s="6">
        <v>54990929207</v>
      </c>
      <c r="F1018" s="6">
        <v>44913579074</v>
      </c>
      <c r="G1018" s="6">
        <v>10077350133</v>
      </c>
      <c r="H1018" s="6">
        <v>44362459934</v>
      </c>
      <c r="I1018" s="7">
        <v>10628469273</v>
      </c>
    </row>
    <row r="1019" spans="1:9" ht="12" customHeight="1" thickBot="1" x14ac:dyDescent="0.25">
      <c r="A1019" s="1" t="s">
        <v>43</v>
      </c>
      <c r="B1019" s="1" t="s">
        <v>12</v>
      </c>
      <c r="C1019" s="1" t="s">
        <v>22</v>
      </c>
      <c r="D1019" s="5">
        <v>45919</v>
      </c>
      <c r="E1019" s="6">
        <v>54930555306</v>
      </c>
      <c r="F1019" s="6">
        <v>44989529050</v>
      </c>
      <c r="G1019" s="6">
        <v>9941026256</v>
      </c>
      <c r="H1019" s="6">
        <v>44371395877</v>
      </c>
      <c r="I1019" s="7">
        <v>10559159429</v>
      </c>
    </row>
    <row r="1020" spans="1:9" ht="12" customHeight="1" thickBot="1" x14ac:dyDescent="0.25">
      <c r="A1020" s="1" t="s">
        <v>43</v>
      </c>
      <c r="B1020" s="1" t="s">
        <v>12</v>
      </c>
      <c r="C1020" s="1" t="s">
        <v>22</v>
      </c>
      <c r="D1020" s="5">
        <v>45920</v>
      </c>
      <c r="E1020" s="6">
        <v>54890221245</v>
      </c>
      <c r="F1020" s="6">
        <v>45051076895</v>
      </c>
      <c r="G1020" s="6">
        <v>9839144350</v>
      </c>
      <c r="H1020" s="6">
        <v>44354884336</v>
      </c>
      <c r="I1020" s="7">
        <v>10535336909</v>
      </c>
    </row>
    <row r="1021" spans="1:9" ht="12" customHeight="1" thickBot="1" x14ac:dyDescent="0.25">
      <c r="A1021" s="1" t="s">
        <v>43</v>
      </c>
      <c r="B1021" s="1" t="s">
        <v>12</v>
      </c>
      <c r="C1021" s="1" t="s">
        <v>22</v>
      </c>
      <c r="D1021" s="5">
        <v>45921</v>
      </c>
      <c r="E1021" s="6">
        <v>54885536976</v>
      </c>
      <c r="F1021" s="6">
        <v>45093530665</v>
      </c>
      <c r="G1021" s="6">
        <v>9792006311</v>
      </c>
      <c r="H1021" s="6">
        <v>44408192739</v>
      </c>
      <c r="I1021" s="7">
        <v>10477344237</v>
      </c>
    </row>
    <row r="1022" spans="1:9" ht="12" customHeight="1" thickBot="1" x14ac:dyDescent="0.25">
      <c r="A1022" s="1" t="s">
        <v>43</v>
      </c>
      <c r="B1022" s="1" t="s">
        <v>12</v>
      </c>
      <c r="C1022" s="1" t="s">
        <v>22</v>
      </c>
      <c r="D1022" s="5">
        <v>45922</v>
      </c>
      <c r="E1022" s="6">
        <v>54836728760</v>
      </c>
      <c r="F1022" s="6">
        <v>44946609304</v>
      </c>
      <c r="G1022" s="6">
        <v>9890119456</v>
      </c>
      <c r="H1022" s="6">
        <v>44379986450</v>
      </c>
      <c r="I1022" s="7">
        <v>10456742310</v>
      </c>
    </row>
    <row r="1023" spans="1:9" ht="12" customHeight="1" thickBot="1" x14ac:dyDescent="0.25">
      <c r="A1023" s="1" t="s">
        <v>43</v>
      </c>
      <c r="B1023" s="1" t="s">
        <v>12</v>
      </c>
      <c r="C1023" s="1" t="s">
        <v>22</v>
      </c>
      <c r="D1023" s="5">
        <v>45923</v>
      </c>
      <c r="E1023" s="6">
        <v>54805172562</v>
      </c>
      <c r="F1023" s="6">
        <v>45071471411</v>
      </c>
      <c r="G1023" s="6">
        <v>9733701151</v>
      </c>
      <c r="H1023" s="6">
        <v>44414854163</v>
      </c>
      <c r="I1023" s="7">
        <v>10390318399</v>
      </c>
    </row>
    <row r="1024" spans="1:9" ht="12" customHeight="1" thickBot="1" x14ac:dyDescent="0.25">
      <c r="A1024" s="1" t="s">
        <v>43</v>
      </c>
      <c r="B1024" s="1" t="s">
        <v>12</v>
      </c>
      <c r="C1024" s="1" t="s">
        <v>22</v>
      </c>
      <c r="D1024" s="5">
        <v>45924</v>
      </c>
      <c r="E1024" s="6">
        <v>54762674042</v>
      </c>
      <c r="F1024" s="6">
        <v>45078357699</v>
      </c>
      <c r="G1024" s="6">
        <v>9684316343</v>
      </c>
      <c r="H1024" s="6">
        <v>44419569952</v>
      </c>
      <c r="I1024" s="7">
        <v>10343104090</v>
      </c>
    </row>
    <row r="1025" spans="1:9" ht="12" customHeight="1" thickBot="1" x14ac:dyDescent="0.25">
      <c r="A1025" s="1" t="s">
        <v>43</v>
      </c>
      <c r="B1025" s="1" t="s">
        <v>12</v>
      </c>
      <c r="C1025" s="1" t="s">
        <v>22</v>
      </c>
      <c r="D1025" s="5">
        <v>45925</v>
      </c>
      <c r="E1025" s="6">
        <v>54716630721</v>
      </c>
      <c r="F1025" s="6">
        <v>45044556248</v>
      </c>
      <c r="G1025" s="6">
        <v>9672074473</v>
      </c>
      <c r="H1025" s="6">
        <v>44405268728</v>
      </c>
      <c r="I1025" s="7">
        <v>10311361993</v>
      </c>
    </row>
    <row r="1026" spans="1:9" ht="12" customHeight="1" thickBot="1" x14ac:dyDescent="0.25">
      <c r="A1026" s="1" t="s">
        <v>43</v>
      </c>
      <c r="B1026" s="1" t="s">
        <v>12</v>
      </c>
      <c r="C1026" s="1" t="s">
        <v>22</v>
      </c>
      <c r="D1026" s="5">
        <v>45926</v>
      </c>
      <c r="E1026" s="6">
        <v>54658332365</v>
      </c>
      <c r="F1026" s="6">
        <v>45115250294</v>
      </c>
      <c r="G1026" s="6">
        <v>9543082071</v>
      </c>
      <c r="H1026" s="6">
        <v>44481170251</v>
      </c>
      <c r="I1026" s="7">
        <v>10177162114</v>
      </c>
    </row>
    <row r="1027" spans="1:9" ht="12" customHeight="1" thickBot="1" x14ac:dyDescent="0.25">
      <c r="A1027" s="1" t="s">
        <v>43</v>
      </c>
      <c r="B1027" s="1" t="s">
        <v>12</v>
      </c>
      <c r="C1027" s="1" t="s">
        <v>22</v>
      </c>
      <c r="D1027" s="5">
        <v>45927</v>
      </c>
      <c r="E1027" s="6">
        <v>54628076176</v>
      </c>
      <c r="F1027" s="6">
        <v>45117941790</v>
      </c>
      <c r="G1027" s="6">
        <v>9510134386</v>
      </c>
      <c r="H1027" s="6">
        <v>44472006945</v>
      </c>
      <c r="I1027" s="7">
        <v>10156069231</v>
      </c>
    </row>
    <row r="1028" spans="1:9" ht="12" customHeight="1" thickBot="1" x14ac:dyDescent="0.25">
      <c r="A1028" s="1" t="s">
        <v>43</v>
      </c>
      <c r="B1028" s="1" t="s">
        <v>12</v>
      </c>
      <c r="C1028" s="1" t="s">
        <v>22</v>
      </c>
      <c r="D1028" s="5">
        <v>45928</v>
      </c>
      <c r="E1028" s="6">
        <v>54623289222</v>
      </c>
      <c r="F1028" s="6">
        <v>45198718972</v>
      </c>
      <c r="G1028" s="6">
        <v>9424570250</v>
      </c>
      <c r="H1028" s="6">
        <v>44532890172</v>
      </c>
      <c r="I1028" s="7">
        <v>10090399050</v>
      </c>
    </row>
    <row r="1029" spans="1:9" ht="12" customHeight="1" thickBot="1" x14ac:dyDescent="0.25">
      <c r="A1029" s="1" t="s">
        <v>43</v>
      </c>
      <c r="B1029" s="1" t="s">
        <v>12</v>
      </c>
      <c r="C1029" s="1" t="s">
        <v>22</v>
      </c>
      <c r="D1029" s="5">
        <v>45929</v>
      </c>
      <c r="E1029" s="6">
        <v>54502358597</v>
      </c>
      <c r="F1029" s="6">
        <v>45111344689</v>
      </c>
      <c r="G1029" s="6">
        <v>9391013908</v>
      </c>
      <c r="H1029" s="6">
        <v>44618053817</v>
      </c>
      <c r="I1029" s="7">
        <v>9884304780</v>
      </c>
    </row>
    <row r="1030" spans="1:9" ht="12" customHeight="1" thickBot="1" x14ac:dyDescent="0.25">
      <c r="A1030" s="1" t="s">
        <v>43</v>
      </c>
      <c r="B1030" s="1" t="s">
        <v>12</v>
      </c>
      <c r="C1030" s="1" t="s">
        <v>22</v>
      </c>
      <c r="D1030" s="5">
        <v>45930</v>
      </c>
      <c r="E1030" s="6">
        <v>54490744969</v>
      </c>
      <c r="F1030" s="6">
        <v>45279330259</v>
      </c>
      <c r="G1030" s="6">
        <v>9211414710</v>
      </c>
      <c r="H1030" s="6">
        <v>44702750452</v>
      </c>
      <c r="I1030" s="7">
        <v>9787994517</v>
      </c>
    </row>
    <row r="1031" spans="1:9" ht="12" customHeight="1" thickBot="1" x14ac:dyDescent="0.25">
      <c r="A1031" s="1" t="s">
        <v>44</v>
      </c>
      <c r="B1031" s="1" t="s">
        <v>12</v>
      </c>
      <c r="C1031" s="1" t="s">
        <v>25</v>
      </c>
      <c r="D1031" s="5">
        <v>45840</v>
      </c>
      <c r="E1031" s="6">
        <v>725893662</v>
      </c>
      <c r="F1031" s="6">
        <v>0</v>
      </c>
      <c r="G1031" s="6">
        <v>725893662</v>
      </c>
      <c r="H1031" s="6">
        <v>0</v>
      </c>
      <c r="I1031" s="7">
        <v>725893662</v>
      </c>
    </row>
    <row r="1032" spans="1:9" ht="12" customHeight="1" thickBot="1" x14ac:dyDescent="0.25">
      <c r="A1032" s="1" t="s">
        <v>44</v>
      </c>
      <c r="B1032" s="1" t="s">
        <v>12</v>
      </c>
      <c r="C1032" s="1" t="s">
        <v>25</v>
      </c>
      <c r="D1032" s="5">
        <v>45841</v>
      </c>
      <c r="E1032" s="6">
        <v>725893662</v>
      </c>
      <c r="F1032" s="6">
        <v>0</v>
      </c>
      <c r="G1032" s="6">
        <v>725893662</v>
      </c>
      <c r="H1032" s="6">
        <v>0</v>
      </c>
      <c r="I1032" s="7">
        <v>725893662</v>
      </c>
    </row>
    <row r="1033" spans="1:9" ht="12" customHeight="1" thickBot="1" x14ac:dyDescent="0.25">
      <c r="A1033" s="1" t="s">
        <v>44</v>
      </c>
      <c r="B1033" s="1" t="s">
        <v>12</v>
      </c>
      <c r="C1033" s="1" t="s">
        <v>25</v>
      </c>
      <c r="D1033" s="5">
        <v>45842</v>
      </c>
      <c r="E1033" s="6">
        <v>737482039</v>
      </c>
      <c r="F1033" s="6">
        <v>0</v>
      </c>
      <c r="G1033" s="6">
        <v>737482039</v>
      </c>
      <c r="H1033" s="6">
        <v>0</v>
      </c>
      <c r="I1033" s="7">
        <v>737482039</v>
      </c>
    </row>
    <row r="1034" spans="1:9" ht="12" customHeight="1" thickBot="1" x14ac:dyDescent="0.25">
      <c r="A1034" s="1" t="s">
        <v>44</v>
      </c>
      <c r="B1034" s="1" t="s">
        <v>12</v>
      </c>
      <c r="C1034" s="1" t="s">
        <v>25</v>
      </c>
      <c r="D1034" s="5">
        <v>45843</v>
      </c>
      <c r="E1034" s="6">
        <v>780324356</v>
      </c>
      <c r="F1034" s="6">
        <v>0</v>
      </c>
      <c r="G1034" s="6">
        <v>780324356</v>
      </c>
      <c r="H1034" s="6">
        <v>0</v>
      </c>
      <c r="I1034" s="7">
        <v>780324356</v>
      </c>
    </row>
    <row r="1035" spans="1:9" ht="12" customHeight="1" thickBot="1" x14ac:dyDescent="0.25">
      <c r="A1035" s="1" t="s">
        <v>44</v>
      </c>
      <c r="B1035" s="1" t="s">
        <v>12</v>
      </c>
      <c r="C1035" s="1" t="s">
        <v>25</v>
      </c>
      <c r="D1035" s="5">
        <v>45844</v>
      </c>
      <c r="E1035" s="6">
        <v>792924356</v>
      </c>
      <c r="F1035" s="6">
        <v>0</v>
      </c>
      <c r="G1035" s="6">
        <v>792924356</v>
      </c>
      <c r="H1035" s="6">
        <v>0</v>
      </c>
      <c r="I1035" s="7">
        <v>792924356</v>
      </c>
    </row>
    <row r="1036" spans="1:9" ht="12" customHeight="1" thickBot="1" x14ac:dyDescent="0.25">
      <c r="A1036" s="1" t="s">
        <v>44</v>
      </c>
      <c r="B1036" s="1" t="s">
        <v>12</v>
      </c>
      <c r="C1036" s="1" t="s">
        <v>25</v>
      </c>
      <c r="D1036" s="5">
        <v>45845</v>
      </c>
      <c r="E1036" s="6">
        <v>794179131</v>
      </c>
      <c r="F1036" s="6">
        <v>0</v>
      </c>
      <c r="G1036" s="6">
        <v>794179131</v>
      </c>
      <c r="H1036" s="6">
        <v>0</v>
      </c>
      <c r="I1036" s="7">
        <v>794179131</v>
      </c>
    </row>
    <row r="1037" spans="1:9" ht="12" customHeight="1" thickBot="1" x14ac:dyDescent="0.25">
      <c r="A1037" s="1" t="s">
        <v>44</v>
      </c>
      <c r="B1037" s="1" t="s">
        <v>12</v>
      </c>
      <c r="C1037" s="1" t="s">
        <v>25</v>
      </c>
      <c r="D1037" s="5">
        <v>45846</v>
      </c>
      <c r="E1037" s="6">
        <v>840930911</v>
      </c>
      <c r="F1037" s="6">
        <v>12600000</v>
      </c>
      <c r="G1037" s="6">
        <v>828330911</v>
      </c>
      <c r="H1037" s="6">
        <v>0</v>
      </c>
      <c r="I1037" s="7">
        <v>840930911</v>
      </c>
    </row>
    <row r="1038" spans="1:9" ht="12" customHeight="1" thickBot="1" x14ac:dyDescent="0.25">
      <c r="A1038" s="1" t="s">
        <v>44</v>
      </c>
      <c r="B1038" s="1" t="s">
        <v>12</v>
      </c>
      <c r="C1038" s="1" t="s">
        <v>25</v>
      </c>
      <c r="D1038" s="5">
        <v>45847</v>
      </c>
      <c r="E1038" s="6">
        <v>839617878</v>
      </c>
      <c r="F1038" s="6">
        <v>12600000</v>
      </c>
      <c r="G1038" s="6">
        <v>827017878</v>
      </c>
      <c r="H1038" s="6">
        <v>0</v>
      </c>
      <c r="I1038" s="7">
        <v>839617878</v>
      </c>
    </row>
    <row r="1039" spans="1:9" ht="12" customHeight="1" thickBot="1" x14ac:dyDescent="0.25">
      <c r="A1039" s="1" t="s">
        <v>44</v>
      </c>
      <c r="B1039" s="1" t="s">
        <v>12</v>
      </c>
      <c r="C1039" s="1" t="s">
        <v>25</v>
      </c>
      <c r="D1039" s="5">
        <v>45848</v>
      </c>
      <c r="E1039" s="6">
        <v>848575271</v>
      </c>
      <c r="F1039" s="6">
        <v>12600000</v>
      </c>
      <c r="G1039" s="6">
        <v>835975271</v>
      </c>
      <c r="H1039" s="6">
        <v>0</v>
      </c>
      <c r="I1039" s="7">
        <v>848575271</v>
      </c>
    </row>
    <row r="1040" spans="1:9" ht="12" customHeight="1" thickBot="1" x14ac:dyDescent="0.25">
      <c r="A1040" s="1" t="s">
        <v>44</v>
      </c>
      <c r="B1040" s="1" t="s">
        <v>12</v>
      </c>
      <c r="C1040" s="1" t="s">
        <v>25</v>
      </c>
      <c r="D1040" s="5">
        <v>45849</v>
      </c>
      <c r="E1040" s="6">
        <v>859075271</v>
      </c>
      <c r="F1040" s="6">
        <v>12600000</v>
      </c>
      <c r="G1040" s="6">
        <v>846475271</v>
      </c>
      <c r="H1040" s="6">
        <v>0</v>
      </c>
      <c r="I1040" s="7">
        <v>859075271</v>
      </c>
    </row>
    <row r="1041" spans="1:9" ht="12" customHeight="1" thickBot="1" x14ac:dyDescent="0.25">
      <c r="A1041" s="1" t="s">
        <v>44</v>
      </c>
      <c r="B1041" s="1" t="s">
        <v>12</v>
      </c>
      <c r="C1041" s="1" t="s">
        <v>25</v>
      </c>
      <c r="D1041" s="5">
        <v>45850</v>
      </c>
      <c r="E1041" s="6">
        <v>857345816</v>
      </c>
      <c r="F1041" s="6">
        <v>12600000</v>
      </c>
      <c r="G1041" s="6">
        <v>844745816</v>
      </c>
      <c r="H1041" s="6">
        <v>0</v>
      </c>
      <c r="I1041" s="7">
        <v>857345816</v>
      </c>
    </row>
    <row r="1042" spans="1:9" ht="12" customHeight="1" thickBot="1" x14ac:dyDescent="0.25">
      <c r="A1042" s="1" t="s">
        <v>44</v>
      </c>
      <c r="B1042" s="1" t="s">
        <v>12</v>
      </c>
      <c r="C1042" s="1" t="s">
        <v>25</v>
      </c>
      <c r="D1042" s="5">
        <v>45851</v>
      </c>
      <c r="E1042" s="6">
        <v>857345816</v>
      </c>
      <c r="F1042" s="6">
        <v>25200000</v>
      </c>
      <c r="G1042" s="6">
        <v>832145816</v>
      </c>
      <c r="H1042" s="6">
        <v>0</v>
      </c>
      <c r="I1042" s="7">
        <v>857345816</v>
      </c>
    </row>
    <row r="1043" spans="1:9" ht="12" customHeight="1" thickBot="1" x14ac:dyDescent="0.25">
      <c r="A1043" s="1" t="s">
        <v>44</v>
      </c>
      <c r="B1043" s="1" t="s">
        <v>12</v>
      </c>
      <c r="C1043" s="1" t="s">
        <v>25</v>
      </c>
      <c r="D1043" s="5">
        <v>45852</v>
      </c>
      <c r="E1043" s="6">
        <v>869945816</v>
      </c>
      <c r="F1043" s="6">
        <v>25200000</v>
      </c>
      <c r="G1043" s="6">
        <v>844745816</v>
      </c>
      <c r="H1043" s="6">
        <v>0</v>
      </c>
      <c r="I1043" s="7">
        <v>869945816</v>
      </c>
    </row>
    <row r="1044" spans="1:9" ht="12" customHeight="1" thickBot="1" x14ac:dyDescent="0.25">
      <c r="A1044" s="1" t="s">
        <v>44</v>
      </c>
      <c r="B1044" s="1" t="s">
        <v>12</v>
      </c>
      <c r="C1044" s="1" t="s">
        <v>25</v>
      </c>
      <c r="D1044" s="5">
        <v>45853</v>
      </c>
      <c r="E1044" s="6">
        <v>914469866</v>
      </c>
      <c r="F1044" s="6">
        <v>25200000</v>
      </c>
      <c r="G1044" s="6">
        <v>889269866</v>
      </c>
      <c r="H1044" s="6">
        <v>0</v>
      </c>
      <c r="I1044" s="7">
        <v>914469866</v>
      </c>
    </row>
    <row r="1045" spans="1:9" ht="12" customHeight="1" thickBot="1" x14ac:dyDescent="0.25">
      <c r="A1045" s="1" t="s">
        <v>44</v>
      </c>
      <c r="B1045" s="1" t="s">
        <v>12</v>
      </c>
      <c r="C1045" s="1" t="s">
        <v>25</v>
      </c>
      <c r="D1045" s="5">
        <v>45854</v>
      </c>
      <c r="E1045" s="6">
        <v>969429849</v>
      </c>
      <c r="F1045" s="6">
        <v>12600000</v>
      </c>
      <c r="G1045" s="6">
        <v>956829849</v>
      </c>
      <c r="H1045" s="6">
        <v>0</v>
      </c>
      <c r="I1045" s="7">
        <v>969429849</v>
      </c>
    </row>
    <row r="1046" spans="1:9" ht="12" customHeight="1" thickBot="1" x14ac:dyDescent="0.25">
      <c r="A1046" s="1" t="s">
        <v>44</v>
      </c>
      <c r="B1046" s="1" t="s">
        <v>12</v>
      </c>
      <c r="C1046" s="1" t="s">
        <v>25</v>
      </c>
      <c r="D1046" s="5">
        <v>45855</v>
      </c>
      <c r="E1046" s="6">
        <v>962230778</v>
      </c>
      <c r="F1046" s="6">
        <v>0</v>
      </c>
      <c r="G1046" s="6">
        <v>962230778</v>
      </c>
      <c r="H1046" s="6">
        <v>0</v>
      </c>
      <c r="I1046" s="7">
        <v>962230778</v>
      </c>
    </row>
    <row r="1047" spans="1:9" ht="12" customHeight="1" thickBot="1" x14ac:dyDescent="0.25">
      <c r="A1047" s="1" t="s">
        <v>44</v>
      </c>
      <c r="B1047" s="1" t="s">
        <v>12</v>
      </c>
      <c r="C1047" s="1" t="s">
        <v>25</v>
      </c>
      <c r="D1047" s="5">
        <v>45856</v>
      </c>
      <c r="E1047" s="6">
        <v>982026227</v>
      </c>
      <c r="F1047" s="6">
        <v>0</v>
      </c>
      <c r="G1047" s="6">
        <v>982026227</v>
      </c>
      <c r="H1047" s="6">
        <v>0</v>
      </c>
      <c r="I1047" s="7">
        <v>982026227</v>
      </c>
    </row>
    <row r="1048" spans="1:9" ht="12" customHeight="1" thickBot="1" x14ac:dyDescent="0.25">
      <c r="A1048" s="1" t="s">
        <v>44</v>
      </c>
      <c r="B1048" s="1" t="s">
        <v>12</v>
      </c>
      <c r="C1048" s="1" t="s">
        <v>25</v>
      </c>
      <c r="D1048" s="5">
        <v>45857</v>
      </c>
      <c r="E1048" s="6">
        <v>980717069</v>
      </c>
      <c r="F1048" s="6">
        <v>11963838</v>
      </c>
      <c r="G1048" s="6">
        <v>968753231</v>
      </c>
      <c r="H1048" s="6">
        <v>0</v>
      </c>
      <c r="I1048" s="7">
        <v>980717069</v>
      </c>
    </row>
    <row r="1049" spans="1:9" ht="12" customHeight="1" thickBot="1" x14ac:dyDescent="0.25">
      <c r="A1049" s="1" t="s">
        <v>44</v>
      </c>
      <c r="B1049" s="1" t="s">
        <v>12</v>
      </c>
      <c r="C1049" s="1" t="s">
        <v>25</v>
      </c>
      <c r="D1049" s="5">
        <v>45858</v>
      </c>
      <c r="E1049" s="6">
        <v>980382875</v>
      </c>
      <c r="F1049" s="6">
        <v>0</v>
      </c>
      <c r="G1049" s="6">
        <v>980382875</v>
      </c>
      <c r="H1049" s="6">
        <v>0</v>
      </c>
      <c r="I1049" s="7">
        <v>980382875</v>
      </c>
    </row>
    <row r="1050" spans="1:9" ht="12" customHeight="1" thickBot="1" x14ac:dyDescent="0.25">
      <c r="A1050" s="1" t="s">
        <v>44</v>
      </c>
      <c r="B1050" s="1" t="s">
        <v>12</v>
      </c>
      <c r="C1050" s="1" t="s">
        <v>25</v>
      </c>
      <c r="D1050" s="5">
        <v>45859</v>
      </c>
      <c r="E1050" s="6">
        <v>988441573</v>
      </c>
      <c r="F1050" s="6">
        <v>0</v>
      </c>
      <c r="G1050" s="6">
        <v>988441573</v>
      </c>
      <c r="H1050" s="6">
        <v>0</v>
      </c>
      <c r="I1050" s="7">
        <v>988441573</v>
      </c>
    </row>
    <row r="1051" spans="1:9" ht="12" customHeight="1" thickBot="1" x14ac:dyDescent="0.25">
      <c r="A1051" s="1" t="s">
        <v>44</v>
      </c>
      <c r="B1051" s="1" t="s">
        <v>12</v>
      </c>
      <c r="C1051" s="1" t="s">
        <v>25</v>
      </c>
      <c r="D1051" s="5">
        <v>45860</v>
      </c>
      <c r="E1051" s="6">
        <v>1032541573</v>
      </c>
      <c r="F1051" s="6">
        <v>0</v>
      </c>
      <c r="G1051" s="6">
        <v>1032541573</v>
      </c>
      <c r="H1051" s="6">
        <v>0</v>
      </c>
      <c r="I1051" s="7">
        <v>1032541573</v>
      </c>
    </row>
    <row r="1052" spans="1:9" ht="12" customHeight="1" thickBot="1" x14ac:dyDescent="0.25">
      <c r="A1052" s="1" t="s">
        <v>44</v>
      </c>
      <c r="B1052" s="1" t="s">
        <v>12</v>
      </c>
      <c r="C1052" s="1" t="s">
        <v>25</v>
      </c>
      <c r="D1052" s="5">
        <v>45861</v>
      </c>
      <c r="E1052" s="6">
        <v>1040842832</v>
      </c>
      <c r="F1052" s="6">
        <v>0</v>
      </c>
      <c r="G1052" s="6">
        <v>1040842832</v>
      </c>
      <c r="H1052" s="6">
        <v>0</v>
      </c>
      <c r="I1052" s="7">
        <v>1040842832</v>
      </c>
    </row>
    <row r="1053" spans="1:9" ht="12" customHeight="1" thickBot="1" x14ac:dyDescent="0.25">
      <c r="A1053" s="1" t="s">
        <v>44</v>
      </c>
      <c r="B1053" s="1" t="s">
        <v>12</v>
      </c>
      <c r="C1053" s="1" t="s">
        <v>25</v>
      </c>
      <c r="D1053" s="5">
        <v>45862</v>
      </c>
      <c r="E1053" s="6">
        <v>1079541616</v>
      </c>
      <c r="F1053" s="6">
        <v>0</v>
      </c>
      <c r="G1053" s="6">
        <v>1079541616</v>
      </c>
      <c r="H1053" s="6">
        <v>0</v>
      </c>
      <c r="I1053" s="7">
        <v>1079541616</v>
      </c>
    </row>
    <row r="1054" spans="1:9" ht="12" customHeight="1" thickBot="1" x14ac:dyDescent="0.25">
      <c r="A1054" s="1" t="s">
        <v>44</v>
      </c>
      <c r="B1054" s="1" t="s">
        <v>12</v>
      </c>
      <c r="C1054" s="1" t="s">
        <v>25</v>
      </c>
      <c r="D1054" s="5">
        <v>45863</v>
      </c>
      <c r="E1054" s="6">
        <v>1111041616</v>
      </c>
      <c r="F1054" s="6">
        <v>0</v>
      </c>
      <c r="G1054" s="6">
        <v>1111041616</v>
      </c>
      <c r="H1054" s="6">
        <v>0</v>
      </c>
      <c r="I1054" s="7">
        <v>1111041616</v>
      </c>
    </row>
    <row r="1055" spans="1:9" ht="12" customHeight="1" thickBot="1" x14ac:dyDescent="0.25">
      <c r="A1055" s="1" t="s">
        <v>44</v>
      </c>
      <c r="B1055" s="1" t="s">
        <v>12</v>
      </c>
      <c r="C1055" s="1" t="s">
        <v>25</v>
      </c>
      <c r="D1055" s="5">
        <v>45864</v>
      </c>
      <c r="E1055" s="6">
        <v>1131257449</v>
      </c>
      <c r="F1055" s="6">
        <v>10500000</v>
      </c>
      <c r="G1055" s="6">
        <v>1120757449</v>
      </c>
      <c r="H1055" s="6">
        <v>0</v>
      </c>
      <c r="I1055" s="7">
        <v>1131257449</v>
      </c>
    </row>
    <row r="1056" spans="1:9" ht="12" customHeight="1" thickBot="1" x14ac:dyDescent="0.25">
      <c r="A1056" s="1" t="s">
        <v>44</v>
      </c>
      <c r="B1056" s="1" t="s">
        <v>12</v>
      </c>
      <c r="C1056" s="1" t="s">
        <v>25</v>
      </c>
      <c r="D1056" s="5">
        <v>45865</v>
      </c>
      <c r="E1056" s="6">
        <v>1131257449</v>
      </c>
      <c r="F1056" s="6">
        <v>10500000</v>
      </c>
      <c r="G1056" s="6">
        <v>1120757449</v>
      </c>
      <c r="H1056" s="6">
        <v>0</v>
      </c>
      <c r="I1056" s="7">
        <v>1131257449</v>
      </c>
    </row>
    <row r="1057" spans="1:9" ht="12" customHeight="1" thickBot="1" x14ac:dyDescent="0.25">
      <c r="A1057" s="1" t="s">
        <v>44</v>
      </c>
      <c r="B1057" s="1" t="s">
        <v>12</v>
      </c>
      <c r="C1057" s="1" t="s">
        <v>25</v>
      </c>
      <c r="D1057" s="5">
        <v>45866</v>
      </c>
      <c r="E1057" s="6">
        <v>1164959907</v>
      </c>
      <c r="F1057" s="6">
        <v>0</v>
      </c>
      <c r="G1057" s="6">
        <v>1164959907</v>
      </c>
      <c r="H1057" s="6">
        <v>0</v>
      </c>
      <c r="I1057" s="7">
        <v>1164959907</v>
      </c>
    </row>
    <row r="1058" spans="1:9" ht="12" customHeight="1" thickBot="1" x14ac:dyDescent="0.25">
      <c r="A1058" s="1" t="s">
        <v>44</v>
      </c>
      <c r="B1058" s="1" t="s">
        <v>12</v>
      </c>
      <c r="C1058" s="1" t="s">
        <v>25</v>
      </c>
      <c r="D1058" s="5">
        <v>45867</v>
      </c>
      <c r="E1058" s="6">
        <v>1163462306</v>
      </c>
      <c r="F1058" s="6">
        <v>12238956</v>
      </c>
      <c r="G1058" s="6">
        <v>1151223350</v>
      </c>
      <c r="H1058" s="6">
        <v>0</v>
      </c>
      <c r="I1058" s="7">
        <v>1163462306</v>
      </c>
    </row>
    <row r="1059" spans="1:9" ht="12" customHeight="1" thickBot="1" x14ac:dyDescent="0.25">
      <c r="A1059" s="1" t="s">
        <v>44</v>
      </c>
      <c r="B1059" s="1" t="s">
        <v>12</v>
      </c>
      <c r="C1059" s="1" t="s">
        <v>25</v>
      </c>
      <c r="D1059" s="5">
        <v>45868</v>
      </c>
      <c r="E1059" s="6">
        <v>1220160912</v>
      </c>
      <c r="F1059" s="6">
        <v>0</v>
      </c>
      <c r="G1059" s="6">
        <v>1220160912</v>
      </c>
      <c r="H1059" s="6">
        <v>0</v>
      </c>
      <c r="I1059" s="7">
        <v>1220160912</v>
      </c>
    </row>
    <row r="1060" spans="1:9" ht="12" customHeight="1" thickBot="1" x14ac:dyDescent="0.25">
      <c r="A1060" s="1" t="s">
        <v>44</v>
      </c>
      <c r="B1060" s="1" t="s">
        <v>12</v>
      </c>
      <c r="C1060" s="1" t="s">
        <v>25</v>
      </c>
      <c r="D1060" s="5">
        <v>45869</v>
      </c>
      <c r="E1060" s="6">
        <v>1249560912</v>
      </c>
      <c r="F1060" s="6">
        <v>0</v>
      </c>
      <c r="G1060" s="6">
        <v>1249560912</v>
      </c>
      <c r="H1060" s="6">
        <v>0</v>
      </c>
      <c r="I1060" s="7">
        <v>1249560912</v>
      </c>
    </row>
    <row r="1061" spans="1:9" ht="12" customHeight="1" thickBot="1" x14ac:dyDescent="0.25">
      <c r="A1061" s="1" t="s">
        <v>44</v>
      </c>
      <c r="B1061" s="1" t="s">
        <v>12</v>
      </c>
      <c r="C1061" s="1" t="s">
        <v>25</v>
      </c>
      <c r="D1061" s="5">
        <v>45870</v>
      </c>
      <c r="E1061" s="6">
        <v>1249120776</v>
      </c>
      <c r="F1061" s="6">
        <v>0</v>
      </c>
      <c r="G1061" s="6">
        <v>1249120776</v>
      </c>
      <c r="H1061" s="6">
        <v>0</v>
      </c>
      <c r="I1061" s="7">
        <v>1249120776</v>
      </c>
    </row>
    <row r="1062" spans="1:9" ht="12" customHeight="1" thickBot="1" x14ac:dyDescent="0.25">
      <c r="A1062" s="1" t="s">
        <v>44</v>
      </c>
      <c r="B1062" s="1" t="s">
        <v>12</v>
      </c>
      <c r="C1062" s="1" t="s">
        <v>25</v>
      </c>
      <c r="D1062" s="5">
        <v>45871</v>
      </c>
      <c r="E1062" s="6">
        <v>1253507418</v>
      </c>
      <c r="F1062" s="6">
        <v>0</v>
      </c>
      <c r="G1062" s="6">
        <v>1253507418</v>
      </c>
      <c r="H1062" s="6">
        <v>0</v>
      </c>
      <c r="I1062" s="7">
        <v>1253507418</v>
      </c>
    </row>
    <row r="1063" spans="1:9" ht="12" customHeight="1" thickBot="1" x14ac:dyDescent="0.25">
      <c r="A1063" s="1" t="s">
        <v>44</v>
      </c>
      <c r="B1063" s="1" t="s">
        <v>12</v>
      </c>
      <c r="C1063" s="1" t="s">
        <v>25</v>
      </c>
      <c r="D1063" s="5">
        <v>45872</v>
      </c>
      <c r="E1063" s="6">
        <v>1284567282</v>
      </c>
      <c r="F1063" s="6">
        <v>10500000</v>
      </c>
      <c r="G1063" s="6">
        <v>1274067282</v>
      </c>
      <c r="H1063" s="6">
        <v>0</v>
      </c>
      <c r="I1063" s="7">
        <v>1284567282</v>
      </c>
    </row>
    <row r="1064" spans="1:9" ht="12" customHeight="1" thickBot="1" x14ac:dyDescent="0.25">
      <c r="A1064" s="1" t="s">
        <v>44</v>
      </c>
      <c r="B1064" s="1" t="s">
        <v>12</v>
      </c>
      <c r="C1064" s="1" t="s">
        <v>25</v>
      </c>
      <c r="D1064" s="5">
        <v>45873</v>
      </c>
      <c r="E1064" s="6">
        <v>1304032334</v>
      </c>
      <c r="F1064" s="6">
        <v>0</v>
      </c>
      <c r="G1064" s="6">
        <v>1304032334</v>
      </c>
      <c r="H1064" s="6">
        <v>0</v>
      </c>
      <c r="I1064" s="7">
        <v>1304032334</v>
      </c>
    </row>
    <row r="1065" spans="1:9" ht="12" customHeight="1" thickBot="1" x14ac:dyDescent="0.25">
      <c r="A1065" s="1" t="s">
        <v>44</v>
      </c>
      <c r="B1065" s="1" t="s">
        <v>12</v>
      </c>
      <c r="C1065" s="1" t="s">
        <v>25</v>
      </c>
      <c r="D1065" s="5">
        <v>45874</v>
      </c>
      <c r="E1065" s="6">
        <v>1328381261</v>
      </c>
      <c r="F1065" s="6">
        <v>12000000</v>
      </c>
      <c r="G1065" s="6">
        <v>1316381261</v>
      </c>
      <c r="H1065" s="6">
        <v>0</v>
      </c>
      <c r="I1065" s="7">
        <v>1328381261</v>
      </c>
    </row>
    <row r="1066" spans="1:9" ht="12" customHeight="1" thickBot="1" x14ac:dyDescent="0.25">
      <c r="A1066" s="1" t="s">
        <v>44</v>
      </c>
      <c r="B1066" s="1" t="s">
        <v>12</v>
      </c>
      <c r="C1066" s="1" t="s">
        <v>25</v>
      </c>
      <c r="D1066" s="5">
        <v>45875</v>
      </c>
      <c r="E1066" s="6">
        <v>1325304892</v>
      </c>
      <c r="F1066" s="6">
        <v>12000000</v>
      </c>
      <c r="G1066" s="6">
        <v>1313304892</v>
      </c>
      <c r="H1066" s="6">
        <v>0</v>
      </c>
      <c r="I1066" s="7">
        <v>1325304892</v>
      </c>
    </row>
    <row r="1067" spans="1:9" ht="12" customHeight="1" thickBot="1" x14ac:dyDescent="0.25">
      <c r="A1067" s="1" t="s">
        <v>44</v>
      </c>
      <c r="B1067" s="1" t="s">
        <v>12</v>
      </c>
      <c r="C1067" s="1" t="s">
        <v>25</v>
      </c>
      <c r="D1067" s="5">
        <v>45876</v>
      </c>
      <c r="E1067" s="6">
        <v>1324394217</v>
      </c>
      <c r="F1067" s="6">
        <v>12000000</v>
      </c>
      <c r="G1067" s="6">
        <v>1312394217</v>
      </c>
      <c r="H1067" s="6">
        <v>0</v>
      </c>
      <c r="I1067" s="7">
        <v>1324394217</v>
      </c>
    </row>
    <row r="1068" spans="1:9" ht="12" customHeight="1" thickBot="1" x14ac:dyDescent="0.25">
      <c r="A1068" s="1" t="s">
        <v>44</v>
      </c>
      <c r="B1068" s="1" t="s">
        <v>12</v>
      </c>
      <c r="C1068" s="1" t="s">
        <v>25</v>
      </c>
      <c r="D1068" s="5">
        <v>45877</v>
      </c>
      <c r="E1068" s="6">
        <v>1349467269</v>
      </c>
      <c r="F1068" s="6">
        <v>12000000</v>
      </c>
      <c r="G1068" s="6">
        <v>1337467269</v>
      </c>
      <c r="H1068" s="6">
        <v>0</v>
      </c>
      <c r="I1068" s="7">
        <v>1349467269</v>
      </c>
    </row>
    <row r="1069" spans="1:9" ht="12" customHeight="1" thickBot="1" x14ac:dyDescent="0.25">
      <c r="A1069" s="1" t="s">
        <v>44</v>
      </c>
      <c r="B1069" s="1" t="s">
        <v>12</v>
      </c>
      <c r="C1069" s="1" t="s">
        <v>25</v>
      </c>
      <c r="D1069" s="5">
        <v>45878</v>
      </c>
      <c r="E1069" s="6">
        <v>1360264933</v>
      </c>
      <c r="F1069" s="6">
        <v>12000000</v>
      </c>
      <c r="G1069" s="6">
        <v>1348264933</v>
      </c>
      <c r="H1069" s="6">
        <v>0</v>
      </c>
      <c r="I1069" s="7">
        <v>1360264933</v>
      </c>
    </row>
    <row r="1070" spans="1:9" ht="12" customHeight="1" thickBot="1" x14ac:dyDescent="0.25">
      <c r="A1070" s="1" t="s">
        <v>44</v>
      </c>
      <c r="B1070" s="1" t="s">
        <v>12</v>
      </c>
      <c r="C1070" s="1" t="s">
        <v>25</v>
      </c>
      <c r="D1070" s="5">
        <v>45879</v>
      </c>
      <c r="E1070" s="6">
        <v>1359258697</v>
      </c>
      <c r="F1070" s="6">
        <v>12000000</v>
      </c>
      <c r="G1070" s="6">
        <v>1347258697</v>
      </c>
      <c r="H1070" s="6">
        <v>0</v>
      </c>
      <c r="I1070" s="7">
        <v>1359258697</v>
      </c>
    </row>
    <row r="1071" spans="1:9" ht="12" customHeight="1" thickBot="1" x14ac:dyDescent="0.25">
      <c r="A1071" s="1" t="s">
        <v>44</v>
      </c>
      <c r="B1071" s="1" t="s">
        <v>12</v>
      </c>
      <c r="C1071" s="1" t="s">
        <v>25</v>
      </c>
      <c r="D1071" s="5">
        <v>45880</v>
      </c>
      <c r="E1071" s="6">
        <v>1355651035</v>
      </c>
      <c r="F1071" s="6">
        <v>12000000</v>
      </c>
      <c r="G1071" s="6">
        <v>1343651035</v>
      </c>
      <c r="H1071" s="6">
        <v>0</v>
      </c>
      <c r="I1071" s="7">
        <v>1355651035</v>
      </c>
    </row>
    <row r="1072" spans="1:9" ht="12" customHeight="1" thickBot="1" x14ac:dyDescent="0.25">
      <c r="A1072" s="1" t="s">
        <v>44</v>
      </c>
      <c r="B1072" s="1" t="s">
        <v>12</v>
      </c>
      <c r="C1072" s="1" t="s">
        <v>25</v>
      </c>
      <c r="D1072" s="5">
        <v>45881</v>
      </c>
      <c r="E1072" s="6">
        <v>1395041224</v>
      </c>
      <c r="F1072" s="6">
        <v>12000000</v>
      </c>
      <c r="G1072" s="6">
        <v>1383041224</v>
      </c>
      <c r="H1072" s="6">
        <v>0</v>
      </c>
      <c r="I1072" s="7">
        <v>1395041224</v>
      </c>
    </row>
    <row r="1073" spans="1:9" ht="12" customHeight="1" thickBot="1" x14ac:dyDescent="0.25">
      <c r="A1073" s="1" t="s">
        <v>44</v>
      </c>
      <c r="B1073" s="1" t="s">
        <v>12</v>
      </c>
      <c r="C1073" s="1" t="s">
        <v>25</v>
      </c>
      <c r="D1073" s="5">
        <v>45882</v>
      </c>
      <c r="E1073" s="6">
        <v>1457541224</v>
      </c>
      <c r="F1073" s="6">
        <v>12000000</v>
      </c>
      <c r="G1073" s="6">
        <v>1445541224</v>
      </c>
      <c r="H1073" s="6">
        <v>0</v>
      </c>
      <c r="I1073" s="7">
        <v>1457541224</v>
      </c>
    </row>
    <row r="1074" spans="1:9" ht="12" customHeight="1" thickBot="1" x14ac:dyDescent="0.25">
      <c r="A1074" s="1" t="s">
        <v>44</v>
      </c>
      <c r="B1074" s="1" t="s">
        <v>12</v>
      </c>
      <c r="C1074" s="1" t="s">
        <v>25</v>
      </c>
      <c r="D1074" s="5">
        <v>45883</v>
      </c>
      <c r="E1074" s="6">
        <v>1488010352</v>
      </c>
      <c r="F1074" s="6">
        <v>12000000</v>
      </c>
      <c r="G1074" s="6">
        <v>1476010352</v>
      </c>
      <c r="H1074" s="6">
        <v>0</v>
      </c>
      <c r="I1074" s="7">
        <v>1488010352</v>
      </c>
    </row>
    <row r="1075" spans="1:9" ht="12" customHeight="1" thickBot="1" x14ac:dyDescent="0.25">
      <c r="A1075" s="1" t="s">
        <v>44</v>
      </c>
      <c r="B1075" s="1" t="s">
        <v>12</v>
      </c>
      <c r="C1075" s="1" t="s">
        <v>25</v>
      </c>
      <c r="D1075" s="5">
        <v>45884</v>
      </c>
      <c r="E1075" s="6">
        <v>1497975265</v>
      </c>
      <c r="F1075" s="6">
        <v>0</v>
      </c>
      <c r="G1075" s="6">
        <v>1497975265</v>
      </c>
      <c r="H1075" s="6">
        <v>0</v>
      </c>
      <c r="I1075" s="7">
        <v>1497975265</v>
      </c>
    </row>
    <row r="1076" spans="1:9" ht="12" customHeight="1" thickBot="1" x14ac:dyDescent="0.25">
      <c r="A1076" s="1" t="s">
        <v>44</v>
      </c>
      <c r="B1076" s="1" t="s">
        <v>12</v>
      </c>
      <c r="C1076" s="1" t="s">
        <v>25</v>
      </c>
      <c r="D1076" s="5">
        <v>45885</v>
      </c>
      <c r="E1076" s="6">
        <v>1506388904</v>
      </c>
      <c r="F1076" s="6">
        <v>0</v>
      </c>
      <c r="G1076" s="6">
        <v>1506388904</v>
      </c>
      <c r="H1076" s="6">
        <v>0</v>
      </c>
      <c r="I1076" s="7">
        <v>1506388904</v>
      </c>
    </row>
    <row r="1077" spans="1:9" ht="12" customHeight="1" thickBot="1" x14ac:dyDescent="0.25">
      <c r="A1077" s="1" t="s">
        <v>44</v>
      </c>
      <c r="B1077" s="1" t="s">
        <v>12</v>
      </c>
      <c r="C1077" s="1" t="s">
        <v>25</v>
      </c>
      <c r="D1077" s="5">
        <v>45886</v>
      </c>
      <c r="E1077" s="6">
        <v>1503024011</v>
      </c>
      <c r="F1077" s="6">
        <v>0</v>
      </c>
      <c r="G1077" s="6">
        <v>1503024011</v>
      </c>
      <c r="H1077" s="6">
        <v>0</v>
      </c>
      <c r="I1077" s="7">
        <v>1503024011</v>
      </c>
    </row>
    <row r="1078" spans="1:9" ht="12" customHeight="1" thickBot="1" x14ac:dyDescent="0.25">
      <c r="A1078" s="1" t="s">
        <v>44</v>
      </c>
      <c r="B1078" s="1" t="s">
        <v>12</v>
      </c>
      <c r="C1078" s="1" t="s">
        <v>25</v>
      </c>
      <c r="D1078" s="5">
        <v>45887</v>
      </c>
      <c r="E1078" s="6">
        <v>1495938948</v>
      </c>
      <c r="F1078" s="6">
        <v>0</v>
      </c>
      <c r="G1078" s="6">
        <v>1495938948</v>
      </c>
      <c r="H1078" s="6">
        <v>0</v>
      </c>
      <c r="I1078" s="7">
        <v>1495938948</v>
      </c>
    </row>
    <row r="1079" spans="1:9" ht="12" customHeight="1" thickBot="1" x14ac:dyDescent="0.25">
      <c r="A1079" s="1" t="s">
        <v>44</v>
      </c>
      <c r="B1079" s="1" t="s">
        <v>12</v>
      </c>
      <c r="C1079" s="1" t="s">
        <v>25</v>
      </c>
      <c r="D1079" s="5">
        <v>45888</v>
      </c>
      <c r="E1079" s="6">
        <v>1515125730</v>
      </c>
      <c r="F1079" s="6">
        <v>33428764</v>
      </c>
      <c r="G1079" s="6">
        <v>1481696966</v>
      </c>
      <c r="H1079" s="6">
        <v>0</v>
      </c>
      <c r="I1079" s="7">
        <v>1515125730</v>
      </c>
    </row>
    <row r="1080" spans="1:9" ht="12" customHeight="1" thickBot="1" x14ac:dyDescent="0.25">
      <c r="A1080" s="1" t="s">
        <v>44</v>
      </c>
      <c r="B1080" s="1" t="s">
        <v>12</v>
      </c>
      <c r="C1080" s="1" t="s">
        <v>25</v>
      </c>
      <c r="D1080" s="5">
        <v>45889</v>
      </c>
      <c r="E1080" s="6">
        <v>1523280236</v>
      </c>
      <c r="F1080" s="6">
        <v>23633315</v>
      </c>
      <c r="G1080" s="6">
        <v>1499646921</v>
      </c>
      <c r="H1080" s="6">
        <v>0</v>
      </c>
      <c r="I1080" s="7">
        <v>1523280236</v>
      </c>
    </row>
    <row r="1081" spans="1:9" ht="12" customHeight="1" thickBot="1" x14ac:dyDescent="0.25">
      <c r="A1081" s="1" t="s">
        <v>44</v>
      </c>
      <c r="B1081" s="1" t="s">
        <v>12</v>
      </c>
      <c r="C1081" s="1" t="s">
        <v>25</v>
      </c>
      <c r="D1081" s="5">
        <v>45890</v>
      </c>
      <c r="E1081" s="6">
        <v>1542865401</v>
      </c>
      <c r="F1081" s="6">
        <v>10000000</v>
      </c>
      <c r="G1081" s="6">
        <v>1532865401</v>
      </c>
      <c r="H1081" s="6">
        <v>0</v>
      </c>
      <c r="I1081" s="7">
        <v>1542865401</v>
      </c>
    </row>
    <row r="1082" spans="1:9" ht="12" customHeight="1" thickBot="1" x14ac:dyDescent="0.25">
      <c r="A1082" s="1" t="s">
        <v>44</v>
      </c>
      <c r="B1082" s="1" t="s">
        <v>12</v>
      </c>
      <c r="C1082" s="1" t="s">
        <v>25</v>
      </c>
      <c r="D1082" s="5">
        <v>45891</v>
      </c>
      <c r="E1082" s="6">
        <v>1589042190</v>
      </c>
      <c r="F1082" s="6">
        <v>0</v>
      </c>
      <c r="G1082" s="6">
        <v>1589042190</v>
      </c>
      <c r="H1082" s="6">
        <v>0</v>
      </c>
      <c r="I1082" s="7">
        <v>1589042190</v>
      </c>
    </row>
    <row r="1083" spans="1:9" ht="12" customHeight="1" thickBot="1" x14ac:dyDescent="0.25">
      <c r="A1083" s="1" t="s">
        <v>44</v>
      </c>
      <c r="B1083" s="1" t="s">
        <v>12</v>
      </c>
      <c r="C1083" s="1" t="s">
        <v>25</v>
      </c>
      <c r="D1083" s="5">
        <v>45892</v>
      </c>
      <c r="E1083" s="6">
        <v>1605510426</v>
      </c>
      <c r="F1083" s="6">
        <v>12600000</v>
      </c>
      <c r="G1083" s="6">
        <v>1592910426</v>
      </c>
      <c r="H1083" s="6">
        <v>0</v>
      </c>
      <c r="I1083" s="7">
        <v>1605510426</v>
      </c>
    </row>
    <row r="1084" spans="1:9" ht="12" customHeight="1" thickBot="1" x14ac:dyDescent="0.25">
      <c r="A1084" s="1" t="s">
        <v>44</v>
      </c>
      <c r="B1084" s="1" t="s">
        <v>12</v>
      </c>
      <c r="C1084" s="1" t="s">
        <v>25</v>
      </c>
      <c r="D1084" s="5">
        <v>45893</v>
      </c>
      <c r="E1084" s="6">
        <v>1616010426</v>
      </c>
      <c r="F1084" s="6">
        <v>12600000</v>
      </c>
      <c r="G1084" s="6">
        <v>1603410426</v>
      </c>
      <c r="H1084" s="6">
        <v>0</v>
      </c>
      <c r="I1084" s="7">
        <v>1616010426</v>
      </c>
    </row>
    <row r="1085" spans="1:9" ht="12" customHeight="1" thickBot="1" x14ac:dyDescent="0.25">
      <c r="A1085" s="1" t="s">
        <v>44</v>
      </c>
      <c r="B1085" s="1" t="s">
        <v>12</v>
      </c>
      <c r="C1085" s="1" t="s">
        <v>25</v>
      </c>
      <c r="D1085" s="5">
        <v>45894</v>
      </c>
      <c r="E1085" s="6">
        <v>1646309213</v>
      </c>
      <c r="F1085" s="6">
        <v>12600000</v>
      </c>
      <c r="G1085" s="6">
        <v>1633709213</v>
      </c>
      <c r="H1085" s="6">
        <v>0</v>
      </c>
      <c r="I1085" s="7">
        <v>1646309213</v>
      </c>
    </row>
    <row r="1086" spans="1:9" ht="12" customHeight="1" thickBot="1" x14ac:dyDescent="0.25">
      <c r="A1086" s="1" t="s">
        <v>44</v>
      </c>
      <c r="B1086" s="1" t="s">
        <v>12</v>
      </c>
      <c r="C1086" s="1" t="s">
        <v>25</v>
      </c>
      <c r="D1086" s="5">
        <v>45895</v>
      </c>
      <c r="E1086" s="6">
        <v>1674051465</v>
      </c>
      <c r="F1086" s="6">
        <v>0</v>
      </c>
      <c r="G1086" s="6">
        <v>1674051465</v>
      </c>
      <c r="H1086" s="6">
        <v>0</v>
      </c>
      <c r="I1086" s="7">
        <v>1674051465</v>
      </c>
    </row>
    <row r="1087" spans="1:9" ht="12" customHeight="1" thickBot="1" x14ac:dyDescent="0.25">
      <c r="A1087" s="1" t="s">
        <v>44</v>
      </c>
      <c r="B1087" s="1" t="s">
        <v>12</v>
      </c>
      <c r="C1087" s="1" t="s">
        <v>25</v>
      </c>
      <c r="D1087" s="5">
        <v>45896</v>
      </c>
      <c r="E1087" s="6">
        <v>1722717073</v>
      </c>
      <c r="F1087" s="6">
        <v>0</v>
      </c>
      <c r="G1087" s="6">
        <v>1722717073</v>
      </c>
      <c r="H1087" s="6">
        <v>0</v>
      </c>
      <c r="I1087" s="7">
        <v>1722717073</v>
      </c>
    </row>
    <row r="1088" spans="1:9" ht="12" customHeight="1" thickBot="1" x14ac:dyDescent="0.25">
      <c r="A1088" s="1" t="s">
        <v>44</v>
      </c>
      <c r="B1088" s="1" t="s">
        <v>12</v>
      </c>
      <c r="C1088" s="1" t="s">
        <v>25</v>
      </c>
      <c r="D1088" s="5">
        <v>45897</v>
      </c>
      <c r="E1088" s="6">
        <v>1737784406</v>
      </c>
      <c r="F1088" s="6">
        <v>9983673</v>
      </c>
      <c r="G1088" s="6">
        <v>1727800733</v>
      </c>
      <c r="H1088" s="6">
        <v>0</v>
      </c>
      <c r="I1088" s="7">
        <v>1737784406</v>
      </c>
    </row>
    <row r="1089" spans="1:9" ht="12" customHeight="1" thickBot="1" x14ac:dyDescent="0.25">
      <c r="A1089" s="1" t="s">
        <v>44</v>
      </c>
      <c r="B1089" s="1" t="s">
        <v>12</v>
      </c>
      <c r="C1089" s="1" t="s">
        <v>25</v>
      </c>
      <c r="D1089" s="5">
        <v>45898</v>
      </c>
      <c r="E1089" s="6">
        <v>1770946014</v>
      </c>
      <c r="F1089" s="6">
        <v>50584049</v>
      </c>
      <c r="G1089" s="6">
        <v>1720361965</v>
      </c>
      <c r="H1089" s="6">
        <v>0</v>
      </c>
      <c r="I1089" s="7">
        <v>1770946014</v>
      </c>
    </row>
    <row r="1090" spans="1:9" ht="12" customHeight="1" thickBot="1" x14ac:dyDescent="0.25">
      <c r="A1090" s="1" t="s">
        <v>44</v>
      </c>
      <c r="B1090" s="1" t="s">
        <v>12</v>
      </c>
      <c r="C1090" s="1" t="s">
        <v>25</v>
      </c>
      <c r="D1090" s="5">
        <v>45899</v>
      </c>
      <c r="E1090" s="6">
        <v>1770760165</v>
      </c>
      <c r="F1090" s="6">
        <v>37984049</v>
      </c>
      <c r="G1090" s="6">
        <v>1732776116</v>
      </c>
      <c r="H1090" s="6">
        <v>0</v>
      </c>
      <c r="I1090" s="7">
        <v>1770760165</v>
      </c>
    </row>
    <row r="1091" spans="1:9" ht="12" customHeight="1" thickBot="1" x14ac:dyDescent="0.25">
      <c r="A1091" s="1" t="s">
        <v>44</v>
      </c>
      <c r="B1091" s="1" t="s">
        <v>12</v>
      </c>
      <c r="C1091" s="1" t="s">
        <v>25</v>
      </c>
      <c r="D1091" s="5">
        <v>45900</v>
      </c>
      <c r="E1091" s="6">
        <v>1781017598</v>
      </c>
      <c r="F1091" s="6">
        <v>27484049</v>
      </c>
      <c r="G1091" s="6">
        <v>1753533549</v>
      </c>
      <c r="H1091" s="6">
        <v>0</v>
      </c>
      <c r="I1091" s="7">
        <v>1781017598</v>
      </c>
    </row>
    <row r="1092" spans="1:9" ht="12" customHeight="1" thickBot="1" x14ac:dyDescent="0.25">
      <c r="A1092" s="1" t="s">
        <v>44</v>
      </c>
      <c r="B1092" s="1" t="s">
        <v>12</v>
      </c>
      <c r="C1092" s="1" t="s">
        <v>25</v>
      </c>
      <c r="D1092" s="5">
        <v>45901</v>
      </c>
      <c r="E1092" s="6">
        <v>1781017598</v>
      </c>
      <c r="F1092" s="6">
        <v>27484049</v>
      </c>
      <c r="G1092" s="6">
        <v>1753533549</v>
      </c>
      <c r="H1092" s="6">
        <v>0</v>
      </c>
      <c r="I1092" s="7">
        <v>1781017598</v>
      </c>
    </row>
    <row r="1093" spans="1:9" ht="12" customHeight="1" thickBot="1" x14ac:dyDescent="0.25">
      <c r="A1093" s="1" t="s">
        <v>44</v>
      </c>
      <c r="B1093" s="1" t="s">
        <v>12</v>
      </c>
      <c r="C1093" s="1" t="s">
        <v>25</v>
      </c>
      <c r="D1093" s="5">
        <v>45902</v>
      </c>
      <c r="E1093" s="6">
        <v>1811917598</v>
      </c>
      <c r="F1093" s="6">
        <v>27484049</v>
      </c>
      <c r="G1093" s="6">
        <v>1784433549</v>
      </c>
      <c r="H1093" s="6">
        <v>0</v>
      </c>
      <c r="I1093" s="7">
        <v>1811917598</v>
      </c>
    </row>
    <row r="1094" spans="1:9" ht="12" customHeight="1" thickBot="1" x14ac:dyDescent="0.25">
      <c r="A1094" s="1" t="s">
        <v>44</v>
      </c>
      <c r="B1094" s="1" t="s">
        <v>12</v>
      </c>
      <c r="C1094" s="1" t="s">
        <v>25</v>
      </c>
      <c r="D1094" s="5">
        <v>45903</v>
      </c>
      <c r="E1094" s="6">
        <v>1815106030</v>
      </c>
      <c r="F1094" s="6">
        <v>27484049</v>
      </c>
      <c r="G1094" s="6">
        <v>1787621981</v>
      </c>
      <c r="H1094" s="6">
        <v>0</v>
      </c>
      <c r="I1094" s="7">
        <v>1815106030</v>
      </c>
    </row>
    <row r="1095" spans="1:9" ht="12" customHeight="1" thickBot="1" x14ac:dyDescent="0.25">
      <c r="A1095" s="1" t="s">
        <v>44</v>
      </c>
      <c r="B1095" s="1" t="s">
        <v>12</v>
      </c>
      <c r="C1095" s="1" t="s">
        <v>25</v>
      </c>
      <c r="D1095" s="5">
        <v>45904</v>
      </c>
      <c r="E1095" s="6">
        <v>1849588032</v>
      </c>
      <c r="F1095" s="6">
        <v>38375230</v>
      </c>
      <c r="G1095" s="6">
        <v>1811212802</v>
      </c>
      <c r="H1095" s="6">
        <v>0</v>
      </c>
      <c r="I1095" s="7">
        <v>1849588032</v>
      </c>
    </row>
    <row r="1096" spans="1:9" ht="12" customHeight="1" thickBot="1" x14ac:dyDescent="0.25">
      <c r="A1096" s="1" t="s">
        <v>44</v>
      </c>
      <c r="B1096" s="1" t="s">
        <v>12</v>
      </c>
      <c r="C1096" s="1" t="s">
        <v>25</v>
      </c>
      <c r="D1096" s="5">
        <v>45905</v>
      </c>
      <c r="E1096" s="6">
        <v>1871417186</v>
      </c>
      <c r="F1096" s="6">
        <v>38913239</v>
      </c>
      <c r="G1096" s="6">
        <v>1832503947</v>
      </c>
      <c r="H1096" s="6">
        <v>0</v>
      </c>
      <c r="I1096" s="7">
        <v>1871417186</v>
      </c>
    </row>
    <row r="1097" spans="1:9" ht="12" customHeight="1" thickBot="1" x14ac:dyDescent="0.25">
      <c r="A1097" s="1" t="s">
        <v>44</v>
      </c>
      <c r="B1097" s="1" t="s">
        <v>12</v>
      </c>
      <c r="C1097" s="1" t="s">
        <v>25</v>
      </c>
      <c r="D1097" s="5">
        <v>45906</v>
      </c>
      <c r="E1097" s="6">
        <v>1910826103</v>
      </c>
      <c r="F1097" s="6">
        <v>38913239</v>
      </c>
      <c r="G1097" s="6">
        <v>1871912864</v>
      </c>
      <c r="H1097" s="6">
        <v>0</v>
      </c>
      <c r="I1097" s="7">
        <v>1910826103</v>
      </c>
    </row>
    <row r="1098" spans="1:9" ht="12" customHeight="1" thickBot="1" x14ac:dyDescent="0.25">
      <c r="A1098" s="1" t="s">
        <v>44</v>
      </c>
      <c r="B1098" s="1" t="s">
        <v>12</v>
      </c>
      <c r="C1098" s="1" t="s">
        <v>25</v>
      </c>
      <c r="D1098" s="5">
        <v>45907</v>
      </c>
      <c r="E1098" s="6">
        <v>1910826103</v>
      </c>
      <c r="F1098" s="6">
        <v>38913239</v>
      </c>
      <c r="G1098" s="6">
        <v>1871912864</v>
      </c>
      <c r="H1098" s="6">
        <v>9983673</v>
      </c>
      <c r="I1098" s="7">
        <v>1900842430</v>
      </c>
    </row>
    <row r="1099" spans="1:9" ht="12" customHeight="1" thickBot="1" x14ac:dyDescent="0.25">
      <c r="A1099" s="1" t="s">
        <v>44</v>
      </c>
      <c r="B1099" s="1" t="s">
        <v>12</v>
      </c>
      <c r="C1099" s="1" t="s">
        <v>25</v>
      </c>
      <c r="D1099" s="5">
        <v>45908</v>
      </c>
      <c r="E1099" s="6">
        <v>1940204161</v>
      </c>
      <c r="F1099" s="6">
        <v>38913239</v>
      </c>
      <c r="G1099" s="6">
        <v>1901290922</v>
      </c>
      <c r="H1099" s="6">
        <v>27484049</v>
      </c>
      <c r="I1099" s="7">
        <v>1912720112</v>
      </c>
    </row>
    <row r="1100" spans="1:9" ht="12" customHeight="1" thickBot="1" x14ac:dyDescent="0.25">
      <c r="A1100" s="1" t="s">
        <v>44</v>
      </c>
      <c r="B1100" s="1" t="s">
        <v>12</v>
      </c>
      <c r="C1100" s="1" t="s">
        <v>25</v>
      </c>
      <c r="D1100" s="5">
        <v>45909</v>
      </c>
      <c r="E1100" s="6">
        <v>1988973317</v>
      </c>
      <c r="F1100" s="6">
        <v>59782843</v>
      </c>
      <c r="G1100" s="6">
        <v>1929190474</v>
      </c>
      <c r="H1100" s="6">
        <v>27484049</v>
      </c>
      <c r="I1100" s="7">
        <v>1961489268</v>
      </c>
    </row>
    <row r="1101" spans="1:9" ht="12" customHeight="1" thickBot="1" x14ac:dyDescent="0.25">
      <c r="A1101" s="1" t="s">
        <v>44</v>
      </c>
      <c r="B1101" s="1" t="s">
        <v>12</v>
      </c>
      <c r="C1101" s="1" t="s">
        <v>25</v>
      </c>
      <c r="D1101" s="5">
        <v>45910</v>
      </c>
      <c r="E1101" s="6">
        <v>2015728667</v>
      </c>
      <c r="F1101" s="6">
        <v>63867817</v>
      </c>
      <c r="G1101" s="6">
        <v>1951860850</v>
      </c>
      <c r="H1101" s="6">
        <v>27484049</v>
      </c>
      <c r="I1101" s="7">
        <v>1988244618</v>
      </c>
    </row>
    <row r="1102" spans="1:9" ht="12" customHeight="1" thickBot="1" x14ac:dyDescent="0.25">
      <c r="A1102" s="1" t="s">
        <v>44</v>
      </c>
      <c r="B1102" s="1" t="s">
        <v>12</v>
      </c>
      <c r="C1102" s="1" t="s">
        <v>25</v>
      </c>
      <c r="D1102" s="5">
        <v>45911</v>
      </c>
      <c r="E1102" s="6">
        <v>2094487150</v>
      </c>
      <c r="F1102" s="6">
        <v>60855269</v>
      </c>
      <c r="G1102" s="6">
        <v>2033631881</v>
      </c>
      <c r="H1102" s="6">
        <v>27484049</v>
      </c>
      <c r="I1102" s="7">
        <v>2067003101</v>
      </c>
    </row>
    <row r="1103" spans="1:9" ht="12" customHeight="1" thickBot="1" x14ac:dyDescent="0.25">
      <c r="A1103" s="1" t="s">
        <v>44</v>
      </c>
      <c r="B1103" s="1" t="s">
        <v>12</v>
      </c>
      <c r="C1103" s="1" t="s">
        <v>25</v>
      </c>
      <c r="D1103" s="5">
        <v>45912</v>
      </c>
      <c r="E1103" s="6">
        <v>2268805757</v>
      </c>
      <c r="F1103" s="6">
        <v>60855269</v>
      </c>
      <c r="G1103" s="6">
        <v>2207950488</v>
      </c>
      <c r="H1103" s="6">
        <v>27484049</v>
      </c>
      <c r="I1103" s="7">
        <v>2241321708</v>
      </c>
    </row>
    <row r="1104" spans="1:9" ht="12" customHeight="1" thickBot="1" x14ac:dyDescent="0.25">
      <c r="A1104" s="1" t="s">
        <v>44</v>
      </c>
      <c r="B1104" s="1" t="s">
        <v>12</v>
      </c>
      <c r="C1104" s="1" t="s">
        <v>25</v>
      </c>
      <c r="D1104" s="5">
        <v>45913</v>
      </c>
      <c r="E1104" s="6">
        <v>2376965129</v>
      </c>
      <c r="F1104" s="6">
        <v>50857788</v>
      </c>
      <c r="G1104" s="6">
        <v>2326107341</v>
      </c>
      <c r="H1104" s="6">
        <v>27484049</v>
      </c>
      <c r="I1104" s="7">
        <v>2349481080</v>
      </c>
    </row>
    <row r="1105" spans="1:9" ht="12" customHeight="1" thickBot="1" x14ac:dyDescent="0.25">
      <c r="A1105" s="1" t="s">
        <v>44</v>
      </c>
      <c r="B1105" s="1" t="s">
        <v>12</v>
      </c>
      <c r="C1105" s="1" t="s">
        <v>25</v>
      </c>
      <c r="D1105" s="5">
        <v>45914</v>
      </c>
      <c r="E1105" s="6">
        <v>2455715129</v>
      </c>
      <c r="F1105" s="6">
        <v>103357788</v>
      </c>
      <c r="G1105" s="6">
        <v>2352357341</v>
      </c>
      <c r="H1105" s="6">
        <v>27484049</v>
      </c>
      <c r="I1105" s="7">
        <v>2428231080</v>
      </c>
    </row>
    <row r="1106" spans="1:9" ht="12" customHeight="1" thickBot="1" x14ac:dyDescent="0.25">
      <c r="A1106" s="1" t="s">
        <v>44</v>
      </c>
      <c r="B1106" s="1" t="s">
        <v>12</v>
      </c>
      <c r="C1106" s="1" t="s">
        <v>25</v>
      </c>
      <c r="D1106" s="5">
        <v>45915</v>
      </c>
      <c r="E1106" s="6">
        <v>2533674505</v>
      </c>
      <c r="F1106" s="6">
        <v>92857788</v>
      </c>
      <c r="G1106" s="6">
        <v>2440816717</v>
      </c>
      <c r="H1106" s="6">
        <v>38913239</v>
      </c>
      <c r="I1106" s="7">
        <v>2494761266</v>
      </c>
    </row>
    <row r="1107" spans="1:9" ht="12" customHeight="1" thickBot="1" x14ac:dyDescent="0.25">
      <c r="A1107" s="1" t="s">
        <v>44</v>
      </c>
      <c r="B1107" s="1" t="s">
        <v>12</v>
      </c>
      <c r="C1107" s="1" t="s">
        <v>25</v>
      </c>
      <c r="D1107" s="5">
        <v>45916</v>
      </c>
      <c r="E1107" s="6">
        <v>2670154371</v>
      </c>
      <c r="F1107" s="6">
        <v>50605747</v>
      </c>
      <c r="G1107" s="6">
        <v>2619548624</v>
      </c>
      <c r="H1107" s="6">
        <v>9983673</v>
      </c>
      <c r="I1107" s="7">
        <v>2660170698</v>
      </c>
    </row>
    <row r="1108" spans="1:9" ht="12" customHeight="1" thickBot="1" x14ac:dyDescent="0.25">
      <c r="A1108" s="1" t="s">
        <v>44</v>
      </c>
      <c r="B1108" s="1" t="s">
        <v>12</v>
      </c>
      <c r="C1108" s="1" t="s">
        <v>25</v>
      </c>
      <c r="D1108" s="5">
        <v>45917</v>
      </c>
      <c r="E1108" s="6">
        <v>2832249233</v>
      </c>
      <c r="F1108" s="6">
        <v>20483673</v>
      </c>
      <c r="G1108" s="6">
        <v>2811765560</v>
      </c>
      <c r="H1108" s="6">
        <v>9983673</v>
      </c>
      <c r="I1108" s="7">
        <v>2822265560</v>
      </c>
    </row>
    <row r="1109" spans="1:9" ht="12" customHeight="1" thickBot="1" x14ac:dyDescent="0.25">
      <c r="A1109" s="1" t="s">
        <v>44</v>
      </c>
      <c r="B1109" s="1" t="s">
        <v>12</v>
      </c>
      <c r="C1109" s="1" t="s">
        <v>25</v>
      </c>
      <c r="D1109" s="5">
        <v>45918</v>
      </c>
      <c r="E1109" s="6">
        <v>2906105597</v>
      </c>
      <c r="F1109" s="6">
        <v>9983673</v>
      </c>
      <c r="G1109" s="6">
        <v>2896121924</v>
      </c>
      <c r="H1109" s="6">
        <v>9983673</v>
      </c>
      <c r="I1109" s="7">
        <v>2896121924</v>
      </c>
    </row>
    <row r="1110" spans="1:9" ht="12" customHeight="1" thickBot="1" x14ac:dyDescent="0.25">
      <c r="A1110" s="1" t="s">
        <v>44</v>
      </c>
      <c r="B1110" s="1" t="s">
        <v>12</v>
      </c>
      <c r="C1110" s="1" t="s">
        <v>25</v>
      </c>
      <c r="D1110" s="5">
        <v>45919</v>
      </c>
      <c r="E1110" s="6">
        <v>3024147621</v>
      </c>
      <c r="F1110" s="6">
        <v>19616893</v>
      </c>
      <c r="G1110" s="6">
        <v>3004530728</v>
      </c>
      <c r="H1110" s="6">
        <v>9983673</v>
      </c>
      <c r="I1110" s="7">
        <v>3014163948</v>
      </c>
    </row>
    <row r="1111" spans="1:9" ht="12" customHeight="1" thickBot="1" x14ac:dyDescent="0.25">
      <c r="A1111" s="1" t="s">
        <v>44</v>
      </c>
      <c r="B1111" s="1" t="s">
        <v>12</v>
      </c>
      <c r="C1111" s="1" t="s">
        <v>25</v>
      </c>
      <c r="D1111" s="5">
        <v>45920</v>
      </c>
      <c r="E1111" s="6">
        <v>3022484068</v>
      </c>
      <c r="F1111" s="6">
        <v>19616893</v>
      </c>
      <c r="G1111" s="6">
        <v>3002867175</v>
      </c>
      <c r="H1111" s="6">
        <v>9983673</v>
      </c>
      <c r="I1111" s="7">
        <v>3012500395</v>
      </c>
    </row>
    <row r="1112" spans="1:9" ht="12" customHeight="1" thickBot="1" x14ac:dyDescent="0.25">
      <c r="A1112" s="1" t="s">
        <v>44</v>
      </c>
      <c r="B1112" s="1" t="s">
        <v>12</v>
      </c>
      <c r="C1112" s="1" t="s">
        <v>25</v>
      </c>
      <c r="D1112" s="5">
        <v>45921</v>
      </c>
      <c r="E1112" s="6">
        <v>3039714080</v>
      </c>
      <c r="F1112" s="6">
        <v>19616893</v>
      </c>
      <c r="G1112" s="6">
        <v>3020097187</v>
      </c>
      <c r="H1112" s="6">
        <v>9983673</v>
      </c>
      <c r="I1112" s="7">
        <v>3029730407</v>
      </c>
    </row>
    <row r="1113" spans="1:9" ht="12" customHeight="1" thickBot="1" x14ac:dyDescent="0.25">
      <c r="A1113" s="1" t="s">
        <v>44</v>
      </c>
      <c r="B1113" s="1" t="s">
        <v>12</v>
      </c>
      <c r="C1113" s="1" t="s">
        <v>25</v>
      </c>
      <c r="D1113" s="5">
        <v>45922</v>
      </c>
      <c r="E1113" s="6">
        <v>3211879733</v>
      </c>
      <c r="F1113" s="6">
        <v>19616893</v>
      </c>
      <c r="G1113" s="6">
        <v>3192262840</v>
      </c>
      <c r="H1113" s="6">
        <v>9983673</v>
      </c>
      <c r="I1113" s="7">
        <v>3201896060</v>
      </c>
    </row>
    <row r="1114" spans="1:9" ht="12" customHeight="1" thickBot="1" x14ac:dyDescent="0.25">
      <c r="A1114" s="1" t="s">
        <v>44</v>
      </c>
      <c r="B1114" s="1" t="s">
        <v>12</v>
      </c>
      <c r="C1114" s="1" t="s">
        <v>25</v>
      </c>
      <c r="D1114" s="5">
        <v>45923</v>
      </c>
      <c r="E1114" s="6">
        <v>3333567389</v>
      </c>
      <c r="F1114" s="6">
        <v>37616893</v>
      </c>
      <c r="G1114" s="6">
        <v>3295950496</v>
      </c>
      <c r="H1114" s="6">
        <v>9983673</v>
      </c>
      <c r="I1114" s="7">
        <v>3323583716</v>
      </c>
    </row>
    <row r="1115" spans="1:9" ht="12" customHeight="1" thickBot="1" x14ac:dyDescent="0.25">
      <c r="A1115" s="1" t="s">
        <v>44</v>
      </c>
      <c r="B1115" s="1" t="s">
        <v>12</v>
      </c>
      <c r="C1115" s="1" t="s">
        <v>25</v>
      </c>
      <c r="D1115" s="5">
        <v>45924</v>
      </c>
      <c r="E1115" s="6">
        <v>3431262325</v>
      </c>
      <c r="F1115" s="6">
        <v>47376150</v>
      </c>
      <c r="G1115" s="6">
        <v>3383886175</v>
      </c>
      <c r="H1115" s="6">
        <v>9983673</v>
      </c>
      <c r="I1115" s="7">
        <v>3421278652</v>
      </c>
    </row>
    <row r="1116" spans="1:9" ht="12" customHeight="1" thickBot="1" x14ac:dyDescent="0.25">
      <c r="A1116" s="1" t="s">
        <v>44</v>
      </c>
      <c r="B1116" s="1" t="s">
        <v>12</v>
      </c>
      <c r="C1116" s="1" t="s">
        <v>25</v>
      </c>
      <c r="D1116" s="5">
        <v>45925</v>
      </c>
      <c r="E1116" s="6">
        <v>3591429686</v>
      </c>
      <c r="F1116" s="6">
        <v>19616893</v>
      </c>
      <c r="G1116" s="6">
        <v>3571812793</v>
      </c>
      <c r="H1116" s="6">
        <v>9983673</v>
      </c>
      <c r="I1116" s="7">
        <v>3581446013</v>
      </c>
    </row>
    <row r="1117" spans="1:9" ht="12" customHeight="1" thickBot="1" x14ac:dyDescent="0.25">
      <c r="A1117" s="1" t="s">
        <v>44</v>
      </c>
      <c r="B1117" s="1" t="s">
        <v>12</v>
      </c>
      <c r="C1117" s="1" t="s">
        <v>25</v>
      </c>
      <c r="D1117" s="5">
        <v>45926</v>
      </c>
      <c r="E1117" s="6">
        <v>3733985613</v>
      </c>
      <c r="F1117" s="6">
        <v>19616893</v>
      </c>
      <c r="G1117" s="6">
        <v>3714368720</v>
      </c>
      <c r="H1117" s="6">
        <v>9983673</v>
      </c>
      <c r="I1117" s="7">
        <v>3724001940</v>
      </c>
    </row>
    <row r="1118" spans="1:9" ht="12" customHeight="1" thickBot="1" x14ac:dyDescent="0.25">
      <c r="A1118" s="1" t="s">
        <v>44</v>
      </c>
      <c r="B1118" s="1" t="s">
        <v>12</v>
      </c>
      <c r="C1118" s="1" t="s">
        <v>25</v>
      </c>
      <c r="D1118" s="5">
        <v>45927</v>
      </c>
      <c r="E1118" s="6">
        <v>3789423443</v>
      </c>
      <c r="F1118" s="6">
        <v>19616893</v>
      </c>
      <c r="G1118" s="6">
        <v>3769806550</v>
      </c>
      <c r="H1118" s="6">
        <v>9983673</v>
      </c>
      <c r="I1118" s="7">
        <v>3779439770</v>
      </c>
    </row>
    <row r="1119" spans="1:9" ht="12" customHeight="1" thickBot="1" x14ac:dyDescent="0.25">
      <c r="A1119" s="1" t="s">
        <v>44</v>
      </c>
      <c r="B1119" s="1" t="s">
        <v>12</v>
      </c>
      <c r="C1119" s="1" t="s">
        <v>25</v>
      </c>
      <c r="D1119" s="5">
        <v>45928</v>
      </c>
      <c r="E1119" s="6">
        <v>3878251072</v>
      </c>
      <c r="F1119" s="6">
        <v>29616893</v>
      </c>
      <c r="G1119" s="6">
        <v>3848634179</v>
      </c>
      <c r="H1119" s="6">
        <v>9983673</v>
      </c>
      <c r="I1119" s="7">
        <v>3868267399</v>
      </c>
    </row>
    <row r="1120" spans="1:9" ht="12" customHeight="1" thickBot="1" x14ac:dyDescent="0.25">
      <c r="A1120" s="1" t="s">
        <v>44</v>
      </c>
      <c r="B1120" s="1" t="s">
        <v>12</v>
      </c>
      <c r="C1120" s="1" t="s">
        <v>25</v>
      </c>
      <c r="D1120" s="5">
        <v>45929</v>
      </c>
      <c r="E1120" s="6">
        <v>3955225519</v>
      </c>
      <c r="F1120" s="6">
        <v>19616893</v>
      </c>
      <c r="G1120" s="6">
        <v>3935608626</v>
      </c>
      <c r="H1120" s="6">
        <v>19616893</v>
      </c>
      <c r="I1120" s="7">
        <v>3935608626</v>
      </c>
    </row>
    <row r="1121" spans="1:9" ht="12" customHeight="1" thickBot="1" x14ac:dyDescent="0.25">
      <c r="A1121" s="1" t="s">
        <v>44</v>
      </c>
      <c r="B1121" s="1" t="s">
        <v>12</v>
      </c>
      <c r="C1121" s="1" t="s">
        <v>25</v>
      </c>
      <c r="D1121" s="5">
        <v>45930</v>
      </c>
      <c r="E1121" s="6">
        <v>4151089766</v>
      </c>
      <c r="F1121" s="6">
        <v>57746124</v>
      </c>
      <c r="G1121" s="6">
        <v>4093343642</v>
      </c>
      <c r="H1121" s="6">
        <v>19616893</v>
      </c>
      <c r="I1121" s="7">
        <v>4131472873</v>
      </c>
    </row>
    <row r="1122" spans="1:9" ht="12" customHeight="1" thickBot="1" x14ac:dyDescent="0.25">
      <c r="A1122" s="1" t="s">
        <v>45</v>
      </c>
      <c r="B1122" s="1" t="s">
        <v>10</v>
      </c>
      <c r="C1122" s="1" t="s">
        <v>23</v>
      </c>
      <c r="D1122" s="5">
        <v>45839</v>
      </c>
      <c r="E1122" s="6">
        <v>14756199</v>
      </c>
      <c r="F1122" s="6">
        <v>9366003</v>
      </c>
      <c r="G1122" s="6">
        <v>5390196</v>
      </c>
      <c r="H1122" s="6">
        <v>0</v>
      </c>
      <c r="I1122" s="7">
        <v>14756199</v>
      </c>
    </row>
    <row r="1123" spans="1:9" ht="12" customHeight="1" thickBot="1" x14ac:dyDescent="0.25">
      <c r="A1123" s="1" t="s">
        <v>45</v>
      </c>
      <c r="B1123" s="1" t="s">
        <v>10</v>
      </c>
      <c r="C1123" s="1" t="s">
        <v>23</v>
      </c>
      <c r="D1123" s="5">
        <v>45840</v>
      </c>
      <c r="E1123" s="6">
        <v>14756199</v>
      </c>
      <c r="F1123" s="6">
        <v>9366003</v>
      </c>
      <c r="G1123" s="6">
        <v>5390196</v>
      </c>
      <c r="H1123" s="6">
        <v>0</v>
      </c>
      <c r="I1123" s="7">
        <v>14756199</v>
      </c>
    </row>
    <row r="1124" spans="1:9" ht="12" customHeight="1" thickBot="1" x14ac:dyDescent="0.25">
      <c r="A1124" s="1" t="s">
        <v>45</v>
      </c>
      <c r="B1124" s="1" t="s">
        <v>10</v>
      </c>
      <c r="C1124" s="1" t="s">
        <v>23</v>
      </c>
      <c r="D1124" s="5">
        <v>45841</v>
      </c>
      <c r="E1124" s="6">
        <v>14756199</v>
      </c>
      <c r="F1124" s="6">
        <v>9366003</v>
      </c>
      <c r="G1124" s="6">
        <v>5390196</v>
      </c>
      <c r="H1124" s="6">
        <v>0</v>
      </c>
      <c r="I1124" s="7">
        <v>14756199</v>
      </c>
    </row>
    <row r="1125" spans="1:9" ht="12" customHeight="1" thickBot="1" x14ac:dyDescent="0.25">
      <c r="A1125" s="1" t="s">
        <v>45</v>
      </c>
      <c r="B1125" s="1" t="s">
        <v>10</v>
      </c>
      <c r="C1125" s="1" t="s">
        <v>23</v>
      </c>
      <c r="D1125" s="5">
        <v>45842</v>
      </c>
      <c r="E1125" s="6">
        <v>14756199</v>
      </c>
      <c r="F1125" s="6">
        <v>9366003</v>
      </c>
      <c r="G1125" s="6">
        <v>5390196</v>
      </c>
      <c r="H1125" s="6">
        <v>0</v>
      </c>
      <c r="I1125" s="7">
        <v>14756199</v>
      </c>
    </row>
    <row r="1126" spans="1:9" ht="12" customHeight="1" thickBot="1" x14ac:dyDescent="0.25">
      <c r="A1126" s="1" t="s">
        <v>45</v>
      </c>
      <c r="B1126" s="1" t="s">
        <v>10</v>
      </c>
      <c r="C1126" s="1" t="s">
        <v>23</v>
      </c>
      <c r="D1126" s="5">
        <v>45843</v>
      </c>
      <c r="E1126" s="6">
        <v>14756199</v>
      </c>
      <c r="F1126" s="6">
        <v>9366003</v>
      </c>
      <c r="G1126" s="6">
        <v>5390196</v>
      </c>
      <c r="H1126" s="6">
        <v>0</v>
      </c>
      <c r="I1126" s="7">
        <v>14756199</v>
      </c>
    </row>
    <row r="1127" spans="1:9" ht="12" customHeight="1" thickBot="1" x14ac:dyDescent="0.25">
      <c r="A1127" s="1" t="s">
        <v>45</v>
      </c>
      <c r="B1127" s="1" t="s">
        <v>10</v>
      </c>
      <c r="C1127" s="1" t="s">
        <v>23</v>
      </c>
      <c r="D1127" s="5">
        <v>45844</v>
      </c>
      <c r="E1127" s="6">
        <v>14756199</v>
      </c>
      <c r="F1127" s="6">
        <v>9366003</v>
      </c>
      <c r="G1127" s="6">
        <v>5390196</v>
      </c>
      <c r="H1127" s="6">
        <v>0</v>
      </c>
      <c r="I1127" s="7">
        <v>14756199</v>
      </c>
    </row>
    <row r="1128" spans="1:9" ht="12" customHeight="1" thickBot="1" x14ac:dyDescent="0.25">
      <c r="A1128" s="1" t="s">
        <v>45</v>
      </c>
      <c r="B1128" s="1" t="s">
        <v>10</v>
      </c>
      <c r="C1128" s="1" t="s">
        <v>23</v>
      </c>
      <c r="D1128" s="5">
        <v>45845</v>
      </c>
      <c r="E1128" s="6">
        <v>14756199</v>
      </c>
      <c r="F1128" s="6">
        <v>9366003</v>
      </c>
      <c r="G1128" s="6">
        <v>5390196</v>
      </c>
      <c r="H1128" s="6">
        <v>0</v>
      </c>
      <c r="I1128" s="7">
        <v>14756199</v>
      </c>
    </row>
    <row r="1129" spans="1:9" ht="12" customHeight="1" thickBot="1" x14ac:dyDescent="0.25">
      <c r="A1129" s="1" t="s">
        <v>45</v>
      </c>
      <c r="B1129" s="1" t="s">
        <v>10</v>
      </c>
      <c r="C1129" s="1" t="s">
        <v>23</v>
      </c>
      <c r="D1129" s="5">
        <v>45846</v>
      </c>
      <c r="E1129" s="6">
        <v>14756199</v>
      </c>
      <c r="F1129" s="6">
        <v>9366003</v>
      </c>
      <c r="G1129" s="6">
        <v>5390196</v>
      </c>
      <c r="H1129" s="6">
        <v>0</v>
      </c>
      <c r="I1129" s="7">
        <v>14756199</v>
      </c>
    </row>
    <row r="1130" spans="1:9" ht="12" customHeight="1" thickBot="1" x14ac:dyDescent="0.25">
      <c r="A1130" s="1" t="s">
        <v>45</v>
      </c>
      <c r="B1130" s="1" t="s">
        <v>10</v>
      </c>
      <c r="C1130" s="1" t="s">
        <v>23</v>
      </c>
      <c r="D1130" s="5">
        <v>45847</v>
      </c>
      <c r="E1130" s="6">
        <v>14756199</v>
      </c>
      <c r="F1130" s="6">
        <v>9366003</v>
      </c>
      <c r="G1130" s="6">
        <v>5390196</v>
      </c>
      <c r="H1130" s="6">
        <v>9366003</v>
      </c>
      <c r="I1130" s="7">
        <v>5390196</v>
      </c>
    </row>
    <row r="1131" spans="1:9" ht="12" customHeight="1" thickBot="1" x14ac:dyDescent="0.25">
      <c r="A1131" s="1" t="s">
        <v>45</v>
      </c>
      <c r="B1131" s="1" t="s">
        <v>10</v>
      </c>
      <c r="C1131" s="1" t="s">
        <v>23</v>
      </c>
      <c r="D1131" s="5">
        <v>45848</v>
      </c>
      <c r="E1131" s="6">
        <v>14756199</v>
      </c>
      <c r="F1131" s="6">
        <v>9366003</v>
      </c>
      <c r="G1131" s="6">
        <v>5390196</v>
      </c>
      <c r="H1131" s="6">
        <v>9366003</v>
      </c>
      <c r="I1131" s="7">
        <v>5390196</v>
      </c>
    </row>
    <row r="1132" spans="1:9" ht="12" customHeight="1" thickBot="1" x14ac:dyDescent="0.25">
      <c r="A1132" s="1" t="s">
        <v>45</v>
      </c>
      <c r="B1132" s="1" t="s">
        <v>10</v>
      </c>
      <c r="C1132" s="1" t="s">
        <v>23</v>
      </c>
      <c r="D1132" s="5">
        <v>45849</v>
      </c>
      <c r="E1132" s="6">
        <v>14756199</v>
      </c>
      <c r="F1132" s="6">
        <v>9366003</v>
      </c>
      <c r="G1132" s="6">
        <v>5390196</v>
      </c>
      <c r="H1132" s="6">
        <v>9366003</v>
      </c>
      <c r="I1132" s="7">
        <v>5390196</v>
      </c>
    </row>
    <row r="1133" spans="1:9" ht="12" customHeight="1" thickBot="1" x14ac:dyDescent="0.25">
      <c r="A1133" s="1" t="s">
        <v>45</v>
      </c>
      <c r="B1133" s="1" t="s">
        <v>10</v>
      </c>
      <c r="C1133" s="1" t="s">
        <v>23</v>
      </c>
      <c r="D1133" s="5">
        <v>45850</v>
      </c>
      <c r="E1133" s="6">
        <v>14756199</v>
      </c>
      <c r="F1133" s="6">
        <v>9366003</v>
      </c>
      <c r="G1133" s="6">
        <v>5390196</v>
      </c>
      <c r="H1133" s="6">
        <v>9366003</v>
      </c>
      <c r="I1133" s="7">
        <v>5390196</v>
      </c>
    </row>
    <row r="1134" spans="1:9" ht="12" customHeight="1" thickBot="1" x14ac:dyDescent="0.25">
      <c r="A1134" s="1" t="s">
        <v>45</v>
      </c>
      <c r="B1134" s="1" t="s">
        <v>10</v>
      </c>
      <c r="C1134" s="1" t="s">
        <v>23</v>
      </c>
      <c r="D1134" s="5">
        <v>45851</v>
      </c>
      <c r="E1134" s="6">
        <v>14756199</v>
      </c>
      <c r="F1134" s="6">
        <v>9366003</v>
      </c>
      <c r="G1134" s="6">
        <v>5390196</v>
      </c>
      <c r="H1134" s="6">
        <v>9366003</v>
      </c>
      <c r="I1134" s="7">
        <v>5390196</v>
      </c>
    </row>
    <row r="1135" spans="1:9" ht="12" customHeight="1" thickBot="1" x14ac:dyDescent="0.25">
      <c r="A1135" s="1" t="s">
        <v>45</v>
      </c>
      <c r="B1135" s="1" t="s">
        <v>10</v>
      </c>
      <c r="C1135" s="1" t="s">
        <v>23</v>
      </c>
      <c r="D1135" s="5">
        <v>45852</v>
      </c>
      <c r="E1135" s="6">
        <v>14756199</v>
      </c>
      <c r="F1135" s="6">
        <v>9366003</v>
      </c>
      <c r="G1135" s="6">
        <v>5390196</v>
      </c>
      <c r="H1135" s="6">
        <v>9366003</v>
      </c>
      <c r="I1135" s="7">
        <v>5390196</v>
      </c>
    </row>
    <row r="1136" spans="1:9" ht="12" customHeight="1" thickBot="1" x14ac:dyDescent="0.25">
      <c r="A1136" s="1" t="s">
        <v>45</v>
      </c>
      <c r="B1136" s="1" t="s">
        <v>10</v>
      </c>
      <c r="C1136" s="1" t="s">
        <v>23</v>
      </c>
      <c r="D1136" s="5">
        <v>45853</v>
      </c>
      <c r="E1136" s="6">
        <v>14756199</v>
      </c>
      <c r="F1136" s="6">
        <v>9366003</v>
      </c>
      <c r="G1136" s="6">
        <v>5390196</v>
      </c>
      <c r="H1136" s="6">
        <v>9366003</v>
      </c>
      <c r="I1136" s="7">
        <v>5390196</v>
      </c>
    </row>
    <row r="1137" spans="1:9" ht="12" customHeight="1" thickBot="1" x14ac:dyDescent="0.25">
      <c r="A1137" s="1" t="s">
        <v>45</v>
      </c>
      <c r="B1137" s="1" t="s">
        <v>10</v>
      </c>
      <c r="C1137" s="1" t="s">
        <v>23</v>
      </c>
      <c r="D1137" s="5">
        <v>45854</v>
      </c>
      <c r="E1137" s="6">
        <v>14756199</v>
      </c>
      <c r="F1137" s="6">
        <v>9366003</v>
      </c>
      <c r="G1137" s="6">
        <v>5390196</v>
      </c>
      <c r="H1137" s="6">
        <v>9366003</v>
      </c>
      <c r="I1137" s="7">
        <v>5390196</v>
      </c>
    </row>
    <row r="1138" spans="1:9" ht="12" customHeight="1" thickBot="1" x14ac:dyDescent="0.25">
      <c r="A1138" s="1" t="s">
        <v>45</v>
      </c>
      <c r="B1138" s="1" t="s">
        <v>10</v>
      </c>
      <c r="C1138" s="1" t="s">
        <v>23</v>
      </c>
      <c r="D1138" s="5">
        <v>45855</v>
      </c>
      <c r="E1138" s="6">
        <v>14756199</v>
      </c>
      <c r="F1138" s="6">
        <v>9366003</v>
      </c>
      <c r="G1138" s="6">
        <v>5390196</v>
      </c>
      <c r="H1138" s="6">
        <v>9366003</v>
      </c>
      <c r="I1138" s="7">
        <v>5390196</v>
      </c>
    </row>
    <row r="1139" spans="1:9" ht="12" customHeight="1" thickBot="1" x14ac:dyDescent="0.25">
      <c r="A1139" s="1" t="s">
        <v>45</v>
      </c>
      <c r="B1139" s="1" t="s">
        <v>10</v>
      </c>
      <c r="C1139" s="1" t="s">
        <v>23</v>
      </c>
      <c r="D1139" s="5">
        <v>45856</v>
      </c>
      <c r="E1139" s="6">
        <v>14756199</v>
      </c>
      <c r="F1139" s="6">
        <v>9366003</v>
      </c>
      <c r="G1139" s="6">
        <v>5390196</v>
      </c>
      <c r="H1139" s="6">
        <v>9366003</v>
      </c>
      <c r="I1139" s="7">
        <v>5390196</v>
      </c>
    </row>
    <row r="1140" spans="1:9" ht="12" customHeight="1" thickBot="1" x14ac:dyDescent="0.25">
      <c r="A1140" s="1" t="s">
        <v>45</v>
      </c>
      <c r="B1140" s="1" t="s">
        <v>10</v>
      </c>
      <c r="C1140" s="1" t="s">
        <v>23</v>
      </c>
      <c r="D1140" s="5">
        <v>45857</v>
      </c>
      <c r="E1140" s="6">
        <v>14756199</v>
      </c>
      <c r="F1140" s="6">
        <v>9366003</v>
      </c>
      <c r="G1140" s="6">
        <v>5390196</v>
      </c>
      <c r="H1140" s="6">
        <v>9366003</v>
      </c>
      <c r="I1140" s="7">
        <v>5390196</v>
      </c>
    </row>
    <row r="1141" spans="1:9" ht="12" customHeight="1" thickBot="1" x14ac:dyDescent="0.25">
      <c r="A1141" s="1" t="s">
        <v>45</v>
      </c>
      <c r="B1141" s="1" t="s">
        <v>10</v>
      </c>
      <c r="C1141" s="1" t="s">
        <v>23</v>
      </c>
      <c r="D1141" s="5">
        <v>45858</v>
      </c>
      <c r="E1141" s="6">
        <v>14756199</v>
      </c>
      <c r="F1141" s="6">
        <v>9366003</v>
      </c>
      <c r="G1141" s="6">
        <v>5390196</v>
      </c>
      <c r="H1141" s="6">
        <v>9366003</v>
      </c>
      <c r="I1141" s="7">
        <v>5390196</v>
      </c>
    </row>
    <row r="1142" spans="1:9" ht="12" customHeight="1" thickBot="1" x14ac:dyDescent="0.25">
      <c r="A1142" s="1" t="s">
        <v>45</v>
      </c>
      <c r="B1142" s="1" t="s">
        <v>10</v>
      </c>
      <c r="C1142" s="1" t="s">
        <v>23</v>
      </c>
      <c r="D1142" s="5">
        <v>45859</v>
      </c>
      <c r="E1142" s="6">
        <v>14756199</v>
      </c>
      <c r="F1142" s="6">
        <v>9366003</v>
      </c>
      <c r="G1142" s="6">
        <v>5390196</v>
      </c>
      <c r="H1142" s="6">
        <v>9366003</v>
      </c>
      <c r="I1142" s="7">
        <v>5390196</v>
      </c>
    </row>
    <row r="1143" spans="1:9" ht="12" customHeight="1" thickBot="1" x14ac:dyDescent="0.25">
      <c r="A1143" s="1" t="s">
        <v>45</v>
      </c>
      <c r="B1143" s="1" t="s">
        <v>10</v>
      </c>
      <c r="C1143" s="1" t="s">
        <v>23</v>
      </c>
      <c r="D1143" s="5">
        <v>45860</v>
      </c>
      <c r="E1143" s="6">
        <v>14756199</v>
      </c>
      <c r="F1143" s="6">
        <v>9366003</v>
      </c>
      <c r="G1143" s="6">
        <v>5390196</v>
      </c>
      <c r="H1143" s="6">
        <v>9366003</v>
      </c>
      <c r="I1143" s="7">
        <v>5390196</v>
      </c>
    </row>
    <row r="1144" spans="1:9" ht="12" customHeight="1" thickBot="1" x14ac:dyDescent="0.25">
      <c r="A1144" s="1" t="s">
        <v>45</v>
      </c>
      <c r="B1144" s="1" t="s">
        <v>10</v>
      </c>
      <c r="C1144" s="1" t="s">
        <v>23</v>
      </c>
      <c r="D1144" s="5">
        <v>45861</v>
      </c>
      <c r="E1144" s="6">
        <v>14756199</v>
      </c>
      <c r="F1144" s="6">
        <v>9366003</v>
      </c>
      <c r="G1144" s="6">
        <v>5390196</v>
      </c>
      <c r="H1144" s="6">
        <v>9366003</v>
      </c>
      <c r="I1144" s="7">
        <v>5390196</v>
      </c>
    </row>
    <row r="1145" spans="1:9" ht="12" customHeight="1" thickBot="1" x14ac:dyDescent="0.25">
      <c r="A1145" s="1" t="s">
        <v>45</v>
      </c>
      <c r="B1145" s="1" t="s">
        <v>10</v>
      </c>
      <c r="C1145" s="1" t="s">
        <v>23</v>
      </c>
      <c r="D1145" s="5">
        <v>45862</v>
      </c>
      <c r="E1145" s="6">
        <v>14756199</v>
      </c>
      <c r="F1145" s="6">
        <v>9366003</v>
      </c>
      <c r="G1145" s="6">
        <v>5390196</v>
      </c>
      <c r="H1145" s="6">
        <v>9366003</v>
      </c>
      <c r="I1145" s="7">
        <v>5390196</v>
      </c>
    </row>
    <row r="1146" spans="1:9" ht="12" customHeight="1" thickBot="1" x14ac:dyDescent="0.25">
      <c r="A1146" s="1" t="s">
        <v>45</v>
      </c>
      <c r="B1146" s="1" t="s">
        <v>10</v>
      </c>
      <c r="C1146" s="1" t="s">
        <v>23</v>
      </c>
      <c r="D1146" s="5">
        <v>45863</v>
      </c>
      <c r="E1146" s="6">
        <v>14756199</v>
      </c>
      <c r="F1146" s="6">
        <v>9366003</v>
      </c>
      <c r="G1146" s="6">
        <v>5390196</v>
      </c>
      <c r="H1146" s="6">
        <v>9366003</v>
      </c>
      <c r="I1146" s="7">
        <v>5390196</v>
      </c>
    </row>
    <row r="1147" spans="1:9" ht="12" customHeight="1" thickBot="1" x14ac:dyDescent="0.25">
      <c r="A1147" s="1" t="s">
        <v>45</v>
      </c>
      <c r="B1147" s="1" t="s">
        <v>10</v>
      </c>
      <c r="C1147" s="1" t="s">
        <v>23</v>
      </c>
      <c r="D1147" s="5">
        <v>45864</v>
      </c>
      <c r="E1147" s="6">
        <v>14756199</v>
      </c>
      <c r="F1147" s="6">
        <v>9366003</v>
      </c>
      <c r="G1147" s="6">
        <v>5390196</v>
      </c>
      <c r="H1147" s="6">
        <v>9366003</v>
      </c>
      <c r="I1147" s="7">
        <v>5390196</v>
      </c>
    </row>
    <row r="1148" spans="1:9" ht="12" customHeight="1" thickBot="1" x14ac:dyDescent="0.25">
      <c r="A1148" s="1" t="s">
        <v>45</v>
      </c>
      <c r="B1148" s="1" t="s">
        <v>10</v>
      </c>
      <c r="C1148" s="1" t="s">
        <v>23</v>
      </c>
      <c r="D1148" s="5">
        <v>45865</v>
      </c>
      <c r="E1148" s="6">
        <v>14756199</v>
      </c>
      <c r="F1148" s="6">
        <v>9366003</v>
      </c>
      <c r="G1148" s="6">
        <v>5390196</v>
      </c>
      <c r="H1148" s="6">
        <v>9366003</v>
      </c>
      <c r="I1148" s="7">
        <v>5390196</v>
      </c>
    </row>
    <row r="1149" spans="1:9" ht="12" customHeight="1" thickBot="1" x14ac:dyDescent="0.25">
      <c r="A1149" s="1" t="s">
        <v>45</v>
      </c>
      <c r="B1149" s="1" t="s">
        <v>10</v>
      </c>
      <c r="C1149" s="1" t="s">
        <v>23</v>
      </c>
      <c r="D1149" s="5">
        <v>45866</v>
      </c>
      <c r="E1149" s="6">
        <v>14203249</v>
      </c>
      <c r="F1149" s="6">
        <v>9366003</v>
      </c>
      <c r="G1149" s="6">
        <v>4837246</v>
      </c>
      <c r="H1149" s="6">
        <v>9366003</v>
      </c>
      <c r="I1149" s="7">
        <v>4837246</v>
      </c>
    </row>
    <row r="1150" spans="1:9" ht="12" customHeight="1" thickBot="1" x14ac:dyDescent="0.25">
      <c r="A1150" s="1" t="s">
        <v>45</v>
      </c>
      <c r="B1150" s="1" t="s">
        <v>10</v>
      </c>
      <c r="C1150" s="1" t="s">
        <v>23</v>
      </c>
      <c r="D1150" s="5">
        <v>45867</v>
      </c>
      <c r="E1150" s="6">
        <v>14203249</v>
      </c>
      <c r="F1150" s="6">
        <v>9366003</v>
      </c>
      <c r="G1150" s="6">
        <v>4837246</v>
      </c>
      <c r="H1150" s="6">
        <v>9366003</v>
      </c>
      <c r="I1150" s="7">
        <v>4837246</v>
      </c>
    </row>
    <row r="1151" spans="1:9" ht="12" customHeight="1" thickBot="1" x14ac:dyDescent="0.25">
      <c r="A1151" s="1" t="s">
        <v>45</v>
      </c>
      <c r="B1151" s="1" t="s">
        <v>10</v>
      </c>
      <c r="C1151" s="1" t="s">
        <v>23</v>
      </c>
      <c r="D1151" s="5">
        <v>45868</v>
      </c>
      <c r="E1151" s="6">
        <v>14203249</v>
      </c>
      <c r="F1151" s="6">
        <v>9366003</v>
      </c>
      <c r="G1151" s="6">
        <v>4837246</v>
      </c>
      <c r="H1151" s="6">
        <v>9366003</v>
      </c>
      <c r="I1151" s="7">
        <v>4837246</v>
      </c>
    </row>
    <row r="1152" spans="1:9" ht="12" customHeight="1" thickBot="1" x14ac:dyDescent="0.25">
      <c r="A1152" s="1" t="s">
        <v>45</v>
      </c>
      <c r="B1152" s="1" t="s">
        <v>10</v>
      </c>
      <c r="C1152" s="1" t="s">
        <v>23</v>
      </c>
      <c r="D1152" s="5">
        <v>45869</v>
      </c>
      <c r="E1152" s="6">
        <v>14203249</v>
      </c>
      <c r="F1152" s="6">
        <v>9366003</v>
      </c>
      <c r="G1152" s="6">
        <v>4837246</v>
      </c>
      <c r="H1152" s="6">
        <v>9366003</v>
      </c>
      <c r="I1152" s="7">
        <v>4837246</v>
      </c>
    </row>
    <row r="1153" spans="1:9" ht="12" customHeight="1" thickBot="1" x14ac:dyDescent="0.25">
      <c r="A1153" s="1" t="s">
        <v>45</v>
      </c>
      <c r="B1153" s="1" t="s">
        <v>10</v>
      </c>
      <c r="C1153" s="1" t="s">
        <v>23</v>
      </c>
      <c r="D1153" s="5">
        <v>45870</v>
      </c>
      <c r="E1153" s="6">
        <v>14203249</v>
      </c>
      <c r="F1153" s="6">
        <v>9366003</v>
      </c>
      <c r="G1153" s="6">
        <v>4837246</v>
      </c>
      <c r="H1153" s="6">
        <v>9366003</v>
      </c>
      <c r="I1153" s="7">
        <v>4837246</v>
      </c>
    </row>
    <row r="1154" spans="1:9" ht="12" customHeight="1" thickBot="1" x14ac:dyDescent="0.25">
      <c r="A1154" s="1" t="s">
        <v>45</v>
      </c>
      <c r="B1154" s="1" t="s">
        <v>10</v>
      </c>
      <c r="C1154" s="1" t="s">
        <v>23</v>
      </c>
      <c r="D1154" s="5">
        <v>45871</v>
      </c>
      <c r="E1154" s="6">
        <v>14203249</v>
      </c>
      <c r="F1154" s="6">
        <v>9366003</v>
      </c>
      <c r="G1154" s="6">
        <v>4837246</v>
      </c>
      <c r="H1154" s="6">
        <v>9366003</v>
      </c>
      <c r="I1154" s="7">
        <v>4837246</v>
      </c>
    </row>
    <row r="1155" spans="1:9" ht="12" customHeight="1" thickBot="1" x14ac:dyDescent="0.25">
      <c r="A1155" s="1" t="s">
        <v>45</v>
      </c>
      <c r="B1155" s="1" t="s">
        <v>10</v>
      </c>
      <c r="C1155" s="1" t="s">
        <v>23</v>
      </c>
      <c r="D1155" s="5">
        <v>45872</v>
      </c>
      <c r="E1155" s="6">
        <v>14203249</v>
      </c>
      <c r="F1155" s="6">
        <v>9366003</v>
      </c>
      <c r="G1155" s="6">
        <v>4837246</v>
      </c>
      <c r="H1155" s="6">
        <v>9366003</v>
      </c>
      <c r="I1155" s="7">
        <v>4837246</v>
      </c>
    </row>
    <row r="1156" spans="1:9" ht="12" customHeight="1" thickBot="1" x14ac:dyDescent="0.25">
      <c r="A1156" s="1" t="s">
        <v>45</v>
      </c>
      <c r="B1156" s="1" t="s">
        <v>10</v>
      </c>
      <c r="C1156" s="1" t="s">
        <v>23</v>
      </c>
      <c r="D1156" s="5">
        <v>45873</v>
      </c>
      <c r="E1156" s="6">
        <v>14203249</v>
      </c>
      <c r="F1156" s="6">
        <v>9366003</v>
      </c>
      <c r="G1156" s="6">
        <v>4837246</v>
      </c>
      <c r="H1156" s="6">
        <v>9366003</v>
      </c>
      <c r="I1156" s="7">
        <v>4837246</v>
      </c>
    </row>
    <row r="1157" spans="1:9" ht="12" customHeight="1" thickBot="1" x14ac:dyDescent="0.25">
      <c r="A1157" s="1" t="s">
        <v>45</v>
      </c>
      <c r="B1157" s="1" t="s">
        <v>10</v>
      </c>
      <c r="C1157" s="1" t="s">
        <v>23</v>
      </c>
      <c r="D1157" s="5">
        <v>45874</v>
      </c>
      <c r="E1157" s="6">
        <v>14203249</v>
      </c>
      <c r="F1157" s="6">
        <v>9366003</v>
      </c>
      <c r="G1157" s="6">
        <v>4837246</v>
      </c>
      <c r="H1157" s="6">
        <v>9366003</v>
      </c>
      <c r="I1157" s="7">
        <v>4837246</v>
      </c>
    </row>
    <row r="1158" spans="1:9" ht="12" customHeight="1" thickBot="1" x14ac:dyDescent="0.25">
      <c r="A1158" s="1" t="s">
        <v>45</v>
      </c>
      <c r="B1158" s="1" t="s">
        <v>10</v>
      </c>
      <c r="C1158" s="1" t="s">
        <v>23</v>
      </c>
      <c r="D1158" s="5">
        <v>45875</v>
      </c>
      <c r="E1158" s="6">
        <v>14203249</v>
      </c>
      <c r="F1158" s="6">
        <v>9366003</v>
      </c>
      <c r="G1158" s="6">
        <v>4837246</v>
      </c>
      <c r="H1158" s="6">
        <v>9366003</v>
      </c>
      <c r="I1158" s="7">
        <v>4837246</v>
      </c>
    </row>
    <row r="1159" spans="1:9" ht="12" customHeight="1" thickBot="1" x14ac:dyDescent="0.25">
      <c r="A1159" s="1" t="s">
        <v>45</v>
      </c>
      <c r="B1159" s="1" t="s">
        <v>10</v>
      </c>
      <c r="C1159" s="1" t="s">
        <v>23</v>
      </c>
      <c r="D1159" s="5">
        <v>45876</v>
      </c>
      <c r="E1159" s="6">
        <v>14203249</v>
      </c>
      <c r="F1159" s="6">
        <v>9366003</v>
      </c>
      <c r="G1159" s="6">
        <v>4837246</v>
      </c>
      <c r="H1159" s="6">
        <v>9366003</v>
      </c>
      <c r="I1159" s="7">
        <v>4837246</v>
      </c>
    </row>
    <row r="1160" spans="1:9" ht="12" customHeight="1" thickBot="1" x14ac:dyDescent="0.25">
      <c r="A1160" s="1" t="s">
        <v>45</v>
      </c>
      <c r="B1160" s="1" t="s">
        <v>10</v>
      </c>
      <c r="C1160" s="1" t="s">
        <v>23</v>
      </c>
      <c r="D1160" s="5">
        <v>45877</v>
      </c>
      <c r="E1160" s="6">
        <v>14203249</v>
      </c>
      <c r="F1160" s="6">
        <v>9366003</v>
      </c>
      <c r="G1160" s="6">
        <v>4837246</v>
      </c>
      <c r="H1160" s="6">
        <v>9366003</v>
      </c>
      <c r="I1160" s="7">
        <v>4837246</v>
      </c>
    </row>
    <row r="1161" spans="1:9" ht="12" customHeight="1" thickBot="1" x14ac:dyDescent="0.25">
      <c r="A1161" s="1" t="s">
        <v>45</v>
      </c>
      <c r="B1161" s="1" t="s">
        <v>10</v>
      </c>
      <c r="C1161" s="1" t="s">
        <v>23</v>
      </c>
      <c r="D1161" s="5">
        <v>45878</v>
      </c>
      <c r="E1161" s="6">
        <v>14203249</v>
      </c>
      <c r="F1161" s="6">
        <v>9366003</v>
      </c>
      <c r="G1161" s="6">
        <v>4837246</v>
      </c>
      <c r="H1161" s="6">
        <v>9366003</v>
      </c>
      <c r="I1161" s="7">
        <v>4837246</v>
      </c>
    </row>
    <row r="1162" spans="1:9" ht="12" customHeight="1" thickBot="1" x14ac:dyDescent="0.25">
      <c r="A1162" s="1" t="s">
        <v>45</v>
      </c>
      <c r="B1162" s="1" t="s">
        <v>10</v>
      </c>
      <c r="C1162" s="1" t="s">
        <v>23</v>
      </c>
      <c r="D1162" s="5">
        <v>45879</v>
      </c>
      <c r="E1162" s="6">
        <v>14203249</v>
      </c>
      <c r="F1162" s="6">
        <v>9366003</v>
      </c>
      <c r="G1162" s="6">
        <v>4837246</v>
      </c>
      <c r="H1162" s="6">
        <v>9366003</v>
      </c>
      <c r="I1162" s="7">
        <v>4837246</v>
      </c>
    </row>
    <row r="1163" spans="1:9" ht="12" customHeight="1" thickBot="1" x14ac:dyDescent="0.25">
      <c r="A1163" s="1" t="s">
        <v>45</v>
      </c>
      <c r="B1163" s="1" t="s">
        <v>10</v>
      </c>
      <c r="C1163" s="1" t="s">
        <v>23</v>
      </c>
      <c r="D1163" s="5">
        <v>45880</v>
      </c>
      <c r="E1163" s="6">
        <v>14203249</v>
      </c>
      <c r="F1163" s="6">
        <v>9366003</v>
      </c>
      <c r="G1163" s="6">
        <v>4837246</v>
      </c>
      <c r="H1163" s="6">
        <v>9366003</v>
      </c>
      <c r="I1163" s="7">
        <v>4837246</v>
      </c>
    </row>
    <row r="1164" spans="1:9" ht="12" customHeight="1" thickBot="1" x14ac:dyDescent="0.25">
      <c r="A1164" s="1" t="s">
        <v>45</v>
      </c>
      <c r="B1164" s="1" t="s">
        <v>10</v>
      </c>
      <c r="C1164" s="1" t="s">
        <v>23</v>
      </c>
      <c r="D1164" s="5">
        <v>45881</v>
      </c>
      <c r="E1164" s="6">
        <v>14203249</v>
      </c>
      <c r="F1164" s="6">
        <v>9366003</v>
      </c>
      <c r="G1164" s="6">
        <v>4837246</v>
      </c>
      <c r="H1164" s="6">
        <v>9366003</v>
      </c>
      <c r="I1164" s="7">
        <v>4837246</v>
      </c>
    </row>
    <row r="1165" spans="1:9" ht="12" customHeight="1" thickBot="1" x14ac:dyDescent="0.25">
      <c r="A1165" s="1" t="s">
        <v>45</v>
      </c>
      <c r="B1165" s="1" t="s">
        <v>10</v>
      </c>
      <c r="C1165" s="1" t="s">
        <v>23</v>
      </c>
      <c r="D1165" s="5">
        <v>45882</v>
      </c>
      <c r="E1165" s="6">
        <v>14203249</v>
      </c>
      <c r="F1165" s="6">
        <v>9366003</v>
      </c>
      <c r="G1165" s="6">
        <v>4837246</v>
      </c>
      <c r="H1165" s="6">
        <v>9366003</v>
      </c>
      <c r="I1165" s="7">
        <v>4837246</v>
      </c>
    </row>
    <row r="1166" spans="1:9" ht="12" customHeight="1" thickBot="1" x14ac:dyDescent="0.25">
      <c r="A1166" s="1" t="s">
        <v>45</v>
      </c>
      <c r="B1166" s="1" t="s">
        <v>10</v>
      </c>
      <c r="C1166" s="1" t="s">
        <v>23</v>
      </c>
      <c r="D1166" s="5">
        <v>45883</v>
      </c>
      <c r="E1166" s="6">
        <v>14203249</v>
      </c>
      <c r="F1166" s="6">
        <v>9366003</v>
      </c>
      <c r="G1166" s="6">
        <v>4837246</v>
      </c>
      <c r="H1166" s="6">
        <v>9366003</v>
      </c>
      <c r="I1166" s="7">
        <v>4837246</v>
      </c>
    </row>
    <row r="1167" spans="1:9" ht="12" customHeight="1" thickBot="1" x14ac:dyDescent="0.25">
      <c r="A1167" s="1" t="s">
        <v>45</v>
      </c>
      <c r="B1167" s="1" t="s">
        <v>10</v>
      </c>
      <c r="C1167" s="1" t="s">
        <v>23</v>
      </c>
      <c r="D1167" s="5">
        <v>45884</v>
      </c>
      <c r="E1167" s="6">
        <v>14203249</v>
      </c>
      <c r="F1167" s="6">
        <v>9366003</v>
      </c>
      <c r="G1167" s="6">
        <v>4837246</v>
      </c>
      <c r="H1167" s="6">
        <v>9366003</v>
      </c>
      <c r="I1167" s="7">
        <v>4837246</v>
      </c>
    </row>
    <row r="1168" spans="1:9" ht="12" customHeight="1" thickBot="1" x14ac:dyDescent="0.25">
      <c r="A1168" s="1" t="s">
        <v>45</v>
      </c>
      <c r="B1168" s="1" t="s">
        <v>10</v>
      </c>
      <c r="C1168" s="1" t="s">
        <v>23</v>
      </c>
      <c r="D1168" s="5">
        <v>45885</v>
      </c>
      <c r="E1168" s="6">
        <v>14203249</v>
      </c>
      <c r="F1168" s="6">
        <v>9366003</v>
      </c>
      <c r="G1168" s="6">
        <v>4837246</v>
      </c>
      <c r="H1168" s="6">
        <v>9366003</v>
      </c>
      <c r="I1168" s="7">
        <v>4837246</v>
      </c>
    </row>
    <row r="1169" spans="1:9" ht="12" customHeight="1" thickBot="1" x14ac:dyDescent="0.25">
      <c r="A1169" s="1" t="s">
        <v>45</v>
      </c>
      <c r="B1169" s="1" t="s">
        <v>10</v>
      </c>
      <c r="C1169" s="1" t="s">
        <v>23</v>
      </c>
      <c r="D1169" s="5">
        <v>45886</v>
      </c>
      <c r="E1169" s="6">
        <v>14203249</v>
      </c>
      <c r="F1169" s="6">
        <v>9366003</v>
      </c>
      <c r="G1169" s="6">
        <v>4837246</v>
      </c>
      <c r="H1169" s="6">
        <v>9366003</v>
      </c>
      <c r="I1169" s="7">
        <v>4837246</v>
      </c>
    </row>
    <row r="1170" spans="1:9" ht="12" customHeight="1" thickBot="1" x14ac:dyDescent="0.25">
      <c r="A1170" s="1" t="s">
        <v>45</v>
      </c>
      <c r="B1170" s="1" t="s">
        <v>10</v>
      </c>
      <c r="C1170" s="1" t="s">
        <v>23</v>
      </c>
      <c r="D1170" s="5">
        <v>45887</v>
      </c>
      <c r="E1170" s="6">
        <v>14203249</v>
      </c>
      <c r="F1170" s="6">
        <v>9366003</v>
      </c>
      <c r="G1170" s="6">
        <v>4837246</v>
      </c>
      <c r="H1170" s="6">
        <v>9366003</v>
      </c>
      <c r="I1170" s="7">
        <v>4837246</v>
      </c>
    </row>
    <row r="1171" spans="1:9" ht="12" customHeight="1" thickBot="1" x14ac:dyDescent="0.25">
      <c r="A1171" s="1" t="s">
        <v>45</v>
      </c>
      <c r="B1171" s="1" t="s">
        <v>10</v>
      </c>
      <c r="C1171" s="1" t="s">
        <v>23</v>
      </c>
      <c r="D1171" s="5">
        <v>45888</v>
      </c>
      <c r="E1171" s="6">
        <v>14203249</v>
      </c>
      <c r="F1171" s="6">
        <v>9366003</v>
      </c>
      <c r="G1171" s="6">
        <v>4837246</v>
      </c>
      <c r="H1171" s="6">
        <v>9366003</v>
      </c>
      <c r="I1171" s="7">
        <v>4837246</v>
      </c>
    </row>
    <row r="1172" spans="1:9" ht="12" customHeight="1" thickBot="1" x14ac:dyDescent="0.25">
      <c r="A1172" s="1" t="s">
        <v>45</v>
      </c>
      <c r="B1172" s="1" t="s">
        <v>10</v>
      </c>
      <c r="C1172" s="1" t="s">
        <v>23</v>
      </c>
      <c r="D1172" s="5">
        <v>45889</v>
      </c>
      <c r="E1172" s="6">
        <v>14203249</v>
      </c>
      <c r="F1172" s="6">
        <v>9366003</v>
      </c>
      <c r="G1172" s="6">
        <v>4837246</v>
      </c>
      <c r="H1172" s="6">
        <v>9366003</v>
      </c>
      <c r="I1172" s="7">
        <v>4837246</v>
      </c>
    </row>
    <row r="1173" spans="1:9" ht="12" customHeight="1" thickBot="1" x14ac:dyDescent="0.25">
      <c r="A1173" s="1" t="s">
        <v>45</v>
      </c>
      <c r="B1173" s="1" t="s">
        <v>10</v>
      </c>
      <c r="C1173" s="1" t="s">
        <v>23</v>
      </c>
      <c r="D1173" s="5">
        <v>45890</v>
      </c>
      <c r="E1173" s="6">
        <v>14203249</v>
      </c>
      <c r="F1173" s="6">
        <v>9366003</v>
      </c>
      <c r="G1173" s="6">
        <v>4837246</v>
      </c>
      <c r="H1173" s="6">
        <v>9366003</v>
      </c>
      <c r="I1173" s="7">
        <v>4837246</v>
      </c>
    </row>
    <row r="1174" spans="1:9" ht="12" customHeight="1" thickBot="1" x14ac:dyDescent="0.25">
      <c r="A1174" s="1" t="s">
        <v>45</v>
      </c>
      <c r="B1174" s="1" t="s">
        <v>10</v>
      </c>
      <c r="C1174" s="1" t="s">
        <v>23</v>
      </c>
      <c r="D1174" s="5">
        <v>45891</v>
      </c>
      <c r="E1174" s="6">
        <v>14203249</v>
      </c>
      <c r="F1174" s="6">
        <v>9366003</v>
      </c>
      <c r="G1174" s="6">
        <v>4837246</v>
      </c>
      <c r="H1174" s="6">
        <v>9366003</v>
      </c>
      <c r="I1174" s="7">
        <v>4837246</v>
      </c>
    </row>
    <row r="1175" spans="1:9" ht="12" customHeight="1" thickBot="1" x14ac:dyDescent="0.25">
      <c r="A1175" s="1" t="s">
        <v>45</v>
      </c>
      <c r="B1175" s="1" t="s">
        <v>10</v>
      </c>
      <c r="C1175" s="1" t="s">
        <v>23</v>
      </c>
      <c r="D1175" s="5">
        <v>45892</v>
      </c>
      <c r="E1175" s="6">
        <v>14203249</v>
      </c>
      <c r="F1175" s="6">
        <v>9366003</v>
      </c>
      <c r="G1175" s="6">
        <v>4837246</v>
      </c>
      <c r="H1175" s="6">
        <v>9366003</v>
      </c>
      <c r="I1175" s="7">
        <v>4837246</v>
      </c>
    </row>
    <row r="1176" spans="1:9" ht="12" customHeight="1" thickBot="1" x14ac:dyDescent="0.25">
      <c r="A1176" s="1" t="s">
        <v>45</v>
      </c>
      <c r="B1176" s="1" t="s">
        <v>10</v>
      </c>
      <c r="C1176" s="1" t="s">
        <v>23</v>
      </c>
      <c r="D1176" s="5">
        <v>45893</v>
      </c>
      <c r="E1176" s="6">
        <v>14203249</v>
      </c>
      <c r="F1176" s="6">
        <v>9366003</v>
      </c>
      <c r="G1176" s="6">
        <v>4837246</v>
      </c>
      <c r="H1176" s="6">
        <v>9366003</v>
      </c>
      <c r="I1176" s="7">
        <v>4837246</v>
      </c>
    </row>
    <row r="1177" spans="1:9" ht="12" customHeight="1" thickBot="1" x14ac:dyDescent="0.25">
      <c r="A1177" s="1" t="s">
        <v>45</v>
      </c>
      <c r="B1177" s="1" t="s">
        <v>10</v>
      </c>
      <c r="C1177" s="1" t="s">
        <v>23</v>
      </c>
      <c r="D1177" s="5">
        <v>45894</v>
      </c>
      <c r="E1177" s="6">
        <v>14203249</v>
      </c>
      <c r="F1177" s="6">
        <v>9366003</v>
      </c>
      <c r="G1177" s="6">
        <v>4837246</v>
      </c>
      <c r="H1177" s="6">
        <v>9366003</v>
      </c>
      <c r="I1177" s="7">
        <v>4837246</v>
      </c>
    </row>
    <row r="1178" spans="1:9" ht="12" customHeight="1" thickBot="1" x14ac:dyDescent="0.25">
      <c r="A1178" s="1" t="s">
        <v>45</v>
      </c>
      <c r="B1178" s="1" t="s">
        <v>10</v>
      </c>
      <c r="C1178" s="1" t="s">
        <v>23</v>
      </c>
      <c r="D1178" s="5">
        <v>45895</v>
      </c>
      <c r="E1178" s="6">
        <v>14203249</v>
      </c>
      <c r="F1178" s="6">
        <v>9366003</v>
      </c>
      <c r="G1178" s="6">
        <v>4837246</v>
      </c>
      <c r="H1178" s="6">
        <v>9366003</v>
      </c>
      <c r="I1178" s="7">
        <v>4837246</v>
      </c>
    </row>
    <row r="1179" spans="1:9" ht="12" customHeight="1" thickBot="1" x14ac:dyDescent="0.25">
      <c r="A1179" s="1" t="s">
        <v>45</v>
      </c>
      <c r="B1179" s="1" t="s">
        <v>10</v>
      </c>
      <c r="C1179" s="1" t="s">
        <v>23</v>
      </c>
      <c r="D1179" s="5">
        <v>45896</v>
      </c>
      <c r="E1179" s="6">
        <v>13637052</v>
      </c>
      <c r="F1179" s="6">
        <v>9366003</v>
      </c>
      <c r="G1179" s="6">
        <v>4271049</v>
      </c>
      <c r="H1179" s="6">
        <v>9366003</v>
      </c>
      <c r="I1179" s="7">
        <v>4271049</v>
      </c>
    </row>
    <row r="1180" spans="1:9" ht="12" customHeight="1" thickBot="1" x14ac:dyDescent="0.25">
      <c r="A1180" s="1" t="s">
        <v>45</v>
      </c>
      <c r="B1180" s="1" t="s">
        <v>10</v>
      </c>
      <c r="C1180" s="1" t="s">
        <v>23</v>
      </c>
      <c r="D1180" s="5">
        <v>45897</v>
      </c>
      <c r="E1180" s="6">
        <v>13637052</v>
      </c>
      <c r="F1180" s="6">
        <v>9366003</v>
      </c>
      <c r="G1180" s="6">
        <v>4271049</v>
      </c>
      <c r="H1180" s="6">
        <v>9366003</v>
      </c>
      <c r="I1180" s="7">
        <v>4271049</v>
      </c>
    </row>
    <row r="1181" spans="1:9" ht="12" customHeight="1" thickBot="1" x14ac:dyDescent="0.25">
      <c r="A1181" s="1" t="s">
        <v>45</v>
      </c>
      <c r="B1181" s="1" t="s">
        <v>10</v>
      </c>
      <c r="C1181" s="1" t="s">
        <v>23</v>
      </c>
      <c r="D1181" s="5">
        <v>45898</v>
      </c>
      <c r="E1181" s="6">
        <v>13637052</v>
      </c>
      <c r="F1181" s="6">
        <v>9366003</v>
      </c>
      <c r="G1181" s="6">
        <v>4271049</v>
      </c>
      <c r="H1181" s="6">
        <v>9366003</v>
      </c>
      <c r="I1181" s="7">
        <v>4271049</v>
      </c>
    </row>
    <row r="1182" spans="1:9" ht="12" customHeight="1" thickBot="1" x14ac:dyDescent="0.25">
      <c r="A1182" s="1" t="s">
        <v>45</v>
      </c>
      <c r="B1182" s="1" t="s">
        <v>10</v>
      </c>
      <c r="C1182" s="1" t="s">
        <v>23</v>
      </c>
      <c r="D1182" s="5">
        <v>45899</v>
      </c>
      <c r="E1182" s="6">
        <v>13637052</v>
      </c>
      <c r="F1182" s="6">
        <v>9366003</v>
      </c>
      <c r="G1182" s="6">
        <v>4271049</v>
      </c>
      <c r="H1182" s="6">
        <v>9366003</v>
      </c>
      <c r="I1182" s="7">
        <v>4271049</v>
      </c>
    </row>
    <row r="1183" spans="1:9" ht="12" customHeight="1" thickBot="1" x14ac:dyDescent="0.25">
      <c r="A1183" s="1" t="s">
        <v>45</v>
      </c>
      <c r="B1183" s="1" t="s">
        <v>10</v>
      </c>
      <c r="C1183" s="1" t="s">
        <v>23</v>
      </c>
      <c r="D1183" s="5">
        <v>45900</v>
      </c>
      <c r="E1183" s="6">
        <v>13637052</v>
      </c>
      <c r="F1183" s="6">
        <v>9366003</v>
      </c>
      <c r="G1183" s="6">
        <v>4271049</v>
      </c>
      <c r="H1183" s="6">
        <v>9366003</v>
      </c>
      <c r="I1183" s="7">
        <v>4271049</v>
      </c>
    </row>
    <row r="1184" spans="1:9" ht="12" customHeight="1" thickBot="1" x14ac:dyDescent="0.25">
      <c r="A1184" s="1" t="s">
        <v>45</v>
      </c>
      <c r="B1184" s="1" t="s">
        <v>10</v>
      </c>
      <c r="C1184" s="1" t="s">
        <v>23</v>
      </c>
      <c r="D1184" s="5">
        <v>45901</v>
      </c>
      <c r="E1184" s="6">
        <v>13637052</v>
      </c>
      <c r="F1184" s="6">
        <v>9366003</v>
      </c>
      <c r="G1184" s="6">
        <v>4271049</v>
      </c>
      <c r="H1184" s="6">
        <v>9366003</v>
      </c>
      <c r="I1184" s="7">
        <v>4271049</v>
      </c>
    </row>
    <row r="1185" spans="1:9" ht="12" customHeight="1" thickBot="1" x14ac:dyDescent="0.25">
      <c r="A1185" s="1" t="s">
        <v>45</v>
      </c>
      <c r="B1185" s="1" t="s">
        <v>10</v>
      </c>
      <c r="C1185" s="1" t="s">
        <v>23</v>
      </c>
      <c r="D1185" s="5">
        <v>45902</v>
      </c>
      <c r="E1185" s="6">
        <v>13637052</v>
      </c>
      <c r="F1185" s="6">
        <v>9366003</v>
      </c>
      <c r="G1185" s="6">
        <v>4271049</v>
      </c>
      <c r="H1185" s="6">
        <v>9366003</v>
      </c>
      <c r="I1185" s="7">
        <v>4271049</v>
      </c>
    </row>
    <row r="1186" spans="1:9" ht="12" customHeight="1" thickBot="1" x14ac:dyDescent="0.25">
      <c r="A1186" s="1" t="s">
        <v>45</v>
      </c>
      <c r="B1186" s="1" t="s">
        <v>10</v>
      </c>
      <c r="C1186" s="1" t="s">
        <v>23</v>
      </c>
      <c r="D1186" s="5">
        <v>45903</v>
      </c>
      <c r="E1186" s="6">
        <v>13637052</v>
      </c>
      <c r="F1186" s="6">
        <v>9366003</v>
      </c>
      <c r="G1186" s="6">
        <v>4271049</v>
      </c>
      <c r="H1186" s="6">
        <v>9366003</v>
      </c>
      <c r="I1186" s="7">
        <v>4271049</v>
      </c>
    </row>
    <row r="1187" spans="1:9" ht="12" customHeight="1" thickBot="1" x14ac:dyDescent="0.25">
      <c r="A1187" s="1" t="s">
        <v>45</v>
      </c>
      <c r="B1187" s="1" t="s">
        <v>10</v>
      </c>
      <c r="C1187" s="1" t="s">
        <v>23</v>
      </c>
      <c r="D1187" s="5">
        <v>45904</v>
      </c>
      <c r="E1187" s="6">
        <v>13637052</v>
      </c>
      <c r="F1187" s="6">
        <v>9366003</v>
      </c>
      <c r="G1187" s="6">
        <v>4271049</v>
      </c>
      <c r="H1187" s="6">
        <v>9366003</v>
      </c>
      <c r="I1187" s="7">
        <v>4271049</v>
      </c>
    </row>
    <row r="1188" spans="1:9" ht="12" customHeight="1" thickBot="1" x14ac:dyDescent="0.25">
      <c r="A1188" s="1" t="s">
        <v>45</v>
      </c>
      <c r="B1188" s="1" t="s">
        <v>10</v>
      </c>
      <c r="C1188" s="1" t="s">
        <v>23</v>
      </c>
      <c r="D1188" s="5">
        <v>45905</v>
      </c>
      <c r="E1188" s="6">
        <v>13637052</v>
      </c>
      <c r="F1188" s="6">
        <v>9366003</v>
      </c>
      <c r="G1188" s="6">
        <v>4271049</v>
      </c>
      <c r="H1188" s="6">
        <v>9366003</v>
      </c>
      <c r="I1188" s="7">
        <v>4271049</v>
      </c>
    </row>
    <row r="1189" spans="1:9" ht="12" customHeight="1" thickBot="1" x14ac:dyDescent="0.25">
      <c r="A1189" s="1" t="s">
        <v>45</v>
      </c>
      <c r="B1189" s="1" t="s">
        <v>10</v>
      </c>
      <c r="C1189" s="1" t="s">
        <v>23</v>
      </c>
      <c r="D1189" s="5">
        <v>45906</v>
      </c>
      <c r="E1189" s="6">
        <v>13637052</v>
      </c>
      <c r="F1189" s="6">
        <v>9366003</v>
      </c>
      <c r="G1189" s="6">
        <v>4271049</v>
      </c>
      <c r="H1189" s="6">
        <v>9366003</v>
      </c>
      <c r="I1189" s="7">
        <v>4271049</v>
      </c>
    </row>
    <row r="1190" spans="1:9" ht="12" customHeight="1" thickBot="1" x14ac:dyDescent="0.25">
      <c r="A1190" s="1" t="s">
        <v>45</v>
      </c>
      <c r="B1190" s="1" t="s">
        <v>10</v>
      </c>
      <c r="C1190" s="1" t="s">
        <v>23</v>
      </c>
      <c r="D1190" s="5">
        <v>45907</v>
      </c>
      <c r="E1190" s="6">
        <v>13637052</v>
      </c>
      <c r="F1190" s="6">
        <v>9366003</v>
      </c>
      <c r="G1190" s="6">
        <v>4271049</v>
      </c>
      <c r="H1190" s="6">
        <v>9366003</v>
      </c>
      <c r="I1190" s="7">
        <v>4271049</v>
      </c>
    </row>
    <row r="1191" spans="1:9" ht="12" customHeight="1" thickBot="1" x14ac:dyDescent="0.25">
      <c r="A1191" s="1" t="s">
        <v>45</v>
      </c>
      <c r="B1191" s="1" t="s">
        <v>10</v>
      </c>
      <c r="C1191" s="1" t="s">
        <v>23</v>
      </c>
      <c r="D1191" s="5">
        <v>45908</v>
      </c>
      <c r="E1191" s="6">
        <v>13637052</v>
      </c>
      <c r="F1191" s="6">
        <v>9366003</v>
      </c>
      <c r="G1191" s="6">
        <v>4271049</v>
      </c>
      <c r="H1191" s="6">
        <v>9366003</v>
      </c>
      <c r="I1191" s="7">
        <v>4271049</v>
      </c>
    </row>
    <row r="1192" spans="1:9" ht="12" customHeight="1" thickBot="1" x14ac:dyDescent="0.25">
      <c r="A1192" s="1" t="s">
        <v>45</v>
      </c>
      <c r="B1192" s="1" t="s">
        <v>10</v>
      </c>
      <c r="C1192" s="1" t="s">
        <v>23</v>
      </c>
      <c r="D1192" s="5">
        <v>45909</v>
      </c>
      <c r="E1192" s="6">
        <v>13637052</v>
      </c>
      <c r="F1192" s="6">
        <v>9366003</v>
      </c>
      <c r="G1192" s="6">
        <v>4271049</v>
      </c>
      <c r="H1192" s="6">
        <v>9366003</v>
      </c>
      <c r="I1192" s="7">
        <v>4271049</v>
      </c>
    </row>
    <row r="1193" spans="1:9" ht="12" customHeight="1" thickBot="1" x14ac:dyDescent="0.25">
      <c r="A1193" s="1" t="s">
        <v>45</v>
      </c>
      <c r="B1193" s="1" t="s">
        <v>10</v>
      </c>
      <c r="C1193" s="1" t="s">
        <v>23</v>
      </c>
      <c r="D1193" s="5">
        <v>45910</v>
      </c>
      <c r="E1193" s="6">
        <v>13637052</v>
      </c>
      <c r="F1193" s="6">
        <v>9366003</v>
      </c>
      <c r="G1193" s="6">
        <v>4271049</v>
      </c>
      <c r="H1193" s="6">
        <v>9366003</v>
      </c>
      <c r="I1193" s="7">
        <v>4271049</v>
      </c>
    </row>
    <row r="1194" spans="1:9" ht="12" customHeight="1" thickBot="1" x14ac:dyDescent="0.25">
      <c r="A1194" s="1" t="s">
        <v>45</v>
      </c>
      <c r="B1194" s="1" t="s">
        <v>10</v>
      </c>
      <c r="C1194" s="1" t="s">
        <v>23</v>
      </c>
      <c r="D1194" s="5">
        <v>45911</v>
      </c>
      <c r="E1194" s="6">
        <v>13637052</v>
      </c>
      <c r="F1194" s="6">
        <v>9366003</v>
      </c>
      <c r="G1194" s="6">
        <v>4271049</v>
      </c>
      <c r="H1194" s="6">
        <v>9366003</v>
      </c>
      <c r="I1194" s="7">
        <v>4271049</v>
      </c>
    </row>
    <row r="1195" spans="1:9" ht="12" customHeight="1" thickBot="1" x14ac:dyDescent="0.25">
      <c r="A1195" s="1" t="s">
        <v>45</v>
      </c>
      <c r="B1195" s="1" t="s">
        <v>10</v>
      </c>
      <c r="C1195" s="1" t="s">
        <v>23</v>
      </c>
      <c r="D1195" s="5">
        <v>45912</v>
      </c>
      <c r="E1195" s="6">
        <v>13637052</v>
      </c>
      <c r="F1195" s="6">
        <v>9366003</v>
      </c>
      <c r="G1195" s="6">
        <v>4271049</v>
      </c>
      <c r="H1195" s="6">
        <v>9366003</v>
      </c>
      <c r="I1195" s="7">
        <v>4271049</v>
      </c>
    </row>
    <row r="1196" spans="1:9" ht="12" customHeight="1" thickBot="1" x14ac:dyDescent="0.25">
      <c r="A1196" s="1" t="s">
        <v>45</v>
      </c>
      <c r="B1196" s="1" t="s">
        <v>10</v>
      </c>
      <c r="C1196" s="1" t="s">
        <v>23</v>
      </c>
      <c r="D1196" s="5">
        <v>45913</v>
      </c>
      <c r="E1196" s="6">
        <v>13637052</v>
      </c>
      <c r="F1196" s="6">
        <v>9366003</v>
      </c>
      <c r="G1196" s="6">
        <v>4271049</v>
      </c>
      <c r="H1196" s="6">
        <v>9366003</v>
      </c>
      <c r="I1196" s="7">
        <v>4271049</v>
      </c>
    </row>
    <row r="1197" spans="1:9" ht="12" customHeight="1" thickBot="1" x14ac:dyDescent="0.25">
      <c r="A1197" s="1" t="s">
        <v>45</v>
      </c>
      <c r="B1197" s="1" t="s">
        <v>10</v>
      </c>
      <c r="C1197" s="1" t="s">
        <v>23</v>
      </c>
      <c r="D1197" s="5">
        <v>45914</v>
      </c>
      <c r="E1197" s="6">
        <v>13637052</v>
      </c>
      <c r="F1197" s="6">
        <v>9366003</v>
      </c>
      <c r="G1197" s="6">
        <v>4271049</v>
      </c>
      <c r="H1197" s="6">
        <v>9366003</v>
      </c>
      <c r="I1197" s="7">
        <v>4271049</v>
      </c>
    </row>
    <row r="1198" spans="1:9" ht="12" customHeight="1" thickBot="1" x14ac:dyDescent="0.25">
      <c r="A1198" s="1" t="s">
        <v>45</v>
      </c>
      <c r="B1198" s="1" t="s">
        <v>10</v>
      </c>
      <c r="C1198" s="1" t="s">
        <v>23</v>
      </c>
      <c r="D1198" s="5">
        <v>45915</v>
      </c>
      <c r="E1198" s="6">
        <v>13637052</v>
      </c>
      <c r="F1198" s="6">
        <v>9366003</v>
      </c>
      <c r="G1198" s="6">
        <v>4271049</v>
      </c>
      <c r="H1198" s="6">
        <v>9366003</v>
      </c>
      <c r="I1198" s="7">
        <v>4271049</v>
      </c>
    </row>
    <row r="1199" spans="1:9" ht="12" customHeight="1" thickBot="1" x14ac:dyDescent="0.25">
      <c r="A1199" s="1" t="s">
        <v>45</v>
      </c>
      <c r="B1199" s="1" t="s">
        <v>10</v>
      </c>
      <c r="C1199" s="1" t="s">
        <v>23</v>
      </c>
      <c r="D1199" s="5">
        <v>45916</v>
      </c>
      <c r="E1199" s="6">
        <v>13637052</v>
      </c>
      <c r="F1199" s="6">
        <v>9366003</v>
      </c>
      <c r="G1199" s="6">
        <v>4271049</v>
      </c>
      <c r="H1199" s="6">
        <v>9366003</v>
      </c>
      <c r="I1199" s="7">
        <v>4271049</v>
      </c>
    </row>
    <row r="1200" spans="1:9" ht="12" customHeight="1" thickBot="1" x14ac:dyDescent="0.25">
      <c r="A1200" s="1" t="s">
        <v>45</v>
      </c>
      <c r="B1200" s="1" t="s">
        <v>10</v>
      </c>
      <c r="C1200" s="1" t="s">
        <v>23</v>
      </c>
      <c r="D1200" s="5">
        <v>45917</v>
      </c>
      <c r="E1200" s="6">
        <v>13637052</v>
      </c>
      <c r="F1200" s="6">
        <v>9366003</v>
      </c>
      <c r="G1200" s="6">
        <v>4271049</v>
      </c>
      <c r="H1200" s="6">
        <v>9366003</v>
      </c>
      <c r="I1200" s="7">
        <v>4271049</v>
      </c>
    </row>
    <row r="1201" spans="1:9" ht="12" customHeight="1" thickBot="1" x14ac:dyDescent="0.25">
      <c r="A1201" s="1" t="s">
        <v>45</v>
      </c>
      <c r="B1201" s="1" t="s">
        <v>10</v>
      </c>
      <c r="C1201" s="1" t="s">
        <v>23</v>
      </c>
      <c r="D1201" s="5">
        <v>45918</v>
      </c>
      <c r="E1201" s="6">
        <v>13637052</v>
      </c>
      <c r="F1201" s="6">
        <v>9366003</v>
      </c>
      <c r="G1201" s="6">
        <v>4271049</v>
      </c>
      <c r="H1201" s="6">
        <v>9366003</v>
      </c>
      <c r="I1201" s="7">
        <v>4271049</v>
      </c>
    </row>
    <row r="1202" spans="1:9" ht="12" customHeight="1" thickBot="1" x14ac:dyDescent="0.25">
      <c r="A1202" s="1" t="s">
        <v>45</v>
      </c>
      <c r="B1202" s="1" t="s">
        <v>10</v>
      </c>
      <c r="C1202" s="1" t="s">
        <v>23</v>
      </c>
      <c r="D1202" s="5">
        <v>45919</v>
      </c>
      <c r="E1202" s="6">
        <v>13637052</v>
      </c>
      <c r="F1202" s="6">
        <v>9366003</v>
      </c>
      <c r="G1202" s="6">
        <v>4271049</v>
      </c>
      <c r="H1202" s="6">
        <v>9366003</v>
      </c>
      <c r="I1202" s="7">
        <v>4271049</v>
      </c>
    </row>
    <row r="1203" spans="1:9" ht="12" customHeight="1" thickBot="1" x14ac:dyDescent="0.25">
      <c r="A1203" s="1" t="s">
        <v>45</v>
      </c>
      <c r="B1203" s="1" t="s">
        <v>10</v>
      </c>
      <c r="C1203" s="1" t="s">
        <v>23</v>
      </c>
      <c r="D1203" s="5">
        <v>45920</v>
      </c>
      <c r="E1203" s="6">
        <v>13637052</v>
      </c>
      <c r="F1203" s="6">
        <v>9366003</v>
      </c>
      <c r="G1203" s="6">
        <v>4271049</v>
      </c>
      <c r="H1203" s="6">
        <v>9366003</v>
      </c>
      <c r="I1203" s="7">
        <v>4271049</v>
      </c>
    </row>
    <row r="1204" spans="1:9" ht="12" customHeight="1" thickBot="1" x14ac:dyDescent="0.25">
      <c r="A1204" s="1" t="s">
        <v>45</v>
      </c>
      <c r="B1204" s="1" t="s">
        <v>10</v>
      </c>
      <c r="C1204" s="1" t="s">
        <v>23</v>
      </c>
      <c r="D1204" s="5">
        <v>45921</v>
      </c>
      <c r="E1204" s="6">
        <v>13637052</v>
      </c>
      <c r="F1204" s="6">
        <v>9366003</v>
      </c>
      <c r="G1204" s="6">
        <v>4271049</v>
      </c>
      <c r="H1204" s="6">
        <v>9366003</v>
      </c>
      <c r="I1204" s="7">
        <v>4271049</v>
      </c>
    </row>
    <row r="1205" spans="1:9" ht="12" customHeight="1" thickBot="1" x14ac:dyDescent="0.25">
      <c r="A1205" s="1" t="s">
        <v>45</v>
      </c>
      <c r="B1205" s="1" t="s">
        <v>10</v>
      </c>
      <c r="C1205" s="1" t="s">
        <v>23</v>
      </c>
      <c r="D1205" s="5">
        <v>45922</v>
      </c>
      <c r="E1205" s="6">
        <v>13637052</v>
      </c>
      <c r="F1205" s="6">
        <v>9366003</v>
      </c>
      <c r="G1205" s="6">
        <v>4271049</v>
      </c>
      <c r="H1205" s="6">
        <v>9366003</v>
      </c>
      <c r="I1205" s="7">
        <v>4271049</v>
      </c>
    </row>
    <row r="1206" spans="1:9" ht="12" customHeight="1" thickBot="1" x14ac:dyDescent="0.25">
      <c r="A1206" s="1" t="s">
        <v>45</v>
      </c>
      <c r="B1206" s="1" t="s">
        <v>10</v>
      </c>
      <c r="C1206" s="1" t="s">
        <v>23</v>
      </c>
      <c r="D1206" s="5">
        <v>45923</v>
      </c>
      <c r="E1206" s="6">
        <v>13637052</v>
      </c>
      <c r="F1206" s="6">
        <v>9366003</v>
      </c>
      <c r="G1206" s="6">
        <v>4271049</v>
      </c>
      <c r="H1206" s="6">
        <v>9366003</v>
      </c>
      <c r="I1206" s="7">
        <v>4271049</v>
      </c>
    </row>
    <row r="1207" spans="1:9" ht="12" customHeight="1" thickBot="1" x14ac:dyDescent="0.25">
      <c r="A1207" s="1" t="s">
        <v>45</v>
      </c>
      <c r="B1207" s="1" t="s">
        <v>10</v>
      </c>
      <c r="C1207" s="1" t="s">
        <v>23</v>
      </c>
      <c r="D1207" s="5">
        <v>45924</v>
      </c>
      <c r="E1207" s="6">
        <v>13637052</v>
      </c>
      <c r="F1207" s="6">
        <v>9366003</v>
      </c>
      <c r="G1207" s="6">
        <v>4271049</v>
      </c>
      <c r="H1207" s="6">
        <v>9366003</v>
      </c>
      <c r="I1207" s="7">
        <v>4271049</v>
      </c>
    </row>
    <row r="1208" spans="1:9" ht="12" customHeight="1" thickBot="1" x14ac:dyDescent="0.25">
      <c r="A1208" s="1" t="s">
        <v>45</v>
      </c>
      <c r="B1208" s="1" t="s">
        <v>10</v>
      </c>
      <c r="C1208" s="1" t="s">
        <v>23</v>
      </c>
      <c r="D1208" s="5">
        <v>45925</v>
      </c>
      <c r="E1208" s="6">
        <v>13637052</v>
      </c>
      <c r="F1208" s="6">
        <v>9366003</v>
      </c>
      <c r="G1208" s="6">
        <v>4271049</v>
      </c>
      <c r="H1208" s="6">
        <v>9366003</v>
      </c>
      <c r="I1208" s="7">
        <v>4271049</v>
      </c>
    </row>
    <row r="1209" spans="1:9" ht="12" customHeight="1" thickBot="1" x14ac:dyDescent="0.25">
      <c r="A1209" s="1" t="s">
        <v>45</v>
      </c>
      <c r="B1209" s="1" t="s">
        <v>10</v>
      </c>
      <c r="C1209" s="1" t="s">
        <v>23</v>
      </c>
      <c r="D1209" s="5">
        <v>45926</v>
      </c>
      <c r="E1209" s="6">
        <v>13637052</v>
      </c>
      <c r="F1209" s="6">
        <v>9366003</v>
      </c>
      <c r="G1209" s="6">
        <v>4271049</v>
      </c>
      <c r="H1209" s="6">
        <v>9366003</v>
      </c>
      <c r="I1209" s="7">
        <v>4271049</v>
      </c>
    </row>
    <row r="1210" spans="1:9" ht="12" customHeight="1" thickBot="1" x14ac:dyDescent="0.25">
      <c r="A1210" s="1" t="s">
        <v>45</v>
      </c>
      <c r="B1210" s="1" t="s">
        <v>10</v>
      </c>
      <c r="C1210" s="1" t="s">
        <v>23</v>
      </c>
      <c r="D1210" s="5">
        <v>45927</v>
      </c>
      <c r="E1210" s="6">
        <v>13063191</v>
      </c>
      <c r="F1210" s="6">
        <v>9366003</v>
      </c>
      <c r="G1210" s="6">
        <v>3697188</v>
      </c>
      <c r="H1210" s="6">
        <v>9366003</v>
      </c>
      <c r="I1210" s="7">
        <v>3697188</v>
      </c>
    </row>
    <row r="1211" spans="1:9" ht="12" customHeight="1" thickBot="1" x14ac:dyDescent="0.25">
      <c r="A1211" s="1" t="s">
        <v>45</v>
      </c>
      <c r="B1211" s="1" t="s">
        <v>10</v>
      </c>
      <c r="C1211" s="1" t="s">
        <v>23</v>
      </c>
      <c r="D1211" s="5">
        <v>45928</v>
      </c>
      <c r="E1211" s="6">
        <v>13063191</v>
      </c>
      <c r="F1211" s="6">
        <v>9366003</v>
      </c>
      <c r="G1211" s="6">
        <v>3697188</v>
      </c>
      <c r="H1211" s="6">
        <v>9366003</v>
      </c>
      <c r="I1211" s="7">
        <v>3697188</v>
      </c>
    </row>
    <row r="1212" spans="1:9" ht="12" customHeight="1" thickBot="1" x14ac:dyDescent="0.25">
      <c r="A1212" s="1" t="s">
        <v>45</v>
      </c>
      <c r="B1212" s="1" t="s">
        <v>10</v>
      </c>
      <c r="C1212" s="1" t="s">
        <v>23</v>
      </c>
      <c r="D1212" s="5">
        <v>45929</v>
      </c>
      <c r="E1212" s="6">
        <v>13063191</v>
      </c>
      <c r="F1212" s="6">
        <v>9366003</v>
      </c>
      <c r="G1212" s="6">
        <v>3697188</v>
      </c>
      <c r="H1212" s="6">
        <v>9366003</v>
      </c>
      <c r="I1212" s="7">
        <v>3697188</v>
      </c>
    </row>
    <row r="1213" spans="1:9" ht="12" customHeight="1" thickBot="1" x14ac:dyDescent="0.25">
      <c r="A1213" s="1" t="s">
        <v>45</v>
      </c>
      <c r="B1213" s="1" t="s">
        <v>10</v>
      </c>
      <c r="C1213" s="1" t="s">
        <v>23</v>
      </c>
      <c r="D1213" s="5">
        <v>45930</v>
      </c>
      <c r="E1213" s="6">
        <v>13063191</v>
      </c>
      <c r="F1213" s="6">
        <v>9366003</v>
      </c>
      <c r="G1213" s="6">
        <v>3697188</v>
      </c>
      <c r="H1213" s="6">
        <v>9366003</v>
      </c>
      <c r="I1213" s="7">
        <v>3697188</v>
      </c>
    </row>
    <row r="1214" spans="1:9" ht="12" customHeight="1" thickBot="1" x14ac:dyDescent="0.25">
      <c r="A1214" s="1" t="s">
        <v>46</v>
      </c>
      <c r="B1214" s="1" t="s">
        <v>12</v>
      </c>
      <c r="C1214" s="1" t="s">
        <v>23</v>
      </c>
      <c r="D1214" s="5">
        <v>45839</v>
      </c>
      <c r="E1214" s="6">
        <v>1416756436686</v>
      </c>
      <c r="F1214" s="6">
        <v>397287392836</v>
      </c>
      <c r="G1214" s="6">
        <v>1019469043850</v>
      </c>
      <c r="H1214" s="6">
        <v>376306878504</v>
      </c>
      <c r="I1214" s="7">
        <v>1040449558182</v>
      </c>
    </row>
    <row r="1215" spans="1:9" ht="12" customHeight="1" thickBot="1" x14ac:dyDescent="0.25">
      <c r="A1215" s="1" t="s">
        <v>46</v>
      </c>
      <c r="B1215" s="1" t="s">
        <v>12</v>
      </c>
      <c r="C1215" s="1" t="s">
        <v>23</v>
      </c>
      <c r="D1215" s="5">
        <v>45840</v>
      </c>
      <c r="E1215" s="6">
        <v>1433955805903</v>
      </c>
      <c r="F1215" s="6">
        <v>398173989794</v>
      </c>
      <c r="G1215" s="6">
        <v>1035781816109</v>
      </c>
      <c r="H1215" s="6">
        <v>377028954339</v>
      </c>
      <c r="I1215" s="7">
        <v>1056926851564</v>
      </c>
    </row>
    <row r="1216" spans="1:9" ht="12" customHeight="1" thickBot="1" x14ac:dyDescent="0.25">
      <c r="A1216" s="1" t="s">
        <v>46</v>
      </c>
      <c r="B1216" s="1" t="s">
        <v>12</v>
      </c>
      <c r="C1216" s="1" t="s">
        <v>23</v>
      </c>
      <c r="D1216" s="5">
        <v>45841</v>
      </c>
      <c r="E1216" s="6">
        <v>1440194592266</v>
      </c>
      <c r="F1216" s="6">
        <v>399889338300</v>
      </c>
      <c r="G1216" s="6">
        <v>1040305253966</v>
      </c>
      <c r="H1216" s="6">
        <v>376572523404</v>
      </c>
      <c r="I1216" s="7">
        <v>1063622068862</v>
      </c>
    </row>
    <row r="1217" spans="1:9" ht="12" customHeight="1" thickBot="1" x14ac:dyDescent="0.25">
      <c r="A1217" s="1" t="s">
        <v>46</v>
      </c>
      <c r="B1217" s="1" t="s">
        <v>12</v>
      </c>
      <c r="C1217" s="1" t="s">
        <v>23</v>
      </c>
      <c r="D1217" s="5">
        <v>45842</v>
      </c>
      <c r="E1217" s="6">
        <v>1447419504329</v>
      </c>
      <c r="F1217" s="6">
        <v>401096703174</v>
      </c>
      <c r="G1217" s="6">
        <v>1046322801155</v>
      </c>
      <c r="H1217" s="6">
        <v>379297585531</v>
      </c>
      <c r="I1217" s="7">
        <v>1068121918798</v>
      </c>
    </row>
    <row r="1218" spans="1:9" ht="12" customHeight="1" thickBot="1" x14ac:dyDescent="0.25">
      <c r="A1218" s="1" t="s">
        <v>46</v>
      </c>
      <c r="B1218" s="1" t="s">
        <v>12</v>
      </c>
      <c r="C1218" s="1" t="s">
        <v>23</v>
      </c>
      <c r="D1218" s="5">
        <v>45843</v>
      </c>
      <c r="E1218" s="6">
        <v>1455460603831</v>
      </c>
      <c r="F1218" s="6">
        <v>403317122945</v>
      </c>
      <c r="G1218" s="6">
        <v>1052143480886</v>
      </c>
      <c r="H1218" s="6">
        <v>380524304266</v>
      </c>
      <c r="I1218" s="7">
        <v>1074936299565</v>
      </c>
    </row>
    <row r="1219" spans="1:9" ht="12" customHeight="1" thickBot="1" x14ac:dyDescent="0.25">
      <c r="A1219" s="1" t="s">
        <v>46</v>
      </c>
      <c r="B1219" s="1" t="s">
        <v>12</v>
      </c>
      <c r="C1219" s="1" t="s">
        <v>23</v>
      </c>
      <c r="D1219" s="5">
        <v>45844</v>
      </c>
      <c r="E1219" s="6">
        <v>1464431723532</v>
      </c>
      <c r="F1219" s="6">
        <v>406201130775</v>
      </c>
      <c r="G1219" s="6">
        <v>1058230592757</v>
      </c>
      <c r="H1219" s="6">
        <v>381426804706</v>
      </c>
      <c r="I1219" s="7">
        <v>1083004918826</v>
      </c>
    </row>
    <row r="1220" spans="1:9" ht="12" customHeight="1" thickBot="1" x14ac:dyDescent="0.25">
      <c r="A1220" s="1" t="s">
        <v>46</v>
      </c>
      <c r="B1220" s="1" t="s">
        <v>12</v>
      </c>
      <c r="C1220" s="1" t="s">
        <v>23</v>
      </c>
      <c r="D1220" s="5">
        <v>45845</v>
      </c>
      <c r="E1220" s="6">
        <v>1467865891541</v>
      </c>
      <c r="F1220" s="6">
        <v>402573353178</v>
      </c>
      <c r="G1220" s="6">
        <v>1065292538363</v>
      </c>
      <c r="H1220" s="6">
        <v>382461993398</v>
      </c>
      <c r="I1220" s="7">
        <v>1085403898143</v>
      </c>
    </row>
    <row r="1221" spans="1:9" ht="12" customHeight="1" thickBot="1" x14ac:dyDescent="0.25">
      <c r="A1221" s="1" t="s">
        <v>46</v>
      </c>
      <c r="B1221" s="1" t="s">
        <v>12</v>
      </c>
      <c r="C1221" s="1" t="s">
        <v>23</v>
      </c>
      <c r="D1221" s="5">
        <v>45846</v>
      </c>
      <c r="E1221" s="6">
        <v>1473105905562</v>
      </c>
      <c r="F1221" s="6">
        <v>408144013948</v>
      </c>
      <c r="G1221" s="6">
        <v>1064961891614</v>
      </c>
      <c r="H1221" s="6">
        <v>383388445267</v>
      </c>
      <c r="I1221" s="7">
        <v>1089717460295</v>
      </c>
    </row>
    <row r="1222" spans="1:9" ht="12" customHeight="1" thickBot="1" x14ac:dyDescent="0.25">
      <c r="A1222" s="1" t="s">
        <v>46</v>
      </c>
      <c r="B1222" s="1" t="s">
        <v>12</v>
      </c>
      <c r="C1222" s="1" t="s">
        <v>23</v>
      </c>
      <c r="D1222" s="5">
        <v>45847</v>
      </c>
      <c r="E1222" s="6">
        <v>1477636944764</v>
      </c>
      <c r="F1222" s="6">
        <v>409485344629</v>
      </c>
      <c r="G1222" s="6">
        <v>1068151600135</v>
      </c>
      <c r="H1222" s="6">
        <v>387211211736</v>
      </c>
      <c r="I1222" s="7">
        <v>1090425733028</v>
      </c>
    </row>
    <row r="1223" spans="1:9" ht="12" customHeight="1" thickBot="1" x14ac:dyDescent="0.25">
      <c r="A1223" s="1" t="s">
        <v>46</v>
      </c>
      <c r="B1223" s="1" t="s">
        <v>12</v>
      </c>
      <c r="C1223" s="1" t="s">
        <v>23</v>
      </c>
      <c r="D1223" s="5">
        <v>45848</v>
      </c>
      <c r="E1223" s="6">
        <v>1484599075314</v>
      </c>
      <c r="F1223" s="6">
        <v>407969932122</v>
      </c>
      <c r="G1223" s="6">
        <v>1076629143192</v>
      </c>
      <c r="H1223" s="6">
        <v>385737827762</v>
      </c>
      <c r="I1223" s="7">
        <v>1098861247552</v>
      </c>
    </row>
    <row r="1224" spans="1:9" ht="12" customHeight="1" thickBot="1" x14ac:dyDescent="0.25">
      <c r="A1224" s="1" t="s">
        <v>46</v>
      </c>
      <c r="B1224" s="1" t="s">
        <v>12</v>
      </c>
      <c r="C1224" s="1" t="s">
        <v>23</v>
      </c>
      <c r="D1224" s="5">
        <v>45849</v>
      </c>
      <c r="E1224" s="6">
        <v>1490542782310</v>
      </c>
      <c r="F1224" s="6">
        <v>408630555614</v>
      </c>
      <c r="G1224" s="6">
        <v>1081912226696</v>
      </c>
      <c r="H1224" s="6">
        <v>384802224627</v>
      </c>
      <c r="I1224" s="7">
        <v>1105740557683</v>
      </c>
    </row>
    <row r="1225" spans="1:9" ht="12" customHeight="1" thickBot="1" x14ac:dyDescent="0.25">
      <c r="A1225" s="1" t="s">
        <v>46</v>
      </c>
      <c r="B1225" s="1" t="s">
        <v>12</v>
      </c>
      <c r="C1225" s="1" t="s">
        <v>23</v>
      </c>
      <c r="D1225" s="5">
        <v>45850</v>
      </c>
      <c r="E1225" s="6">
        <v>1496692292967</v>
      </c>
      <c r="F1225" s="6">
        <v>409340825885</v>
      </c>
      <c r="G1225" s="6">
        <v>1087351467082</v>
      </c>
      <c r="H1225" s="6">
        <v>385281525919</v>
      </c>
      <c r="I1225" s="7">
        <v>1111410767048</v>
      </c>
    </row>
    <row r="1226" spans="1:9" ht="12" customHeight="1" thickBot="1" x14ac:dyDescent="0.25">
      <c r="A1226" s="1" t="s">
        <v>46</v>
      </c>
      <c r="B1226" s="1" t="s">
        <v>12</v>
      </c>
      <c r="C1226" s="1" t="s">
        <v>23</v>
      </c>
      <c r="D1226" s="5">
        <v>45851</v>
      </c>
      <c r="E1226" s="6">
        <v>1505284348648</v>
      </c>
      <c r="F1226" s="6">
        <v>412255294441</v>
      </c>
      <c r="G1226" s="6">
        <v>1093029054207</v>
      </c>
      <c r="H1226" s="6">
        <v>386363406008</v>
      </c>
      <c r="I1226" s="7">
        <v>1118920942640</v>
      </c>
    </row>
    <row r="1227" spans="1:9" ht="12" customHeight="1" thickBot="1" x14ac:dyDescent="0.25">
      <c r="A1227" s="1" t="s">
        <v>46</v>
      </c>
      <c r="B1227" s="1" t="s">
        <v>12</v>
      </c>
      <c r="C1227" s="1" t="s">
        <v>23</v>
      </c>
      <c r="D1227" s="5">
        <v>45852</v>
      </c>
      <c r="E1227" s="6">
        <v>1509564446469</v>
      </c>
      <c r="F1227" s="6">
        <v>408740398139</v>
      </c>
      <c r="G1227" s="6">
        <v>1100824048330</v>
      </c>
      <c r="H1227" s="6">
        <v>387228654140</v>
      </c>
      <c r="I1227" s="7">
        <v>1122335792329</v>
      </c>
    </row>
    <row r="1228" spans="1:9" ht="12" customHeight="1" thickBot="1" x14ac:dyDescent="0.25">
      <c r="A1228" s="1" t="s">
        <v>46</v>
      </c>
      <c r="B1228" s="1" t="s">
        <v>12</v>
      </c>
      <c r="C1228" s="1" t="s">
        <v>23</v>
      </c>
      <c r="D1228" s="5">
        <v>45853</v>
      </c>
      <c r="E1228" s="6">
        <v>1515737991917</v>
      </c>
      <c r="F1228" s="6">
        <v>413193905835</v>
      </c>
      <c r="G1228" s="6">
        <v>1102544086082</v>
      </c>
      <c r="H1228" s="6">
        <v>388076200978</v>
      </c>
      <c r="I1228" s="7">
        <v>1127661790939</v>
      </c>
    </row>
    <row r="1229" spans="1:9" ht="12" customHeight="1" thickBot="1" x14ac:dyDescent="0.25">
      <c r="A1229" s="1" t="s">
        <v>46</v>
      </c>
      <c r="B1229" s="1" t="s">
        <v>12</v>
      </c>
      <c r="C1229" s="1" t="s">
        <v>23</v>
      </c>
      <c r="D1229" s="5">
        <v>45854</v>
      </c>
      <c r="E1229" s="6">
        <v>1522413098582</v>
      </c>
      <c r="F1229" s="6">
        <v>413195076363</v>
      </c>
      <c r="G1229" s="6">
        <v>1109218022219</v>
      </c>
      <c r="H1229" s="6">
        <v>388962068778</v>
      </c>
      <c r="I1229" s="7">
        <v>1133451029804</v>
      </c>
    </row>
    <row r="1230" spans="1:9" ht="12" customHeight="1" thickBot="1" x14ac:dyDescent="0.25">
      <c r="A1230" s="1" t="s">
        <v>46</v>
      </c>
      <c r="B1230" s="1" t="s">
        <v>12</v>
      </c>
      <c r="C1230" s="1" t="s">
        <v>23</v>
      </c>
      <c r="D1230" s="5">
        <v>45855</v>
      </c>
      <c r="E1230" s="6">
        <v>1527079951855</v>
      </c>
      <c r="F1230" s="6">
        <v>413548309720</v>
      </c>
      <c r="G1230" s="6">
        <v>1113531642135</v>
      </c>
      <c r="H1230" s="6">
        <v>388192244089</v>
      </c>
      <c r="I1230" s="7">
        <v>1138887707766</v>
      </c>
    </row>
    <row r="1231" spans="1:9" ht="12" customHeight="1" thickBot="1" x14ac:dyDescent="0.25">
      <c r="A1231" s="1" t="s">
        <v>46</v>
      </c>
      <c r="B1231" s="1" t="s">
        <v>12</v>
      </c>
      <c r="C1231" s="1" t="s">
        <v>23</v>
      </c>
      <c r="D1231" s="5">
        <v>45856</v>
      </c>
      <c r="E1231" s="6">
        <v>1531815046752</v>
      </c>
      <c r="F1231" s="6">
        <v>414220720579</v>
      </c>
      <c r="G1231" s="6">
        <v>1117594326173</v>
      </c>
      <c r="H1231" s="6">
        <v>390668586725</v>
      </c>
      <c r="I1231" s="7">
        <v>1141146460027</v>
      </c>
    </row>
    <row r="1232" spans="1:9" ht="12" customHeight="1" thickBot="1" x14ac:dyDescent="0.25">
      <c r="A1232" s="1" t="s">
        <v>46</v>
      </c>
      <c r="B1232" s="1" t="s">
        <v>12</v>
      </c>
      <c r="C1232" s="1" t="s">
        <v>23</v>
      </c>
      <c r="D1232" s="5">
        <v>45857</v>
      </c>
      <c r="E1232" s="6">
        <v>1536784772650</v>
      </c>
      <c r="F1232" s="6">
        <v>416610902279</v>
      </c>
      <c r="G1232" s="6">
        <v>1120173870371</v>
      </c>
      <c r="H1232" s="6">
        <v>391836813946</v>
      </c>
      <c r="I1232" s="7">
        <v>1144947958704</v>
      </c>
    </row>
    <row r="1233" spans="1:9" ht="12" customHeight="1" thickBot="1" x14ac:dyDescent="0.25">
      <c r="A1233" s="1" t="s">
        <v>46</v>
      </c>
      <c r="B1233" s="1" t="s">
        <v>12</v>
      </c>
      <c r="C1233" s="1" t="s">
        <v>23</v>
      </c>
      <c r="D1233" s="5">
        <v>45858</v>
      </c>
      <c r="E1233" s="6">
        <v>1544538110729</v>
      </c>
      <c r="F1233" s="6">
        <v>418918705946</v>
      </c>
      <c r="G1233" s="6">
        <v>1125619404783</v>
      </c>
      <c r="H1233" s="6">
        <v>393272507523</v>
      </c>
      <c r="I1233" s="7">
        <v>1151265603206</v>
      </c>
    </row>
    <row r="1234" spans="1:9" ht="12" customHeight="1" thickBot="1" x14ac:dyDescent="0.25">
      <c r="A1234" s="1" t="s">
        <v>46</v>
      </c>
      <c r="B1234" s="1" t="s">
        <v>12</v>
      </c>
      <c r="C1234" s="1" t="s">
        <v>23</v>
      </c>
      <c r="D1234" s="5">
        <v>45859</v>
      </c>
      <c r="E1234" s="6">
        <v>1546999389691</v>
      </c>
      <c r="F1234" s="6">
        <v>415098713117</v>
      </c>
      <c r="G1234" s="6">
        <v>1131900676574</v>
      </c>
      <c r="H1234" s="6">
        <v>394423468132</v>
      </c>
      <c r="I1234" s="7">
        <v>1152575921559</v>
      </c>
    </row>
    <row r="1235" spans="1:9" ht="12" customHeight="1" thickBot="1" x14ac:dyDescent="0.25">
      <c r="A1235" s="1" t="s">
        <v>46</v>
      </c>
      <c r="B1235" s="1" t="s">
        <v>12</v>
      </c>
      <c r="C1235" s="1" t="s">
        <v>23</v>
      </c>
      <c r="D1235" s="5">
        <v>45860</v>
      </c>
      <c r="E1235" s="6">
        <v>1552258748056</v>
      </c>
      <c r="F1235" s="6">
        <v>420701532417</v>
      </c>
      <c r="G1235" s="6">
        <v>1131557215639</v>
      </c>
      <c r="H1235" s="6">
        <v>395541907643</v>
      </c>
      <c r="I1235" s="7">
        <v>1156716840413</v>
      </c>
    </row>
    <row r="1236" spans="1:9" ht="12" customHeight="1" thickBot="1" x14ac:dyDescent="0.25">
      <c r="A1236" s="1" t="s">
        <v>46</v>
      </c>
      <c r="B1236" s="1" t="s">
        <v>12</v>
      </c>
      <c r="C1236" s="1" t="s">
        <v>23</v>
      </c>
      <c r="D1236" s="5">
        <v>45861</v>
      </c>
      <c r="E1236" s="6">
        <v>1559256839897</v>
      </c>
      <c r="F1236" s="6">
        <v>420698658519</v>
      </c>
      <c r="G1236" s="6">
        <v>1138558181378</v>
      </c>
      <c r="H1236" s="6">
        <v>396568490311</v>
      </c>
      <c r="I1236" s="7">
        <v>1162688349586</v>
      </c>
    </row>
    <row r="1237" spans="1:9" ht="12" customHeight="1" thickBot="1" x14ac:dyDescent="0.25">
      <c r="A1237" s="1" t="s">
        <v>46</v>
      </c>
      <c r="B1237" s="1" t="s">
        <v>12</v>
      </c>
      <c r="C1237" s="1" t="s">
        <v>23</v>
      </c>
      <c r="D1237" s="5">
        <v>45862</v>
      </c>
      <c r="E1237" s="6">
        <v>1563574199318</v>
      </c>
      <c r="F1237" s="6">
        <v>421925075230</v>
      </c>
      <c r="G1237" s="6">
        <v>1141649124088</v>
      </c>
      <c r="H1237" s="6">
        <v>395840747249</v>
      </c>
      <c r="I1237" s="7">
        <v>1167733452069</v>
      </c>
    </row>
    <row r="1238" spans="1:9" ht="12" customHeight="1" thickBot="1" x14ac:dyDescent="0.25">
      <c r="A1238" s="1" t="s">
        <v>46</v>
      </c>
      <c r="B1238" s="1" t="s">
        <v>12</v>
      </c>
      <c r="C1238" s="1" t="s">
        <v>23</v>
      </c>
      <c r="D1238" s="5">
        <v>45863</v>
      </c>
      <c r="E1238" s="6">
        <v>1569051055983</v>
      </c>
      <c r="F1238" s="6">
        <v>421707480892</v>
      </c>
      <c r="G1238" s="6">
        <v>1147343575091</v>
      </c>
      <c r="H1238" s="6">
        <v>398488732912</v>
      </c>
      <c r="I1238" s="7">
        <v>1170562323071</v>
      </c>
    </row>
    <row r="1239" spans="1:9" ht="12" customHeight="1" thickBot="1" x14ac:dyDescent="0.25">
      <c r="A1239" s="1" t="s">
        <v>46</v>
      </c>
      <c r="B1239" s="1" t="s">
        <v>12</v>
      </c>
      <c r="C1239" s="1" t="s">
        <v>23</v>
      </c>
      <c r="D1239" s="5">
        <v>45864</v>
      </c>
      <c r="E1239" s="6">
        <v>1573229381847</v>
      </c>
      <c r="F1239" s="6">
        <v>422759012911</v>
      </c>
      <c r="G1239" s="6">
        <v>1150470368936</v>
      </c>
      <c r="H1239" s="6">
        <v>399807884878</v>
      </c>
      <c r="I1239" s="7">
        <v>1173421496969</v>
      </c>
    </row>
    <row r="1240" spans="1:9" ht="12" customHeight="1" thickBot="1" x14ac:dyDescent="0.25">
      <c r="A1240" s="1" t="s">
        <v>46</v>
      </c>
      <c r="B1240" s="1" t="s">
        <v>12</v>
      </c>
      <c r="C1240" s="1" t="s">
        <v>23</v>
      </c>
      <c r="D1240" s="5">
        <v>45865</v>
      </c>
      <c r="E1240" s="6">
        <v>1580146638744</v>
      </c>
      <c r="F1240" s="6">
        <v>424353363616</v>
      </c>
      <c r="G1240" s="6">
        <v>1155793275128</v>
      </c>
      <c r="H1240" s="6">
        <v>401072514681</v>
      </c>
      <c r="I1240" s="7">
        <v>1179074124063</v>
      </c>
    </row>
    <row r="1241" spans="1:9" ht="12" customHeight="1" thickBot="1" x14ac:dyDescent="0.25">
      <c r="A1241" s="1" t="s">
        <v>46</v>
      </c>
      <c r="B1241" s="1" t="s">
        <v>12</v>
      </c>
      <c r="C1241" s="1" t="s">
        <v>23</v>
      </c>
      <c r="D1241" s="5">
        <v>45866</v>
      </c>
      <c r="E1241" s="6">
        <v>1578015854906</v>
      </c>
      <c r="F1241" s="6">
        <v>421496650313</v>
      </c>
      <c r="G1241" s="6">
        <v>1156519204593</v>
      </c>
      <c r="H1241" s="6">
        <v>402113423471</v>
      </c>
      <c r="I1241" s="7">
        <v>1175902431435</v>
      </c>
    </row>
    <row r="1242" spans="1:9" ht="12" customHeight="1" thickBot="1" x14ac:dyDescent="0.25">
      <c r="A1242" s="1" t="s">
        <v>46</v>
      </c>
      <c r="B1242" s="1" t="s">
        <v>12</v>
      </c>
      <c r="C1242" s="1" t="s">
        <v>23</v>
      </c>
      <c r="D1242" s="5">
        <v>45867</v>
      </c>
      <c r="E1242" s="6">
        <v>1585147294826</v>
      </c>
      <c r="F1242" s="6">
        <v>434355445066</v>
      </c>
      <c r="G1242" s="6">
        <v>1150791849760</v>
      </c>
      <c r="H1242" s="6">
        <v>403406551125</v>
      </c>
      <c r="I1242" s="7">
        <v>1181740743701</v>
      </c>
    </row>
    <row r="1243" spans="1:9" ht="12" customHeight="1" thickBot="1" x14ac:dyDescent="0.25">
      <c r="A1243" s="1" t="s">
        <v>46</v>
      </c>
      <c r="B1243" s="1" t="s">
        <v>12</v>
      </c>
      <c r="C1243" s="1" t="s">
        <v>23</v>
      </c>
      <c r="D1243" s="5">
        <v>45868</v>
      </c>
      <c r="E1243" s="6">
        <v>1592822764645</v>
      </c>
      <c r="F1243" s="6">
        <v>429459766245</v>
      </c>
      <c r="G1243" s="6">
        <v>1163362998400</v>
      </c>
      <c r="H1243" s="6">
        <v>404485175453</v>
      </c>
      <c r="I1243" s="7">
        <v>1188337589192</v>
      </c>
    </row>
    <row r="1244" spans="1:9" ht="12" customHeight="1" thickBot="1" x14ac:dyDescent="0.25">
      <c r="A1244" s="1" t="s">
        <v>46</v>
      </c>
      <c r="B1244" s="1" t="s">
        <v>12</v>
      </c>
      <c r="C1244" s="1" t="s">
        <v>23</v>
      </c>
      <c r="D1244" s="5">
        <v>45869</v>
      </c>
      <c r="E1244" s="6">
        <v>1598336229137</v>
      </c>
      <c r="F1244" s="6">
        <v>426182718951</v>
      </c>
      <c r="G1244" s="6">
        <v>1172153510186</v>
      </c>
      <c r="H1244" s="6">
        <v>403808780770</v>
      </c>
      <c r="I1244" s="7">
        <v>1194527448367</v>
      </c>
    </row>
    <row r="1245" spans="1:9" ht="12" customHeight="1" thickBot="1" x14ac:dyDescent="0.25">
      <c r="A1245" s="1" t="s">
        <v>46</v>
      </c>
      <c r="B1245" s="1" t="s">
        <v>12</v>
      </c>
      <c r="C1245" s="1" t="s">
        <v>23</v>
      </c>
      <c r="D1245" s="5">
        <v>45870</v>
      </c>
      <c r="E1245" s="6">
        <v>1601860126008</v>
      </c>
      <c r="F1245" s="6">
        <v>424262118002</v>
      </c>
      <c r="G1245" s="6">
        <v>1177598008006</v>
      </c>
      <c r="H1245" s="6">
        <v>406465130628</v>
      </c>
      <c r="I1245" s="7">
        <v>1195394995380</v>
      </c>
    </row>
    <row r="1246" spans="1:9" ht="12" customHeight="1" thickBot="1" x14ac:dyDescent="0.25">
      <c r="A1246" s="1" t="s">
        <v>46</v>
      </c>
      <c r="B1246" s="1" t="s">
        <v>12</v>
      </c>
      <c r="C1246" s="1" t="s">
        <v>23</v>
      </c>
      <c r="D1246" s="5">
        <v>45871</v>
      </c>
      <c r="E1246" s="6">
        <v>1606513749417</v>
      </c>
      <c r="F1246" s="6">
        <v>427526748601</v>
      </c>
      <c r="G1246" s="6">
        <v>1178987000816</v>
      </c>
      <c r="H1246" s="6">
        <v>407568375193</v>
      </c>
      <c r="I1246" s="7">
        <v>1198945374224</v>
      </c>
    </row>
    <row r="1247" spans="1:9" ht="12" customHeight="1" thickBot="1" x14ac:dyDescent="0.25">
      <c r="A1247" s="1" t="s">
        <v>46</v>
      </c>
      <c r="B1247" s="1" t="s">
        <v>12</v>
      </c>
      <c r="C1247" s="1" t="s">
        <v>23</v>
      </c>
      <c r="D1247" s="5">
        <v>45872</v>
      </c>
      <c r="E1247" s="6">
        <v>1613937948203</v>
      </c>
      <c r="F1247" s="6">
        <v>433620051570</v>
      </c>
      <c r="G1247" s="6">
        <v>1180317896633</v>
      </c>
      <c r="H1247" s="6">
        <v>408964845499</v>
      </c>
      <c r="I1247" s="7">
        <v>1204973102704</v>
      </c>
    </row>
    <row r="1248" spans="1:9" ht="12" customHeight="1" thickBot="1" x14ac:dyDescent="0.25">
      <c r="A1248" s="1" t="s">
        <v>46</v>
      </c>
      <c r="B1248" s="1" t="s">
        <v>12</v>
      </c>
      <c r="C1248" s="1" t="s">
        <v>23</v>
      </c>
      <c r="D1248" s="5">
        <v>45873</v>
      </c>
      <c r="E1248" s="6">
        <v>1616153399103</v>
      </c>
      <c r="F1248" s="6">
        <v>429591316324</v>
      </c>
      <c r="G1248" s="6">
        <v>1186562082779</v>
      </c>
      <c r="H1248" s="6">
        <v>409714946250</v>
      </c>
      <c r="I1248" s="7">
        <v>1206438452853</v>
      </c>
    </row>
    <row r="1249" spans="1:9" ht="12" customHeight="1" thickBot="1" x14ac:dyDescent="0.25">
      <c r="A1249" s="1" t="s">
        <v>46</v>
      </c>
      <c r="B1249" s="1" t="s">
        <v>12</v>
      </c>
      <c r="C1249" s="1" t="s">
        <v>23</v>
      </c>
      <c r="D1249" s="5">
        <v>45874</v>
      </c>
      <c r="E1249" s="6">
        <v>1620568710054</v>
      </c>
      <c r="F1249" s="6">
        <v>437781226391</v>
      </c>
      <c r="G1249" s="6">
        <v>1182787483663</v>
      </c>
      <c r="H1249" s="6">
        <v>410384157355</v>
      </c>
      <c r="I1249" s="7">
        <v>1210184552699</v>
      </c>
    </row>
    <row r="1250" spans="1:9" ht="12" customHeight="1" thickBot="1" x14ac:dyDescent="0.25">
      <c r="A1250" s="1" t="s">
        <v>46</v>
      </c>
      <c r="B1250" s="1" t="s">
        <v>12</v>
      </c>
      <c r="C1250" s="1" t="s">
        <v>23</v>
      </c>
      <c r="D1250" s="5">
        <v>45875</v>
      </c>
      <c r="E1250" s="6">
        <v>1623591083818</v>
      </c>
      <c r="F1250" s="6">
        <v>438438553008</v>
      </c>
      <c r="G1250" s="6">
        <v>1185152530810</v>
      </c>
      <c r="H1250" s="6">
        <v>411337907437</v>
      </c>
      <c r="I1250" s="7">
        <v>1212253176381</v>
      </c>
    </row>
    <row r="1251" spans="1:9" ht="12" customHeight="1" thickBot="1" x14ac:dyDescent="0.25">
      <c r="A1251" s="1" t="s">
        <v>46</v>
      </c>
      <c r="B1251" s="1" t="s">
        <v>12</v>
      </c>
      <c r="C1251" s="1" t="s">
        <v>23</v>
      </c>
      <c r="D1251" s="5">
        <v>45876</v>
      </c>
      <c r="E1251" s="6">
        <v>1626674229658</v>
      </c>
      <c r="F1251" s="6">
        <v>438750748390</v>
      </c>
      <c r="G1251" s="6">
        <v>1187923481268</v>
      </c>
      <c r="H1251" s="6">
        <v>410607164076</v>
      </c>
      <c r="I1251" s="7">
        <v>1216067065582</v>
      </c>
    </row>
    <row r="1252" spans="1:9" ht="12" customHeight="1" thickBot="1" x14ac:dyDescent="0.25">
      <c r="A1252" s="1" t="s">
        <v>46</v>
      </c>
      <c r="B1252" s="1" t="s">
        <v>12</v>
      </c>
      <c r="C1252" s="1" t="s">
        <v>23</v>
      </c>
      <c r="D1252" s="5">
        <v>45877</v>
      </c>
      <c r="E1252" s="6">
        <v>1631047946110</v>
      </c>
      <c r="F1252" s="6">
        <v>437644632108</v>
      </c>
      <c r="G1252" s="6">
        <v>1193403314002</v>
      </c>
      <c r="H1252" s="6">
        <v>416128335996</v>
      </c>
      <c r="I1252" s="7">
        <v>1214919610114</v>
      </c>
    </row>
    <row r="1253" spans="1:9" ht="12" customHeight="1" thickBot="1" x14ac:dyDescent="0.25">
      <c r="A1253" s="1" t="s">
        <v>46</v>
      </c>
      <c r="B1253" s="1" t="s">
        <v>12</v>
      </c>
      <c r="C1253" s="1" t="s">
        <v>23</v>
      </c>
      <c r="D1253" s="5">
        <v>45878</v>
      </c>
      <c r="E1253" s="6">
        <v>1634972198119</v>
      </c>
      <c r="F1253" s="6">
        <v>438470785011</v>
      </c>
      <c r="G1253" s="6">
        <v>1196501413108</v>
      </c>
      <c r="H1253" s="6">
        <v>415406087122</v>
      </c>
      <c r="I1253" s="7">
        <v>1219566110997</v>
      </c>
    </row>
    <row r="1254" spans="1:9" ht="12" customHeight="1" thickBot="1" x14ac:dyDescent="0.25">
      <c r="A1254" s="1" t="s">
        <v>46</v>
      </c>
      <c r="B1254" s="1" t="s">
        <v>12</v>
      </c>
      <c r="C1254" s="1" t="s">
        <v>23</v>
      </c>
      <c r="D1254" s="5">
        <v>45879</v>
      </c>
      <c r="E1254" s="6">
        <v>1642989197362</v>
      </c>
      <c r="F1254" s="6">
        <v>440614348632</v>
      </c>
      <c r="G1254" s="6">
        <v>1202374848730</v>
      </c>
      <c r="H1254" s="6">
        <v>414936087181</v>
      </c>
      <c r="I1254" s="7">
        <v>1228053110181</v>
      </c>
    </row>
    <row r="1255" spans="1:9" ht="12" customHeight="1" thickBot="1" x14ac:dyDescent="0.25">
      <c r="A1255" s="1" t="s">
        <v>46</v>
      </c>
      <c r="B1255" s="1" t="s">
        <v>12</v>
      </c>
      <c r="C1255" s="1" t="s">
        <v>23</v>
      </c>
      <c r="D1255" s="5">
        <v>45880</v>
      </c>
      <c r="E1255" s="6">
        <v>1643915177797</v>
      </c>
      <c r="F1255" s="6">
        <v>436502076336</v>
      </c>
      <c r="G1255" s="6">
        <v>1207413101461</v>
      </c>
      <c r="H1255" s="6">
        <v>414124610872</v>
      </c>
      <c r="I1255" s="7">
        <v>1229790566925</v>
      </c>
    </row>
    <row r="1256" spans="1:9" ht="12" customHeight="1" thickBot="1" x14ac:dyDescent="0.25">
      <c r="A1256" s="1" t="s">
        <v>46</v>
      </c>
      <c r="B1256" s="1" t="s">
        <v>12</v>
      </c>
      <c r="C1256" s="1" t="s">
        <v>23</v>
      </c>
      <c r="D1256" s="5">
        <v>45881</v>
      </c>
      <c r="E1256" s="6">
        <v>1648674451696</v>
      </c>
      <c r="F1256" s="6">
        <v>442521233474</v>
      </c>
      <c r="G1256" s="6">
        <v>1206153218222</v>
      </c>
      <c r="H1256" s="6">
        <v>414874645965</v>
      </c>
      <c r="I1256" s="7">
        <v>1233799805731</v>
      </c>
    </row>
    <row r="1257" spans="1:9" ht="12" customHeight="1" thickBot="1" x14ac:dyDescent="0.25">
      <c r="A1257" s="1" t="s">
        <v>46</v>
      </c>
      <c r="B1257" s="1" t="s">
        <v>12</v>
      </c>
      <c r="C1257" s="1" t="s">
        <v>23</v>
      </c>
      <c r="D1257" s="5">
        <v>45882</v>
      </c>
      <c r="E1257" s="6">
        <v>1654382662507</v>
      </c>
      <c r="F1257" s="6">
        <v>444052646501</v>
      </c>
      <c r="G1257" s="6">
        <v>1210330016006</v>
      </c>
      <c r="H1257" s="6">
        <v>416570373349</v>
      </c>
      <c r="I1257" s="7">
        <v>1237812289158</v>
      </c>
    </row>
    <row r="1258" spans="1:9" ht="12" customHeight="1" thickBot="1" x14ac:dyDescent="0.25">
      <c r="A1258" s="1" t="s">
        <v>46</v>
      </c>
      <c r="B1258" s="1" t="s">
        <v>12</v>
      </c>
      <c r="C1258" s="1" t="s">
        <v>23</v>
      </c>
      <c r="D1258" s="5">
        <v>45883</v>
      </c>
      <c r="E1258" s="6">
        <v>1657792688401</v>
      </c>
      <c r="F1258" s="6">
        <v>444981279093</v>
      </c>
      <c r="G1258" s="6">
        <v>1212811409308</v>
      </c>
      <c r="H1258" s="6">
        <v>415764833045</v>
      </c>
      <c r="I1258" s="7">
        <v>1242027855356</v>
      </c>
    </row>
    <row r="1259" spans="1:9" ht="12" customHeight="1" thickBot="1" x14ac:dyDescent="0.25">
      <c r="A1259" s="1" t="s">
        <v>46</v>
      </c>
      <c r="B1259" s="1" t="s">
        <v>12</v>
      </c>
      <c r="C1259" s="1" t="s">
        <v>23</v>
      </c>
      <c r="D1259" s="5">
        <v>45884</v>
      </c>
      <c r="E1259" s="6">
        <v>1662885658743</v>
      </c>
      <c r="F1259" s="6">
        <v>444975810315</v>
      </c>
      <c r="G1259" s="6">
        <v>1217909848428</v>
      </c>
      <c r="H1259" s="6">
        <v>418704998868</v>
      </c>
      <c r="I1259" s="7">
        <v>1244180659875</v>
      </c>
    </row>
    <row r="1260" spans="1:9" ht="12" customHeight="1" thickBot="1" x14ac:dyDescent="0.25">
      <c r="A1260" s="1" t="s">
        <v>46</v>
      </c>
      <c r="B1260" s="1" t="s">
        <v>12</v>
      </c>
      <c r="C1260" s="1" t="s">
        <v>23</v>
      </c>
      <c r="D1260" s="5">
        <v>45885</v>
      </c>
      <c r="E1260" s="6">
        <v>1667320690339</v>
      </c>
      <c r="F1260" s="6">
        <v>446569110138</v>
      </c>
      <c r="G1260" s="6">
        <v>1220751580201</v>
      </c>
      <c r="H1260" s="6">
        <v>419674396697</v>
      </c>
      <c r="I1260" s="7">
        <v>1247646293642</v>
      </c>
    </row>
    <row r="1261" spans="1:9" ht="12" customHeight="1" thickBot="1" x14ac:dyDescent="0.25">
      <c r="A1261" s="1" t="s">
        <v>46</v>
      </c>
      <c r="B1261" s="1" t="s">
        <v>12</v>
      </c>
      <c r="C1261" s="1" t="s">
        <v>23</v>
      </c>
      <c r="D1261" s="5">
        <v>45886</v>
      </c>
      <c r="E1261" s="6">
        <v>1674501317487</v>
      </c>
      <c r="F1261" s="6">
        <v>448740653734</v>
      </c>
      <c r="G1261" s="6">
        <v>1225760663753</v>
      </c>
      <c r="H1261" s="6">
        <v>421200936363</v>
      </c>
      <c r="I1261" s="7">
        <v>1253300381124</v>
      </c>
    </row>
    <row r="1262" spans="1:9" ht="12" customHeight="1" thickBot="1" x14ac:dyDescent="0.25">
      <c r="A1262" s="1" t="s">
        <v>46</v>
      </c>
      <c r="B1262" s="1" t="s">
        <v>12</v>
      </c>
      <c r="C1262" s="1" t="s">
        <v>23</v>
      </c>
      <c r="D1262" s="5">
        <v>45887</v>
      </c>
      <c r="E1262" s="6">
        <v>1678081533581</v>
      </c>
      <c r="F1262" s="6">
        <v>445298816793</v>
      </c>
      <c r="G1262" s="6">
        <v>1232782716788</v>
      </c>
      <c r="H1262" s="6">
        <v>422172727484</v>
      </c>
      <c r="I1262" s="7">
        <v>1255908806097</v>
      </c>
    </row>
    <row r="1263" spans="1:9" ht="12" customHeight="1" thickBot="1" x14ac:dyDescent="0.25">
      <c r="A1263" s="1" t="s">
        <v>46</v>
      </c>
      <c r="B1263" s="1" t="s">
        <v>12</v>
      </c>
      <c r="C1263" s="1" t="s">
        <v>23</v>
      </c>
      <c r="D1263" s="5">
        <v>45888</v>
      </c>
      <c r="E1263" s="6">
        <v>1681179339607</v>
      </c>
      <c r="F1263" s="6">
        <v>452062172851</v>
      </c>
      <c r="G1263" s="6">
        <v>1229117166756</v>
      </c>
      <c r="H1263" s="6">
        <v>423163136217</v>
      </c>
      <c r="I1263" s="7">
        <v>1258016203390</v>
      </c>
    </row>
    <row r="1264" spans="1:9" ht="12" customHeight="1" thickBot="1" x14ac:dyDescent="0.25">
      <c r="A1264" s="1" t="s">
        <v>46</v>
      </c>
      <c r="B1264" s="1" t="s">
        <v>12</v>
      </c>
      <c r="C1264" s="1" t="s">
        <v>23</v>
      </c>
      <c r="D1264" s="5">
        <v>45889</v>
      </c>
      <c r="E1264" s="6">
        <v>1686096342310</v>
      </c>
      <c r="F1264" s="6">
        <v>452904972749</v>
      </c>
      <c r="G1264" s="6">
        <v>1233191369561</v>
      </c>
      <c r="H1264" s="6">
        <v>424070331041</v>
      </c>
      <c r="I1264" s="7">
        <v>1262026011269</v>
      </c>
    </row>
    <row r="1265" spans="1:9" ht="12" customHeight="1" thickBot="1" x14ac:dyDescent="0.25">
      <c r="A1265" s="1" t="s">
        <v>46</v>
      </c>
      <c r="B1265" s="1" t="s">
        <v>12</v>
      </c>
      <c r="C1265" s="1" t="s">
        <v>23</v>
      </c>
      <c r="D1265" s="5">
        <v>45890</v>
      </c>
      <c r="E1265" s="6">
        <v>1690999302906</v>
      </c>
      <c r="F1265" s="6">
        <v>453808145072</v>
      </c>
      <c r="G1265" s="6">
        <v>1237191157834</v>
      </c>
      <c r="H1265" s="6">
        <v>423257356064</v>
      </c>
      <c r="I1265" s="7">
        <v>1267741946842</v>
      </c>
    </row>
    <row r="1266" spans="1:9" ht="12" customHeight="1" thickBot="1" x14ac:dyDescent="0.25">
      <c r="A1266" s="1" t="s">
        <v>46</v>
      </c>
      <c r="B1266" s="1" t="s">
        <v>12</v>
      </c>
      <c r="C1266" s="1" t="s">
        <v>23</v>
      </c>
      <c r="D1266" s="5">
        <v>45891</v>
      </c>
      <c r="E1266" s="6">
        <v>1695932945204</v>
      </c>
      <c r="F1266" s="6">
        <v>454762998972</v>
      </c>
      <c r="G1266" s="6">
        <v>1241169946232</v>
      </c>
      <c r="H1266" s="6">
        <v>426602416487</v>
      </c>
      <c r="I1266" s="7">
        <v>1269330528717</v>
      </c>
    </row>
    <row r="1267" spans="1:9" ht="12" customHeight="1" thickBot="1" x14ac:dyDescent="0.25">
      <c r="A1267" s="1" t="s">
        <v>46</v>
      </c>
      <c r="B1267" s="1" t="s">
        <v>12</v>
      </c>
      <c r="C1267" s="1" t="s">
        <v>23</v>
      </c>
      <c r="D1267" s="5">
        <v>45892</v>
      </c>
      <c r="E1267" s="6">
        <v>1699825781844</v>
      </c>
      <c r="F1267" s="6">
        <v>456114222097</v>
      </c>
      <c r="G1267" s="6">
        <v>1243711559747</v>
      </c>
      <c r="H1267" s="6">
        <v>428439163124</v>
      </c>
      <c r="I1267" s="7">
        <v>1271386618720</v>
      </c>
    </row>
    <row r="1268" spans="1:9" ht="12" customHeight="1" thickBot="1" x14ac:dyDescent="0.25">
      <c r="A1268" s="1" t="s">
        <v>46</v>
      </c>
      <c r="B1268" s="1" t="s">
        <v>12</v>
      </c>
      <c r="C1268" s="1" t="s">
        <v>23</v>
      </c>
      <c r="D1268" s="5">
        <v>45893</v>
      </c>
      <c r="E1268" s="6">
        <v>1706834267747</v>
      </c>
      <c r="F1268" s="6">
        <v>458392550187</v>
      </c>
      <c r="G1268" s="6">
        <v>1248441717560</v>
      </c>
      <c r="H1268" s="6">
        <v>429875935134</v>
      </c>
      <c r="I1268" s="7">
        <v>1276958332613</v>
      </c>
    </row>
    <row r="1269" spans="1:9" ht="12" customHeight="1" thickBot="1" x14ac:dyDescent="0.25">
      <c r="A1269" s="1" t="s">
        <v>46</v>
      </c>
      <c r="B1269" s="1" t="s">
        <v>12</v>
      </c>
      <c r="C1269" s="1" t="s">
        <v>23</v>
      </c>
      <c r="D1269" s="5">
        <v>45894</v>
      </c>
      <c r="E1269" s="6">
        <v>1709109207253</v>
      </c>
      <c r="F1269" s="6">
        <v>454945445929</v>
      </c>
      <c r="G1269" s="6">
        <v>1254163761324</v>
      </c>
      <c r="H1269" s="6">
        <v>431278661712</v>
      </c>
      <c r="I1269" s="7">
        <v>1277830545541</v>
      </c>
    </row>
    <row r="1270" spans="1:9" ht="12" customHeight="1" thickBot="1" x14ac:dyDescent="0.25">
      <c r="A1270" s="1" t="s">
        <v>46</v>
      </c>
      <c r="B1270" s="1" t="s">
        <v>12</v>
      </c>
      <c r="C1270" s="1" t="s">
        <v>23</v>
      </c>
      <c r="D1270" s="5">
        <v>45895</v>
      </c>
      <c r="E1270" s="6">
        <v>1713198496384</v>
      </c>
      <c r="F1270" s="6">
        <v>461074206258</v>
      </c>
      <c r="G1270" s="6">
        <v>1252124290126</v>
      </c>
      <c r="H1270" s="6">
        <v>432741310716</v>
      </c>
      <c r="I1270" s="7">
        <v>1280457185668</v>
      </c>
    </row>
    <row r="1271" spans="1:9" ht="12" customHeight="1" thickBot="1" x14ac:dyDescent="0.25">
      <c r="A1271" s="1" t="s">
        <v>46</v>
      </c>
      <c r="B1271" s="1" t="s">
        <v>12</v>
      </c>
      <c r="C1271" s="1" t="s">
        <v>23</v>
      </c>
      <c r="D1271" s="5">
        <v>45896</v>
      </c>
      <c r="E1271" s="6">
        <v>1718229328469</v>
      </c>
      <c r="F1271" s="6">
        <v>462667739784</v>
      </c>
      <c r="G1271" s="6">
        <v>1255561588685</v>
      </c>
      <c r="H1271" s="6">
        <v>434359705404</v>
      </c>
      <c r="I1271" s="7">
        <v>1283869623065</v>
      </c>
    </row>
    <row r="1272" spans="1:9" ht="12" customHeight="1" thickBot="1" x14ac:dyDescent="0.25">
      <c r="A1272" s="1" t="s">
        <v>46</v>
      </c>
      <c r="B1272" s="1" t="s">
        <v>12</v>
      </c>
      <c r="C1272" s="1" t="s">
        <v>23</v>
      </c>
      <c r="D1272" s="5">
        <v>45897</v>
      </c>
      <c r="E1272" s="6">
        <v>1717409154307</v>
      </c>
      <c r="F1272" s="6">
        <v>464011534798</v>
      </c>
      <c r="G1272" s="6">
        <v>1253397619509</v>
      </c>
      <c r="H1272" s="6">
        <v>433734562889</v>
      </c>
      <c r="I1272" s="7">
        <v>1283674591418</v>
      </c>
    </row>
    <row r="1273" spans="1:9" ht="12" customHeight="1" thickBot="1" x14ac:dyDescent="0.25">
      <c r="A1273" s="1" t="s">
        <v>46</v>
      </c>
      <c r="B1273" s="1" t="s">
        <v>12</v>
      </c>
      <c r="C1273" s="1" t="s">
        <v>23</v>
      </c>
      <c r="D1273" s="5">
        <v>45898</v>
      </c>
      <c r="E1273" s="6">
        <v>1723828543928</v>
      </c>
      <c r="F1273" s="6">
        <v>473573792834</v>
      </c>
      <c r="G1273" s="6">
        <v>1250254751094</v>
      </c>
      <c r="H1273" s="6">
        <v>437130343745</v>
      </c>
      <c r="I1273" s="7">
        <v>1286698200183</v>
      </c>
    </row>
    <row r="1274" spans="1:9" ht="12" customHeight="1" thickBot="1" x14ac:dyDescent="0.25">
      <c r="A1274" s="1" t="s">
        <v>46</v>
      </c>
      <c r="B1274" s="1" t="s">
        <v>12</v>
      </c>
      <c r="C1274" s="1" t="s">
        <v>23</v>
      </c>
      <c r="D1274" s="5">
        <v>45899</v>
      </c>
      <c r="E1274" s="6">
        <v>1731306718488</v>
      </c>
      <c r="F1274" s="6">
        <v>468515111755</v>
      </c>
      <c r="G1274" s="6">
        <v>1262791606733</v>
      </c>
      <c r="H1274" s="6">
        <v>438596762351</v>
      </c>
      <c r="I1274" s="7">
        <v>1292709956137</v>
      </c>
    </row>
    <row r="1275" spans="1:9" ht="12" customHeight="1" thickBot="1" x14ac:dyDescent="0.25">
      <c r="A1275" s="1" t="s">
        <v>46</v>
      </c>
      <c r="B1275" s="1" t="s">
        <v>12</v>
      </c>
      <c r="C1275" s="1" t="s">
        <v>23</v>
      </c>
      <c r="D1275" s="5">
        <v>45900</v>
      </c>
      <c r="E1275" s="6">
        <v>1738375896457</v>
      </c>
      <c r="F1275" s="6">
        <v>465802859926</v>
      </c>
      <c r="G1275" s="6">
        <v>1272573036531</v>
      </c>
      <c r="H1275" s="6">
        <v>439972572397</v>
      </c>
      <c r="I1275" s="7">
        <v>1298403324060</v>
      </c>
    </row>
    <row r="1276" spans="1:9" ht="12" customHeight="1" thickBot="1" x14ac:dyDescent="0.25">
      <c r="A1276" s="1" t="s">
        <v>46</v>
      </c>
      <c r="B1276" s="1" t="s">
        <v>12</v>
      </c>
      <c r="C1276" s="1" t="s">
        <v>23</v>
      </c>
      <c r="D1276" s="5">
        <v>45901</v>
      </c>
      <c r="E1276" s="6">
        <v>1743509765882</v>
      </c>
      <c r="F1276" s="6">
        <v>463892761455</v>
      </c>
      <c r="G1276" s="6">
        <v>1279617004427</v>
      </c>
      <c r="H1276" s="6">
        <v>441442348290</v>
      </c>
      <c r="I1276" s="7">
        <v>1302067417592</v>
      </c>
    </row>
    <row r="1277" spans="1:9" ht="12" customHeight="1" thickBot="1" x14ac:dyDescent="0.25">
      <c r="A1277" s="1" t="s">
        <v>46</v>
      </c>
      <c r="B1277" s="1" t="s">
        <v>12</v>
      </c>
      <c r="C1277" s="1" t="s">
        <v>23</v>
      </c>
      <c r="D1277" s="5">
        <v>45902</v>
      </c>
      <c r="E1277" s="6">
        <v>1749961732619</v>
      </c>
      <c r="F1277" s="6">
        <v>462892596521</v>
      </c>
      <c r="G1277" s="6">
        <v>1287069136098</v>
      </c>
      <c r="H1277" s="6">
        <v>443163303985</v>
      </c>
      <c r="I1277" s="7">
        <v>1306798428634</v>
      </c>
    </row>
    <row r="1278" spans="1:9" ht="12" customHeight="1" thickBot="1" x14ac:dyDescent="0.25">
      <c r="A1278" s="1" t="s">
        <v>46</v>
      </c>
      <c r="B1278" s="1" t="s">
        <v>12</v>
      </c>
      <c r="C1278" s="1" t="s">
        <v>23</v>
      </c>
      <c r="D1278" s="5">
        <v>45903</v>
      </c>
      <c r="E1278" s="6">
        <v>1750099284635</v>
      </c>
      <c r="F1278" s="6">
        <v>461049543564</v>
      </c>
      <c r="G1278" s="6">
        <v>1289049741071</v>
      </c>
      <c r="H1278" s="6">
        <v>444430736972</v>
      </c>
      <c r="I1278" s="7">
        <v>1305668547663</v>
      </c>
    </row>
    <row r="1279" spans="1:9" ht="12" customHeight="1" thickBot="1" x14ac:dyDescent="0.25">
      <c r="A1279" s="1" t="s">
        <v>46</v>
      </c>
      <c r="B1279" s="1" t="s">
        <v>12</v>
      </c>
      <c r="C1279" s="1" t="s">
        <v>23</v>
      </c>
      <c r="D1279" s="5">
        <v>45904</v>
      </c>
      <c r="E1279" s="6">
        <v>1756947917428</v>
      </c>
      <c r="F1279" s="6">
        <v>474400736551</v>
      </c>
      <c r="G1279" s="6">
        <v>1282547180877</v>
      </c>
      <c r="H1279" s="6">
        <v>443666789328</v>
      </c>
      <c r="I1279" s="7">
        <v>1313281128100</v>
      </c>
    </row>
    <row r="1280" spans="1:9" ht="12" customHeight="1" thickBot="1" x14ac:dyDescent="0.25">
      <c r="A1280" s="1" t="s">
        <v>46</v>
      </c>
      <c r="B1280" s="1" t="s">
        <v>12</v>
      </c>
      <c r="C1280" s="1" t="s">
        <v>23</v>
      </c>
      <c r="D1280" s="5">
        <v>45905</v>
      </c>
      <c r="E1280" s="6">
        <v>1764279834877</v>
      </c>
      <c r="F1280" s="6">
        <v>474780136491</v>
      </c>
      <c r="G1280" s="6">
        <v>1289499698386</v>
      </c>
      <c r="H1280" s="6">
        <v>446784910426</v>
      </c>
      <c r="I1280" s="7">
        <v>1317494924451</v>
      </c>
    </row>
    <row r="1281" spans="1:9" ht="12" customHeight="1" thickBot="1" x14ac:dyDescent="0.25">
      <c r="A1281" s="1" t="s">
        <v>46</v>
      </c>
      <c r="B1281" s="1" t="s">
        <v>12</v>
      </c>
      <c r="C1281" s="1" t="s">
        <v>23</v>
      </c>
      <c r="D1281" s="5">
        <v>45906</v>
      </c>
      <c r="E1281" s="6">
        <v>1772564819731</v>
      </c>
      <c r="F1281" s="6">
        <v>476855964983</v>
      </c>
      <c r="G1281" s="6">
        <v>1295708854748</v>
      </c>
      <c r="H1281" s="6">
        <v>448129641785</v>
      </c>
      <c r="I1281" s="7">
        <v>1324435177946</v>
      </c>
    </row>
    <row r="1282" spans="1:9" ht="12" customHeight="1" thickBot="1" x14ac:dyDescent="0.25">
      <c r="A1282" s="1" t="s">
        <v>46</v>
      </c>
      <c r="B1282" s="1" t="s">
        <v>12</v>
      </c>
      <c r="C1282" s="1" t="s">
        <v>23</v>
      </c>
      <c r="D1282" s="5">
        <v>45907</v>
      </c>
      <c r="E1282" s="6">
        <v>1783173877958</v>
      </c>
      <c r="F1282" s="6">
        <v>480025961786</v>
      </c>
      <c r="G1282" s="6">
        <v>1303147916172</v>
      </c>
      <c r="H1282" s="6">
        <v>449536475288</v>
      </c>
      <c r="I1282" s="7">
        <v>1333637402670</v>
      </c>
    </row>
    <row r="1283" spans="1:9" ht="12" customHeight="1" thickBot="1" x14ac:dyDescent="0.25">
      <c r="A1283" s="1" t="s">
        <v>46</v>
      </c>
      <c r="B1283" s="1" t="s">
        <v>12</v>
      </c>
      <c r="C1283" s="1" t="s">
        <v>23</v>
      </c>
      <c r="D1283" s="5">
        <v>45908</v>
      </c>
      <c r="E1283" s="6">
        <v>1790262078528</v>
      </c>
      <c r="F1283" s="6">
        <v>475017156050</v>
      </c>
      <c r="G1283" s="6">
        <v>1315244922478</v>
      </c>
      <c r="H1283" s="6">
        <v>454468523862</v>
      </c>
      <c r="I1283" s="7">
        <v>1335793554666</v>
      </c>
    </row>
    <row r="1284" spans="1:9" ht="12" customHeight="1" thickBot="1" x14ac:dyDescent="0.25">
      <c r="A1284" s="1" t="s">
        <v>46</v>
      </c>
      <c r="B1284" s="1" t="s">
        <v>12</v>
      </c>
      <c r="C1284" s="1" t="s">
        <v>23</v>
      </c>
      <c r="D1284" s="5">
        <v>45909</v>
      </c>
      <c r="E1284" s="6">
        <v>1799670049461</v>
      </c>
      <c r="F1284" s="6">
        <v>483120340290</v>
      </c>
      <c r="G1284" s="6">
        <v>1316549709171</v>
      </c>
      <c r="H1284" s="6">
        <v>453662760882</v>
      </c>
      <c r="I1284" s="7">
        <v>1346007288579</v>
      </c>
    </row>
    <row r="1285" spans="1:9" ht="12" customHeight="1" thickBot="1" x14ac:dyDescent="0.25">
      <c r="A1285" s="1" t="s">
        <v>46</v>
      </c>
      <c r="B1285" s="1" t="s">
        <v>12</v>
      </c>
      <c r="C1285" s="1" t="s">
        <v>23</v>
      </c>
      <c r="D1285" s="5">
        <v>45910</v>
      </c>
      <c r="E1285" s="6">
        <v>1810090576449</v>
      </c>
      <c r="F1285" s="6">
        <v>481102704249</v>
      </c>
      <c r="G1285" s="6">
        <v>1328987872200</v>
      </c>
      <c r="H1285" s="6">
        <v>451909292583</v>
      </c>
      <c r="I1285" s="7">
        <v>1358181283866</v>
      </c>
    </row>
    <row r="1286" spans="1:9" ht="12" customHeight="1" thickBot="1" x14ac:dyDescent="0.25">
      <c r="A1286" s="1" t="s">
        <v>46</v>
      </c>
      <c r="B1286" s="1" t="s">
        <v>12</v>
      </c>
      <c r="C1286" s="1" t="s">
        <v>23</v>
      </c>
      <c r="D1286" s="5">
        <v>45911</v>
      </c>
      <c r="E1286" s="6">
        <v>1820125739298</v>
      </c>
      <c r="F1286" s="6">
        <v>480692689418</v>
      </c>
      <c r="G1286" s="6">
        <v>1339433049880</v>
      </c>
      <c r="H1286" s="6">
        <v>450977184074</v>
      </c>
      <c r="I1286" s="7">
        <v>1369148555224</v>
      </c>
    </row>
    <row r="1287" spans="1:9" ht="12" customHeight="1" thickBot="1" x14ac:dyDescent="0.25">
      <c r="A1287" s="1" t="s">
        <v>46</v>
      </c>
      <c r="B1287" s="1" t="s">
        <v>12</v>
      </c>
      <c r="C1287" s="1" t="s">
        <v>23</v>
      </c>
      <c r="D1287" s="5">
        <v>45912</v>
      </c>
      <c r="E1287" s="6">
        <v>1827633414844</v>
      </c>
      <c r="F1287" s="6">
        <v>481340164159</v>
      </c>
      <c r="G1287" s="6">
        <v>1346293250685</v>
      </c>
      <c r="H1287" s="6">
        <v>450201560968</v>
      </c>
      <c r="I1287" s="7">
        <v>1377431853876</v>
      </c>
    </row>
    <row r="1288" spans="1:9" ht="12" customHeight="1" thickBot="1" x14ac:dyDescent="0.25">
      <c r="A1288" s="1" t="s">
        <v>46</v>
      </c>
      <c r="B1288" s="1" t="s">
        <v>12</v>
      </c>
      <c r="C1288" s="1" t="s">
        <v>23</v>
      </c>
      <c r="D1288" s="5">
        <v>45913</v>
      </c>
      <c r="E1288" s="6">
        <v>1835540115526</v>
      </c>
      <c r="F1288" s="6">
        <v>483349206324</v>
      </c>
      <c r="G1288" s="6">
        <v>1352190909202</v>
      </c>
      <c r="H1288" s="6">
        <v>449735661449</v>
      </c>
      <c r="I1288" s="7">
        <v>1385804454077</v>
      </c>
    </row>
    <row r="1289" spans="1:9" ht="12" customHeight="1" thickBot="1" x14ac:dyDescent="0.25">
      <c r="A1289" s="1" t="s">
        <v>46</v>
      </c>
      <c r="B1289" s="1" t="s">
        <v>12</v>
      </c>
      <c r="C1289" s="1" t="s">
        <v>23</v>
      </c>
      <c r="D1289" s="5">
        <v>45914</v>
      </c>
      <c r="E1289" s="6">
        <v>1847789248816</v>
      </c>
      <c r="F1289" s="6">
        <v>486571941778</v>
      </c>
      <c r="G1289" s="6">
        <v>1361217307038</v>
      </c>
      <c r="H1289" s="6">
        <v>455769773269</v>
      </c>
      <c r="I1289" s="7">
        <v>1392019475547</v>
      </c>
    </row>
    <row r="1290" spans="1:9" ht="12" customHeight="1" thickBot="1" x14ac:dyDescent="0.25">
      <c r="A1290" s="1" t="s">
        <v>46</v>
      </c>
      <c r="B1290" s="1" t="s">
        <v>12</v>
      </c>
      <c r="C1290" s="1" t="s">
        <v>23</v>
      </c>
      <c r="D1290" s="5">
        <v>45915</v>
      </c>
      <c r="E1290" s="6">
        <v>1854931609120</v>
      </c>
      <c r="F1290" s="6">
        <v>481486345759</v>
      </c>
      <c r="G1290" s="6">
        <v>1373445263361</v>
      </c>
      <c r="H1290" s="6">
        <v>456942935184</v>
      </c>
      <c r="I1290" s="7">
        <v>1397988673936</v>
      </c>
    </row>
    <row r="1291" spans="1:9" ht="12" customHeight="1" thickBot="1" x14ac:dyDescent="0.25">
      <c r="A1291" s="1" t="s">
        <v>46</v>
      </c>
      <c r="B1291" s="1" t="s">
        <v>12</v>
      </c>
      <c r="C1291" s="1" t="s">
        <v>23</v>
      </c>
      <c r="D1291" s="5">
        <v>45916</v>
      </c>
      <c r="E1291" s="6">
        <v>1863760144754</v>
      </c>
      <c r="F1291" s="6">
        <v>487479922221</v>
      </c>
      <c r="G1291" s="6">
        <v>1376280222533</v>
      </c>
      <c r="H1291" s="6">
        <v>458155552039</v>
      </c>
      <c r="I1291" s="7">
        <v>1405604592715</v>
      </c>
    </row>
    <row r="1292" spans="1:9" ht="12" customHeight="1" thickBot="1" x14ac:dyDescent="0.25">
      <c r="A1292" s="1" t="s">
        <v>46</v>
      </c>
      <c r="B1292" s="1" t="s">
        <v>12</v>
      </c>
      <c r="C1292" s="1" t="s">
        <v>23</v>
      </c>
      <c r="D1292" s="5">
        <v>45917</v>
      </c>
      <c r="E1292" s="6">
        <v>1872239861924</v>
      </c>
      <c r="F1292" s="6">
        <v>487543925355</v>
      </c>
      <c r="G1292" s="6">
        <v>1384695936569</v>
      </c>
      <c r="H1292" s="6">
        <v>459323709670</v>
      </c>
      <c r="I1292" s="7">
        <v>1412916152254</v>
      </c>
    </row>
    <row r="1293" spans="1:9" ht="12" customHeight="1" thickBot="1" x14ac:dyDescent="0.25">
      <c r="A1293" s="1" t="s">
        <v>46</v>
      </c>
      <c r="B1293" s="1" t="s">
        <v>12</v>
      </c>
      <c r="C1293" s="1" t="s">
        <v>23</v>
      </c>
      <c r="D1293" s="5">
        <v>45918</v>
      </c>
      <c r="E1293" s="6">
        <v>1879380930946</v>
      </c>
      <c r="F1293" s="6">
        <v>488679829976</v>
      </c>
      <c r="G1293" s="6">
        <v>1390701100970</v>
      </c>
      <c r="H1293" s="6">
        <v>458472018734</v>
      </c>
      <c r="I1293" s="7">
        <v>1420908912212</v>
      </c>
    </row>
    <row r="1294" spans="1:9" ht="12" customHeight="1" thickBot="1" x14ac:dyDescent="0.25">
      <c r="A1294" s="1" t="s">
        <v>46</v>
      </c>
      <c r="B1294" s="1" t="s">
        <v>12</v>
      </c>
      <c r="C1294" s="1" t="s">
        <v>23</v>
      </c>
      <c r="D1294" s="5">
        <v>45919</v>
      </c>
      <c r="E1294" s="6">
        <v>1886427822435</v>
      </c>
      <c r="F1294" s="6">
        <v>490380980018</v>
      </c>
      <c r="G1294" s="6">
        <v>1396046842417</v>
      </c>
      <c r="H1294" s="6">
        <v>461537766575</v>
      </c>
      <c r="I1294" s="7">
        <v>1424890055860</v>
      </c>
    </row>
    <row r="1295" spans="1:9" ht="12" customHeight="1" thickBot="1" x14ac:dyDescent="0.25">
      <c r="A1295" s="1" t="s">
        <v>46</v>
      </c>
      <c r="B1295" s="1" t="s">
        <v>12</v>
      </c>
      <c r="C1295" s="1" t="s">
        <v>23</v>
      </c>
      <c r="D1295" s="5">
        <v>45920</v>
      </c>
      <c r="E1295" s="6">
        <v>1894722869610</v>
      </c>
      <c r="F1295" s="6">
        <v>492312361097</v>
      </c>
      <c r="G1295" s="6">
        <v>1402410508513</v>
      </c>
      <c r="H1295" s="6">
        <v>463106162656</v>
      </c>
      <c r="I1295" s="7">
        <v>1431616706954</v>
      </c>
    </row>
    <row r="1296" spans="1:9" ht="12" customHeight="1" thickBot="1" x14ac:dyDescent="0.25">
      <c r="A1296" s="1" t="s">
        <v>46</v>
      </c>
      <c r="B1296" s="1" t="s">
        <v>12</v>
      </c>
      <c r="C1296" s="1" t="s">
        <v>23</v>
      </c>
      <c r="D1296" s="5">
        <v>45921</v>
      </c>
      <c r="E1296" s="6">
        <v>1905162071955</v>
      </c>
      <c r="F1296" s="6">
        <v>495474389943</v>
      </c>
      <c r="G1296" s="6">
        <v>1409687682012</v>
      </c>
      <c r="H1296" s="6">
        <v>464414038324</v>
      </c>
      <c r="I1296" s="7">
        <v>1440748033631</v>
      </c>
    </row>
    <row r="1297" spans="1:9" ht="12" customHeight="1" thickBot="1" x14ac:dyDescent="0.25">
      <c r="A1297" s="1" t="s">
        <v>46</v>
      </c>
      <c r="B1297" s="1" t="s">
        <v>12</v>
      </c>
      <c r="C1297" s="1" t="s">
        <v>23</v>
      </c>
      <c r="D1297" s="5">
        <v>45922</v>
      </c>
      <c r="E1297" s="6">
        <v>1910184555717</v>
      </c>
      <c r="F1297" s="6">
        <v>491548979415</v>
      </c>
      <c r="G1297" s="6">
        <v>1418635576302</v>
      </c>
      <c r="H1297" s="6">
        <v>465963792672</v>
      </c>
      <c r="I1297" s="7">
        <v>1444220763045</v>
      </c>
    </row>
    <row r="1298" spans="1:9" ht="12" customHeight="1" thickBot="1" x14ac:dyDescent="0.25">
      <c r="A1298" s="1" t="s">
        <v>46</v>
      </c>
      <c r="B1298" s="1" t="s">
        <v>12</v>
      </c>
      <c r="C1298" s="1" t="s">
        <v>23</v>
      </c>
      <c r="D1298" s="5">
        <v>45923</v>
      </c>
      <c r="E1298" s="6">
        <v>1917605663622</v>
      </c>
      <c r="F1298" s="6">
        <v>498503355166</v>
      </c>
      <c r="G1298" s="6">
        <v>1419102308456</v>
      </c>
      <c r="H1298" s="6">
        <v>467394478106</v>
      </c>
      <c r="I1298" s="7">
        <v>1450211185516</v>
      </c>
    </row>
    <row r="1299" spans="1:9" ht="12" customHeight="1" thickBot="1" x14ac:dyDescent="0.25">
      <c r="A1299" s="1" t="s">
        <v>46</v>
      </c>
      <c r="B1299" s="1" t="s">
        <v>12</v>
      </c>
      <c r="C1299" s="1" t="s">
        <v>23</v>
      </c>
      <c r="D1299" s="5">
        <v>45924</v>
      </c>
      <c r="E1299" s="6">
        <v>1924684191819</v>
      </c>
      <c r="F1299" s="6">
        <v>499017329292</v>
      </c>
      <c r="G1299" s="6">
        <v>1425666862527</v>
      </c>
      <c r="H1299" s="6">
        <v>468859108177</v>
      </c>
      <c r="I1299" s="7">
        <v>1455825083642</v>
      </c>
    </row>
    <row r="1300" spans="1:9" ht="12" customHeight="1" thickBot="1" x14ac:dyDescent="0.25">
      <c r="A1300" s="1" t="s">
        <v>46</v>
      </c>
      <c r="B1300" s="1" t="s">
        <v>12</v>
      </c>
      <c r="C1300" s="1" t="s">
        <v>23</v>
      </c>
      <c r="D1300" s="5">
        <v>45925</v>
      </c>
      <c r="E1300" s="6">
        <v>1932131394926</v>
      </c>
      <c r="F1300" s="6">
        <v>500309025937</v>
      </c>
      <c r="G1300" s="6">
        <v>1431822368989</v>
      </c>
      <c r="H1300" s="6">
        <v>468180573753</v>
      </c>
      <c r="I1300" s="7">
        <v>1463950821173</v>
      </c>
    </row>
    <row r="1301" spans="1:9" ht="12" customHeight="1" thickBot="1" x14ac:dyDescent="0.25">
      <c r="A1301" s="1" t="s">
        <v>46</v>
      </c>
      <c r="B1301" s="1" t="s">
        <v>12</v>
      </c>
      <c r="C1301" s="1" t="s">
        <v>23</v>
      </c>
      <c r="D1301" s="5">
        <v>45926</v>
      </c>
      <c r="E1301" s="6">
        <v>1940065290371</v>
      </c>
      <c r="F1301" s="6">
        <v>501265753255</v>
      </c>
      <c r="G1301" s="6">
        <v>1438799537116</v>
      </c>
      <c r="H1301" s="6">
        <v>471532426523</v>
      </c>
      <c r="I1301" s="7">
        <v>1468532863848</v>
      </c>
    </row>
    <row r="1302" spans="1:9" ht="12" customHeight="1" thickBot="1" x14ac:dyDescent="0.25">
      <c r="A1302" s="1" t="s">
        <v>46</v>
      </c>
      <c r="B1302" s="1" t="s">
        <v>12</v>
      </c>
      <c r="C1302" s="1" t="s">
        <v>23</v>
      </c>
      <c r="D1302" s="5">
        <v>45927</v>
      </c>
      <c r="E1302" s="6">
        <v>1947237941219</v>
      </c>
      <c r="F1302" s="6">
        <v>503306856197</v>
      </c>
      <c r="G1302" s="6">
        <v>1443931085022</v>
      </c>
      <c r="H1302" s="6">
        <v>472757240646</v>
      </c>
      <c r="I1302" s="7">
        <v>1474480700573</v>
      </c>
    </row>
    <row r="1303" spans="1:9" ht="12" customHeight="1" thickBot="1" x14ac:dyDescent="0.25">
      <c r="A1303" s="1" t="s">
        <v>46</v>
      </c>
      <c r="B1303" s="1" t="s">
        <v>12</v>
      </c>
      <c r="C1303" s="1" t="s">
        <v>23</v>
      </c>
      <c r="D1303" s="5">
        <v>45928</v>
      </c>
      <c r="E1303" s="6">
        <v>1956601037777</v>
      </c>
      <c r="F1303" s="6">
        <v>506682028767</v>
      </c>
      <c r="G1303" s="6">
        <v>1449919009010</v>
      </c>
      <c r="H1303" s="6">
        <v>474565208183</v>
      </c>
      <c r="I1303" s="7">
        <v>1482035829594</v>
      </c>
    </row>
    <row r="1304" spans="1:9" ht="12" customHeight="1" thickBot="1" x14ac:dyDescent="0.25">
      <c r="A1304" s="1" t="s">
        <v>46</v>
      </c>
      <c r="B1304" s="1" t="s">
        <v>12</v>
      </c>
      <c r="C1304" s="1" t="s">
        <v>23</v>
      </c>
      <c r="D1304" s="5">
        <v>45929</v>
      </c>
      <c r="E1304" s="6">
        <v>1957930442275</v>
      </c>
      <c r="F1304" s="6">
        <v>502898157965</v>
      </c>
      <c r="G1304" s="6">
        <v>1455032284310</v>
      </c>
      <c r="H1304" s="6">
        <v>476497013477</v>
      </c>
      <c r="I1304" s="7">
        <v>1481433428798</v>
      </c>
    </row>
    <row r="1305" spans="1:9" ht="12" customHeight="1" thickBot="1" x14ac:dyDescent="0.25">
      <c r="A1305" s="1" t="s">
        <v>46</v>
      </c>
      <c r="B1305" s="1" t="s">
        <v>12</v>
      </c>
      <c r="C1305" s="1" t="s">
        <v>23</v>
      </c>
      <c r="D1305" s="5">
        <v>45930</v>
      </c>
      <c r="E1305" s="6">
        <v>1967667601704</v>
      </c>
      <c r="F1305" s="6">
        <v>513817091764</v>
      </c>
      <c r="G1305" s="6">
        <v>1453850509940</v>
      </c>
      <c r="H1305" s="6">
        <v>477508509397</v>
      </c>
      <c r="I1305" s="7">
        <v>1490159092307</v>
      </c>
    </row>
    <row r="1306" spans="1:9" ht="12" customHeight="1" thickBot="1" x14ac:dyDescent="0.25">
      <c r="A1306" s="1" t="s">
        <v>47</v>
      </c>
      <c r="B1306" s="1" t="s">
        <v>12</v>
      </c>
      <c r="C1306" s="1" t="s">
        <v>23</v>
      </c>
      <c r="D1306" s="5">
        <v>45839</v>
      </c>
      <c r="E1306" s="6">
        <v>7262406059</v>
      </c>
      <c r="F1306" s="6">
        <v>3014366280</v>
      </c>
      <c r="G1306" s="6">
        <v>4248039779</v>
      </c>
      <c r="H1306" s="6">
        <v>2923611723</v>
      </c>
      <c r="I1306" s="7">
        <v>4338794336</v>
      </c>
    </row>
    <row r="1307" spans="1:9" ht="12" customHeight="1" thickBot="1" x14ac:dyDescent="0.25">
      <c r="A1307" s="1" t="s">
        <v>47</v>
      </c>
      <c r="B1307" s="1" t="s">
        <v>12</v>
      </c>
      <c r="C1307" s="1" t="s">
        <v>23</v>
      </c>
      <c r="D1307" s="5">
        <v>45840</v>
      </c>
      <c r="E1307" s="6">
        <v>7245265703</v>
      </c>
      <c r="F1307" s="6">
        <v>3035968191</v>
      </c>
      <c r="G1307" s="6">
        <v>4209297512</v>
      </c>
      <c r="H1307" s="6">
        <v>2923074736</v>
      </c>
      <c r="I1307" s="7">
        <v>4322190967</v>
      </c>
    </row>
    <row r="1308" spans="1:9" ht="12" customHeight="1" thickBot="1" x14ac:dyDescent="0.25">
      <c r="A1308" s="1" t="s">
        <v>47</v>
      </c>
      <c r="B1308" s="1" t="s">
        <v>12</v>
      </c>
      <c r="C1308" s="1" t="s">
        <v>23</v>
      </c>
      <c r="D1308" s="5">
        <v>45841</v>
      </c>
      <c r="E1308" s="6">
        <v>7226046732</v>
      </c>
      <c r="F1308" s="6">
        <v>3056261836</v>
      </c>
      <c r="G1308" s="6">
        <v>4169784896</v>
      </c>
      <c r="H1308" s="6">
        <v>2921657702</v>
      </c>
      <c r="I1308" s="7">
        <v>4304389030</v>
      </c>
    </row>
    <row r="1309" spans="1:9" ht="12" customHeight="1" thickBot="1" x14ac:dyDescent="0.25">
      <c r="A1309" s="1" t="s">
        <v>47</v>
      </c>
      <c r="B1309" s="1" t="s">
        <v>12</v>
      </c>
      <c r="C1309" s="1" t="s">
        <v>23</v>
      </c>
      <c r="D1309" s="5">
        <v>45842</v>
      </c>
      <c r="E1309" s="6">
        <v>7183757119</v>
      </c>
      <c r="F1309" s="6">
        <v>3085486820</v>
      </c>
      <c r="G1309" s="6">
        <v>4098270299</v>
      </c>
      <c r="H1309" s="6">
        <v>2929283898</v>
      </c>
      <c r="I1309" s="7">
        <v>4254473221</v>
      </c>
    </row>
    <row r="1310" spans="1:9" ht="12" customHeight="1" thickBot="1" x14ac:dyDescent="0.25">
      <c r="A1310" s="1" t="s">
        <v>47</v>
      </c>
      <c r="B1310" s="1" t="s">
        <v>12</v>
      </c>
      <c r="C1310" s="1" t="s">
        <v>23</v>
      </c>
      <c r="D1310" s="5">
        <v>45843</v>
      </c>
      <c r="E1310" s="6">
        <v>7156370949</v>
      </c>
      <c r="F1310" s="6">
        <v>3083413550</v>
      </c>
      <c r="G1310" s="6">
        <v>4072957399</v>
      </c>
      <c r="H1310" s="6">
        <v>2945026342</v>
      </c>
      <c r="I1310" s="7">
        <v>4211344607</v>
      </c>
    </row>
    <row r="1311" spans="1:9" ht="12" customHeight="1" thickBot="1" x14ac:dyDescent="0.25">
      <c r="A1311" s="1" t="s">
        <v>47</v>
      </c>
      <c r="B1311" s="1" t="s">
        <v>12</v>
      </c>
      <c r="C1311" s="1" t="s">
        <v>23</v>
      </c>
      <c r="D1311" s="5">
        <v>45844</v>
      </c>
      <c r="E1311" s="6">
        <v>7148839002</v>
      </c>
      <c r="F1311" s="6">
        <v>3081537453</v>
      </c>
      <c r="G1311" s="6">
        <v>4067301549</v>
      </c>
      <c r="H1311" s="6">
        <v>2936987381</v>
      </c>
      <c r="I1311" s="7">
        <v>4211851621</v>
      </c>
    </row>
    <row r="1312" spans="1:9" ht="12" customHeight="1" thickBot="1" x14ac:dyDescent="0.25">
      <c r="A1312" s="1" t="s">
        <v>47</v>
      </c>
      <c r="B1312" s="1" t="s">
        <v>12</v>
      </c>
      <c r="C1312" s="1" t="s">
        <v>23</v>
      </c>
      <c r="D1312" s="5">
        <v>45845</v>
      </c>
      <c r="E1312" s="6">
        <v>7121419395</v>
      </c>
      <c r="F1312" s="6">
        <v>3058235611</v>
      </c>
      <c r="G1312" s="6">
        <v>4063183784</v>
      </c>
      <c r="H1312" s="6">
        <v>2937821601</v>
      </c>
      <c r="I1312" s="7">
        <v>4183597794</v>
      </c>
    </row>
    <row r="1313" spans="1:9" ht="12" customHeight="1" thickBot="1" x14ac:dyDescent="0.25">
      <c r="A1313" s="1" t="s">
        <v>47</v>
      </c>
      <c r="B1313" s="1" t="s">
        <v>12</v>
      </c>
      <c r="C1313" s="1" t="s">
        <v>23</v>
      </c>
      <c r="D1313" s="5">
        <v>45846</v>
      </c>
      <c r="E1313" s="6">
        <v>7096339615</v>
      </c>
      <c r="F1313" s="6">
        <v>3124628273</v>
      </c>
      <c r="G1313" s="6">
        <v>3971711342</v>
      </c>
      <c r="H1313" s="6">
        <v>2944947312</v>
      </c>
      <c r="I1313" s="7">
        <v>4151392303</v>
      </c>
    </row>
    <row r="1314" spans="1:9" ht="12" customHeight="1" thickBot="1" x14ac:dyDescent="0.25">
      <c r="A1314" s="1" t="s">
        <v>47</v>
      </c>
      <c r="B1314" s="1" t="s">
        <v>12</v>
      </c>
      <c r="C1314" s="1" t="s">
        <v>23</v>
      </c>
      <c r="D1314" s="5">
        <v>45847</v>
      </c>
      <c r="E1314" s="6">
        <v>7065955147</v>
      </c>
      <c r="F1314" s="6">
        <v>3183436992</v>
      </c>
      <c r="G1314" s="6">
        <v>3882518155</v>
      </c>
      <c r="H1314" s="6">
        <v>2964367364</v>
      </c>
      <c r="I1314" s="7">
        <v>4101587783</v>
      </c>
    </row>
    <row r="1315" spans="1:9" ht="12" customHeight="1" thickBot="1" x14ac:dyDescent="0.25">
      <c r="A1315" s="1" t="s">
        <v>47</v>
      </c>
      <c r="B1315" s="1" t="s">
        <v>12</v>
      </c>
      <c r="C1315" s="1" t="s">
        <v>23</v>
      </c>
      <c r="D1315" s="5">
        <v>45848</v>
      </c>
      <c r="E1315" s="6">
        <v>7044267421</v>
      </c>
      <c r="F1315" s="6">
        <v>3145224215</v>
      </c>
      <c r="G1315" s="6">
        <v>3899043206</v>
      </c>
      <c r="H1315" s="6">
        <v>2945449575</v>
      </c>
      <c r="I1315" s="7">
        <v>4098817846</v>
      </c>
    </row>
    <row r="1316" spans="1:9" ht="12" customHeight="1" thickBot="1" x14ac:dyDescent="0.25">
      <c r="A1316" s="1" t="s">
        <v>47</v>
      </c>
      <c r="B1316" s="1" t="s">
        <v>12</v>
      </c>
      <c r="C1316" s="1" t="s">
        <v>23</v>
      </c>
      <c r="D1316" s="5">
        <v>45849</v>
      </c>
      <c r="E1316" s="6">
        <v>6990875602</v>
      </c>
      <c r="F1316" s="6">
        <v>3088924630</v>
      </c>
      <c r="G1316" s="6">
        <v>3901950972</v>
      </c>
      <c r="H1316" s="6">
        <v>2935003886</v>
      </c>
      <c r="I1316" s="7">
        <v>4055871716</v>
      </c>
    </row>
    <row r="1317" spans="1:9" ht="12" customHeight="1" thickBot="1" x14ac:dyDescent="0.25">
      <c r="A1317" s="1" t="s">
        <v>47</v>
      </c>
      <c r="B1317" s="1" t="s">
        <v>12</v>
      </c>
      <c r="C1317" s="1" t="s">
        <v>23</v>
      </c>
      <c r="D1317" s="5">
        <v>45850</v>
      </c>
      <c r="E1317" s="6">
        <v>6958121499</v>
      </c>
      <c r="F1317" s="6">
        <v>3105529900</v>
      </c>
      <c r="G1317" s="6">
        <v>3852591599</v>
      </c>
      <c r="H1317" s="6">
        <v>2959275660</v>
      </c>
      <c r="I1317" s="7">
        <v>3998845839</v>
      </c>
    </row>
    <row r="1318" spans="1:9" ht="12" customHeight="1" thickBot="1" x14ac:dyDescent="0.25">
      <c r="A1318" s="1" t="s">
        <v>47</v>
      </c>
      <c r="B1318" s="1" t="s">
        <v>12</v>
      </c>
      <c r="C1318" s="1" t="s">
        <v>23</v>
      </c>
      <c r="D1318" s="5">
        <v>45851</v>
      </c>
      <c r="E1318" s="6">
        <v>6954409173</v>
      </c>
      <c r="F1318" s="6">
        <v>3127411417</v>
      </c>
      <c r="G1318" s="6">
        <v>3826997756</v>
      </c>
      <c r="H1318" s="6">
        <v>2978569047</v>
      </c>
      <c r="I1318" s="7">
        <v>3975840126</v>
      </c>
    </row>
    <row r="1319" spans="1:9" ht="12" customHeight="1" thickBot="1" x14ac:dyDescent="0.25">
      <c r="A1319" s="1" t="s">
        <v>47</v>
      </c>
      <c r="B1319" s="1" t="s">
        <v>12</v>
      </c>
      <c r="C1319" s="1" t="s">
        <v>23</v>
      </c>
      <c r="D1319" s="5">
        <v>45852</v>
      </c>
      <c r="E1319" s="6">
        <v>6891750797</v>
      </c>
      <c r="F1319" s="6">
        <v>3098874348</v>
      </c>
      <c r="G1319" s="6">
        <v>3792876449</v>
      </c>
      <c r="H1319" s="6">
        <v>2978569047</v>
      </c>
      <c r="I1319" s="7">
        <v>3913181750</v>
      </c>
    </row>
    <row r="1320" spans="1:9" ht="12" customHeight="1" thickBot="1" x14ac:dyDescent="0.25">
      <c r="A1320" s="1" t="s">
        <v>47</v>
      </c>
      <c r="B1320" s="1" t="s">
        <v>12</v>
      </c>
      <c r="C1320" s="1" t="s">
        <v>23</v>
      </c>
      <c r="D1320" s="5">
        <v>45853</v>
      </c>
      <c r="E1320" s="6">
        <v>6850609939</v>
      </c>
      <c r="F1320" s="6">
        <v>3142128512</v>
      </c>
      <c r="G1320" s="6">
        <v>3708481427</v>
      </c>
      <c r="H1320" s="6">
        <v>2967807808</v>
      </c>
      <c r="I1320" s="7">
        <v>3882802131</v>
      </c>
    </row>
    <row r="1321" spans="1:9" ht="12" customHeight="1" thickBot="1" x14ac:dyDescent="0.25">
      <c r="A1321" s="1" t="s">
        <v>47</v>
      </c>
      <c r="B1321" s="1" t="s">
        <v>12</v>
      </c>
      <c r="C1321" s="1" t="s">
        <v>23</v>
      </c>
      <c r="D1321" s="5">
        <v>45854</v>
      </c>
      <c r="E1321" s="6">
        <v>6815992463</v>
      </c>
      <c r="F1321" s="6">
        <v>3158909907</v>
      </c>
      <c r="G1321" s="6">
        <v>3657082556</v>
      </c>
      <c r="H1321" s="6">
        <v>2978068647</v>
      </c>
      <c r="I1321" s="7">
        <v>3837923816</v>
      </c>
    </row>
    <row r="1322" spans="1:9" ht="12" customHeight="1" thickBot="1" x14ac:dyDescent="0.25">
      <c r="A1322" s="1" t="s">
        <v>47</v>
      </c>
      <c r="B1322" s="1" t="s">
        <v>12</v>
      </c>
      <c r="C1322" s="1" t="s">
        <v>23</v>
      </c>
      <c r="D1322" s="5">
        <v>45855</v>
      </c>
      <c r="E1322" s="6">
        <v>6810568838</v>
      </c>
      <c r="F1322" s="6">
        <v>3167274510</v>
      </c>
      <c r="G1322" s="6">
        <v>3643294328</v>
      </c>
      <c r="H1322" s="6">
        <v>2978068647</v>
      </c>
      <c r="I1322" s="7">
        <v>3832500191</v>
      </c>
    </row>
    <row r="1323" spans="1:9" ht="12" customHeight="1" thickBot="1" x14ac:dyDescent="0.25">
      <c r="A1323" s="1" t="s">
        <v>47</v>
      </c>
      <c r="B1323" s="1" t="s">
        <v>12</v>
      </c>
      <c r="C1323" s="1" t="s">
        <v>23</v>
      </c>
      <c r="D1323" s="5">
        <v>45856</v>
      </c>
      <c r="E1323" s="6">
        <v>6776029341</v>
      </c>
      <c r="F1323" s="6">
        <v>3171088319</v>
      </c>
      <c r="G1323" s="6">
        <v>3604941022</v>
      </c>
      <c r="H1323" s="6">
        <v>2990348018</v>
      </c>
      <c r="I1323" s="7">
        <v>3785681323</v>
      </c>
    </row>
    <row r="1324" spans="1:9" ht="12" customHeight="1" thickBot="1" x14ac:dyDescent="0.25">
      <c r="A1324" s="1" t="s">
        <v>47</v>
      </c>
      <c r="B1324" s="1" t="s">
        <v>12</v>
      </c>
      <c r="C1324" s="1" t="s">
        <v>23</v>
      </c>
      <c r="D1324" s="5">
        <v>45857</v>
      </c>
      <c r="E1324" s="6">
        <v>6760882778</v>
      </c>
      <c r="F1324" s="6">
        <v>3185137919</v>
      </c>
      <c r="G1324" s="6">
        <v>3575744859</v>
      </c>
      <c r="H1324" s="6">
        <v>3005717359</v>
      </c>
      <c r="I1324" s="7">
        <v>3755165419</v>
      </c>
    </row>
    <row r="1325" spans="1:9" ht="12" customHeight="1" thickBot="1" x14ac:dyDescent="0.25">
      <c r="A1325" s="1" t="s">
        <v>47</v>
      </c>
      <c r="B1325" s="1" t="s">
        <v>12</v>
      </c>
      <c r="C1325" s="1" t="s">
        <v>23</v>
      </c>
      <c r="D1325" s="5">
        <v>45858</v>
      </c>
      <c r="E1325" s="6">
        <v>6748491845</v>
      </c>
      <c r="F1325" s="6">
        <v>3194705526</v>
      </c>
      <c r="G1325" s="6">
        <v>3553786319</v>
      </c>
      <c r="H1325" s="6">
        <v>3005717359</v>
      </c>
      <c r="I1325" s="7">
        <v>3742774486</v>
      </c>
    </row>
    <row r="1326" spans="1:9" ht="12" customHeight="1" thickBot="1" x14ac:dyDescent="0.25">
      <c r="A1326" s="1" t="s">
        <v>47</v>
      </c>
      <c r="B1326" s="1" t="s">
        <v>12</v>
      </c>
      <c r="C1326" s="1" t="s">
        <v>23</v>
      </c>
      <c r="D1326" s="5">
        <v>45859</v>
      </c>
      <c r="E1326" s="6">
        <v>6723915303</v>
      </c>
      <c r="F1326" s="6">
        <v>3165060015</v>
      </c>
      <c r="G1326" s="6">
        <v>3558855288</v>
      </c>
      <c r="H1326" s="6">
        <v>3000030071</v>
      </c>
      <c r="I1326" s="7">
        <v>3723885232</v>
      </c>
    </row>
    <row r="1327" spans="1:9" ht="12" customHeight="1" thickBot="1" x14ac:dyDescent="0.25">
      <c r="A1327" s="1" t="s">
        <v>47</v>
      </c>
      <c r="B1327" s="1" t="s">
        <v>12</v>
      </c>
      <c r="C1327" s="1" t="s">
        <v>23</v>
      </c>
      <c r="D1327" s="5">
        <v>45860</v>
      </c>
      <c r="E1327" s="6">
        <v>6684949221</v>
      </c>
      <c r="F1327" s="6">
        <v>3145389398</v>
      </c>
      <c r="G1327" s="6">
        <v>3539559823</v>
      </c>
      <c r="H1327" s="6">
        <v>3019177500</v>
      </c>
      <c r="I1327" s="7">
        <v>3665771721</v>
      </c>
    </row>
    <row r="1328" spans="1:9" ht="12" customHeight="1" thickBot="1" x14ac:dyDescent="0.25">
      <c r="A1328" s="1" t="s">
        <v>47</v>
      </c>
      <c r="B1328" s="1" t="s">
        <v>12</v>
      </c>
      <c r="C1328" s="1" t="s">
        <v>23</v>
      </c>
      <c r="D1328" s="5">
        <v>45861</v>
      </c>
      <c r="E1328" s="6">
        <v>6658635626</v>
      </c>
      <c r="F1328" s="6">
        <v>3171896892</v>
      </c>
      <c r="G1328" s="6">
        <v>3486738734</v>
      </c>
      <c r="H1328" s="6">
        <v>3042160688</v>
      </c>
      <c r="I1328" s="7">
        <v>3616474938</v>
      </c>
    </row>
    <row r="1329" spans="1:9" ht="12" customHeight="1" thickBot="1" x14ac:dyDescent="0.25">
      <c r="A1329" s="1" t="s">
        <v>47</v>
      </c>
      <c r="B1329" s="1" t="s">
        <v>12</v>
      </c>
      <c r="C1329" s="1" t="s">
        <v>23</v>
      </c>
      <c r="D1329" s="5">
        <v>45862</v>
      </c>
      <c r="E1329" s="6">
        <v>6640479305</v>
      </c>
      <c r="F1329" s="6">
        <v>3155003496</v>
      </c>
      <c r="G1329" s="6">
        <v>3485475809</v>
      </c>
      <c r="H1329" s="6">
        <v>3042160688</v>
      </c>
      <c r="I1329" s="7">
        <v>3598318617</v>
      </c>
    </row>
    <row r="1330" spans="1:9" ht="12" customHeight="1" thickBot="1" x14ac:dyDescent="0.25">
      <c r="A1330" s="1" t="s">
        <v>47</v>
      </c>
      <c r="B1330" s="1" t="s">
        <v>12</v>
      </c>
      <c r="C1330" s="1" t="s">
        <v>23</v>
      </c>
      <c r="D1330" s="5">
        <v>45863</v>
      </c>
      <c r="E1330" s="6">
        <v>6622827667</v>
      </c>
      <c r="F1330" s="6">
        <v>3140389514</v>
      </c>
      <c r="G1330" s="6">
        <v>3482438153</v>
      </c>
      <c r="H1330" s="6">
        <v>3045735803</v>
      </c>
      <c r="I1330" s="7">
        <v>3577091864</v>
      </c>
    </row>
    <row r="1331" spans="1:9" ht="12" customHeight="1" thickBot="1" x14ac:dyDescent="0.25">
      <c r="A1331" s="1" t="s">
        <v>47</v>
      </c>
      <c r="B1331" s="1" t="s">
        <v>12</v>
      </c>
      <c r="C1331" s="1" t="s">
        <v>23</v>
      </c>
      <c r="D1331" s="5">
        <v>45864</v>
      </c>
      <c r="E1331" s="6">
        <v>6599341455</v>
      </c>
      <c r="F1331" s="6">
        <v>3118121147</v>
      </c>
      <c r="G1331" s="6">
        <v>3481220308</v>
      </c>
      <c r="H1331" s="6">
        <v>3043572263</v>
      </c>
      <c r="I1331" s="7">
        <v>3555769192</v>
      </c>
    </row>
    <row r="1332" spans="1:9" ht="12" customHeight="1" thickBot="1" x14ac:dyDescent="0.25">
      <c r="A1332" s="1" t="s">
        <v>47</v>
      </c>
      <c r="B1332" s="1" t="s">
        <v>12</v>
      </c>
      <c r="C1332" s="1" t="s">
        <v>23</v>
      </c>
      <c r="D1332" s="5">
        <v>45865</v>
      </c>
      <c r="E1332" s="6">
        <v>6583516727</v>
      </c>
      <c r="F1332" s="6">
        <v>3105224947</v>
      </c>
      <c r="G1332" s="6">
        <v>3478291780</v>
      </c>
      <c r="H1332" s="6">
        <v>3036952984</v>
      </c>
      <c r="I1332" s="7">
        <v>3546563743</v>
      </c>
    </row>
    <row r="1333" spans="1:9" ht="12" customHeight="1" thickBot="1" x14ac:dyDescent="0.25">
      <c r="A1333" s="1" t="s">
        <v>47</v>
      </c>
      <c r="B1333" s="1" t="s">
        <v>12</v>
      </c>
      <c r="C1333" s="1" t="s">
        <v>23</v>
      </c>
      <c r="D1333" s="5">
        <v>45866</v>
      </c>
      <c r="E1333" s="6">
        <v>6518735144</v>
      </c>
      <c r="F1333" s="6">
        <v>3100012297</v>
      </c>
      <c r="G1333" s="6">
        <v>3418722847</v>
      </c>
      <c r="H1333" s="6">
        <v>3044277207</v>
      </c>
      <c r="I1333" s="7">
        <v>3474457937</v>
      </c>
    </row>
    <row r="1334" spans="1:9" ht="12" customHeight="1" thickBot="1" x14ac:dyDescent="0.25">
      <c r="A1334" s="1" t="s">
        <v>47</v>
      </c>
      <c r="B1334" s="1" t="s">
        <v>12</v>
      </c>
      <c r="C1334" s="1" t="s">
        <v>23</v>
      </c>
      <c r="D1334" s="5">
        <v>45867</v>
      </c>
      <c r="E1334" s="6">
        <v>6515112327</v>
      </c>
      <c r="F1334" s="6">
        <v>3158422532</v>
      </c>
      <c r="G1334" s="6">
        <v>3356689795</v>
      </c>
      <c r="H1334" s="6">
        <v>3044277207</v>
      </c>
      <c r="I1334" s="7">
        <v>3470835120</v>
      </c>
    </row>
    <row r="1335" spans="1:9" ht="12" customHeight="1" thickBot="1" x14ac:dyDescent="0.25">
      <c r="A1335" s="1" t="s">
        <v>47</v>
      </c>
      <c r="B1335" s="1" t="s">
        <v>12</v>
      </c>
      <c r="C1335" s="1" t="s">
        <v>23</v>
      </c>
      <c r="D1335" s="5">
        <v>45868</v>
      </c>
      <c r="E1335" s="6">
        <v>6515112327</v>
      </c>
      <c r="F1335" s="6">
        <v>3158422532</v>
      </c>
      <c r="G1335" s="6">
        <v>3356689795</v>
      </c>
      <c r="H1335" s="6">
        <v>3050796147</v>
      </c>
      <c r="I1335" s="7">
        <v>3464316180</v>
      </c>
    </row>
    <row r="1336" spans="1:9" ht="12" customHeight="1" thickBot="1" x14ac:dyDescent="0.25">
      <c r="A1336" s="1" t="s">
        <v>47</v>
      </c>
      <c r="B1336" s="1" t="s">
        <v>12</v>
      </c>
      <c r="C1336" s="1" t="s">
        <v>23</v>
      </c>
      <c r="D1336" s="5">
        <v>45869</v>
      </c>
      <c r="E1336" s="6">
        <v>6513839906</v>
      </c>
      <c r="F1336" s="6">
        <v>3154476586</v>
      </c>
      <c r="G1336" s="6">
        <v>3359363320</v>
      </c>
      <c r="H1336" s="6">
        <v>3050796147</v>
      </c>
      <c r="I1336" s="7">
        <v>3463043759</v>
      </c>
    </row>
    <row r="1337" spans="1:9" ht="12" customHeight="1" thickBot="1" x14ac:dyDescent="0.25">
      <c r="A1337" s="1" t="s">
        <v>47</v>
      </c>
      <c r="B1337" s="1" t="s">
        <v>12</v>
      </c>
      <c r="C1337" s="1" t="s">
        <v>23</v>
      </c>
      <c r="D1337" s="5">
        <v>45870</v>
      </c>
      <c r="E1337" s="6">
        <v>6492616072</v>
      </c>
      <c r="F1337" s="6">
        <v>3148316727</v>
      </c>
      <c r="G1337" s="6">
        <v>3344299345</v>
      </c>
      <c r="H1337" s="6">
        <v>3050796081</v>
      </c>
      <c r="I1337" s="7">
        <v>3441819991</v>
      </c>
    </row>
    <row r="1338" spans="1:9" ht="12" customHeight="1" thickBot="1" x14ac:dyDescent="0.25">
      <c r="A1338" s="1" t="s">
        <v>47</v>
      </c>
      <c r="B1338" s="1" t="s">
        <v>12</v>
      </c>
      <c r="C1338" s="1" t="s">
        <v>23</v>
      </c>
      <c r="D1338" s="5">
        <v>45871</v>
      </c>
      <c r="E1338" s="6">
        <v>6479055071</v>
      </c>
      <c r="F1338" s="6">
        <v>3156362118</v>
      </c>
      <c r="G1338" s="6">
        <v>3322692953</v>
      </c>
      <c r="H1338" s="6">
        <v>3064461123</v>
      </c>
      <c r="I1338" s="7">
        <v>3414593948</v>
      </c>
    </row>
    <row r="1339" spans="1:9" ht="12" customHeight="1" thickBot="1" x14ac:dyDescent="0.25">
      <c r="A1339" s="1" t="s">
        <v>47</v>
      </c>
      <c r="B1339" s="1" t="s">
        <v>12</v>
      </c>
      <c r="C1339" s="1" t="s">
        <v>23</v>
      </c>
      <c r="D1339" s="5">
        <v>45872</v>
      </c>
      <c r="E1339" s="6">
        <v>6478147704</v>
      </c>
      <c r="F1339" s="6">
        <v>3169933795</v>
      </c>
      <c r="G1339" s="6">
        <v>3308213909</v>
      </c>
      <c r="H1339" s="6">
        <v>3064461123</v>
      </c>
      <c r="I1339" s="7">
        <v>3413686581</v>
      </c>
    </row>
    <row r="1340" spans="1:9" ht="12" customHeight="1" thickBot="1" x14ac:dyDescent="0.25">
      <c r="A1340" s="1" t="s">
        <v>47</v>
      </c>
      <c r="B1340" s="1" t="s">
        <v>12</v>
      </c>
      <c r="C1340" s="1" t="s">
        <v>23</v>
      </c>
      <c r="D1340" s="5">
        <v>45873</v>
      </c>
      <c r="E1340" s="6">
        <v>6449240952</v>
      </c>
      <c r="F1340" s="6">
        <v>3150674083</v>
      </c>
      <c r="G1340" s="6">
        <v>3298566869</v>
      </c>
      <c r="H1340" s="6">
        <v>3085434743</v>
      </c>
      <c r="I1340" s="7">
        <v>3363806209</v>
      </c>
    </row>
    <row r="1341" spans="1:9" ht="12" customHeight="1" thickBot="1" x14ac:dyDescent="0.25">
      <c r="A1341" s="1" t="s">
        <v>47</v>
      </c>
      <c r="B1341" s="1" t="s">
        <v>12</v>
      </c>
      <c r="C1341" s="1" t="s">
        <v>23</v>
      </c>
      <c r="D1341" s="5">
        <v>45874</v>
      </c>
      <c r="E1341" s="6">
        <v>6422801179</v>
      </c>
      <c r="F1341" s="6">
        <v>3212165023</v>
      </c>
      <c r="G1341" s="6">
        <v>3210636156</v>
      </c>
      <c r="H1341" s="6">
        <v>3068718495</v>
      </c>
      <c r="I1341" s="7">
        <v>3354082684</v>
      </c>
    </row>
    <row r="1342" spans="1:9" ht="12" customHeight="1" thickBot="1" x14ac:dyDescent="0.25">
      <c r="A1342" s="1" t="s">
        <v>47</v>
      </c>
      <c r="B1342" s="1" t="s">
        <v>12</v>
      </c>
      <c r="C1342" s="1" t="s">
        <v>23</v>
      </c>
      <c r="D1342" s="5">
        <v>45875</v>
      </c>
      <c r="E1342" s="6">
        <v>6398952510</v>
      </c>
      <c r="F1342" s="6">
        <v>3257704049</v>
      </c>
      <c r="G1342" s="6">
        <v>3141248461</v>
      </c>
      <c r="H1342" s="6">
        <v>3075480488</v>
      </c>
      <c r="I1342" s="7">
        <v>3323472022</v>
      </c>
    </row>
    <row r="1343" spans="1:9" ht="12" customHeight="1" thickBot="1" x14ac:dyDescent="0.25">
      <c r="A1343" s="1" t="s">
        <v>47</v>
      </c>
      <c r="B1343" s="1" t="s">
        <v>12</v>
      </c>
      <c r="C1343" s="1" t="s">
        <v>23</v>
      </c>
      <c r="D1343" s="5">
        <v>45876</v>
      </c>
      <c r="E1343" s="6">
        <v>6380262317</v>
      </c>
      <c r="F1343" s="6">
        <v>3247677904</v>
      </c>
      <c r="G1343" s="6">
        <v>3132584413</v>
      </c>
      <c r="H1343" s="6">
        <v>3068718495</v>
      </c>
      <c r="I1343" s="7">
        <v>3311543822</v>
      </c>
    </row>
    <row r="1344" spans="1:9" ht="12" customHeight="1" thickBot="1" x14ac:dyDescent="0.25">
      <c r="A1344" s="1" t="s">
        <v>47</v>
      </c>
      <c r="B1344" s="1" t="s">
        <v>12</v>
      </c>
      <c r="C1344" s="1" t="s">
        <v>23</v>
      </c>
      <c r="D1344" s="5">
        <v>45877</v>
      </c>
      <c r="E1344" s="6">
        <v>6368348716</v>
      </c>
      <c r="F1344" s="6">
        <v>3263688040</v>
      </c>
      <c r="G1344" s="6">
        <v>3104660676</v>
      </c>
      <c r="H1344" s="6">
        <v>3102764452</v>
      </c>
      <c r="I1344" s="7">
        <v>3265584264</v>
      </c>
    </row>
    <row r="1345" spans="1:9" ht="12" customHeight="1" thickBot="1" x14ac:dyDescent="0.25">
      <c r="A1345" s="1" t="s">
        <v>47</v>
      </c>
      <c r="B1345" s="1" t="s">
        <v>12</v>
      </c>
      <c r="C1345" s="1" t="s">
        <v>23</v>
      </c>
      <c r="D1345" s="5">
        <v>45878</v>
      </c>
      <c r="E1345" s="6">
        <v>6342840872</v>
      </c>
      <c r="F1345" s="6">
        <v>3200023003</v>
      </c>
      <c r="G1345" s="6">
        <v>3142817869</v>
      </c>
      <c r="H1345" s="6">
        <v>3081370534</v>
      </c>
      <c r="I1345" s="7">
        <v>3261470338</v>
      </c>
    </row>
    <row r="1346" spans="1:9" ht="12" customHeight="1" thickBot="1" x14ac:dyDescent="0.25">
      <c r="A1346" s="1" t="s">
        <v>47</v>
      </c>
      <c r="B1346" s="1" t="s">
        <v>12</v>
      </c>
      <c r="C1346" s="1" t="s">
        <v>23</v>
      </c>
      <c r="D1346" s="5">
        <v>45879</v>
      </c>
      <c r="E1346" s="6">
        <v>6340251253</v>
      </c>
      <c r="F1346" s="6">
        <v>3196759773</v>
      </c>
      <c r="G1346" s="6">
        <v>3143491480</v>
      </c>
      <c r="H1346" s="6">
        <v>3081370534</v>
      </c>
      <c r="I1346" s="7">
        <v>3258880719</v>
      </c>
    </row>
    <row r="1347" spans="1:9" ht="12" customHeight="1" thickBot="1" x14ac:dyDescent="0.25">
      <c r="A1347" s="1" t="s">
        <v>47</v>
      </c>
      <c r="B1347" s="1" t="s">
        <v>12</v>
      </c>
      <c r="C1347" s="1" t="s">
        <v>23</v>
      </c>
      <c r="D1347" s="5">
        <v>45880</v>
      </c>
      <c r="E1347" s="6">
        <v>6294070936</v>
      </c>
      <c r="F1347" s="6">
        <v>3159396255</v>
      </c>
      <c r="G1347" s="6">
        <v>3134674681</v>
      </c>
      <c r="H1347" s="6">
        <v>3062523717</v>
      </c>
      <c r="I1347" s="7">
        <v>3231547219</v>
      </c>
    </row>
    <row r="1348" spans="1:9" ht="12" customHeight="1" thickBot="1" x14ac:dyDescent="0.25">
      <c r="A1348" s="1" t="s">
        <v>47</v>
      </c>
      <c r="B1348" s="1" t="s">
        <v>12</v>
      </c>
      <c r="C1348" s="1" t="s">
        <v>23</v>
      </c>
      <c r="D1348" s="5">
        <v>45881</v>
      </c>
      <c r="E1348" s="6">
        <v>6275682782</v>
      </c>
      <c r="F1348" s="6">
        <v>3156853200</v>
      </c>
      <c r="G1348" s="6">
        <v>3118829582</v>
      </c>
      <c r="H1348" s="6">
        <v>3072551491</v>
      </c>
      <c r="I1348" s="7">
        <v>3203131291</v>
      </c>
    </row>
    <row r="1349" spans="1:9" ht="12" customHeight="1" thickBot="1" x14ac:dyDescent="0.25">
      <c r="A1349" s="1" t="s">
        <v>47</v>
      </c>
      <c r="B1349" s="1" t="s">
        <v>12</v>
      </c>
      <c r="C1349" s="1" t="s">
        <v>23</v>
      </c>
      <c r="D1349" s="5">
        <v>45882</v>
      </c>
      <c r="E1349" s="6">
        <v>6251407971</v>
      </c>
      <c r="F1349" s="6">
        <v>3134453787</v>
      </c>
      <c r="G1349" s="6">
        <v>3116954184</v>
      </c>
      <c r="H1349" s="6">
        <v>3053680512</v>
      </c>
      <c r="I1349" s="7">
        <v>3197727459</v>
      </c>
    </row>
    <row r="1350" spans="1:9" ht="12" customHeight="1" thickBot="1" x14ac:dyDescent="0.25">
      <c r="A1350" s="1" t="s">
        <v>47</v>
      </c>
      <c r="B1350" s="1" t="s">
        <v>12</v>
      </c>
      <c r="C1350" s="1" t="s">
        <v>23</v>
      </c>
      <c r="D1350" s="5">
        <v>45883</v>
      </c>
      <c r="E1350" s="6">
        <v>6231532508</v>
      </c>
      <c r="F1350" s="6">
        <v>3165031569</v>
      </c>
      <c r="G1350" s="6">
        <v>3066500939</v>
      </c>
      <c r="H1350" s="6">
        <v>3049599791</v>
      </c>
      <c r="I1350" s="7">
        <v>3181932717</v>
      </c>
    </row>
    <row r="1351" spans="1:9" ht="12" customHeight="1" thickBot="1" x14ac:dyDescent="0.25">
      <c r="A1351" s="1" t="s">
        <v>47</v>
      </c>
      <c r="B1351" s="1" t="s">
        <v>12</v>
      </c>
      <c r="C1351" s="1" t="s">
        <v>23</v>
      </c>
      <c r="D1351" s="5">
        <v>45884</v>
      </c>
      <c r="E1351" s="6">
        <v>6200499613</v>
      </c>
      <c r="F1351" s="6">
        <v>3142741565</v>
      </c>
      <c r="G1351" s="6">
        <v>3057758048</v>
      </c>
      <c r="H1351" s="6">
        <v>3049797553</v>
      </c>
      <c r="I1351" s="7">
        <v>3150702060</v>
      </c>
    </row>
    <row r="1352" spans="1:9" ht="12" customHeight="1" thickBot="1" x14ac:dyDescent="0.25">
      <c r="A1352" s="1" t="s">
        <v>47</v>
      </c>
      <c r="B1352" s="1" t="s">
        <v>12</v>
      </c>
      <c r="C1352" s="1" t="s">
        <v>23</v>
      </c>
      <c r="D1352" s="5">
        <v>45885</v>
      </c>
      <c r="E1352" s="6">
        <v>6192101553</v>
      </c>
      <c r="F1352" s="6">
        <v>3146224366</v>
      </c>
      <c r="G1352" s="6">
        <v>3045877187</v>
      </c>
      <c r="H1352" s="6">
        <v>3061671042</v>
      </c>
      <c r="I1352" s="7">
        <v>3130430511</v>
      </c>
    </row>
    <row r="1353" spans="1:9" ht="12" customHeight="1" thickBot="1" x14ac:dyDescent="0.25">
      <c r="A1353" s="1" t="s">
        <v>47</v>
      </c>
      <c r="B1353" s="1" t="s">
        <v>12</v>
      </c>
      <c r="C1353" s="1" t="s">
        <v>23</v>
      </c>
      <c r="D1353" s="5">
        <v>45886</v>
      </c>
      <c r="E1353" s="6">
        <v>6191255397</v>
      </c>
      <c r="F1353" s="6">
        <v>3148007982</v>
      </c>
      <c r="G1353" s="6">
        <v>3043247415</v>
      </c>
      <c r="H1353" s="6">
        <v>3055087087</v>
      </c>
      <c r="I1353" s="7">
        <v>3136168310</v>
      </c>
    </row>
    <row r="1354" spans="1:9" ht="12" customHeight="1" thickBot="1" x14ac:dyDescent="0.25">
      <c r="A1354" s="1" t="s">
        <v>47</v>
      </c>
      <c r="B1354" s="1" t="s">
        <v>12</v>
      </c>
      <c r="C1354" s="1" t="s">
        <v>23</v>
      </c>
      <c r="D1354" s="5">
        <v>45887</v>
      </c>
      <c r="E1354" s="6">
        <v>6177075301</v>
      </c>
      <c r="F1354" s="6">
        <v>3148007982</v>
      </c>
      <c r="G1354" s="6">
        <v>3029067319</v>
      </c>
      <c r="H1354" s="6">
        <v>3071922784</v>
      </c>
      <c r="I1354" s="7">
        <v>3105152517</v>
      </c>
    </row>
    <row r="1355" spans="1:9" ht="12" customHeight="1" thickBot="1" x14ac:dyDescent="0.25">
      <c r="A1355" s="1" t="s">
        <v>47</v>
      </c>
      <c r="B1355" s="1" t="s">
        <v>12</v>
      </c>
      <c r="C1355" s="1" t="s">
        <v>23</v>
      </c>
      <c r="D1355" s="5">
        <v>45888</v>
      </c>
      <c r="E1355" s="6">
        <v>6154640190</v>
      </c>
      <c r="F1355" s="6">
        <v>3170847188</v>
      </c>
      <c r="G1355" s="6">
        <v>2983793002</v>
      </c>
      <c r="H1355" s="6">
        <v>3071922784</v>
      </c>
      <c r="I1355" s="7">
        <v>3082717406</v>
      </c>
    </row>
    <row r="1356" spans="1:9" ht="12" customHeight="1" thickBot="1" x14ac:dyDescent="0.25">
      <c r="A1356" s="1" t="s">
        <v>47</v>
      </c>
      <c r="B1356" s="1" t="s">
        <v>12</v>
      </c>
      <c r="C1356" s="1" t="s">
        <v>23</v>
      </c>
      <c r="D1356" s="5">
        <v>45889</v>
      </c>
      <c r="E1356" s="6">
        <v>6125092838</v>
      </c>
      <c r="F1356" s="6">
        <v>3180058730</v>
      </c>
      <c r="G1356" s="6">
        <v>2945034108</v>
      </c>
      <c r="H1356" s="6">
        <v>3067823001</v>
      </c>
      <c r="I1356" s="7">
        <v>3057269837</v>
      </c>
    </row>
    <row r="1357" spans="1:9" ht="12" customHeight="1" thickBot="1" x14ac:dyDescent="0.25">
      <c r="A1357" s="1" t="s">
        <v>47</v>
      </c>
      <c r="B1357" s="1" t="s">
        <v>12</v>
      </c>
      <c r="C1357" s="1" t="s">
        <v>23</v>
      </c>
      <c r="D1357" s="5">
        <v>45890</v>
      </c>
      <c r="E1357" s="6">
        <v>6110710364</v>
      </c>
      <c r="F1357" s="6">
        <v>3197721891</v>
      </c>
      <c r="G1357" s="6">
        <v>2912988473</v>
      </c>
      <c r="H1357" s="6">
        <v>3067823001</v>
      </c>
      <c r="I1357" s="7">
        <v>3042887363</v>
      </c>
    </row>
    <row r="1358" spans="1:9" ht="12" customHeight="1" thickBot="1" x14ac:dyDescent="0.25">
      <c r="A1358" s="1" t="s">
        <v>47</v>
      </c>
      <c r="B1358" s="1" t="s">
        <v>12</v>
      </c>
      <c r="C1358" s="1" t="s">
        <v>23</v>
      </c>
      <c r="D1358" s="5">
        <v>45891</v>
      </c>
      <c r="E1358" s="6">
        <v>6099780559</v>
      </c>
      <c r="F1358" s="6">
        <v>3198387437</v>
      </c>
      <c r="G1358" s="6">
        <v>2901393122</v>
      </c>
      <c r="H1358" s="6">
        <v>3069122704</v>
      </c>
      <c r="I1358" s="7">
        <v>3030657855</v>
      </c>
    </row>
    <row r="1359" spans="1:9" ht="12" customHeight="1" thickBot="1" x14ac:dyDescent="0.25">
      <c r="A1359" s="1" t="s">
        <v>47</v>
      </c>
      <c r="B1359" s="1" t="s">
        <v>12</v>
      </c>
      <c r="C1359" s="1" t="s">
        <v>23</v>
      </c>
      <c r="D1359" s="5">
        <v>45892</v>
      </c>
      <c r="E1359" s="6">
        <v>6088822176</v>
      </c>
      <c r="F1359" s="6">
        <v>3265082677</v>
      </c>
      <c r="G1359" s="6">
        <v>2823739499</v>
      </c>
      <c r="H1359" s="6">
        <v>3069122704</v>
      </c>
      <c r="I1359" s="7">
        <v>3019699472</v>
      </c>
    </row>
    <row r="1360" spans="1:9" ht="12" customHeight="1" thickBot="1" x14ac:dyDescent="0.25">
      <c r="A1360" s="1" t="s">
        <v>47</v>
      </c>
      <c r="B1360" s="1" t="s">
        <v>12</v>
      </c>
      <c r="C1360" s="1" t="s">
        <v>23</v>
      </c>
      <c r="D1360" s="5">
        <v>45893</v>
      </c>
      <c r="E1360" s="6">
        <v>6065988679</v>
      </c>
      <c r="F1360" s="6">
        <v>3234639999</v>
      </c>
      <c r="G1360" s="6">
        <v>2831348680</v>
      </c>
      <c r="H1360" s="6">
        <v>3105550827</v>
      </c>
      <c r="I1360" s="7">
        <v>2960437852</v>
      </c>
    </row>
    <row r="1361" spans="1:9" ht="12" customHeight="1" thickBot="1" x14ac:dyDescent="0.25">
      <c r="A1361" s="1" t="s">
        <v>47</v>
      </c>
      <c r="B1361" s="1" t="s">
        <v>12</v>
      </c>
      <c r="C1361" s="1" t="s">
        <v>23</v>
      </c>
      <c r="D1361" s="5">
        <v>45894</v>
      </c>
      <c r="E1361" s="6">
        <v>6047510695</v>
      </c>
      <c r="F1361" s="6">
        <v>3213274753</v>
      </c>
      <c r="G1361" s="6">
        <v>2834235942</v>
      </c>
      <c r="H1361" s="6">
        <v>3105598378</v>
      </c>
      <c r="I1361" s="7">
        <v>2941912317</v>
      </c>
    </row>
    <row r="1362" spans="1:9" ht="12" customHeight="1" thickBot="1" x14ac:dyDescent="0.25">
      <c r="A1362" s="1" t="s">
        <v>47</v>
      </c>
      <c r="B1362" s="1" t="s">
        <v>12</v>
      </c>
      <c r="C1362" s="1" t="s">
        <v>23</v>
      </c>
      <c r="D1362" s="5">
        <v>45895</v>
      </c>
      <c r="E1362" s="6">
        <v>6030668981</v>
      </c>
      <c r="F1362" s="6">
        <v>3242087431</v>
      </c>
      <c r="G1362" s="6">
        <v>2788581550</v>
      </c>
      <c r="H1362" s="6">
        <v>3095933378</v>
      </c>
      <c r="I1362" s="7">
        <v>2934735603</v>
      </c>
    </row>
    <row r="1363" spans="1:9" ht="12" customHeight="1" thickBot="1" x14ac:dyDescent="0.25">
      <c r="A1363" s="1" t="s">
        <v>47</v>
      </c>
      <c r="B1363" s="1" t="s">
        <v>12</v>
      </c>
      <c r="C1363" s="1" t="s">
        <v>23</v>
      </c>
      <c r="D1363" s="5">
        <v>45896</v>
      </c>
      <c r="E1363" s="6">
        <v>6008881206</v>
      </c>
      <c r="F1363" s="6">
        <v>3232740444</v>
      </c>
      <c r="G1363" s="6">
        <v>2776140762</v>
      </c>
      <c r="H1363" s="6">
        <v>3095933378</v>
      </c>
      <c r="I1363" s="7">
        <v>2912947828</v>
      </c>
    </row>
    <row r="1364" spans="1:9" ht="12" customHeight="1" thickBot="1" x14ac:dyDescent="0.25">
      <c r="A1364" s="1" t="s">
        <v>47</v>
      </c>
      <c r="B1364" s="1" t="s">
        <v>12</v>
      </c>
      <c r="C1364" s="1" t="s">
        <v>23</v>
      </c>
      <c r="D1364" s="5">
        <v>45897</v>
      </c>
      <c r="E1364" s="6">
        <v>5952359338</v>
      </c>
      <c r="F1364" s="6">
        <v>3230190402</v>
      </c>
      <c r="G1364" s="6">
        <v>2722168936</v>
      </c>
      <c r="H1364" s="6">
        <v>3095931378</v>
      </c>
      <c r="I1364" s="7">
        <v>2856427960</v>
      </c>
    </row>
    <row r="1365" spans="1:9" ht="12" customHeight="1" thickBot="1" x14ac:dyDescent="0.25">
      <c r="A1365" s="1" t="s">
        <v>47</v>
      </c>
      <c r="B1365" s="1" t="s">
        <v>12</v>
      </c>
      <c r="C1365" s="1" t="s">
        <v>23</v>
      </c>
      <c r="D1365" s="5">
        <v>45898</v>
      </c>
      <c r="E1365" s="6">
        <v>5935104191</v>
      </c>
      <c r="F1365" s="6">
        <v>3279872332</v>
      </c>
      <c r="G1365" s="6">
        <v>2655231859</v>
      </c>
      <c r="H1365" s="6">
        <v>3116262520</v>
      </c>
      <c r="I1365" s="7">
        <v>2818841671</v>
      </c>
    </row>
    <row r="1366" spans="1:9" ht="12" customHeight="1" thickBot="1" x14ac:dyDescent="0.25">
      <c r="A1366" s="1" t="s">
        <v>47</v>
      </c>
      <c r="B1366" s="1" t="s">
        <v>12</v>
      </c>
      <c r="C1366" s="1" t="s">
        <v>23</v>
      </c>
      <c r="D1366" s="5">
        <v>45899</v>
      </c>
      <c r="E1366" s="6">
        <v>5908831450</v>
      </c>
      <c r="F1366" s="6">
        <v>3270538440</v>
      </c>
      <c r="G1366" s="6">
        <v>2638293010</v>
      </c>
      <c r="H1366" s="6">
        <v>3132651479</v>
      </c>
      <c r="I1366" s="7">
        <v>2776179971</v>
      </c>
    </row>
    <row r="1367" spans="1:9" ht="12" customHeight="1" thickBot="1" x14ac:dyDescent="0.25">
      <c r="A1367" s="1" t="s">
        <v>47</v>
      </c>
      <c r="B1367" s="1" t="s">
        <v>12</v>
      </c>
      <c r="C1367" s="1" t="s">
        <v>23</v>
      </c>
      <c r="D1367" s="5">
        <v>45900</v>
      </c>
      <c r="E1367" s="6">
        <v>5905704913</v>
      </c>
      <c r="F1367" s="6">
        <v>3262173849</v>
      </c>
      <c r="G1367" s="6">
        <v>2643531064</v>
      </c>
      <c r="H1367" s="6">
        <v>3132651479</v>
      </c>
      <c r="I1367" s="7">
        <v>2773053434</v>
      </c>
    </row>
    <row r="1368" spans="1:9" ht="12" customHeight="1" thickBot="1" x14ac:dyDescent="0.25">
      <c r="A1368" s="1" t="s">
        <v>47</v>
      </c>
      <c r="B1368" s="1" t="s">
        <v>12</v>
      </c>
      <c r="C1368" s="1" t="s">
        <v>23</v>
      </c>
      <c r="D1368" s="5">
        <v>45901</v>
      </c>
      <c r="E1368" s="6">
        <v>5904949512</v>
      </c>
      <c r="F1368" s="6">
        <v>3246047618</v>
      </c>
      <c r="G1368" s="6">
        <v>2658901894</v>
      </c>
      <c r="H1368" s="6">
        <v>3132651479</v>
      </c>
      <c r="I1368" s="7">
        <v>2772298033</v>
      </c>
    </row>
    <row r="1369" spans="1:9" ht="12" customHeight="1" thickBot="1" x14ac:dyDescent="0.25">
      <c r="A1369" s="1" t="s">
        <v>47</v>
      </c>
      <c r="B1369" s="1" t="s">
        <v>12</v>
      </c>
      <c r="C1369" s="1" t="s">
        <v>23</v>
      </c>
      <c r="D1369" s="5">
        <v>45902</v>
      </c>
      <c r="E1369" s="6">
        <v>5899854270</v>
      </c>
      <c r="F1369" s="6">
        <v>3246047618</v>
      </c>
      <c r="G1369" s="6">
        <v>2653806652</v>
      </c>
      <c r="H1369" s="6">
        <v>3151341851</v>
      </c>
      <c r="I1369" s="7">
        <v>2748512419</v>
      </c>
    </row>
    <row r="1370" spans="1:9" ht="12" customHeight="1" thickBot="1" x14ac:dyDescent="0.25">
      <c r="A1370" s="1" t="s">
        <v>47</v>
      </c>
      <c r="B1370" s="1" t="s">
        <v>12</v>
      </c>
      <c r="C1370" s="1" t="s">
        <v>23</v>
      </c>
      <c r="D1370" s="5">
        <v>45903</v>
      </c>
      <c r="E1370" s="6">
        <v>5866317465</v>
      </c>
      <c r="F1370" s="6">
        <v>3223897137</v>
      </c>
      <c r="G1370" s="6">
        <v>2642420328</v>
      </c>
      <c r="H1370" s="6">
        <v>3129885000</v>
      </c>
      <c r="I1370" s="7">
        <v>2736432465</v>
      </c>
    </row>
    <row r="1371" spans="1:9" ht="12" customHeight="1" thickBot="1" x14ac:dyDescent="0.25">
      <c r="A1371" s="1" t="s">
        <v>47</v>
      </c>
      <c r="B1371" s="1" t="s">
        <v>12</v>
      </c>
      <c r="C1371" s="1" t="s">
        <v>23</v>
      </c>
      <c r="D1371" s="5">
        <v>45904</v>
      </c>
      <c r="E1371" s="6">
        <v>5845253717</v>
      </c>
      <c r="F1371" s="6">
        <v>3289972532</v>
      </c>
      <c r="G1371" s="6">
        <v>2555281185</v>
      </c>
      <c r="H1371" s="6">
        <v>3129435000</v>
      </c>
      <c r="I1371" s="7">
        <v>2715818717</v>
      </c>
    </row>
    <row r="1372" spans="1:9" ht="12" customHeight="1" thickBot="1" x14ac:dyDescent="0.25">
      <c r="A1372" s="1" t="s">
        <v>47</v>
      </c>
      <c r="B1372" s="1" t="s">
        <v>12</v>
      </c>
      <c r="C1372" s="1" t="s">
        <v>23</v>
      </c>
      <c r="D1372" s="5">
        <v>45905</v>
      </c>
      <c r="E1372" s="6">
        <v>5825224458</v>
      </c>
      <c r="F1372" s="6">
        <v>3301181928</v>
      </c>
      <c r="G1372" s="6">
        <v>2524042530</v>
      </c>
      <c r="H1372" s="6">
        <v>3155538906</v>
      </c>
      <c r="I1372" s="7">
        <v>2669685552</v>
      </c>
    </row>
    <row r="1373" spans="1:9" ht="12" customHeight="1" thickBot="1" x14ac:dyDescent="0.25">
      <c r="A1373" s="1" t="s">
        <v>47</v>
      </c>
      <c r="B1373" s="1" t="s">
        <v>12</v>
      </c>
      <c r="C1373" s="1" t="s">
        <v>23</v>
      </c>
      <c r="D1373" s="5">
        <v>45906</v>
      </c>
      <c r="E1373" s="6">
        <v>5817233760</v>
      </c>
      <c r="F1373" s="6">
        <v>3343862280</v>
      </c>
      <c r="G1373" s="6">
        <v>2473371480</v>
      </c>
      <c r="H1373" s="6">
        <v>3150222921</v>
      </c>
      <c r="I1373" s="7">
        <v>2667010839</v>
      </c>
    </row>
    <row r="1374" spans="1:9" ht="12" customHeight="1" thickBot="1" x14ac:dyDescent="0.25">
      <c r="A1374" s="1" t="s">
        <v>47</v>
      </c>
      <c r="B1374" s="1" t="s">
        <v>12</v>
      </c>
      <c r="C1374" s="1" t="s">
        <v>23</v>
      </c>
      <c r="D1374" s="5">
        <v>45907</v>
      </c>
      <c r="E1374" s="6">
        <v>5810215923</v>
      </c>
      <c r="F1374" s="6">
        <v>3353776169</v>
      </c>
      <c r="G1374" s="6">
        <v>2456439754</v>
      </c>
      <c r="H1374" s="6">
        <v>3150222921</v>
      </c>
      <c r="I1374" s="7">
        <v>2659993002</v>
      </c>
    </row>
    <row r="1375" spans="1:9" ht="12" customHeight="1" thickBot="1" x14ac:dyDescent="0.25">
      <c r="A1375" s="1" t="s">
        <v>47</v>
      </c>
      <c r="B1375" s="1" t="s">
        <v>12</v>
      </c>
      <c r="C1375" s="1" t="s">
        <v>23</v>
      </c>
      <c r="D1375" s="5">
        <v>45908</v>
      </c>
      <c r="E1375" s="6">
        <v>5773688344</v>
      </c>
      <c r="F1375" s="6">
        <v>3296606476</v>
      </c>
      <c r="G1375" s="6">
        <v>2477081868</v>
      </c>
      <c r="H1375" s="6">
        <v>3172361601</v>
      </c>
      <c r="I1375" s="7">
        <v>2601326743</v>
      </c>
    </row>
    <row r="1376" spans="1:9" ht="12" customHeight="1" thickBot="1" x14ac:dyDescent="0.25">
      <c r="A1376" s="1" t="s">
        <v>47</v>
      </c>
      <c r="B1376" s="1" t="s">
        <v>12</v>
      </c>
      <c r="C1376" s="1" t="s">
        <v>23</v>
      </c>
      <c r="D1376" s="5">
        <v>45909</v>
      </c>
      <c r="E1376" s="6">
        <v>5755665328</v>
      </c>
      <c r="F1376" s="6">
        <v>3332997155</v>
      </c>
      <c r="G1376" s="6">
        <v>2422668173</v>
      </c>
      <c r="H1376" s="6">
        <v>3160703113</v>
      </c>
      <c r="I1376" s="7">
        <v>2594962215</v>
      </c>
    </row>
    <row r="1377" spans="1:9" ht="12" customHeight="1" thickBot="1" x14ac:dyDescent="0.25">
      <c r="A1377" s="1" t="s">
        <v>47</v>
      </c>
      <c r="B1377" s="1" t="s">
        <v>12</v>
      </c>
      <c r="C1377" s="1" t="s">
        <v>23</v>
      </c>
      <c r="D1377" s="5">
        <v>45910</v>
      </c>
      <c r="E1377" s="6">
        <v>5744413519</v>
      </c>
      <c r="F1377" s="6">
        <v>3321681559</v>
      </c>
      <c r="G1377" s="6">
        <v>2422731960</v>
      </c>
      <c r="H1377" s="6">
        <v>3160703113</v>
      </c>
      <c r="I1377" s="7">
        <v>2583710406</v>
      </c>
    </row>
    <row r="1378" spans="1:9" ht="12" customHeight="1" thickBot="1" x14ac:dyDescent="0.25">
      <c r="A1378" s="1" t="s">
        <v>47</v>
      </c>
      <c r="B1378" s="1" t="s">
        <v>12</v>
      </c>
      <c r="C1378" s="1" t="s">
        <v>23</v>
      </c>
      <c r="D1378" s="5">
        <v>45911</v>
      </c>
      <c r="E1378" s="6">
        <v>5727003539</v>
      </c>
      <c r="F1378" s="6">
        <v>3286073866</v>
      </c>
      <c r="G1378" s="6">
        <v>2440929673</v>
      </c>
      <c r="H1378" s="6">
        <v>3160703113</v>
      </c>
      <c r="I1378" s="7">
        <v>2566300426</v>
      </c>
    </row>
    <row r="1379" spans="1:9" ht="12" customHeight="1" thickBot="1" x14ac:dyDescent="0.25">
      <c r="A1379" s="1" t="s">
        <v>47</v>
      </c>
      <c r="B1379" s="1" t="s">
        <v>12</v>
      </c>
      <c r="C1379" s="1" t="s">
        <v>23</v>
      </c>
      <c r="D1379" s="5">
        <v>45912</v>
      </c>
      <c r="E1379" s="6">
        <v>5715839056</v>
      </c>
      <c r="F1379" s="6">
        <v>3298094448</v>
      </c>
      <c r="G1379" s="6">
        <v>2417744608</v>
      </c>
      <c r="H1379" s="6">
        <v>3160703113</v>
      </c>
      <c r="I1379" s="7">
        <v>2555135943</v>
      </c>
    </row>
    <row r="1380" spans="1:9" ht="12" customHeight="1" thickBot="1" x14ac:dyDescent="0.25">
      <c r="A1380" s="1" t="s">
        <v>47</v>
      </c>
      <c r="B1380" s="1" t="s">
        <v>12</v>
      </c>
      <c r="C1380" s="1" t="s">
        <v>23</v>
      </c>
      <c r="D1380" s="5">
        <v>45913</v>
      </c>
      <c r="E1380" s="6">
        <v>5698941652</v>
      </c>
      <c r="F1380" s="6">
        <v>3284188875</v>
      </c>
      <c r="G1380" s="6">
        <v>2414752777</v>
      </c>
      <c r="H1380" s="6">
        <v>3160703113</v>
      </c>
      <c r="I1380" s="7">
        <v>2538238539</v>
      </c>
    </row>
    <row r="1381" spans="1:9" ht="12" customHeight="1" thickBot="1" x14ac:dyDescent="0.25">
      <c r="A1381" s="1" t="s">
        <v>47</v>
      </c>
      <c r="B1381" s="1" t="s">
        <v>12</v>
      </c>
      <c r="C1381" s="1" t="s">
        <v>23</v>
      </c>
      <c r="D1381" s="5">
        <v>45914</v>
      </c>
      <c r="E1381" s="6">
        <v>5696370667</v>
      </c>
      <c r="F1381" s="6">
        <v>3289906142</v>
      </c>
      <c r="G1381" s="6">
        <v>2406464525</v>
      </c>
      <c r="H1381" s="6">
        <v>3199504416</v>
      </c>
      <c r="I1381" s="7">
        <v>2496866251</v>
      </c>
    </row>
    <row r="1382" spans="1:9" ht="12" customHeight="1" thickBot="1" x14ac:dyDescent="0.25">
      <c r="A1382" s="1" t="s">
        <v>47</v>
      </c>
      <c r="B1382" s="1" t="s">
        <v>12</v>
      </c>
      <c r="C1382" s="1" t="s">
        <v>23</v>
      </c>
      <c r="D1382" s="5">
        <v>45915</v>
      </c>
      <c r="E1382" s="6">
        <v>5647675948</v>
      </c>
      <c r="F1382" s="6">
        <v>3252621679</v>
      </c>
      <c r="G1382" s="6">
        <v>2395054269</v>
      </c>
      <c r="H1382" s="6">
        <v>3180286788</v>
      </c>
      <c r="I1382" s="7">
        <v>2467389160</v>
      </c>
    </row>
    <row r="1383" spans="1:9" ht="12" customHeight="1" thickBot="1" x14ac:dyDescent="0.25">
      <c r="A1383" s="1" t="s">
        <v>47</v>
      </c>
      <c r="B1383" s="1" t="s">
        <v>12</v>
      </c>
      <c r="C1383" s="1" t="s">
        <v>23</v>
      </c>
      <c r="D1383" s="5">
        <v>45916</v>
      </c>
      <c r="E1383" s="6">
        <v>5642385411</v>
      </c>
      <c r="F1383" s="6">
        <v>3272666012</v>
      </c>
      <c r="G1383" s="6">
        <v>2369719399</v>
      </c>
      <c r="H1383" s="6">
        <v>3200008796</v>
      </c>
      <c r="I1383" s="7">
        <v>2442376615</v>
      </c>
    </row>
    <row r="1384" spans="1:9" ht="12" customHeight="1" thickBot="1" x14ac:dyDescent="0.25">
      <c r="A1384" s="1" t="s">
        <v>47</v>
      </c>
      <c r="B1384" s="1" t="s">
        <v>12</v>
      </c>
      <c r="C1384" s="1" t="s">
        <v>23</v>
      </c>
      <c r="D1384" s="5">
        <v>45917</v>
      </c>
      <c r="E1384" s="6">
        <v>5636285981</v>
      </c>
      <c r="F1384" s="6">
        <v>3266872131</v>
      </c>
      <c r="G1384" s="6">
        <v>2369413850</v>
      </c>
      <c r="H1384" s="6">
        <v>3199808796</v>
      </c>
      <c r="I1384" s="7">
        <v>2436477185</v>
      </c>
    </row>
    <row r="1385" spans="1:9" ht="12" customHeight="1" thickBot="1" x14ac:dyDescent="0.25">
      <c r="A1385" s="1" t="s">
        <v>47</v>
      </c>
      <c r="B1385" s="1" t="s">
        <v>12</v>
      </c>
      <c r="C1385" s="1" t="s">
        <v>23</v>
      </c>
      <c r="D1385" s="5">
        <v>45918</v>
      </c>
      <c r="E1385" s="6">
        <v>5627178823</v>
      </c>
      <c r="F1385" s="6">
        <v>3294082821</v>
      </c>
      <c r="G1385" s="6">
        <v>2333096002</v>
      </c>
      <c r="H1385" s="6">
        <v>3199508796</v>
      </c>
      <c r="I1385" s="7">
        <v>2427670027</v>
      </c>
    </row>
    <row r="1386" spans="1:9" ht="12" customHeight="1" thickBot="1" x14ac:dyDescent="0.25">
      <c r="A1386" s="1" t="s">
        <v>47</v>
      </c>
      <c r="B1386" s="1" t="s">
        <v>12</v>
      </c>
      <c r="C1386" s="1" t="s">
        <v>23</v>
      </c>
      <c r="D1386" s="5">
        <v>45919</v>
      </c>
      <c r="E1386" s="6">
        <v>5615360447</v>
      </c>
      <c r="F1386" s="6">
        <v>3299722128</v>
      </c>
      <c r="G1386" s="6">
        <v>2315638319</v>
      </c>
      <c r="H1386" s="6">
        <v>3206031750</v>
      </c>
      <c r="I1386" s="7">
        <v>2409328697</v>
      </c>
    </row>
    <row r="1387" spans="1:9" ht="12" customHeight="1" thickBot="1" x14ac:dyDescent="0.25">
      <c r="A1387" s="1" t="s">
        <v>47</v>
      </c>
      <c r="B1387" s="1" t="s">
        <v>12</v>
      </c>
      <c r="C1387" s="1" t="s">
        <v>23</v>
      </c>
      <c r="D1387" s="5">
        <v>45920</v>
      </c>
      <c r="E1387" s="6">
        <v>5591114632</v>
      </c>
      <c r="F1387" s="6">
        <v>3302742360</v>
      </c>
      <c r="G1387" s="6">
        <v>2288372272</v>
      </c>
      <c r="H1387" s="6">
        <v>3204699450</v>
      </c>
      <c r="I1387" s="7">
        <v>2386415182</v>
      </c>
    </row>
    <row r="1388" spans="1:9" ht="12" customHeight="1" thickBot="1" x14ac:dyDescent="0.25">
      <c r="A1388" s="1" t="s">
        <v>47</v>
      </c>
      <c r="B1388" s="1" t="s">
        <v>12</v>
      </c>
      <c r="C1388" s="1" t="s">
        <v>23</v>
      </c>
      <c r="D1388" s="5">
        <v>45921</v>
      </c>
      <c r="E1388" s="6">
        <v>5586733303</v>
      </c>
      <c r="F1388" s="6">
        <v>3302936932</v>
      </c>
      <c r="G1388" s="6">
        <v>2283796371</v>
      </c>
      <c r="H1388" s="6">
        <v>3207268109</v>
      </c>
      <c r="I1388" s="7">
        <v>2379465194</v>
      </c>
    </row>
    <row r="1389" spans="1:9" ht="12" customHeight="1" thickBot="1" x14ac:dyDescent="0.25">
      <c r="A1389" s="1" t="s">
        <v>47</v>
      </c>
      <c r="B1389" s="1" t="s">
        <v>12</v>
      </c>
      <c r="C1389" s="1" t="s">
        <v>23</v>
      </c>
      <c r="D1389" s="5">
        <v>45922</v>
      </c>
      <c r="E1389" s="6">
        <v>5560363612</v>
      </c>
      <c r="F1389" s="6">
        <v>3297683884</v>
      </c>
      <c r="G1389" s="6">
        <v>2262679728</v>
      </c>
      <c r="H1389" s="6">
        <v>3215649937</v>
      </c>
      <c r="I1389" s="7">
        <v>2344713675</v>
      </c>
    </row>
    <row r="1390" spans="1:9" ht="12" customHeight="1" thickBot="1" x14ac:dyDescent="0.25">
      <c r="A1390" s="1" t="s">
        <v>47</v>
      </c>
      <c r="B1390" s="1" t="s">
        <v>12</v>
      </c>
      <c r="C1390" s="1" t="s">
        <v>23</v>
      </c>
      <c r="D1390" s="5">
        <v>45923</v>
      </c>
      <c r="E1390" s="6">
        <v>5538422978</v>
      </c>
      <c r="F1390" s="6">
        <v>3356827686</v>
      </c>
      <c r="G1390" s="6">
        <v>2181595292</v>
      </c>
      <c r="H1390" s="6">
        <v>3215649937</v>
      </c>
      <c r="I1390" s="7">
        <v>2322773041</v>
      </c>
    </row>
    <row r="1391" spans="1:9" ht="12" customHeight="1" thickBot="1" x14ac:dyDescent="0.25">
      <c r="A1391" s="1" t="s">
        <v>47</v>
      </c>
      <c r="B1391" s="1" t="s">
        <v>12</v>
      </c>
      <c r="C1391" s="1" t="s">
        <v>23</v>
      </c>
      <c r="D1391" s="5">
        <v>45924</v>
      </c>
      <c r="E1391" s="6">
        <v>5529625602</v>
      </c>
      <c r="F1391" s="6">
        <v>3345466677</v>
      </c>
      <c r="G1391" s="6">
        <v>2184158925</v>
      </c>
      <c r="H1391" s="6">
        <v>3215649937</v>
      </c>
      <c r="I1391" s="7">
        <v>2313975665</v>
      </c>
    </row>
    <row r="1392" spans="1:9" ht="12" customHeight="1" thickBot="1" x14ac:dyDescent="0.25">
      <c r="A1392" s="1" t="s">
        <v>47</v>
      </c>
      <c r="B1392" s="1" t="s">
        <v>12</v>
      </c>
      <c r="C1392" s="1" t="s">
        <v>23</v>
      </c>
      <c r="D1392" s="5">
        <v>45925</v>
      </c>
      <c r="E1392" s="6">
        <v>5518814150</v>
      </c>
      <c r="F1392" s="6">
        <v>3341608764</v>
      </c>
      <c r="G1392" s="6">
        <v>2177205386</v>
      </c>
      <c r="H1392" s="6">
        <v>3198501763</v>
      </c>
      <c r="I1392" s="7">
        <v>2320312387</v>
      </c>
    </row>
    <row r="1393" spans="1:9" ht="12" customHeight="1" thickBot="1" x14ac:dyDescent="0.25">
      <c r="A1393" s="1" t="s">
        <v>47</v>
      </c>
      <c r="B1393" s="1" t="s">
        <v>12</v>
      </c>
      <c r="C1393" s="1" t="s">
        <v>23</v>
      </c>
      <c r="D1393" s="5">
        <v>45926</v>
      </c>
      <c r="E1393" s="6">
        <v>5511469472</v>
      </c>
      <c r="F1393" s="6">
        <v>3339321114</v>
      </c>
      <c r="G1393" s="6">
        <v>2172148358</v>
      </c>
      <c r="H1393" s="6">
        <v>3202118302</v>
      </c>
      <c r="I1393" s="7">
        <v>2309351170</v>
      </c>
    </row>
    <row r="1394" spans="1:9" ht="12" customHeight="1" thickBot="1" x14ac:dyDescent="0.25">
      <c r="A1394" s="1" t="s">
        <v>47</v>
      </c>
      <c r="B1394" s="1" t="s">
        <v>12</v>
      </c>
      <c r="C1394" s="1" t="s">
        <v>23</v>
      </c>
      <c r="D1394" s="5">
        <v>45927</v>
      </c>
      <c r="E1394" s="6">
        <v>5492558529</v>
      </c>
      <c r="F1394" s="6">
        <v>3346388052</v>
      </c>
      <c r="G1394" s="6">
        <v>2146170477</v>
      </c>
      <c r="H1394" s="6">
        <v>3200609463</v>
      </c>
      <c r="I1394" s="7">
        <v>2291949066</v>
      </c>
    </row>
    <row r="1395" spans="1:9" ht="12" customHeight="1" thickBot="1" x14ac:dyDescent="0.25">
      <c r="A1395" s="1" t="s">
        <v>47</v>
      </c>
      <c r="B1395" s="1" t="s">
        <v>12</v>
      </c>
      <c r="C1395" s="1" t="s">
        <v>23</v>
      </c>
      <c r="D1395" s="5">
        <v>45928</v>
      </c>
      <c r="E1395" s="6">
        <v>5489430687</v>
      </c>
      <c r="F1395" s="6">
        <v>3346388052</v>
      </c>
      <c r="G1395" s="6">
        <v>2143042635</v>
      </c>
      <c r="H1395" s="6">
        <v>3228120153</v>
      </c>
      <c r="I1395" s="7">
        <v>2261310534</v>
      </c>
    </row>
    <row r="1396" spans="1:9" ht="12" customHeight="1" thickBot="1" x14ac:dyDescent="0.25">
      <c r="A1396" s="1" t="s">
        <v>47</v>
      </c>
      <c r="B1396" s="1" t="s">
        <v>12</v>
      </c>
      <c r="C1396" s="1" t="s">
        <v>23</v>
      </c>
      <c r="D1396" s="5">
        <v>45929</v>
      </c>
      <c r="E1396" s="6">
        <v>5453937971</v>
      </c>
      <c r="F1396" s="6">
        <v>3335243773</v>
      </c>
      <c r="G1396" s="6">
        <v>2118694198</v>
      </c>
      <c r="H1396" s="6">
        <v>3228120153</v>
      </c>
      <c r="I1396" s="7">
        <v>2225817818</v>
      </c>
    </row>
    <row r="1397" spans="1:9" ht="12" customHeight="1" thickBot="1" x14ac:dyDescent="0.25">
      <c r="A1397" s="1" t="s">
        <v>47</v>
      </c>
      <c r="B1397" s="1" t="s">
        <v>12</v>
      </c>
      <c r="C1397" s="1" t="s">
        <v>23</v>
      </c>
      <c r="D1397" s="5">
        <v>45930</v>
      </c>
      <c r="E1397" s="6">
        <v>5449357464</v>
      </c>
      <c r="F1397" s="6">
        <v>3347599668</v>
      </c>
      <c r="G1397" s="6">
        <v>2101757796</v>
      </c>
      <c r="H1397" s="6">
        <v>3228488930</v>
      </c>
      <c r="I1397" s="7">
        <v>2220868534</v>
      </c>
    </row>
    <row r="1398" spans="1:9" ht="12" customHeight="1" thickBot="1" x14ac:dyDescent="0.25">
      <c r="A1398" s="1" t="s">
        <v>48</v>
      </c>
      <c r="B1398" s="1" t="s">
        <v>12</v>
      </c>
      <c r="C1398" s="1" t="s">
        <v>23</v>
      </c>
      <c r="D1398" s="5">
        <v>45839</v>
      </c>
      <c r="E1398" s="6">
        <v>33400000</v>
      </c>
      <c r="F1398" s="6">
        <v>0</v>
      </c>
      <c r="G1398" s="6">
        <v>33400000</v>
      </c>
      <c r="H1398" s="6">
        <v>0</v>
      </c>
      <c r="I1398" s="7">
        <v>33400000</v>
      </c>
    </row>
    <row r="1399" spans="1:9" ht="12" customHeight="1" thickBot="1" x14ac:dyDescent="0.25">
      <c r="A1399" s="1" t="s">
        <v>48</v>
      </c>
      <c r="B1399" s="1" t="s">
        <v>12</v>
      </c>
      <c r="C1399" s="1" t="s">
        <v>23</v>
      </c>
      <c r="D1399" s="5">
        <v>45840</v>
      </c>
      <c r="E1399" s="6">
        <v>33400000</v>
      </c>
      <c r="F1399" s="6">
        <v>0</v>
      </c>
      <c r="G1399" s="6">
        <v>33400000</v>
      </c>
      <c r="H1399" s="6">
        <v>0</v>
      </c>
      <c r="I1399" s="7">
        <v>33400000</v>
      </c>
    </row>
    <row r="1400" spans="1:9" ht="12" customHeight="1" thickBot="1" x14ac:dyDescent="0.25">
      <c r="A1400" s="1" t="s">
        <v>48</v>
      </c>
      <c r="B1400" s="1" t="s">
        <v>12</v>
      </c>
      <c r="C1400" s="1" t="s">
        <v>23</v>
      </c>
      <c r="D1400" s="5">
        <v>45841</v>
      </c>
      <c r="E1400" s="6">
        <v>33400000</v>
      </c>
      <c r="F1400" s="6">
        <v>0</v>
      </c>
      <c r="G1400" s="6">
        <v>33400000</v>
      </c>
      <c r="H1400" s="6">
        <v>0</v>
      </c>
      <c r="I1400" s="7">
        <v>33400000</v>
      </c>
    </row>
    <row r="1401" spans="1:9" ht="12" customHeight="1" thickBot="1" x14ac:dyDescent="0.25">
      <c r="A1401" s="1" t="s">
        <v>48</v>
      </c>
      <c r="B1401" s="1" t="s">
        <v>12</v>
      </c>
      <c r="C1401" s="1" t="s">
        <v>23</v>
      </c>
      <c r="D1401" s="5">
        <v>45842</v>
      </c>
      <c r="E1401" s="6">
        <v>33400000</v>
      </c>
      <c r="F1401" s="6">
        <v>0</v>
      </c>
      <c r="G1401" s="6">
        <v>33400000</v>
      </c>
      <c r="H1401" s="6">
        <v>0</v>
      </c>
      <c r="I1401" s="7">
        <v>33400000</v>
      </c>
    </row>
    <row r="1402" spans="1:9" ht="12" customHeight="1" thickBot="1" x14ac:dyDescent="0.25">
      <c r="A1402" s="1" t="s">
        <v>48</v>
      </c>
      <c r="B1402" s="1" t="s">
        <v>12</v>
      </c>
      <c r="C1402" s="1" t="s">
        <v>23</v>
      </c>
      <c r="D1402" s="5">
        <v>45843</v>
      </c>
      <c r="E1402" s="6">
        <v>33400000</v>
      </c>
      <c r="F1402" s="6">
        <v>0</v>
      </c>
      <c r="G1402" s="6">
        <v>33400000</v>
      </c>
      <c r="H1402" s="6">
        <v>0</v>
      </c>
      <c r="I1402" s="7">
        <v>33400000</v>
      </c>
    </row>
    <row r="1403" spans="1:9" ht="12" customHeight="1" thickBot="1" x14ac:dyDescent="0.25">
      <c r="A1403" s="1" t="s">
        <v>48</v>
      </c>
      <c r="B1403" s="1" t="s">
        <v>12</v>
      </c>
      <c r="C1403" s="1" t="s">
        <v>23</v>
      </c>
      <c r="D1403" s="5">
        <v>45844</v>
      </c>
      <c r="E1403" s="6">
        <v>33400000</v>
      </c>
      <c r="F1403" s="6">
        <v>0</v>
      </c>
      <c r="G1403" s="6">
        <v>33400000</v>
      </c>
      <c r="H1403" s="6">
        <v>0</v>
      </c>
      <c r="I1403" s="7">
        <v>33400000</v>
      </c>
    </row>
    <row r="1404" spans="1:9" ht="12" customHeight="1" thickBot="1" x14ac:dyDescent="0.25">
      <c r="A1404" s="1" t="s">
        <v>48</v>
      </c>
      <c r="B1404" s="1" t="s">
        <v>12</v>
      </c>
      <c r="C1404" s="1" t="s">
        <v>23</v>
      </c>
      <c r="D1404" s="5">
        <v>45845</v>
      </c>
      <c r="E1404" s="6">
        <v>33400000</v>
      </c>
      <c r="F1404" s="6">
        <v>0</v>
      </c>
      <c r="G1404" s="6">
        <v>33400000</v>
      </c>
      <c r="H1404" s="6">
        <v>0</v>
      </c>
      <c r="I1404" s="7">
        <v>33400000</v>
      </c>
    </row>
    <row r="1405" spans="1:9" ht="12" customHeight="1" thickBot="1" x14ac:dyDescent="0.25">
      <c r="A1405" s="1" t="s">
        <v>48</v>
      </c>
      <c r="B1405" s="1" t="s">
        <v>12</v>
      </c>
      <c r="C1405" s="1" t="s">
        <v>23</v>
      </c>
      <c r="D1405" s="5">
        <v>45846</v>
      </c>
      <c r="E1405" s="6">
        <v>33400000</v>
      </c>
      <c r="F1405" s="6">
        <v>0</v>
      </c>
      <c r="G1405" s="6">
        <v>33400000</v>
      </c>
      <c r="H1405" s="6">
        <v>0</v>
      </c>
      <c r="I1405" s="7">
        <v>33400000</v>
      </c>
    </row>
    <row r="1406" spans="1:9" ht="12" customHeight="1" thickBot="1" x14ac:dyDescent="0.25">
      <c r="A1406" s="1" t="s">
        <v>48</v>
      </c>
      <c r="B1406" s="1" t="s">
        <v>12</v>
      </c>
      <c r="C1406" s="1" t="s">
        <v>23</v>
      </c>
      <c r="D1406" s="5">
        <v>45847</v>
      </c>
      <c r="E1406" s="6">
        <v>33400000</v>
      </c>
      <c r="F1406" s="6">
        <v>0</v>
      </c>
      <c r="G1406" s="6">
        <v>33400000</v>
      </c>
      <c r="H1406" s="6">
        <v>0</v>
      </c>
      <c r="I1406" s="7">
        <v>33400000</v>
      </c>
    </row>
    <row r="1407" spans="1:9" ht="12" customHeight="1" thickBot="1" x14ac:dyDescent="0.25">
      <c r="A1407" s="1" t="s">
        <v>48</v>
      </c>
      <c r="B1407" s="1" t="s">
        <v>12</v>
      </c>
      <c r="C1407" s="1" t="s">
        <v>23</v>
      </c>
      <c r="D1407" s="5">
        <v>45848</v>
      </c>
      <c r="E1407" s="6">
        <v>33400000</v>
      </c>
      <c r="F1407" s="6">
        <v>0</v>
      </c>
      <c r="G1407" s="6">
        <v>33400000</v>
      </c>
      <c r="H1407" s="6">
        <v>0</v>
      </c>
      <c r="I1407" s="7">
        <v>33400000</v>
      </c>
    </row>
    <row r="1408" spans="1:9" ht="12" customHeight="1" thickBot="1" x14ac:dyDescent="0.25">
      <c r="A1408" s="1" t="s">
        <v>48</v>
      </c>
      <c r="B1408" s="1" t="s">
        <v>12</v>
      </c>
      <c r="C1408" s="1" t="s">
        <v>23</v>
      </c>
      <c r="D1408" s="5">
        <v>45849</v>
      </c>
      <c r="E1408" s="6">
        <v>33400000</v>
      </c>
      <c r="F1408" s="6">
        <v>0</v>
      </c>
      <c r="G1408" s="6">
        <v>33400000</v>
      </c>
      <c r="H1408" s="6">
        <v>0</v>
      </c>
      <c r="I1408" s="7">
        <v>33400000</v>
      </c>
    </row>
    <row r="1409" spans="1:9" ht="12" customHeight="1" thickBot="1" x14ac:dyDescent="0.25">
      <c r="A1409" s="1" t="s">
        <v>48</v>
      </c>
      <c r="B1409" s="1" t="s">
        <v>12</v>
      </c>
      <c r="C1409" s="1" t="s">
        <v>23</v>
      </c>
      <c r="D1409" s="5">
        <v>45850</v>
      </c>
      <c r="E1409" s="6">
        <v>33400000</v>
      </c>
      <c r="F1409" s="6">
        <v>0</v>
      </c>
      <c r="G1409" s="6">
        <v>33400000</v>
      </c>
      <c r="H1409" s="6">
        <v>0</v>
      </c>
      <c r="I1409" s="7">
        <v>33400000</v>
      </c>
    </row>
    <row r="1410" spans="1:9" ht="12" customHeight="1" thickBot="1" x14ac:dyDescent="0.25">
      <c r="A1410" s="1" t="s">
        <v>48</v>
      </c>
      <c r="B1410" s="1" t="s">
        <v>12</v>
      </c>
      <c r="C1410" s="1" t="s">
        <v>23</v>
      </c>
      <c r="D1410" s="5">
        <v>45851</v>
      </c>
      <c r="E1410" s="6">
        <v>33400000</v>
      </c>
      <c r="F1410" s="6">
        <v>0</v>
      </c>
      <c r="G1410" s="6">
        <v>33400000</v>
      </c>
      <c r="H1410" s="6">
        <v>0</v>
      </c>
      <c r="I1410" s="7">
        <v>33400000</v>
      </c>
    </row>
    <row r="1411" spans="1:9" ht="12" customHeight="1" thickBot="1" x14ac:dyDescent="0.25">
      <c r="A1411" s="1" t="s">
        <v>48</v>
      </c>
      <c r="B1411" s="1" t="s">
        <v>12</v>
      </c>
      <c r="C1411" s="1" t="s">
        <v>23</v>
      </c>
      <c r="D1411" s="5">
        <v>45852</v>
      </c>
      <c r="E1411" s="6">
        <v>33400000</v>
      </c>
      <c r="F1411" s="6">
        <v>0</v>
      </c>
      <c r="G1411" s="6">
        <v>33400000</v>
      </c>
      <c r="H1411" s="6">
        <v>0</v>
      </c>
      <c r="I1411" s="7">
        <v>33400000</v>
      </c>
    </row>
    <row r="1412" spans="1:9" ht="12" customHeight="1" thickBot="1" x14ac:dyDescent="0.25">
      <c r="A1412" s="1" t="s">
        <v>48</v>
      </c>
      <c r="B1412" s="1" t="s">
        <v>12</v>
      </c>
      <c r="C1412" s="1" t="s">
        <v>23</v>
      </c>
      <c r="D1412" s="5">
        <v>45853</v>
      </c>
      <c r="E1412" s="6">
        <v>32467771</v>
      </c>
      <c r="F1412" s="6">
        <v>10700000</v>
      </c>
      <c r="G1412" s="6">
        <v>21767771</v>
      </c>
      <c r="H1412" s="6">
        <v>0</v>
      </c>
      <c r="I1412" s="7">
        <v>32467771</v>
      </c>
    </row>
    <row r="1413" spans="1:9" ht="12" customHeight="1" thickBot="1" x14ac:dyDescent="0.25">
      <c r="A1413" s="1" t="s">
        <v>48</v>
      </c>
      <c r="B1413" s="1" t="s">
        <v>12</v>
      </c>
      <c r="C1413" s="1" t="s">
        <v>23</v>
      </c>
      <c r="D1413" s="5">
        <v>45854</v>
      </c>
      <c r="E1413" s="6">
        <v>30904944</v>
      </c>
      <c r="F1413" s="6">
        <v>0</v>
      </c>
      <c r="G1413" s="6">
        <v>30904944</v>
      </c>
      <c r="H1413" s="6">
        <v>0</v>
      </c>
      <c r="I1413" s="7">
        <v>30904944</v>
      </c>
    </row>
    <row r="1414" spans="1:9" ht="12" customHeight="1" thickBot="1" x14ac:dyDescent="0.25">
      <c r="A1414" s="1" t="s">
        <v>48</v>
      </c>
      <c r="B1414" s="1" t="s">
        <v>12</v>
      </c>
      <c r="C1414" s="1" t="s">
        <v>23</v>
      </c>
      <c r="D1414" s="5">
        <v>45855</v>
      </c>
      <c r="E1414" s="6">
        <v>30904944</v>
      </c>
      <c r="F1414" s="6">
        <v>0</v>
      </c>
      <c r="G1414" s="6">
        <v>30904944</v>
      </c>
      <c r="H1414" s="6">
        <v>0</v>
      </c>
      <c r="I1414" s="7">
        <v>30904944</v>
      </c>
    </row>
    <row r="1415" spans="1:9" ht="12" customHeight="1" thickBot="1" x14ac:dyDescent="0.25">
      <c r="A1415" s="1" t="s">
        <v>48</v>
      </c>
      <c r="B1415" s="1" t="s">
        <v>12</v>
      </c>
      <c r="C1415" s="1" t="s">
        <v>23</v>
      </c>
      <c r="D1415" s="5">
        <v>45856</v>
      </c>
      <c r="E1415" s="6">
        <v>30904944</v>
      </c>
      <c r="F1415" s="6">
        <v>0</v>
      </c>
      <c r="G1415" s="6">
        <v>30904944</v>
      </c>
      <c r="H1415" s="6">
        <v>0</v>
      </c>
      <c r="I1415" s="7">
        <v>30904944</v>
      </c>
    </row>
    <row r="1416" spans="1:9" ht="12" customHeight="1" thickBot="1" x14ac:dyDescent="0.25">
      <c r="A1416" s="1" t="s">
        <v>48</v>
      </c>
      <c r="B1416" s="1" t="s">
        <v>12</v>
      </c>
      <c r="C1416" s="1" t="s">
        <v>23</v>
      </c>
      <c r="D1416" s="5">
        <v>45857</v>
      </c>
      <c r="E1416" s="6">
        <v>30904944</v>
      </c>
      <c r="F1416" s="6">
        <v>0</v>
      </c>
      <c r="G1416" s="6">
        <v>30904944</v>
      </c>
      <c r="H1416" s="6">
        <v>0</v>
      </c>
      <c r="I1416" s="7">
        <v>30904944</v>
      </c>
    </row>
    <row r="1417" spans="1:9" ht="12" customHeight="1" thickBot="1" x14ac:dyDescent="0.25">
      <c r="A1417" s="1" t="s">
        <v>48</v>
      </c>
      <c r="B1417" s="1" t="s">
        <v>12</v>
      </c>
      <c r="C1417" s="1" t="s">
        <v>23</v>
      </c>
      <c r="D1417" s="5">
        <v>45858</v>
      </c>
      <c r="E1417" s="6">
        <v>30904944</v>
      </c>
      <c r="F1417" s="6">
        <v>0</v>
      </c>
      <c r="G1417" s="6">
        <v>30904944</v>
      </c>
      <c r="H1417" s="6">
        <v>0</v>
      </c>
      <c r="I1417" s="7">
        <v>30904944</v>
      </c>
    </row>
    <row r="1418" spans="1:9" ht="12" customHeight="1" thickBot="1" x14ac:dyDescent="0.25">
      <c r="A1418" s="1" t="s">
        <v>48</v>
      </c>
      <c r="B1418" s="1" t="s">
        <v>12</v>
      </c>
      <c r="C1418" s="1" t="s">
        <v>23</v>
      </c>
      <c r="D1418" s="5">
        <v>45859</v>
      </c>
      <c r="E1418" s="6">
        <v>30904944</v>
      </c>
      <c r="F1418" s="6">
        <v>0</v>
      </c>
      <c r="G1418" s="6">
        <v>30904944</v>
      </c>
      <c r="H1418" s="6">
        <v>0</v>
      </c>
      <c r="I1418" s="7">
        <v>30904944</v>
      </c>
    </row>
    <row r="1419" spans="1:9" ht="12" customHeight="1" thickBot="1" x14ac:dyDescent="0.25">
      <c r="A1419" s="1" t="s">
        <v>48</v>
      </c>
      <c r="B1419" s="1" t="s">
        <v>12</v>
      </c>
      <c r="C1419" s="1" t="s">
        <v>23</v>
      </c>
      <c r="D1419" s="5">
        <v>45860</v>
      </c>
      <c r="E1419" s="6">
        <v>30904944</v>
      </c>
      <c r="F1419" s="6">
        <v>0</v>
      </c>
      <c r="G1419" s="6">
        <v>30904944</v>
      </c>
      <c r="H1419" s="6">
        <v>0</v>
      </c>
      <c r="I1419" s="7">
        <v>30904944</v>
      </c>
    </row>
    <row r="1420" spans="1:9" ht="12" customHeight="1" thickBot="1" x14ac:dyDescent="0.25">
      <c r="A1420" s="1" t="s">
        <v>48</v>
      </c>
      <c r="B1420" s="1" t="s">
        <v>12</v>
      </c>
      <c r="C1420" s="1" t="s">
        <v>23</v>
      </c>
      <c r="D1420" s="5">
        <v>45861</v>
      </c>
      <c r="E1420" s="6">
        <v>30904944</v>
      </c>
      <c r="F1420" s="6">
        <v>0</v>
      </c>
      <c r="G1420" s="6">
        <v>30904944</v>
      </c>
      <c r="H1420" s="6">
        <v>0</v>
      </c>
      <c r="I1420" s="7">
        <v>30904944</v>
      </c>
    </row>
    <row r="1421" spans="1:9" ht="12" customHeight="1" thickBot="1" x14ac:dyDescent="0.25">
      <c r="A1421" s="1" t="s">
        <v>48</v>
      </c>
      <c r="B1421" s="1" t="s">
        <v>12</v>
      </c>
      <c r="C1421" s="1" t="s">
        <v>23</v>
      </c>
      <c r="D1421" s="5">
        <v>45862</v>
      </c>
      <c r="E1421" s="6">
        <v>30904944</v>
      </c>
      <c r="F1421" s="6">
        <v>0</v>
      </c>
      <c r="G1421" s="6">
        <v>30904944</v>
      </c>
      <c r="H1421" s="6">
        <v>0</v>
      </c>
      <c r="I1421" s="7">
        <v>30904944</v>
      </c>
    </row>
    <row r="1422" spans="1:9" ht="12" customHeight="1" thickBot="1" x14ac:dyDescent="0.25">
      <c r="A1422" s="1" t="s">
        <v>48</v>
      </c>
      <c r="B1422" s="1" t="s">
        <v>12</v>
      </c>
      <c r="C1422" s="1" t="s">
        <v>23</v>
      </c>
      <c r="D1422" s="5">
        <v>45863</v>
      </c>
      <c r="E1422" s="6">
        <v>30114737</v>
      </c>
      <c r="F1422" s="6">
        <v>0</v>
      </c>
      <c r="G1422" s="6">
        <v>30114737</v>
      </c>
      <c r="H1422" s="6">
        <v>0</v>
      </c>
      <c r="I1422" s="7">
        <v>30114737</v>
      </c>
    </row>
    <row r="1423" spans="1:9" ht="12" customHeight="1" thickBot="1" x14ac:dyDescent="0.25">
      <c r="A1423" s="1" t="s">
        <v>48</v>
      </c>
      <c r="B1423" s="1" t="s">
        <v>12</v>
      </c>
      <c r="C1423" s="1" t="s">
        <v>23</v>
      </c>
      <c r="D1423" s="5">
        <v>45864</v>
      </c>
      <c r="E1423" s="6">
        <v>30114737</v>
      </c>
      <c r="F1423" s="6">
        <v>0</v>
      </c>
      <c r="G1423" s="6">
        <v>30114737</v>
      </c>
      <c r="H1423" s="6">
        <v>0</v>
      </c>
      <c r="I1423" s="7">
        <v>30114737</v>
      </c>
    </row>
    <row r="1424" spans="1:9" ht="12" customHeight="1" thickBot="1" x14ac:dyDescent="0.25">
      <c r="A1424" s="1" t="s">
        <v>48</v>
      </c>
      <c r="B1424" s="1" t="s">
        <v>12</v>
      </c>
      <c r="C1424" s="1" t="s">
        <v>23</v>
      </c>
      <c r="D1424" s="5">
        <v>45865</v>
      </c>
      <c r="E1424" s="6">
        <v>30114737</v>
      </c>
      <c r="F1424" s="6">
        <v>0</v>
      </c>
      <c r="G1424" s="6">
        <v>30114737</v>
      </c>
      <c r="H1424" s="6">
        <v>0</v>
      </c>
      <c r="I1424" s="7">
        <v>30114737</v>
      </c>
    </row>
    <row r="1425" spans="1:9" ht="12" customHeight="1" thickBot="1" x14ac:dyDescent="0.25">
      <c r="A1425" s="1" t="s">
        <v>48</v>
      </c>
      <c r="B1425" s="1" t="s">
        <v>12</v>
      </c>
      <c r="C1425" s="1" t="s">
        <v>23</v>
      </c>
      <c r="D1425" s="5">
        <v>45866</v>
      </c>
      <c r="E1425" s="6">
        <v>29064774</v>
      </c>
      <c r="F1425" s="6">
        <v>0</v>
      </c>
      <c r="G1425" s="6">
        <v>29064774</v>
      </c>
      <c r="H1425" s="6">
        <v>0</v>
      </c>
      <c r="I1425" s="7">
        <v>29064774</v>
      </c>
    </row>
    <row r="1426" spans="1:9" ht="12" customHeight="1" thickBot="1" x14ac:dyDescent="0.25">
      <c r="A1426" s="1" t="s">
        <v>48</v>
      </c>
      <c r="B1426" s="1" t="s">
        <v>12</v>
      </c>
      <c r="C1426" s="1" t="s">
        <v>23</v>
      </c>
      <c r="D1426" s="5">
        <v>45867</v>
      </c>
      <c r="E1426" s="6">
        <v>29064774</v>
      </c>
      <c r="F1426" s="6">
        <v>0</v>
      </c>
      <c r="G1426" s="6">
        <v>29064774</v>
      </c>
      <c r="H1426" s="6">
        <v>0</v>
      </c>
      <c r="I1426" s="7">
        <v>29064774</v>
      </c>
    </row>
    <row r="1427" spans="1:9" ht="12" customHeight="1" thickBot="1" x14ac:dyDescent="0.25">
      <c r="A1427" s="1" t="s">
        <v>48</v>
      </c>
      <c r="B1427" s="1" t="s">
        <v>12</v>
      </c>
      <c r="C1427" s="1" t="s">
        <v>23</v>
      </c>
      <c r="D1427" s="5">
        <v>45868</v>
      </c>
      <c r="E1427" s="6">
        <v>29064774</v>
      </c>
      <c r="F1427" s="6">
        <v>0</v>
      </c>
      <c r="G1427" s="6">
        <v>29064774</v>
      </c>
      <c r="H1427" s="6">
        <v>0</v>
      </c>
      <c r="I1427" s="7">
        <v>29064774</v>
      </c>
    </row>
    <row r="1428" spans="1:9" ht="12" customHeight="1" thickBot="1" x14ac:dyDescent="0.25">
      <c r="A1428" s="1" t="s">
        <v>48</v>
      </c>
      <c r="B1428" s="1" t="s">
        <v>12</v>
      </c>
      <c r="C1428" s="1" t="s">
        <v>23</v>
      </c>
      <c r="D1428" s="5">
        <v>45869</v>
      </c>
      <c r="E1428" s="6">
        <v>29064774</v>
      </c>
      <c r="F1428" s="6">
        <v>0</v>
      </c>
      <c r="G1428" s="6">
        <v>29064774</v>
      </c>
      <c r="H1428" s="6">
        <v>0</v>
      </c>
      <c r="I1428" s="7">
        <v>29064774</v>
      </c>
    </row>
    <row r="1429" spans="1:9" ht="12" customHeight="1" thickBot="1" x14ac:dyDescent="0.25">
      <c r="A1429" s="1" t="s">
        <v>48</v>
      </c>
      <c r="B1429" s="1" t="s">
        <v>12</v>
      </c>
      <c r="C1429" s="1" t="s">
        <v>23</v>
      </c>
      <c r="D1429" s="5">
        <v>45870</v>
      </c>
      <c r="E1429" s="6">
        <v>29064774</v>
      </c>
      <c r="F1429" s="6">
        <v>0</v>
      </c>
      <c r="G1429" s="6">
        <v>29064774</v>
      </c>
      <c r="H1429" s="6">
        <v>0</v>
      </c>
      <c r="I1429" s="7">
        <v>29064774</v>
      </c>
    </row>
    <row r="1430" spans="1:9" ht="12" customHeight="1" thickBot="1" x14ac:dyDescent="0.25">
      <c r="A1430" s="1" t="s">
        <v>48</v>
      </c>
      <c r="B1430" s="1" t="s">
        <v>12</v>
      </c>
      <c r="C1430" s="1" t="s">
        <v>23</v>
      </c>
      <c r="D1430" s="5">
        <v>45871</v>
      </c>
      <c r="E1430" s="6">
        <v>29064774</v>
      </c>
      <c r="F1430" s="6">
        <v>0</v>
      </c>
      <c r="G1430" s="6">
        <v>29064774</v>
      </c>
      <c r="H1430" s="6">
        <v>0</v>
      </c>
      <c r="I1430" s="7">
        <v>29064774</v>
      </c>
    </row>
    <row r="1431" spans="1:9" ht="12" customHeight="1" thickBot="1" x14ac:dyDescent="0.25">
      <c r="A1431" s="1" t="s">
        <v>48</v>
      </c>
      <c r="B1431" s="1" t="s">
        <v>12</v>
      </c>
      <c r="C1431" s="1" t="s">
        <v>23</v>
      </c>
      <c r="D1431" s="5">
        <v>45872</v>
      </c>
      <c r="E1431" s="6">
        <v>29064774</v>
      </c>
      <c r="F1431" s="6">
        <v>0</v>
      </c>
      <c r="G1431" s="6">
        <v>29064774</v>
      </c>
      <c r="H1431" s="6">
        <v>0</v>
      </c>
      <c r="I1431" s="7">
        <v>29064774</v>
      </c>
    </row>
    <row r="1432" spans="1:9" ht="12" customHeight="1" thickBot="1" x14ac:dyDescent="0.25">
      <c r="A1432" s="1" t="s">
        <v>48</v>
      </c>
      <c r="B1432" s="1" t="s">
        <v>12</v>
      </c>
      <c r="C1432" s="1" t="s">
        <v>23</v>
      </c>
      <c r="D1432" s="5">
        <v>45873</v>
      </c>
      <c r="E1432" s="6">
        <v>29064774</v>
      </c>
      <c r="F1432" s="6">
        <v>0</v>
      </c>
      <c r="G1432" s="6">
        <v>29064774</v>
      </c>
      <c r="H1432" s="6">
        <v>0</v>
      </c>
      <c r="I1432" s="7">
        <v>29064774</v>
      </c>
    </row>
    <row r="1433" spans="1:9" ht="12" customHeight="1" thickBot="1" x14ac:dyDescent="0.25">
      <c r="A1433" s="1" t="s">
        <v>48</v>
      </c>
      <c r="B1433" s="1" t="s">
        <v>12</v>
      </c>
      <c r="C1433" s="1" t="s">
        <v>23</v>
      </c>
      <c r="D1433" s="5">
        <v>45874</v>
      </c>
      <c r="E1433" s="6">
        <v>29064774</v>
      </c>
      <c r="F1433" s="6">
        <v>0</v>
      </c>
      <c r="G1433" s="6">
        <v>29064774</v>
      </c>
      <c r="H1433" s="6">
        <v>0</v>
      </c>
      <c r="I1433" s="7">
        <v>29064774</v>
      </c>
    </row>
    <row r="1434" spans="1:9" ht="12" customHeight="1" thickBot="1" x14ac:dyDescent="0.25">
      <c r="A1434" s="1" t="s">
        <v>48</v>
      </c>
      <c r="B1434" s="1" t="s">
        <v>12</v>
      </c>
      <c r="C1434" s="1" t="s">
        <v>23</v>
      </c>
      <c r="D1434" s="5">
        <v>45875</v>
      </c>
      <c r="E1434" s="6">
        <v>29064774</v>
      </c>
      <c r="F1434" s="6">
        <v>0</v>
      </c>
      <c r="G1434" s="6">
        <v>29064774</v>
      </c>
      <c r="H1434" s="6">
        <v>0</v>
      </c>
      <c r="I1434" s="7">
        <v>29064774</v>
      </c>
    </row>
    <row r="1435" spans="1:9" ht="12" customHeight="1" thickBot="1" x14ac:dyDescent="0.25">
      <c r="A1435" s="1" t="s">
        <v>48</v>
      </c>
      <c r="B1435" s="1" t="s">
        <v>12</v>
      </c>
      <c r="C1435" s="1" t="s">
        <v>23</v>
      </c>
      <c r="D1435" s="5">
        <v>45876</v>
      </c>
      <c r="E1435" s="6">
        <v>29064774</v>
      </c>
      <c r="F1435" s="6">
        <v>0</v>
      </c>
      <c r="G1435" s="6">
        <v>29064774</v>
      </c>
      <c r="H1435" s="6">
        <v>0</v>
      </c>
      <c r="I1435" s="7">
        <v>29064774</v>
      </c>
    </row>
    <row r="1436" spans="1:9" ht="12" customHeight="1" thickBot="1" x14ac:dyDescent="0.25">
      <c r="A1436" s="1" t="s">
        <v>48</v>
      </c>
      <c r="B1436" s="1" t="s">
        <v>12</v>
      </c>
      <c r="C1436" s="1" t="s">
        <v>23</v>
      </c>
      <c r="D1436" s="5">
        <v>45877</v>
      </c>
      <c r="E1436" s="6">
        <v>29064774</v>
      </c>
      <c r="F1436" s="6">
        <v>0</v>
      </c>
      <c r="G1436" s="6">
        <v>29064774</v>
      </c>
      <c r="H1436" s="6">
        <v>0</v>
      </c>
      <c r="I1436" s="7">
        <v>29064774</v>
      </c>
    </row>
    <row r="1437" spans="1:9" ht="12" customHeight="1" thickBot="1" x14ac:dyDescent="0.25">
      <c r="A1437" s="1" t="s">
        <v>48</v>
      </c>
      <c r="B1437" s="1" t="s">
        <v>12</v>
      </c>
      <c r="C1437" s="1" t="s">
        <v>23</v>
      </c>
      <c r="D1437" s="5">
        <v>45878</v>
      </c>
      <c r="E1437" s="6">
        <v>29064774</v>
      </c>
      <c r="F1437" s="6">
        <v>0</v>
      </c>
      <c r="G1437" s="6">
        <v>29064774</v>
      </c>
      <c r="H1437" s="6">
        <v>0</v>
      </c>
      <c r="I1437" s="7">
        <v>29064774</v>
      </c>
    </row>
    <row r="1438" spans="1:9" ht="12" customHeight="1" thickBot="1" x14ac:dyDescent="0.25">
      <c r="A1438" s="1" t="s">
        <v>48</v>
      </c>
      <c r="B1438" s="1" t="s">
        <v>12</v>
      </c>
      <c r="C1438" s="1" t="s">
        <v>23</v>
      </c>
      <c r="D1438" s="5">
        <v>45879</v>
      </c>
      <c r="E1438" s="6">
        <v>29064774</v>
      </c>
      <c r="F1438" s="6">
        <v>0</v>
      </c>
      <c r="G1438" s="6">
        <v>29064774</v>
      </c>
      <c r="H1438" s="6">
        <v>0</v>
      </c>
      <c r="I1438" s="7">
        <v>29064774</v>
      </c>
    </row>
    <row r="1439" spans="1:9" ht="12" customHeight="1" thickBot="1" x14ac:dyDescent="0.25">
      <c r="A1439" s="1" t="s">
        <v>48</v>
      </c>
      <c r="B1439" s="1" t="s">
        <v>12</v>
      </c>
      <c r="C1439" s="1" t="s">
        <v>23</v>
      </c>
      <c r="D1439" s="5">
        <v>45880</v>
      </c>
      <c r="E1439" s="6">
        <v>49764774</v>
      </c>
      <c r="F1439" s="6">
        <v>0</v>
      </c>
      <c r="G1439" s="6">
        <v>49764774</v>
      </c>
      <c r="H1439" s="6">
        <v>0</v>
      </c>
      <c r="I1439" s="7">
        <v>49764774</v>
      </c>
    </row>
    <row r="1440" spans="1:9" ht="12" customHeight="1" thickBot="1" x14ac:dyDescent="0.25">
      <c r="A1440" s="1" t="s">
        <v>48</v>
      </c>
      <c r="B1440" s="1" t="s">
        <v>12</v>
      </c>
      <c r="C1440" s="1" t="s">
        <v>23</v>
      </c>
      <c r="D1440" s="5">
        <v>45881</v>
      </c>
      <c r="E1440" s="6">
        <v>60464774</v>
      </c>
      <c r="F1440" s="6">
        <v>0</v>
      </c>
      <c r="G1440" s="6">
        <v>60464774</v>
      </c>
      <c r="H1440" s="6">
        <v>0</v>
      </c>
      <c r="I1440" s="7">
        <v>60464774</v>
      </c>
    </row>
    <row r="1441" spans="1:9" ht="12" customHeight="1" thickBot="1" x14ac:dyDescent="0.25">
      <c r="A1441" s="1" t="s">
        <v>48</v>
      </c>
      <c r="B1441" s="1" t="s">
        <v>12</v>
      </c>
      <c r="C1441" s="1" t="s">
        <v>23</v>
      </c>
      <c r="D1441" s="5">
        <v>45882</v>
      </c>
      <c r="E1441" s="6">
        <v>66985774</v>
      </c>
      <c r="F1441" s="6">
        <v>0</v>
      </c>
      <c r="G1441" s="6">
        <v>66985774</v>
      </c>
      <c r="H1441" s="6">
        <v>0</v>
      </c>
      <c r="I1441" s="7">
        <v>66985774</v>
      </c>
    </row>
    <row r="1442" spans="1:9" ht="12" customHeight="1" thickBot="1" x14ac:dyDescent="0.25">
      <c r="A1442" s="1" t="s">
        <v>48</v>
      </c>
      <c r="B1442" s="1" t="s">
        <v>12</v>
      </c>
      <c r="C1442" s="1" t="s">
        <v>23</v>
      </c>
      <c r="D1442" s="5">
        <v>45883</v>
      </c>
      <c r="E1442" s="6">
        <v>66470647</v>
      </c>
      <c r="F1442" s="6">
        <v>9137173</v>
      </c>
      <c r="G1442" s="6">
        <v>57333474</v>
      </c>
      <c r="H1442" s="6">
        <v>0</v>
      </c>
      <c r="I1442" s="7">
        <v>66470647</v>
      </c>
    </row>
    <row r="1443" spans="1:9" ht="12" customHeight="1" thickBot="1" x14ac:dyDescent="0.25">
      <c r="A1443" s="1" t="s">
        <v>48</v>
      </c>
      <c r="B1443" s="1" t="s">
        <v>12</v>
      </c>
      <c r="C1443" s="1" t="s">
        <v>23</v>
      </c>
      <c r="D1443" s="5">
        <v>45884</v>
      </c>
      <c r="E1443" s="6">
        <v>64813160</v>
      </c>
      <c r="F1443" s="6">
        <v>0</v>
      </c>
      <c r="G1443" s="6">
        <v>64813160</v>
      </c>
      <c r="H1443" s="6">
        <v>0</v>
      </c>
      <c r="I1443" s="7">
        <v>64813160</v>
      </c>
    </row>
    <row r="1444" spans="1:9" ht="12" customHeight="1" thickBot="1" x14ac:dyDescent="0.25">
      <c r="A1444" s="1" t="s">
        <v>48</v>
      </c>
      <c r="B1444" s="1" t="s">
        <v>12</v>
      </c>
      <c r="C1444" s="1" t="s">
        <v>23</v>
      </c>
      <c r="D1444" s="5">
        <v>45885</v>
      </c>
      <c r="E1444" s="6">
        <v>64813160</v>
      </c>
      <c r="F1444" s="6">
        <v>0</v>
      </c>
      <c r="G1444" s="6">
        <v>64813160</v>
      </c>
      <c r="H1444" s="6">
        <v>0</v>
      </c>
      <c r="I1444" s="7">
        <v>64813160</v>
      </c>
    </row>
    <row r="1445" spans="1:9" ht="12" customHeight="1" thickBot="1" x14ac:dyDescent="0.25">
      <c r="A1445" s="1" t="s">
        <v>48</v>
      </c>
      <c r="B1445" s="1" t="s">
        <v>12</v>
      </c>
      <c r="C1445" s="1" t="s">
        <v>23</v>
      </c>
      <c r="D1445" s="5">
        <v>45886</v>
      </c>
      <c r="E1445" s="6">
        <v>64813160</v>
      </c>
      <c r="F1445" s="6">
        <v>0</v>
      </c>
      <c r="G1445" s="6">
        <v>64813160</v>
      </c>
      <c r="H1445" s="6">
        <v>0</v>
      </c>
      <c r="I1445" s="7">
        <v>64813160</v>
      </c>
    </row>
    <row r="1446" spans="1:9" ht="12" customHeight="1" thickBot="1" x14ac:dyDescent="0.25">
      <c r="A1446" s="1" t="s">
        <v>48</v>
      </c>
      <c r="B1446" s="1" t="s">
        <v>12</v>
      </c>
      <c r="C1446" s="1" t="s">
        <v>23</v>
      </c>
      <c r="D1446" s="5">
        <v>45887</v>
      </c>
      <c r="E1446" s="6">
        <v>64813160</v>
      </c>
      <c r="F1446" s="6">
        <v>0</v>
      </c>
      <c r="G1446" s="6">
        <v>64813160</v>
      </c>
      <c r="H1446" s="6">
        <v>0</v>
      </c>
      <c r="I1446" s="7">
        <v>64813160</v>
      </c>
    </row>
    <row r="1447" spans="1:9" ht="12" customHeight="1" thickBot="1" x14ac:dyDescent="0.25">
      <c r="A1447" s="1" t="s">
        <v>48</v>
      </c>
      <c r="B1447" s="1" t="s">
        <v>12</v>
      </c>
      <c r="C1447" s="1" t="s">
        <v>23</v>
      </c>
      <c r="D1447" s="5">
        <v>45888</v>
      </c>
      <c r="E1447" s="6">
        <v>74813160</v>
      </c>
      <c r="F1447" s="6">
        <v>0</v>
      </c>
      <c r="G1447" s="6">
        <v>74813160</v>
      </c>
      <c r="H1447" s="6">
        <v>0</v>
      </c>
      <c r="I1447" s="7">
        <v>74813160</v>
      </c>
    </row>
    <row r="1448" spans="1:9" ht="12" customHeight="1" thickBot="1" x14ac:dyDescent="0.25">
      <c r="A1448" s="1" t="s">
        <v>48</v>
      </c>
      <c r="B1448" s="1" t="s">
        <v>12</v>
      </c>
      <c r="C1448" s="1" t="s">
        <v>23</v>
      </c>
      <c r="D1448" s="5">
        <v>45889</v>
      </c>
      <c r="E1448" s="6">
        <v>84813160</v>
      </c>
      <c r="F1448" s="6">
        <v>0</v>
      </c>
      <c r="G1448" s="6">
        <v>84813160</v>
      </c>
      <c r="H1448" s="6">
        <v>0</v>
      </c>
      <c r="I1448" s="7">
        <v>84813160</v>
      </c>
    </row>
    <row r="1449" spans="1:9" ht="12" customHeight="1" thickBot="1" x14ac:dyDescent="0.25">
      <c r="A1449" s="1" t="s">
        <v>48</v>
      </c>
      <c r="B1449" s="1" t="s">
        <v>12</v>
      </c>
      <c r="C1449" s="1" t="s">
        <v>23</v>
      </c>
      <c r="D1449" s="5">
        <v>45890</v>
      </c>
      <c r="E1449" s="6">
        <v>84813160</v>
      </c>
      <c r="F1449" s="6">
        <v>0</v>
      </c>
      <c r="G1449" s="6">
        <v>84813160</v>
      </c>
      <c r="H1449" s="6">
        <v>0</v>
      </c>
      <c r="I1449" s="7">
        <v>84813160</v>
      </c>
    </row>
    <row r="1450" spans="1:9" ht="12" customHeight="1" thickBot="1" x14ac:dyDescent="0.25">
      <c r="A1450" s="1" t="s">
        <v>48</v>
      </c>
      <c r="B1450" s="1" t="s">
        <v>12</v>
      </c>
      <c r="C1450" s="1" t="s">
        <v>23</v>
      </c>
      <c r="D1450" s="5">
        <v>45891</v>
      </c>
      <c r="E1450" s="6">
        <v>94813160</v>
      </c>
      <c r="F1450" s="6">
        <v>0</v>
      </c>
      <c r="G1450" s="6">
        <v>94813160</v>
      </c>
      <c r="H1450" s="6">
        <v>0</v>
      </c>
      <c r="I1450" s="7">
        <v>94813160</v>
      </c>
    </row>
    <row r="1451" spans="1:9" ht="12" customHeight="1" thickBot="1" x14ac:dyDescent="0.25">
      <c r="A1451" s="1" t="s">
        <v>48</v>
      </c>
      <c r="B1451" s="1" t="s">
        <v>12</v>
      </c>
      <c r="C1451" s="1" t="s">
        <v>23</v>
      </c>
      <c r="D1451" s="5">
        <v>45892</v>
      </c>
      <c r="E1451" s="6">
        <v>94813160</v>
      </c>
      <c r="F1451" s="6">
        <v>0</v>
      </c>
      <c r="G1451" s="6">
        <v>94813160</v>
      </c>
      <c r="H1451" s="6">
        <v>0</v>
      </c>
      <c r="I1451" s="7">
        <v>94813160</v>
      </c>
    </row>
    <row r="1452" spans="1:9" ht="12" customHeight="1" thickBot="1" x14ac:dyDescent="0.25">
      <c r="A1452" s="1" t="s">
        <v>48</v>
      </c>
      <c r="B1452" s="1" t="s">
        <v>12</v>
      </c>
      <c r="C1452" s="1" t="s">
        <v>23</v>
      </c>
      <c r="D1452" s="5">
        <v>45893</v>
      </c>
      <c r="E1452" s="6">
        <v>94813160</v>
      </c>
      <c r="F1452" s="6">
        <v>0</v>
      </c>
      <c r="G1452" s="6">
        <v>94813160</v>
      </c>
      <c r="H1452" s="6">
        <v>0</v>
      </c>
      <c r="I1452" s="7">
        <v>94813160</v>
      </c>
    </row>
    <row r="1453" spans="1:9" ht="12" customHeight="1" thickBot="1" x14ac:dyDescent="0.25">
      <c r="A1453" s="1" t="s">
        <v>48</v>
      </c>
      <c r="B1453" s="1" t="s">
        <v>12</v>
      </c>
      <c r="C1453" s="1" t="s">
        <v>23</v>
      </c>
      <c r="D1453" s="5">
        <v>45894</v>
      </c>
      <c r="E1453" s="6">
        <v>93991479</v>
      </c>
      <c r="F1453" s="6">
        <v>0</v>
      </c>
      <c r="G1453" s="6">
        <v>93991479</v>
      </c>
      <c r="H1453" s="6">
        <v>0</v>
      </c>
      <c r="I1453" s="7">
        <v>93991479</v>
      </c>
    </row>
    <row r="1454" spans="1:9" ht="12" customHeight="1" thickBot="1" x14ac:dyDescent="0.25">
      <c r="A1454" s="1" t="s">
        <v>48</v>
      </c>
      <c r="B1454" s="1" t="s">
        <v>12</v>
      </c>
      <c r="C1454" s="1" t="s">
        <v>23</v>
      </c>
      <c r="D1454" s="5">
        <v>45895</v>
      </c>
      <c r="E1454" s="6">
        <v>93991479</v>
      </c>
      <c r="F1454" s="6">
        <v>0</v>
      </c>
      <c r="G1454" s="6">
        <v>93991479</v>
      </c>
      <c r="H1454" s="6">
        <v>0</v>
      </c>
      <c r="I1454" s="7">
        <v>93991479</v>
      </c>
    </row>
    <row r="1455" spans="1:9" ht="12" customHeight="1" thickBot="1" x14ac:dyDescent="0.25">
      <c r="A1455" s="1" t="s">
        <v>48</v>
      </c>
      <c r="B1455" s="1" t="s">
        <v>12</v>
      </c>
      <c r="C1455" s="1" t="s">
        <v>23</v>
      </c>
      <c r="D1455" s="5">
        <v>45896</v>
      </c>
      <c r="E1455" s="6">
        <v>112890887</v>
      </c>
      <c r="F1455" s="6">
        <v>0</v>
      </c>
      <c r="G1455" s="6">
        <v>112890887</v>
      </c>
      <c r="H1455" s="6">
        <v>0</v>
      </c>
      <c r="I1455" s="7">
        <v>112890887</v>
      </c>
    </row>
    <row r="1456" spans="1:9" ht="12" customHeight="1" thickBot="1" x14ac:dyDescent="0.25">
      <c r="A1456" s="1" t="s">
        <v>48</v>
      </c>
      <c r="B1456" s="1" t="s">
        <v>12</v>
      </c>
      <c r="C1456" s="1" t="s">
        <v>23</v>
      </c>
      <c r="D1456" s="5">
        <v>45897</v>
      </c>
      <c r="E1456" s="6">
        <v>119890887</v>
      </c>
      <c r="F1456" s="6">
        <v>0</v>
      </c>
      <c r="G1456" s="6">
        <v>119890887</v>
      </c>
      <c r="H1456" s="6">
        <v>0</v>
      </c>
      <c r="I1456" s="7">
        <v>119890887</v>
      </c>
    </row>
    <row r="1457" spans="1:9" ht="12" customHeight="1" thickBot="1" x14ac:dyDescent="0.25">
      <c r="A1457" s="1" t="s">
        <v>48</v>
      </c>
      <c r="B1457" s="1" t="s">
        <v>12</v>
      </c>
      <c r="C1457" s="1" t="s">
        <v>23</v>
      </c>
      <c r="D1457" s="5">
        <v>45898</v>
      </c>
      <c r="E1457" s="6">
        <v>130590887</v>
      </c>
      <c r="F1457" s="6">
        <v>0</v>
      </c>
      <c r="G1457" s="6">
        <v>130590887</v>
      </c>
      <c r="H1457" s="6">
        <v>0</v>
      </c>
      <c r="I1457" s="7">
        <v>130590887</v>
      </c>
    </row>
    <row r="1458" spans="1:9" ht="12" customHeight="1" thickBot="1" x14ac:dyDescent="0.25">
      <c r="A1458" s="1" t="s">
        <v>48</v>
      </c>
      <c r="B1458" s="1" t="s">
        <v>12</v>
      </c>
      <c r="C1458" s="1" t="s">
        <v>23</v>
      </c>
      <c r="D1458" s="5">
        <v>45899</v>
      </c>
      <c r="E1458" s="6">
        <v>130590887</v>
      </c>
      <c r="F1458" s="6">
        <v>0</v>
      </c>
      <c r="G1458" s="6">
        <v>130590887</v>
      </c>
      <c r="H1458" s="6">
        <v>0</v>
      </c>
      <c r="I1458" s="7">
        <v>130590887</v>
      </c>
    </row>
    <row r="1459" spans="1:9" ht="12" customHeight="1" thickBot="1" x14ac:dyDescent="0.25">
      <c r="A1459" s="1" t="s">
        <v>48</v>
      </c>
      <c r="B1459" s="1" t="s">
        <v>12</v>
      </c>
      <c r="C1459" s="1" t="s">
        <v>23</v>
      </c>
      <c r="D1459" s="5">
        <v>45900</v>
      </c>
      <c r="E1459" s="6">
        <v>130590887</v>
      </c>
      <c r="F1459" s="6">
        <v>0</v>
      </c>
      <c r="G1459" s="6">
        <v>130590887</v>
      </c>
      <c r="H1459" s="6">
        <v>0</v>
      </c>
      <c r="I1459" s="7">
        <v>130590887</v>
      </c>
    </row>
    <row r="1460" spans="1:9" ht="12" customHeight="1" thickBot="1" x14ac:dyDescent="0.25">
      <c r="A1460" s="1" t="s">
        <v>48</v>
      </c>
      <c r="B1460" s="1" t="s">
        <v>12</v>
      </c>
      <c r="C1460" s="1" t="s">
        <v>23</v>
      </c>
      <c r="D1460" s="5">
        <v>45901</v>
      </c>
      <c r="E1460" s="6">
        <v>130590887</v>
      </c>
      <c r="F1460" s="6">
        <v>0</v>
      </c>
      <c r="G1460" s="6">
        <v>130590887</v>
      </c>
      <c r="H1460" s="6">
        <v>0</v>
      </c>
      <c r="I1460" s="7">
        <v>130590887</v>
      </c>
    </row>
    <row r="1461" spans="1:9" ht="12" customHeight="1" thickBot="1" x14ac:dyDescent="0.25">
      <c r="A1461" s="1" t="s">
        <v>48</v>
      </c>
      <c r="B1461" s="1" t="s">
        <v>12</v>
      </c>
      <c r="C1461" s="1" t="s">
        <v>23</v>
      </c>
      <c r="D1461" s="5">
        <v>45902</v>
      </c>
      <c r="E1461" s="6">
        <v>130590887</v>
      </c>
      <c r="F1461" s="6">
        <v>0</v>
      </c>
      <c r="G1461" s="6">
        <v>130590887</v>
      </c>
      <c r="H1461" s="6">
        <v>0</v>
      </c>
      <c r="I1461" s="7">
        <v>130590887</v>
      </c>
    </row>
    <row r="1462" spans="1:9" ht="12" customHeight="1" thickBot="1" x14ac:dyDescent="0.25">
      <c r="A1462" s="1" t="s">
        <v>48</v>
      </c>
      <c r="B1462" s="1" t="s">
        <v>12</v>
      </c>
      <c r="C1462" s="1" t="s">
        <v>23</v>
      </c>
      <c r="D1462" s="5">
        <v>45903</v>
      </c>
      <c r="E1462" s="6">
        <v>130590887</v>
      </c>
      <c r="F1462" s="6">
        <v>0</v>
      </c>
      <c r="G1462" s="6">
        <v>130590887</v>
      </c>
      <c r="H1462" s="6">
        <v>0</v>
      </c>
      <c r="I1462" s="7">
        <v>130590887</v>
      </c>
    </row>
    <row r="1463" spans="1:9" ht="12" customHeight="1" thickBot="1" x14ac:dyDescent="0.25">
      <c r="A1463" s="1" t="s">
        <v>48</v>
      </c>
      <c r="B1463" s="1" t="s">
        <v>12</v>
      </c>
      <c r="C1463" s="1" t="s">
        <v>23</v>
      </c>
      <c r="D1463" s="5">
        <v>45904</v>
      </c>
      <c r="E1463" s="6">
        <v>130590887</v>
      </c>
      <c r="F1463" s="6">
        <v>0</v>
      </c>
      <c r="G1463" s="6">
        <v>130590887</v>
      </c>
      <c r="H1463" s="6">
        <v>0</v>
      </c>
      <c r="I1463" s="7">
        <v>130590887</v>
      </c>
    </row>
    <row r="1464" spans="1:9" ht="12" customHeight="1" thickBot="1" x14ac:dyDescent="0.25">
      <c r="A1464" s="1" t="s">
        <v>48</v>
      </c>
      <c r="B1464" s="1" t="s">
        <v>12</v>
      </c>
      <c r="C1464" s="1" t="s">
        <v>23</v>
      </c>
      <c r="D1464" s="5">
        <v>45905</v>
      </c>
      <c r="E1464" s="6">
        <v>130590887</v>
      </c>
      <c r="F1464" s="6">
        <v>0</v>
      </c>
      <c r="G1464" s="6">
        <v>130590887</v>
      </c>
      <c r="H1464" s="6">
        <v>0</v>
      </c>
      <c r="I1464" s="7">
        <v>130590887</v>
      </c>
    </row>
    <row r="1465" spans="1:9" ht="12" customHeight="1" thickBot="1" x14ac:dyDescent="0.25">
      <c r="A1465" s="1" t="s">
        <v>48</v>
      </c>
      <c r="B1465" s="1" t="s">
        <v>12</v>
      </c>
      <c r="C1465" s="1" t="s">
        <v>23</v>
      </c>
      <c r="D1465" s="5">
        <v>45906</v>
      </c>
      <c r="E1465" s="6">
        <v>130590887</v>
      </c>
      <c r="F1465" s="6">
        <v>0</v>
      </c>
      <c r="G1465" s="6">
        <v>130590887</v>
      </c>
      <c r="H1465" s="6">
        <v>0</v>
      </c>
      <c r="I1465" s="7">
        <v>130590887</v>
      </c>
    </row>
    <row r="1466" spans="1:9" ht="12" customHeight="1" thickBot="1" x14ac:dyDescent="0.25">
      <c r="A1466" s="1" t="s">
        <v>48</v>
      </c>
      <c r="B1466" s="1" t="s">
        <v>12</v>
      </c>
      <c r="C1466" s="1" t="s">
        <v>23</v>
      </c>
      <c r="D1466" s="5">
        <v>45907</v>
      </c>
      <c r="E1466" s="6">
        <v>130590887</v>
      </c>
      <c r="F1466" s="6">
        <v>0</v>
      </c>
      <c r="G1466" s="6">
        <v>130590887</v>
      </c>
      <c r="H1466" s="6">
        <v>0</v>
      </c>
      <c r="I1466" s="7">
        <v>130590887</v>
      </c>
    </row>
    <row r="1467" spans="1:9" ht="12" customHeight="1" thickBot="1" x14ac:dyDescent="0.25">
      <c r="A1467" s="1" t="s">
        <v>48</v>
      </c>
      <c r="B1467" s="1" t="s">
        <v>12</v>
      </c>
      <c r="C1467" s="1" t="s">
        <v>23</v>
      </c>
      <c r="D1467" s="5">
        <v>45908</v>
      </c>
      <c r="E1467" s="6">
        <v>130590887</v>
      </c>
      <c r="F1467" s="6">
        <v>0</v>
      </c>
      <c r="G1467" s="6">
        <v>130590887</v>
      </c>
      <c r="H1467" s="6">
        <v>0</v>
      </c>
      <c r="I1467" s="7">
        <v>130590887</v>
      </c>
    </row>
    <row r="1468" spans="1:9" ht="12" customHeight="1" thickBot="1" x14ac:dyDescent="0.25">
      <c r="A1468" s="1" t="s">
        <v>48</v>
      </c>
      <c r="B1468" s="1" t="s">
        <v>12</v>
      </c>
      <c r="C1468" s="1" t="s">
        <v>23</v>
      </c>
      <c r="D1468" s="5">
        <v>45909</v>
      </c>
      <c r="E1468" s="6">
        <v>126852775</v>
      </c>
      <c r="F1468" s="6">
        <v>0</v>
      </c>
      <c r="G1468" s="6">
        <v>126852775</v>
      </c>
      <c r="H1468" s="6">
        <v>0</v>
      </c>
      <c r="I1468" s="7">
        <v>126852775</v>
      </c>
    </row>
    <row r="1469" spans="1:9" ht="12" customHeight="1" thickBot="1" x14ac:dyDescent="0.25">
      <c r="A1469" s="1" t="s">
        <v>48</v>
      </c>
      <c r="B1469" s="1" t="s">
        <v>12</v>
      </c>
      <c r="C1469" s="1" t="s">
        <v>23</v>
      </c>
      <c r="D1469" s="5">
        <v>45910</v>
      </c>
      <c r="E1469" s="6">
        <v>126852775</v>
      </c>
      <c r="F1469" s="6">
        <v>0</v>
      </c>
      <c r="G1469" s="6">
        <v>126852775</v>
      </c>
      <c r="H1469" s="6">
        <v>0</v>
      </c>
      <c r="I1469" s="7">
        <v>126852775</v>
      </c>
    </row>
    <row r="1470" spans="1:9" ht="12" customHeight="1" thickBot="1" x14ac:dyDescent="0.25">
      <c r="A1470" s="1" t="s">
        <v>48</v>
      </c>
      <c r="B1470" s="1" t="s">
        <v>12</v>
      </c>
      <c r="C1470" s="1" t="s">
        <v>23</v>
      </c>
      <c r="D1470" s="5">
        <v>45911</v>
      </c>
      <c r="E1470" s="6">
        <v>143552775</v>
      </c>
      <c r="F1470" s="6">
        <v>0</v>
      </c>
      <c r="G1470" s="6">
        <v>143552775</v>
      </c>
      <c r="H1470" s="6">
        <v>0</v>
      </c>
      <c r="I1470" s="7">
        <v>143552775</v>
      </c>
    </row>
    <row r="1471" spans="1:9" ht="12" customHeight="1" thickBot="1" x14ac:dyDescent="0.25">
      <c r="A1471" s="1" t="s">
        <v>48</v>
      </c>
      <c r="B1471" s="1" t="s">
        <v>12</v>
      </c>
      <c r="C1471" s="1" t="s">
        <v>23</v>
      </c>
      <c r="D1471" s="5">
        <v>45912</v>
      </c>
      <c r="E1471" s="6">
        <v>143126690</v>
      </c>
      <c r="F1471" s="6">
        <v>10000000</v>
      </c>
      <c r="G1471" s="6">
        <v>133126690</v>
      </c>
      <c r="H1471" s="6">
        <v>0</v>
      </c>
      <c r="I1471" s="7">
        <v>143126690</v>
      </c>
    </row>
    <row r="1472" spans="1:9" ht="12" customHeight="1" thickBot="1" x14ac:dyDescent="0.25">
      <c r="A1472" s="1" t="s">
        <v>48</v>
      </c>
      <c r="B1472" s="1" t="s">
        <v>12</v>
      </c>
      <c r="C1472" s="1" t="s">
        <v>23</v>
      </c>
      <c r="D1472" s="5">
        <v>45913</v>
      </c>
      <c r="E1472" s="6">
        <v>133416070</v>
      </c>
      <c r="F1472" s="6">
        <v>10000000</v>
      </c>
      <c r="G1472" s="6">
        <v>123416070</v>
      </c>
      <c r="H1472" s="6">
        <v>0</v>
      </c>
      <c r="I1472" s="7">
        <v>133416070</v>
      </c>
    </row>
    <row r="1473" spans="1:9" ht="12" customHeight="1" thickBot="1" x14ac:dyDescent="0.25">
      <c r="A1473" s="1" t="s">
        <v>48</v>
      </c>
      <c r="B1473" s="1" t="s">
        <v>12</v>
      </c>
      <c r="C1473" s="1" t="s">
        <v>23</v>
      </c>
      <c r="D1473" s="5">
        <v>45914</v>
      </c>
      <c r="E1473" s="6">
        <v>133416070</v>
      </c>
      <c r="F1473" s="6">
        <v>10000000</v>
      </c>
      <c r="G1473" s="6">
        <v>123416070</v>
      </c>
      <c r="H1473" s="6">
        <v>0</v>
      </c>
      <c r="I1473" s="7">
        <v>133416070</v>
      </c>
    </row>
    <row r="1474" spans="1:9" ht="12" customHeight="1" thickBot="1" x14ac:dyDescent="0.25">
      <c r="A1474" s="1" t="s">
        <v>48</v>
      </c>
      <c r="B1474" s="1" t="s">
        <v>12</v>
      </c>
      <c r="C1474" s="1" t="s">
        <v>23</v>
      </c>
      <c r="D1474" s="5">
        <v>45915</v>
      </c>
      <c r="E1474" s="6">
        <v>132797405</v>
      </c>
      <c r="F1474" s="6">
        <v>0</v>
      </c>
      <c r="G1474" s="6">
        <v>132797405</v>
      </c>
      <c r="H1474" s="6">
        <v>0</v>
      </c>
      <c r="I1474" s="7">
        <v>132797405</v>
      </c>
    </row>
    <row r="1475" spans="1:9" ht="12" customHeight="1" thickBot="1" x14ac:dyDescent="0.25">
      <c r="A1475" s="1" t="s">
        <v>48</v>
      </c>
      <c r="B1475" s="1" t="s">
        <v>12</v>
      </c>
      <c r="C1475" s="1" t="s">
        <v>23</v>
      </c>
      <c r="D1475" s="5">
        <v>45916</v>
      </c>
      <c r="E1475" s="6">
        <v>132797405</v>
      </c>
      <c r="F1475" s="6">
        <v>0</v>
      </c>
      <c r="G1475" s="6">
        <v>132797405</v>
      </c>
      <c r="H1475" s="6">
        <v>0</v>
      </c>
      <c r="I1475" s="7">
        <v>132797405</v>
      </c>
    </row>
    <row r="1476" spans="1:9" ht="12" customHeight="1" thickBot="1" x14ac:dyDescent="0.25">
      <c r="A1476" s="1" t="s">
        <v>48</v>
      </c>
      <c r="B1476" s="1" t="s">
        <v>12</v>
      </c>
      <c r="C1476" s="1" t="s">
        <v>23</v>
      </c>
      <c r="D1476" s="5">
        <v>45917</v>
      </c>
      <c r="E1476" s="6">
        <v>126797405</v>
      </c>
      <c r="F1476" s="6">
        <v>0</v>
      </c>
      <c r="G1476" s="6">
        <v>126797405</v>
      </c>
      <c r="H1476" s="6">
        <v>0</v>
      </c>
      <c r="I1476" s="7">
        <v>126797405</v>
      </c>
    </row>
    <row r="1477" spans="1:9" ht="12" customHeight="1" thickBot="1" x14ac:dyDescent="0.25">
      <c r="A1477" s="1" t="s">
        <v>48</v>
      </c>
      <c r="B1477" s="1" t="s">
        <v>12</v>
      </c>
      <c r="C1477" s="1" t="s">
        <v>23</v>
      </c>
      <c r="D1477" s="5">
        <v>45918</v>
      </c>
      <c r="E1477" s="6">
        <v>126797405</v>
      </c>
      <c r="F1477" s="6">
        <v>0</v>
      </c>
      <c r="G1477" s="6">
        <v>126797405</v>
      </c>
      <c r="H1477" s="6">
        <v>0</v>
      </c>
      <c r="I1477" s="7">
        <v>126797405</v>
      </c>
    </row>
    <row r="1478" spans="1:9" ht="12" customHeight="1" thickBot="1" x14ac:dyDescent="0.25">
      <c r="A1478" s="1" t="s">
        <v>48</v>
      </c>
      <c r="B1478" s="1" t="s">
        <v>12</v>
      </c>
      <c r="C1478" s="1" t="s">
        <v>23</v>
      </c>
      <c r="D1478" s="5">
        <v>45919</v>
      </c>
      <c r="E1478" s="6">
        <v>122978876</v>
      </c>
      <c r="F1478" s="6">
        <v>0</v>
      </c>
      <c r="G1478" s="6">
        <v>122978876</v>
      </c>
      <c r="H1478" s="6">
        <v>0</v>
      </c>
      <c r="I1478" s="7">
        <v>122978876</v>
      </c>
    </row>
    <row r="1479" spans="1:9" ht="12" customHeight="1" thickBot="1" x14ac:dyDescent="0.25">
      <c r="A1479" s="1" t="s">
        <v>48</v>
      </c>
      <c r="B1479" s="1" t="s">
        <v>12</v>
      </c>
      <c r="C1479" s="1" t="s">
        <v>23</v>
      </c>
      <c r="D1479" s="5">
        <v>45920</v>
      </c>
      <c r="E1479" s="6">
        <v>129360211</v>
      </c>
      <c r="F1479" s="6">
        <v>10000000</v>
      </c>
      <c r="G1479" s="6">
        <v>119360211</v>
      </c>
      <c r="H1479" s="6">
        <v>0</v>
      </c>
      <c r="I1479" s="7">
        <v>129360211</v>
      </c>
    </row>
    <row r="1480" spans="1:9" ht="12" customHeight="1" thickBot="1" x14ac:dyDescent="0.25">
      <c r="A1480" s="1" t="s">
        <v>48</v>
      </c>
      <c r="B1480" s="1" t="s">
        <v>12</v>
      </c>
      <c r="C1480" s="1" t="s">
        <v>23</v>
      </c>
      <c r="D1480" s="5">
        <v>45921</v>
      </c>
      <c r="E1480" s="6">
        <v>129360211</v>
      </c>
      <c r="F1480" s="6">
        <v>10000000</v>
      </c>
      <c r="G1480" s="6">
        <v>119360211</v>
      </c>
      <c r="H1480" s="6">
        <v>0</v>
      </c>
      <c r="I1480" s="7">
        <v>129360211</v>
      </c>
    </row>
    <row r="1481" spans="1:9" ht="12" customHeight="1" thickBot="1" x14ac:dyDescent="0.25">
      <c r="A1481" s="1" t="s">
        <v>48</v>
      </c>
      <c r="B1481" s="1" t="s">
        <v>12</v>
      </c>
      <c r="C1481" s="1" t="s">
        <v>23</v>
      </c>
      <c r="D1481" s="5">
        <v>45922</v>
      </c>
      <c r="E1481" s="6">
        <v>128741546</v>
      </c>
      <c r="F1481" s="6">
        <v>10000000</v>
      </c>
      <c r="G1481" s="6">
        <v>118741546</v>
      </c>
      <c r="H1481" s="6">
        <v>0</v>
      </c>
      <c r="I1481" s="7">
        <v>128741546</v>
      </c>
    </row>
    <row r="1482" spans="1:9" ht="12" customHeight="1" thickBot="1" x14ac:dyDescent="0.25">
      <c r="A1482" s="1" t="s">
        <v>48</v>
      </c>
      <c r="B1482" s="1" t="s">
        <v>12</v>
      </c>
      <c r="C1482" s="1" t="s">
        <v>23</v>
      </c>
      <c r="D1482" s="5">
        <v>45923</v>
      </c>
      <c r="E1482" s="6">
        <v>128741546</v>
      </c>
      <c r="F1482" s="6">
        <v>10000000</v>
      </c>
      <c r="G1482" s="6">
        <v>118741546</v>
      </c>
      <c r="H1482" s="6">
        <v>0</v>
      </c>
      <c r="I1482" s="7">
        <v>128741546</v>
      </c>
    </row>
    <row r="1483" spans="1:9" ht="12" customHeight="1" thickBot="1" x14ac:dyDescent="0.25">
      <c r="A1483" s="1" t="s">
        <v>48</v>
      </c>
      <c r="B1483" s="1" t="s">
        <v>12</v>
      </c>
      <c r="C1483" s="1" t="s">
        <v>23</v>
      </c>
      <c r="D1483" s="5">
        <v>45924</v>
      </c>
      <c r="E1483" s="6">
        <v>127804287</v>
      </c>
      <c r="F1483" s="6">
        <v>0</v>
      </c>
      <c r="G1483" s="6">
        <v>127804287</v>
      </c>
      <c r="H1483" s="6">
        <v>0</v>
      </c>
      <c r="I1483" s="7">
        <v>127804287</v>
      </c>
    </row>
    <row r="1484" spans="1:9" ht="12" customHeight="1" thickBot="1" x14ac:dyDescent="0.25">
      <c r="A1484" s="1" t="s">
        <v>48</v>
      </c>
      <c r="B1484" s="1" t="s">
        <v>12</v>
      </c>
      <c r="C1484" s="1" t="s">
        <v>23</v>
      </c>
      <c r="D1484" s="5">
        <v>45925</v>
      </c>
      <c r="E1484" s="6">
        <v>124227870</v>
      </c>
      <c r="F1484" s="6">
        <v>0</v>
      </c>
      <c r="G1484" s="6">
        <v>124227870</v>
      </c>
      <c r="H1484" s="6">
        <v>0</v>
      </c>
      <c r="I1484" s="7">
        <v>124227870</v>
      </c>
    </row>
    <row r="1485" spans="1:9" ht="12" customHeight="1" thickBot="1" x14ac:dyDescent="0.25">
      <c r="A1485" s="1" t="s">
        <v>48</v>
      </c>
      <c r="B1485" s="1" t="s">
        <v>12</v>
      </c>
      <c r="C1485" s="1" t="s">
        <v>23</v>
      </c>
      <c r="D1485" s="5">
        <v>45926</v>
      </c>
      <c r="E1485" s="6">
        <v>124227870</v>
      </c>
      <c r="F1485" s="6">
        <v>0</v>
      </c>
      <c r="G1485" s="6">
        <v>124227870</v>
      </c>
      <c r="H1485" s="6">
        <v>0</v>
      </c>
      <c r="I1485" s="7">
        <v>124227870</v>
      </c>
    </row>
    <row r="1486" spans="1:9" ht="12" customHeight="1" thickBot="1" x14ac:dyDescent="0.25">
      <c r="A1486" s="1" t="s">
        <v>48</v>
      </c>
      <c r="B1486" s="1" t="s">
        <v>12</v>
      </c>
      <c r="C1486" s="1" t="s">
        <v>23</v>
      </c>
      <c r="D1486" s="5">
        <v>45927</v>
      </c>
      <c r="E1486" s="6">
        <v>123090235</v>
      </c>
      <c r="F1486" s="6">
        <v>0</v>
      </c>
      <c r="G1486" s="6">
        <v>123090235</v>
      </c>
      <c r="H1486" s="6">
        <v>0</v>
      </c>
      <c r="I1486" s="7">
        <v>123090235</v>
      </c>
    </row>
    <row r="1487" spans="1:9" ht="12" customHeight="1" thickBot="1" x14ac:dyDescent="0.25">
      <c r="A1487" s="1" t="s">
        <v>48</v>
      </c>
      <c r="B1487" s="1" t="s">
        <v>12</v>
      </c>
      <c r="C1487" s="1" t="s">
        <v>23</v>
      </c>
      <c r="D1487" s="5">
        <v>45928</v>
      </c>
      <c r="E1487" s="6">
        <v>122471570</v>
      </c>
      <c r="F1487" s="6">
        <v>10000000</v>
      </c>
      <c r="G1487" s="6">
        <v>112471570</v>
      </c>
      <c r="H1487" s="6">
        <v>0</v>
      </c>
      <c r="I1487" s="7">
        <v>122471570</v>
      </c>
    </row>
    <row r="1488" spans="1:9" ht="12" customHeight="1" thickBot="1" x14ac:dyDescent="0.25">
      <c r="A1488" s="1" t="s">
        <v>48</v>
      </c>
      <c r="B1488" s="1" t="s">
        <v>12</v>
      </c>
      <c r="C1488" s="1" t="s">
        <v>23</v>
      </c>
      <c r="D1488" s="5">
        <v>45929</v>
      </c>
      <c r="E1488" s="6">
        <v>133748065</v>
      </c>
      <c r="F1488" s="6">
        <v>10000000</v>
      </c>
      <c r="G1488" s="6">
        <v>123748065</v>
      </c>
      <c r="H1488" s="6">
        <v>0</v>
      </c>
      <c r="I1488" s="7">
        <v>133748065</v>
      </c>
    </row>
    <row r="1489" spans="1:9" ht="12" customHeight="1" thickBot="1" x14ac:dyDescent="0.25">
      <c r="A1489" s="1" t="s">
        <v>48</v>
      </c>
      <c r="B1489" s="1" t="s">
        <v>12</v>
      </c>
      <c r="C1489" s="1" t="s">
        <v>23</v>
      </c>
      <c r="D1489" s="5">
        <v>45930</v>
      </c>
      <c r="E1489" s="6">
        <v>133748065</v>
      </c>
      <c r="F1489" s="6">
        <v>10000000</v>
      </c>
      <c r="G1489" s="6">
        <v>123748065</v>
      </c>
      <c r="H1489" s="6">
        <v>0</v>
      </c>
      <c r="I1489" s="7">
        <v>133748065</v>
      </c>
    </row>
    <row r="1490" spans="1:9" ht="12" customHeight="1" thickBot="1" x14ac:dyDescent="0.25">
      <c r="A1490" s="1" t="s">
        <v>49</v>
      </c>
      <c r="B1490" s="1" t="s">
        <v>37</v>
      </c>
      <c r="C1490" s="1" t="s">
        <v>23</v>
      </c>
      <c r="D1490" s="5">
        <v>45839</v>
      </c>
      <c r="E1490" s="6">
        <v>221823221942</v>
      </c>
      <c r="F1490" s="6">
        <v>90596217929</v>
      </c>
      <c r="G1490" s="6">
        <v>131227004013</v>
      </c>
      <c r="H1490" s="6">
        <v>87299532448</v>
      </c>
      <c r="I1490" s="7">
        <v>134523689494</v>
      </c>
    </row>
    <row r="1491" spans="1:9" ht="12" customHeight="1" thickBot="1" x14ac:dyDescent="0.25">
      <c r="A1491" s="1" t="s">
        <v>49</v>
      </c>
      <c r="B1491" s="1" t="s">
        <v>37</v>
      </c>
      <c r="C1491" s="1" t="s">
        <v>23</v>
      </c>
      <c r="D1491" s="5">
        <v>45840</v>
      </c>
      <c r="E1491" s="6">
        <v>222282815926</v>
      </c>
      <c r="F1491" s="6">
        <v>90746859514</v>
      </c>
      <c r="G1491" s="6">
        <v>131535956412</v>
      </c>
      <c r="H1491" s="6">
        <v>87445442094</v>
      </c>
      <c r="I1491" s="7">
        <v>134837373832</v>
      </c>
    </row>
    <row r="1492" spans="1:9" ht="12" customHeight="1" thickBot="1" x14ac:dyDescent="0.25">
      <c r="A1492" s="1" t="s">
        <v>49</v>
      </c>
      <c r="B1492" s="1" t="s">
        <v>37</v>
      </c>
      <c r="C1492" s="1" t="s">
        <v>23</v>
      </c>
      <c r="D1492" s="5">
        <v>45841</v>
      </c>
      <c r="E1492" s="6">
        <v>222478951901</v>
      </c>
      <c r="F1492" s="6">
        <v>90902641362</v>
      </c>
      <c r="G1492" s="6">
        <v>131576310539</v>
      </c>
      <c r="H1492" s="6">
        <v>87399759390</v>
      </c>
      <c r="I1492" s="7">
        <v>135079192511</v>
      </c>
    </row>
    <row r="1493" spans="1:9" ht="12" customHeight="1" thickBot="1" x14ac:dyDescent="0.25">
      <c r="A1493" s="1" t="s">
        <v>49</v>
      </c>
      <c r="B1493" s="1" t="s">
        <v>37</v>
      </c>
      <c r="C1493" s="1" t="s">
        <v>23</v>
      </c>
      <c r="D1493" s="5">
        <v>45842</v>
      </c>
      <c r="E1493" s="6">
        <v>222813667727</v>
      </c>
      <c r="F1493" s="6">
        <v>91112001050</v>
      </c>
      <c r="G1493" s="6">
        <v>131701666677</v>
      </c>
      <c r="H1493" s="6">
        <v>87851962574</v>
      </c>
      <c r="I1493" s="7">
        <v>134961705153</v>
      </c>
    </row>
    <row r="1494" spans="1:9" ht="12" customHeight="1" thickBot="1" x14ac:dyDescent="0.25">
      <c r="A1494" s="1" t="s">
        <v>49</v>
      </c>
      <c r="B1494" s="1" t="s">
        <v>37</v>
      </c>
      <c r="C1494" s="1" t="s">
        <v>23</v>
      </c>
      <c r="D1494" s="5">
        <v>45843</v>
      </c>
      <c r="E1494" s="6">
        <v>224329635412</v>
      </c>
      <c r="F1494" s="6">
        <v>91335457500</v>
      </c>
      <c r="G1494" s="6">
        <v>132994177912</v>
      </c>
      <c r="H1494" s="6">
        <v>88103976323</v>
      </c>
      <c r="I1494" s="7">
        <v>136225659089</v>
      </c>
    </row>
    <row r="1495" spans="1:9" ht="12" customHeight="1" thickBot="1" x14ac:dyDescent="0.25">
      <c r="A1495" s="1" t="s">
        <v>49</v>
      </c>
      <c r="B1495" s="1" t="s">
        <v>37</v>
      </c>
      <c r="C1495" s="1" t="s">
        <v>23</v>
      </c>
      <c r="D1495" s="5">
        <v>45844</v>
      </c>
      <c r="E1495" s="6">
        <v>225451329918</v>
      </c>
      <c r="F1495" s="6">
        <v>91624466237</v>
      </c>
      <c r="G1495" s="6">
        <v>133826863681</v>
      </c>
      <c r="H1495" s="6">
        <v>88218316614</v>
      </c>
      <c r="I1495" s="7">
        <v>137233013304</v>
      </c>
    </row>
    <row r="1496" spans="1:9" ht="12" customHeight="1" thickBot="1" x14ac:dyDescent="0.25">
      <c r="A1496" s="1" t="s">
        <v>49</v>
      </c>
      <c r="B1496" s="1" t="s">
        <v>37</v>
      </c>
      <c r="C1496" s="1" t="s">
        <v>23</v>
      </c>
      <c r="D1496" s="5">
        <v>45845</v>
      </c>
      <c r="E1496" s="6">
        <v>225633770591</v>
      </c>
      <c r="F1496" s="6">
        <v>91359501577</v>
      </c>
      <c r="G1496" s="6">
        <v>134274269014</v>
      </c>
      <c r="H1496" s="6">
        <v>88438429055</v>
      </c>
      <c r="I1496" s="7">
        <v>137195341536</v>
      </c>
    </row>
    <row r="1497" spans="1:9" ht="12" customHeight="1" thickBot="1" x14ac:dyDescent="0.25">
      <c r="A1497" s="1" t="s">
        <v>49</v>
      </c>
      <c r="B1497" s="1" t="s">
        <v>37</v>
      </c>
      <c r="C1497" s="1" t="s">
        <v>23</v>
      </c>
      <c r="D1497" s="5">
        <v>45846</v>
      </c>
      <c r="E1497" s="6">
        <v>225898742246</v>
      </c>
      <c r="F1497" s="6">
        <v>91969313258</v>
      </c>
      <c r="G1497" s="6">
        <v>133929428988</v>
      </c>
      <c r="H1497" s="6">
        <v>88627501886</v>
      </c>
      <c r="I1497" s="7">
        <v>137271240360</v>
      </c>
    </row>
    <row r="1498" spans="1:9" ht="12" customHeight="1" thickBot="1" x14ac:dyDescent="0.25">
      <c r="A1498" s="1" t="s">
        <v>49</v>
      </c>
      <c r="B1498" s="1" t="s">
        <v>37</v>
      </c>
      <c r="C1498" s="1" t="s">
        <v>23</v>
      </c>
      <c r="D1498" s="5">
        <v>45847</v>
      </c>
      <c r="E1498" s="6">
        <v>226190707791</v>
      </c>
      <c r="F1498" s="6">
        <v>92059025050</v>
      </c>
      <c r="G1498" s="6">
        <v>134131682741</v>
      </c>
      <c r="H1498" s="6">
        <v>88822311134</v>
      </c>
      <c r="I1498" s="7">
        <v>137368396657</v>
      </c>
    </row>
    <row r="1499" spans="1:9" ht="12" customHeight="1" thickBot="1" x14ac:dyDescent="0.25">
      <c r="A1499" s="1" t="s">
        <v>49</v>
      </c>
      <c r="B1499" s="1" t="s">
        <v>37</v>
      </c>
      <c r="C1499" s="1" t="s">
        <v>23</v>
      </c>
      <c r="D1499" s="5">
        <v>45848</v>
      </c>
      <c r="E1499" s="6">
        <v>223625337133</v>
      </c>
      <c r="F1499" s="6">
        <v>92054222560</v>
      </c>
      <c r="G1499" s="6">
        <v>131571114573</v>
      </c>
      <c r="H1499" s="6">
        <v>88735493970</v>
      </c>
      <c r="I1499" s="7">
        <v>134889843163</v>
      </c>
    </row>
    <row r="1500" spans="1:9" ht="12" customHeight="1" thickBot="1" x14ac:dyDescent="0.25">
      <c r="A1500" s="1" t="s">
        <v>49</v>
      </c>
      <c r="B1500" s="1" t="s">
        <v>37</v>
      </c>
      <c r="C1500" s="1" t="s">
        <v>23</v>
      </c>
      <c r="D1500" s="5">
        <v>45849</v>
      </c>
      <c r="E1500" s="6">
        <v>224035357424</v>
      </c>
      <c r="F1500" s="6">
        <v>92204574465</v>
      </c>
      <c r="G1500" s="6">
        <v>131830782959</v>
      </c>
      <c r="H1500" s="6">
        <v>89187754343</v>
      </c>
      <c r="I1500" s="7">
        <v>134847603081</v>
      </c>
    </row>
    <row r="1501" spans="1:9" ht="12" customHeight="1" thickBot="1" x14ac:dyDescent="0.25">
      <c r="A1501" s="1" t="s">
        <v>49</v>
      </c>
      <c r="B1501" s="1" t="s">
        <v>37</v>
      </c>
      <c r="C1501" s="1" t="s">
        <v>23</v>
      </c>
      <c r="D1501" s="5">
        <v>45850</v>
      </c>
      <c r="E1501" s="6">
        <v>225559264174</v>
      </c>
      <c r="F1501" s="6">
        <v>92399822326</v>
      </c>
      <c r="G1501" s="6">
        <v>133159441848</v>
      </c>
      <c r="H1501" s="6">
        <v>89375744797</v>
      </c>
      <c r="I1501" s="7">
        <v>136183519377</v>
      </c>
    </row>
    <row r="1502" spans="1:9" ht="12" customHeight="1" thickBot="1" x14ac:dyDescent="0.25">
      <c r="A1502" s="1" t="s">
        <v>49</v>
      </c>
      <c r="B1502" s="1" t="s">
        <v>37</v>
      </c>
      <c r="C1502" s="1" t="s">
        <v>23</v>
      </c>
      <c r="D1502" s="5">
        <v>45851</v>
      </c>
      <c r="E1502" s="6">
        <v>227269436936</v>
      </c>
      <c r="F1502" s="6">
        <v>92660800897</v>
      </c>
      <c r="G1502" s="6">
        <v>134608636039</v>
      </c>
      <c r="H1502" s="6">
        <v>89534614994</v>
      </c>
      <c r="I1502" s="7">
        <v>137734821942</v>
      </c>
    </row>
    <row r="1503" spans="1:9" ht="12" customHeight="1" thickBot="1" x14ac:dyDescent="0.25">
      <c r="A1503" s="1" t="s">
        <v>49</v>
      </c>
      <c r="B1503" s="1" t="s">
        <v>37</v>
      </c>
      <c r="C1503" s="1" t="s">
        <v>23</v>
      </c>
      <c r="D1503" s="5">
        <v>45852</v>
      </c>
      <c r="E1503" s="6">
        <v>227624689803</v>
      </c>
      <c r="F1503" s="6">
        <v>92375543820</v>
      </c>
      <c r="G1503" s="6">
        <v>135249145983</v>
      </c>
      <c r="H1503" s="6">
        <v>89726083573</v>
      </c>
      <c r="I1503" s="7">
        <v>137898606230</v>
      </c>
    </row>
    <row r="1504" spans="1:9" ht="12" customHeight="1" thickBot="1" x14ac:dyDescent="0.25">
      <c r="A1504" s="1" t="s">
        <v>49</v>
      </c>
      <c r="B1504" s="1" t="s">
        <v>37</v>
      </c>
      <c r="C1504" s="1" t="s">
        <v>23</v>
      </c>
      <c r="D1504" s="5">
        <v>45853</v>
      </c>
      <c r="E1504" s="6">
        <v>226983875133</v>
      </c>
      <c r="F1504" s="6">
        <v>93058269894</v>
      </c>
      <c r="G1504" s="6">
        <v>133925605239</v>
      </c>
      <c r="H1504" s="6">
        <v>89927810596</v>
      </c>
      <c r="I1504" s="7">
        <v>137056064537</v>
      </c>
    </row>
    <row r="1505" spans="1:9" ht="12" customHeight="1" thickBot="1" x14ac:dyDescent="0.25">
      <c r="A1505" s="1" t="s">
        <v>49</v>
      </c>
      <c r="B1505" s="1" t="s">
        <v>37</v>
      </c>
      <c r="C1505" s="1" t="s">
        <v>23</v>
      </c>
      <c r="D1505" s="5">
        <v>45854</v>
      </c>
      <c r="E1505" s="6">
        <v>227280173964</v>
      </c>
      <c r="F1505" s="6">
        <v>93149301846</v>
      </c>
      <c r="G1505" s="6">
        <v>134130872118</v>
      </c>
      <c r="H1505" s="6">
        <v>90074149625</v>
      </c>
      <c r="I1505" s="7">
        <v>137206024339</v>
      </c>
    </row>
    <row r="1506" spans="1:9" ht="12" customHeight="1" thickBot="1" x14ac:dyDescent="0.25">
      <c r="A1506" s="1" t="s">
        <v>49</v>
      </c>
      <c r="B1506" s="1" t="s">
        <v>37</v>
      </c>
      <c r="C1506" s="1" t="s">
        <v>23</v>
      </c>
      <c r="D1506" s="5">
        <v>45855</v>
      </c>
      <c r="E1506" s="6">
        <v>228043777620</v>
      </c>
      <c r="F1506" s="6">
        <v>93237225738</v>
      </c>
      <c r="G1506" s="6">
        <v>134806551882</v>
      </c>
      <c r="H1506" s="6">
        <v>90006558531</v>
      </c>
      <c r="I1506" s="7">
        <v>138037219089</v>
      </c>
    </row>
    <row r="1507" spans="1:9" ht="12" customHeight="1" thickBot="1" x14ac:dyDescent="0.25">
      <c r="A1507" s="1" t="s">
        <v>49</v>
      </c>
      <c r="B1507" s="1" t="s">
        <v>37</v>
      </c>
      <c r="C1507" s="1" t="s">
        <v>23</v>
      </c>
      <c r="D1507" s="5">
        <v>45856</v>
      </c>
      <c r="E1507" s="6">
        <v>228364277350</v>
      </c>
      <c r="F1507" s="6">
        <v>93286144199</v>
      </c>
      <c r="G1507" s="6">
        <v>135078133151</v>
      </c>
      <c r="H1507" s="6">
        <v>90341693758</v>
      </c>
      <c r="I1507" s="7">
        <v>138022583592</v>
      </c>
    </row>
    <row r="1508" spans="1:9" ht="12" customHeight="1" thickBot="1" x14ac:dyDescent="0.25">
      <c r="A1508" s="1" t="s">
        <v>49</v>
      </c>
      <c r="B1508" s="1" t="s">
        <v>37</v>
      </c>
      <c r="C1508" s="1" t="s">
        <v>23</v>
      </c>
      <c r="D1508" s="5">
        <v>45857</v>
      </c>
      <c r="E1508" s="6">
        <v>229637533824</v>
      </c>
      <c r="F1508" s="6">
        <v>93514688403</v>
      </c>
      <c r="G1508" s="6">
        <v>136122845421</v>
      </c>
      <c r="H1508" s="6">
        <v>90453570443</v>
      </c>
      <c r="I1508" s="7">
        <v>139183963381</v>
      </c>
    </row>
    <row r="1509" spans="1:9" ht="12" customHeight="1" thickBot="1" x14ac:dyDescent="0.25">
      <c r="A1509" s="1" t="s">
        <v>49</v>
      </c>
      <c r="B1509" s="1" t="s">
        <v>37</v>
      </c>
      <c r="C1509" s="1" t="s">
        <v>23</v>
      </c>
      <c r="D1509" s="5">
        <v>45858</v>
      </c>
      <c r="E1509" s="6">
        <v>230724548214</v>
      </c>
      <c r="F1509" s="6">
        <v>93746739260</v>
      </c>
      <c r="G1509" s="6">
        <v>136977808954</v>
      </c>
      <c r="H1509" s="6">
        <v>90632740999</v>
      </c>
      <c r="I1509" s="7">
        <v>140091807215</v>
      </c>
    </row>
    <row r="1510" spans="1:9" ht="12" customHeight="1" thickBot="1" x14ac:dyDescent="0.25">
      <c r="A1510" s="1" t="s">
        <v>49</v>
      </c>
      <c r="B1510" s="1" t="s">
        <v>37</v>
      </c>
      <c r="C1510" s="1" t="s">
        <v>23</v>
      </c>
      <c r="D1510" s="5">
        <v>45859</v>
      </c>
      <c r="E1510" s="6">
        <v>230450235299</v>
      </c>
      <c r="F1510" s="6">
        <v>93506324905</v>
      </c>
      <c r="G1510" s="6">
        <v>136943910394</v>
      </c>
      <c r="H1510" s="6">
        <v>90826337497</v>
      </c>
      <c r="I1510" s="7">
        <v>139623897802</v>
      </c>
    </row>
    <row r="1511" spans="1:9" ht="12" customHeight="1" thickBot="1" x14ac:dyDescent="0.25">
      <c r="A1511" s="1" t="s">
        <v>49</v>
      </c>
      <c r="B1511" s="1" t="s">
        <v>37</v>
      </c>
      <c r="C1511" s="1" t="s">
        <v>23</v>
      </c>
      <c r="D1511" s="5">
        <v>45860</v>
      </c>
      <c r="E1511" s="6">
        <v>231375946987</v>
      </c>
      <c r="F1511" s="6">
        <v>94341875991</v>
      </c>
      <c r="G1511" s="6">
        <v>137034070996</v>
      </c>
      <c r="H1511" s="6">
        <v>91006104284</v>
      </c>
      <c r="I1511" s="7">
        <v>140369842703</v>
      </c>
    </row>
    <row r="1512" spans="1:9" ht="12" customHeight="1" thickBot="1" x14ac:dyDescent="0.25">
      <c r="A1512" s="1" t="s">
        <v>49</v>
      </c>
      <c r="B1512" s="1" t="s">
        <v>37</v>
      </c>
      <c r="C1512" s="1" t="s">
        <v>23</v>
      </c>
      <c r="D1512" s="5">
        <v>45861</v>
      </c>
      <c r="E1512" s="6">
        <v>232176402901</v>
      </c>
      <c r="F1512" s="6">
        <v>94375338396</v>
      </c>
      <c r="G1512" s="6">
        <v>137801064505</v>
      </c>
      <c r="H1512" s="6">
        <v>91184018624</v>
      </c>
      <c r="I1512" s="7">
        <v>140992384277</v>
      </c>
    </row>
    <row r="1513" spans="1:9" ht="12" customHeight="1" thickBot="1" x14ac:dyDescent="0.25">
      <c r="A1513" s="1" t="s">
        <v>49</v>
      </c>
      <c r="B1513" s="1" t="s">
        <v>37</v>
      </c>
      <c r="C1513" s="1" t="s">
        <v>23</v>
      </c>
      <c r="D1513" s="5">
        <v>45862</v>
      </c>
      <c r="E1513" s="6">
        <v>232613085897</v>
      </c>
      <c r="F1513" s="6">
        <v>94545344749</v>
      </c>
      <c r="G1513" s="6">
        <v>138067741148</v>
      </c>
      <c r="H1513" s="6">
        <v>91121459408</v>
      </c>
      <c r="I1513" s="7">
        <v>141491626489</v>
      </c>
    </row>
    <row r="1514" spans="1:9" ht="12" customHeight="1" thickBot="1" x14ac:dyDescent="0.25">
      <c r="A1514" s="1" t="s">
        <v>49</v>
      </c>
      <c r="B1514" s="1" t="s">
        <v>37</v>
      </c>
      <c r="C1514" s="1" t="s">
        <v>23</v>
      </c>
      <c r="D1514" s="5">
        <v>45863</v>
      </c>
      <c r="E1514" s="6">
        <v>232961222313</v>
      </c>
      <c r="F1514" s="6">
        <v>94645199483</v>
      </c>
      <c r="G1514" s="6">
        <v>138316022830</v>
      </c>
      <c r="H1514" s="6">
        <v>91644889735</v>
      </c>
      <c r="I1514" s="7">
        <v>141316332578</v>
      </c>
    </row>
    <row r="1515" spans="1:9" ht="12" customHeight="1" thickBot="1" x14ac:dyDescent="0.25">
      <c r="A1515" s="1" t="s">
        <v>49</v>
      </c>
      <c r="B1515" s="1" t="s">
        <v>37</v>
      </c>
      <c r="C1515" s="1" t="s">
        <v>23</v>
      </c>
      <c r="D1515" s="5">
        <v>45864</v>
      </c>
      <c r="E1515" s="6">
        <v>233953546997</v>
      </c>
      <c r="F1515" s="6">
        <v>94955783407</v>
      </c>
      <c r="G1515" s="6">
        <v>138997763590</v>
      </c>
      <c r="H1515" s="6">
        <v>91857655590</v>
      </c>
      <c r="I1515" s="7">
        <v>142095891407</v>
      </c>
    </row>
    <row r="1516" spans="1:9" ht="12" customHeight="1" thickBot="1" x14ac:dyDescent="0.25">
      <c r="A1516" s="1" t="s">
        <v>49</v>
      </c>
      <c r="B1516" s="1" t="s">
        <v>37</v>
      </c>
      <c r="C1516" s="1" t="s">
        <v>23</v>
      </c>
      <c r="D1516" s="5">
        <v>45865</v>
      </c>
      <c r="E1516" s="6">
        <v>234999546922</v>
      </c>
      <c r="F1516" s="6">
        <v>95299716870</v>
      </c>
      <c r="G1516" s="6">
        <v>139699830052</v>
      </c>
      <c r="H1516" s="6">
        <v>92030293014</v>
      </c>
      <c r="I1516" s="7">
        <v>142969253908</v>
      </c>
    </row>
    <row r="1517" spans="1:9" ht="12" customHeight="1" thickBot="1" x14ac:dyDescent="0.25">
      <c r="A1517" s="1" t="s">
        <v>49</v>
      </c>
      <c r="B1517" s="1" t="s">
        <v>37</v>
      </c>
      <c r="C1517" s="1" t="s">
        <v>23</v>
      </c>
      <c r="D1517" s="5">
        <v>45866</v>
      </c>
      <c r="E1517" s="6">
        <v>235428047127</v>
      </c>
      <c r="F1517" s="6">
        <v>95033469977</v>
      </c>
      <c r="G1517" s="6">
        <v>140394577150</v>
      </c>
      <c r="H1517" s="6">
        <v>92150543241</v>
      </c>
      <c r="I1517" s="7">
        <v>143277503886</v>
      </c>
    </row>
    <row r="1518" spans="1:9" ht="12" customHeight="1" thickBot="1" x14ac:dyDescent="0.25">
      <c r="A1518" s="1" t="s">
        <v>49</v>
      </c>
      <c r="B1518" s="1" t="s">
        <v>37</v>
      </c>
      <c r="C1518" s="1" t="s">
        <v>23</v>
      </c>
      <c r="D1518" s="5">
        <v>45867</v>
      </c>
      <c r="E1518" s="6">
        <v>236034161785</v>
      </c>
      <c r="F1518" s="6">
        <v>95719876543</v>
      </c>
      <c r="G1518" s="6">
        <v>140314285242</v>
      </c>
      <c r="H1518" s="6">
        <v>92363914508</v>
      </c>
      <c r="I1518" s="7">
        <v>143670247277</v>
      </c>
    </row>
    <row r="1519" spans="1:9" ht="12" customHeight="1" thickBot="1" x14ac:dyDescent="0.25">
      <c r="A1519" s="1" t="s">
        <v>49</v>
      </c>
      <c r="B1519" s="1" t="s">
        <v>37</v>
      </c>
      <c r="C1519" s="1" t="s">
        <v>23</v>
      </c>
      <c r="D1519" s="5">
        <v>45868</v>
      </c>
      <c r="E1519" s="6">
        <v>235833222882</v>
      </c>
      <c r="F1519" s="6">
        <v>95907995756</v>
      </c>
      <c r="G1519" s="6">
        <v>139925227126</v>
      </c>
      <c r="H1519" s="6">
        <v>92546400752</v>
      </c>
      <c r="I1519" s="7">
        <v>143286822130</v>
      </c>
    </row>
    <row r="1520" spans="1:9" ht="12" customHeight="1" thickBot="1" x14ac:dyDescent="0.25">
      <c r="A1520" s="1" t="s">
        <v>49</v>
      </c>
      <c r="B1520" s="1" t="s">
        <v>37</v>
      </c>
      <c r="C1520" s="1" t="s">
        <v>23</v>
      </c>
      <c r="D1520" s="5">
        <v>45869</v>
      </c>
      <c r="E1520" s="6">
        <v>234393825319</v>
      </c>
      <c r="F1520" s="6">
        <v>96063995957</v>
      </c>
      <c r="G1520" s="6">
        <v>138329829362</v>
      </c>
      <c r="H1520" s="6">
        <v>92490166297</v>
      </c>
      <c r="I1520" s="7">
        <v>141903659022</v>
      </c>
    </row>
    <row r="1521" spans="1:9" ht="12" customHeight="1" thickBot="1" x14ac:dyDescent="0.25">
      <c r="A1521" s="1" t="s">
        <v>49</v>
      </c>
      <c r="B1521" s="1" t="s">
        <v>37</v>
      </c>
      <c r="C1521" s="1" t="s">
        <v>23</v>
      </c>
      <c r="D1521" s="5">
        <v>45870</v>
      </c>
      <c r="E1521" s="6">
        <v>234900510254</v>
      </c>
      <c r="F1521" s="6">
        <v>96273263875</v>
      </c>
      <c r="G1521" s="6">
        <v>138627246379</v>
      </c>
      <c r="H1521" s="6">
        <v>92997394009</v>
      </c>
      <c r="I1521" s="7">
        <v>141903116245</v>
      </c>
    </row>
    <row r="1522" spans="1:9" ht="12" customHeight="1" thickBot="1" x14ac:dyDescent="0.25">
      <c r="A1522" s="1" t="s">
        <v>49</v>
      </c>
      <c r="B1522" s="1" t="s">
        <v>37</v>
      </c>
      <c r="C1522" s="1" t="s">
        <v>23</v>
      </c>
      <c r="D1522" s="5">
        <v>45871</v>
      </c>
      <c r="E1522" s="6">
        <v>236364943241</v>
      </c>
      <c r="F1522" s="6">
        <v>96547237833</v>
      </c>
      <c r="G1522" s="6">
        <v>139817705408</v>
      </c>
      <c r="H1522" s="6">
        <v>93221208381</v>
      </c>
      <c r="I1522" s="7">
        <v>143143734860</v>
      </c>
    </row>
    <row r="1523" spans="1:9" ht="12" customHeight="1" thickBot="1" x14ac:dyDescent="0.25">
      <c r="A1523" s="1" t="s">
        <v>49</v>
      </c>
      <c r="B1523" s="1" t="s">
        <v>37</v>
      </c>
      <c r="C1523" s="1" t="s">
        <v>23</v>
      </c>
      <c r="D1523" s="5">
        <v>45872</v>
      </c>
      <c r="E1523" s="6">
        <v>237541858553</v>
      </c>
      <c r="F1523" s="6">
        <v>96843657663</v>
      </c>
      <c r="G1523" s="6">
        <v>140698200890</v>
      </c>
      <c r="H1523" s="6">
        <v>93452100817</v>
      </c>
      <c r="I1523" s="7">
        <v>144089757736</v>
      </c>
    </row>
    <row r="1524" spans="1:9" ht="12" customHeight="1" thickBot="1" x14ac:dyDescent="0.25">
      <c r="A1524" s="1" t="s">
        <v>49</v>
      </c>
      <c r="B1524" s="1" t="s">
        <v>37</v>
      </c>
      <c r="C1524" s="1" t="s">
        <v>23</v>
      </c>
      <c r="D1524" s="5">
        <v>45873</v>
      </c>
      <c r="E1524" s="6">
        <v>237732787617</v>
      </c>
      <c r="F1524" s="6">
        <v>96634841605</v>
      </c>
      <c r="G1524" s="6">
        <v>141097946012</v>
      </c>
      <c r="H1524" s="6">
        <v>93610716108</v>
      </c>
      <c r="I1524" s="7">
        <v>144122071509</v>
      </c>
    </row>
    <row r="1525" spans="1:9" ht="12" customHeight="1" thickBot="1" x14ac:dyDescent="0.25">
      <c r="A1525" s="1" t="s">
        <v>49</v>
      </c>
      <c r="B1525" s="1" t="s">
        <v>37</v>
      </c>
      <c r="C1525" s="1" t="s">
        <v>23</v>
      </c>
      <c r="D1525" s="5">
        <v>45874</v>
      </c>
      <c r="E1525" s="6">
        <v>237577445494</v>
      </c>
      <c r="F1525" s="6">
        <v>97429971157</v>
      </c>
      <c r="G1525" s="6">
        <v>140147474337</v>
      </c>
      <c r="H1525" s="6">
        <v>93862464609</v>
      </c>
      <c r="I1525" s="7">
        <v>143714980885</v>
      </c>
    </row>
    <row r="1526" spans="1:9" ht="12" customHeight="1" thickBot="1" x14ac:dyDescent="0.25">
      <c r="A1526" s="1" t="s">
        <v>49</v>
      </c>
      <c r="B1526" s="1" t="s">
        <v>37</v>
      </c>
      <c r="C1526" s="1" t="s">
        <v>23</v>
      </c>
      <c r="D1526" s="5">
        <v>45875</v>
      </c>
      <c r="E1526" s="6">
        <v>237821692946</v>
      </c>
      <c r="F1526" s="6">
        <v>97480506733</v>
      </c>
      <c r="G1526" s="6">
        <v>140341186213</v>
      </c>
      <c r="H1526" s="6">
        <v>94081525139</v>
      </c>
      <c r="I1526" s="7">
        <v>143740167807</v>
      </c>
    </row>
    <row r="1527" spans="1:9" ht="12" customHeight="1" thickBot="1" x14ac:dyDescent="0.25">
      <c r="A1527" s="1" t="s">
        <v>49</v>
      </c>
      <c r="B1527" s="1" t="s">
        <v>37</v>
      </c>
      <c r="C1527" s="1" t="s">
        <v>23</v>
      </c>
      <c r="D1527" s="5">
        <v>45876</v>
      </c>
      <c r="E1527" s="6">
        <v>237724579412</v>
      </c>
      <c r="F1527" s="6">
        <v>97696238706</v>
      </c>
      <c r="G1527" s="6">
        <v>140028340706</v>
      </c>
      <c r="H1527" s="6">
        <v>93997793756</v>
      </c>
      <c r="I1527" s="7">
        <v>143726785656</v>
      </c>
    </row>
    <row r="1528" spans="1:9" ht="12" customHeight="1" thickBot="1" x14ac:dyDescent="0.25">
      <c r="A1528" s="1" t="s">
        <v>49</v>
      </c>
      <c r="B1528" s="1" t="s">
        <v>37</v>
      </c>
      <c r="C1528" s="1" t="s">
        <v>23</v>
      </c>
      <c r="D1528" s="5">
        <v>45877</v>
      </c>
      <c r="E1528" s="6">
        <v>236013242548</v>
      </c>
      <c r="F1528" s="6">
        <v>97774344977</v>
      </c>
      <c r="G1528" s="6">
        <v>138238897571</v>
      </c>
      <c r="H1528" s="6">
        <v>94424709673</v>
      </c>
      <c r="I1528" s="7">
        <v>141588532875</v>
      </c>
    </row>
    <row r="1529" spans="1:9" ht="12" customHeight="1" thickBot="1" x14ac:dyDescent="0.25">
      <c r="A1529" s="1" t="s">
        <v>49</v>
      </c>
      <c r="B1529" s="1" t="s">
        <v>37</v>
      </c>
      <c r="C1529" s="1" t="s">
        <v>23</v>
      </c>
      <c r="D1529" s="5">
        <v>45878</v>
      </c>
      <c r="E1529" s="6">
        <v>236253295696</v>
      </c>
      <c r="F1529" s="6">
        <v>97833379757</v>
      </c>
      <c r="G1529" s="6">
        <v>138419915939</v>
      </c>
      <c r="H1529" s="6">
        <v>94609540136</v>
      </c>
      <c r="I1529" s="7">
        <v>141643755560</v>
      </c>
    </row>
    <row r="1530" spans="1:9" ht="12" customHeight="1" thickBot="1" x14ac:dyDescent="0.25">
      <c r="A1530" s="1" t="s">
        <v>49</v>
      </c>
      <c r="B1530" s="1" t="s">
        <v>37</v>
      </c>
      <c r="C1530" s="1" t="s">
        <v>23</v>
      </c>
      <c r="D1530" s="5">
        <v>45879</v>
      </c>
      <c r="E1530" s="6">
        <v>237356820084</v>
      </c>
      <c r="F1530" s="6">
        <v>98137112718</v>
      </c>
      <c r="G1530" s="6">
        <v>139219707366</v>
      </c>
      <c r="H1530" s="6">
        <v>94774942006</v>
      </c>
      <c r="I1530" s="7">
        <v>142581878078</v>
      </c>
    </row>
    <row r="1531" spans="1:9" ht="12" customHeight="1" thickBot="1" x14ac:dyDescent="0.25">
      <c r="A1531" s="1" t="s">
        <v>49</v>
      </c>
      <c r="B1531" s="1" t="s">
        <v>37</v>
      </c>
      <c r="C1531" s="1" t="s">
        <v>23</v>
      </c>
      <c r="D1531" s="5">
        <v>45880</v>
      </c>
      <c r="E1531" s="6">
        <v>236409512025</v>
      </c>
      <c r="F1531" s="6">
        <v>97694283374</v>
      </c>
      <c r="G1531" s="6">
        <v>138715228651</v>
      </c>
      <c r="H1531" s="6">
        <v>94903890288</v>
      </c>
      <c r="I1531" s="7">
        <v>141505621737</v>
      </c>
    </row>
    <row r="1532" spans="1:9" ht="12" customHeight="1" thickBot="1" x14ac:dyDescent="0.25">
      <c r="A1532" s="1" t="s">
        <v>49</v>
      </c>
      <c r="B1532" s="1" t="s">
        <v>37</v>
      </c>
      <c r="C1532" s="1" t="s">
        <v>23</v>
      </c>
      <c r="D1532" s="5">
        <v>45881</v>
      </c>
      <c r="E1532" s="6">
        <v>236325242440</v>
      </c>
      <c r="F1532" s="6">
        <v>98432377774</v>
      </c>
      <c r="G1532" s="6">
        <v>137892864666</v>
      </c>
      <c r="H1532" s="6">
        <v>95093448860</v>
      </c>
      <c r="I1532" s="7">
        <v>141231793580</v>
      </c>
    </row>
    <row r="1533" spans="1:9" ht="12" customHeight="1" thickBot="1" x14ac:dyDescent="0.25">
      <c r="A1533" s="1" t="s">
        <v>49</v>
      </c>
      <c r="B1533" s="1" t="s">
        <v>37</v>
      </c>
      <c r="C1533" s="1" t="s">
        <v>23</v>
      </c>
      <c r="D1533" s="5">
        <v>45882</v>
      </c>
      <c r="E1533" s="6">
        <v>236653112850</v>
      </c>
      <c r="F1533" s="6">
        <v>98649283010</v>
      </c>
      <c r="G1533" s="6">
        <v>138003829840</v>
      </c>
      <c r="H1533" s="6">
        <v>95245873181</v>
      </c>
      <c r="I1533" s="7">
        <v>141407239669</v>
      </c>
    </row>
    <row r="1534" spans="1:9" ht="12" customHeight="1" thickBot="1" x14ac:dyDescent="0.25">
      <c r="A1534" s="1" t="s">
        <v>49</v>
      </c>
      <c r="B1534" s="1" t="s">
        <v>37</v>
      </c>
      <c r="C1534" s="1" t="s">
        <v>23</v>
      </c>
      <c r="D1534" s="5">
        <v>45883</v>
      </c>
      <c r="E1534" s="6">
        <v>236794312139</v>
      </c>
      <c r="F1534" s="6">
        <v>98876497774</v>
      </c>
      <c r="G1534" s="6">
        <v>137917814365</v>
      </c>
      <c r="H1534" s="6">
        <v>95160429044</v>
      </c>
      <c r="I1534" s="7">
        <v>141633883095</v>
      </c>
    </row>
    <row r="1535" spans="1:9" ht="12" customHeight="1" thickBot="1" x14ac:dyDescent="0.25">
      <c r="A1535" s="1" t="s">
        <v>49</v>
      </c>
      <c r="B1535" s="1" t="s">
        <v>37</v>
      </c>
      <c r="C1535" s="1" t="s">
        <v>23</v>
      </c>
      <c r="D1535" s="5">
        <v>45884</v>
      </c>
      <c r="E1535" s="6">
        <v>235896412429</v>
      </c>
      <c r="F1535" s="6">
        <v>99087686653</v>
      </c>
      <c r="G1535" s="6">
        <v>136808725776</v>
      </c>
      <c r="H1535" s="6">
        <v>95588477032</v>
      </c>
      <c r="I1535" s="7">
        <v>140307935397</v>
      </c>
    </row>
    <row r="1536" spans="1:9" ht="12" customHeight="1" thickBot="1" x14ac:dyDescent="0.25">
      <c r="A1536" s="1" t="s">
        <v>49</v>
      </c>
      <c r="B1536" s="1" t="s">
        <v>37</v>
      </c>
      <c r="C1536" s="1" t="s">
        <v>23</v>
      </c>
      <c r="D1536" s="5">
        <v>45885</v>
      </c>
      <c r="E1536" s="6">
        <v>237112306938</v>
      </c>
      <c r="F1536" s="6">
        <v>99384050424</v>
      </c>
      <c r="G1536" s="6">
        <v>137728256514</v>
      </c>
      <c r="H1536" s="6">
        <v>95699663809</v>
      </c>
      <c r="I1536" s="7">
        <v>141412643129</v>
      </c>
    </row>
    <row r="1537" spans="1:9" ht="12" customHeight="1" thickBot="1" x14ac:dyDescent="0.25">
      <c r="A1537" s="1" t="s">
        <v>49</v>
      </c>
      <c r="B1537" s="1" t="s">
        <v>37</v>
      </c>
      <c r="C1537" s="1" t="s">
        <v>23</v>
      </c>
      <c r="D1537" s="5">
        <v>45886</v>
      </c>
      <c r="E1537" s="6">
        <v>238551239216</v>
      </c>
      <c r="F1537" s="6">
        <v>99718421745</v>
      </c>
      <c r="G1537" s="6">
        <v>138832817471</v>
      </c>
      <c r="H1537" s="6">
        <v>95958978558</v>
      </c>
      <c r="I1537" s="7">
        <v>142592260658</v>
      </c>
    </row>
    <row r="1538" spans="1:9" ht="12" customHeight="1" thickBot="1" x14ac:dyDescent="0.25">
      <c r="A1538" s="1" t="s">
        <v>49</v>
      </c>
      <c r="B1538" s="1" t="s">
        <v>37</v>
      </c>
      <c r="C1538" s="1" t="s">
        <v>23</v>
      </c>
      <c r="D1538" s="5">
        <v>45887</v>
      </c>
      <c r="E1538" s="6">
        <v>238729252048</v>
      </c>
      <c r="F1538" s="6">
        <v>99453211344</v>
      </c>
      <c r="G1538" s="6">
        <v>139276040704</v>
      </c>
      <c r="H1538" s="6">
        <v>96121882150</v>
      </c>
      <c r="I1538" s="7">
        <v>142607369898</v>
      </c>
    </row>
    <row r="1539" spans="1:9" ht="12" customHeight="1" thickBot="1" x14ac:dyDescent="0.25">
      <c r="A1539" s="1" t="s">
        <v>49</v>
      </c>
      <c r="B1539" s="1" t="s">
        <v>37</v>
      </c>
      <c r="C1539" s="1" t="s">
        <v>23</v>
      </c>
      <c r="D1539" s="5">
        <v>45888</v>
      </c>
      <c r="E1539" s="6">
        <v>239298800336</v>
      </c>
      <c r="F1539" s="6">
        <v>100214744960</v>
      </c>
      <c r="G1539" s="6">
        <v>139084055376</v>
      </c>
      <c r="H1539" s="6">
        <v>96286579735</v>
      </c>
      <c r="I1539" s="7">
        <v>143012220601</v>
      </c>
    </row>
    <row r="1540" spans="1:9" ht="12" customHeight="1" thickBot="1" x14ac:dyDescent="0.25">
      <c r="A1540" s="1" t="s">
        <v>49</v>
      </c>
      <c r="B1540" s="1" t="s">
        <v>37</v>
      </c>
      <c r="C1540" s="1" t="s">
        <v>23</v>
      </c>
      <c r="D1540" s="5">
        <v>45889</v>
      </c>
      <c r="E1540" s="6">
        <v>240351334061</v>
      </c>
      <c r="F1540" s="6">
        <v>100526852549</v>
      </c>
      <c r="G1540" s="6">
        <v>139824481512</v>
      </c>
      <c r="H1540" s="6">
        <v>96482037737</v>
      </c>
      <c r="I1540" s="7">
        <v>143869296324</v>
      </c>
    </row>
    <row r="1541" spans="1:9" ht="12" customHeight="1" thickBot="1" x14ac:dyDescent="0.25">
      <c r="A1541" s="1" t="s">
        <v>49</v>
      </c>
      <c r="B1541" s="1" t="s">
        <v>37</v>
      </c>
      <c r="C1541" s="1" t="s">
        <v>23</v>
      </c>
      <c r="D1541" s="5">
        <v>45890</v>
      </c>
      <c r="E1541" s="6">
        <v>240762163647</v>
      </c>
      <c r="F1541" s="6">
        <v>100668120636</v>
      </c>
      <c r="G1541" s="6">
        <v>140094043011</v>
      </c>
      <c r="H1541" s="6">
        <v>96374367351</v>
      </c>
      <c r="I1541" s="7">
        <v>144387796296</v>
      </c>
    </row>
    <row r="1542" spans="1:9" ht="12" customHeight="1" thickBot="1" x14ac:dyDescent="0.25">
      <c r="A1542" s="1" t="s">
        <v>49</v>
      </c>
      <c r="B1542" s="1" t="s">
        <v>37</v>
      </c>
      <c r="C1542" s="1" t="s">
        <v>23</v>
      </c>
      <c r="D1542" s="5">
        <v>45891</v>
      </c>
      <c r="E1542" s="6">
        <v>240836954651</v>
      </c>
      <c r="F1542" s="6">
        <v>100825283508</v>
      </c>
      <c r="G1542" s="6">
        <v>140011671143</v>
      </c>
      <c r="H1542" s="6">
        <v>96879390713</v>
      </c>
      <c r="I1542" s="7">
        <v>143957563938</v>
      </c>
    </row>
    <row r="1543" spans="1:9" ht="12" customHeight="1" thickBot="1" x14ac:dyDescent="0.25">
      <c r="A1543" s="1" t="s">
        <v>49</v>
      </c>
      <c r="B1543" s="1" t="s">
        <v>37</v>
      </c>
      <c r="C1543" s="1" t="s">
        <v>23</v>
      </c>
      <c r="D1543" s="5">
        <v>45892</v>
      </c>
      <c r="E1543" s="6">
        <v>242251556195</v>
      </c>
      <c r="F1543" s="6">
        <v>101092981243</v>
      </c>
      <c r="G1543" s="6">
        <v>141158574952</v>
      </c>
      <c r="H1543" s="6">
        <v>97126776395</v>
      </c>
      <c r="I1543" s="7">
        <v>145124779800</v>
      </c>
    </row>
    <row r="1544" spans="1:9" ht="12" customHeight="1" thickBot="1" x14ac:dyDescent="0.25">
      <c r="A1544" s="1" t="s">
        <v>49</v>
      </c>
      <c r="B1544" s="1" t="s">
        <v>37</v>
      </c>
      <c r="C1544" s="1" t="s">
        <v>23</v>
      </c>
      <c r="D1544" s="5">
        <v>45893</v>
      </c>
      <c r="E1544" s="6">
        <v>243538406847</v>
      </c>
      <c r="F1544" s="6">
        <v>101412505478</v>
      </c>
      <c r="G1544" s="6">
        <v>142125901369</v>
      </c>
      <c r="H1544" s="6">
        <v>97358441086</v>
      </c>
      <c r="I1544" s="7">
        <v>146179965761</v>
      </c>
    </row>
    <row r="1545" spans="1:9" ht="12" customHeight="1" thickBot="1" x14ac:dyDescent="0.25">
      <c r="A1545" s="1" t="s">
        <v>49</v>
      </c>
      <c r="B1545" s="1" t="s">
        <v>37</v>
      </c>
      <c r="C1545" s="1" t="s">
        <v>23</v>
      </c>
      <c r="D1545" s="5">
        <v>45894</v>
      </c>
      <c r="E1545" s="6">
        <v>243963731717</v>
      </c>
      <c r="F1545" s="6">
        <v>101136580884</v>
      </c>
      <c r="G1545" s="6">
        <v>142827150833</v>
      </c>
      <c r="H1545" s="6">
        <v>97712031002</v>
      </c>
      <c r="I1545" s="7">
        <v>146251700715</v>
      </c>
    </row>
    <row r="1546" spans="1:9" ht="12" customHeight="1" thickBot="1" x14ac:dyDescent="0.25">
      <c r="A1546" s="1" t="s">
        <v>49</v>
      </c>
      <c r="B1546" s="1" t="s">
        <v>37</v>
      </c>
      <c r="C1546" s="1" t="s">
        <v>23</v>
      </c>
      <c r="D1546" s="5">
        <v>45895</v>
      </c>
      <c r="E1546" s="6">
        <v>245068717206</v>
      </c>
      <c r="F1546" s="6">
        <v>102116220690</v>
      </c>
      <c r="G1546" s="6">
        <v>142952496516</v>
      </c>
      <c r="H1546" s="6">
        <v>97989042684</v>
      </c>
      <c r="I1546" s="7">
        <v>147079674522</v>
      </c>
    </row>
    <row r="1547" spans="1:9" ht="12" customHeight="1" thickBot="1" x14ac:dyDescent="0.25">
      <c r="A1547" s="1" t="s">
        <v>49</v>
      </c>
      <c r="B1547" s="1" t="s">
        <v>37</v>
      </c>
      <c r="C1547" s="1" t="s">
        <v>23</v>
      </c>
      <c r="D1547" s="5">
        <v>45896</v>
      </c>
      <c r="E1547" s="6">
        <v>245868178720</v>
      </c>
      <c r="F1547" s="6">
        <v>102436407586</v>
      </c>
      <c r="G1547" s="6">
        <v>143431771134</v>
      </c>
      <c r="H1547" s="6">
        <v>98291886703</v>
      </c>
      <c r="I1547" s="7">
        <v>147576292017</v>
      </c>
    </row>
    <row r="1548" spans="1:9" ht="12" customHeight="1" thickBot="1" x14ac:dyDescent="0.25">
      <c r="A1548" s="1" t="s">
        <v>49</v>
      </c>
      <c r="B1548" s="1" t="s">
        <v>37</v>
      </c>
      <c r="C1548" s="1" t="s">
        <v>23</v>
      </c>
      <c r="D1548" s="5">
        <v>45897</v>
      </c>
      <c r="E1548" s="6">
        <v>246542030518</v>
      </c>
      <c r="F1548" s="6">
        <v>102728948591</v>
      </c>
      <c r="G1548" s="6">
        <v>143813081927</v>
      </c>
      <c r="H1548" s="6">
        <v>98229720442</v>
      </c>
      <c r="I1548" s="7">
        <v>148312310076</v>
      </c>
    </row>
    <row r="1549" spans="1:9" ht="12" customHeight="1" thickBot="1" x14ac:dyDescent="0.25">
      <c r="A1549" s="1" t="s">
        <v>49</v>
      </c>
      <c r="B1549" s="1" t="s">
        <v>37</v>
      </c>
      <c r="C1549" s="1" t="s">
        <v>23</v>
      </c>
      <c r="D1549" s="5">
        <v>45898</v>
      </c>
      <c r="E1549" s="6">
        <v>247219795182</v>
      </c>
      <c r="F1549" s="6">
        <v>102952350824</v>
      </c>
      <c r="G1549" s="6">
        <v>144267444358</v>
      </c>
      <c r="H1549" s="6">
        <v>98788395388</v>
      </c>
      <c r="I1549" s="7">
        <v>148431399794</v>
      </c>
    </row>
    <row r="1550" spans="1:9" ht="12" customHeight="1" thickBot="1" x14ac:dyDescent="0.25">
      <c r="A1550" s="1" t="s">
        <v>49</v>
      </c>
      <c r="B1550" s="1" t="s">
        <v>37</v>
      </c>
      <c r="C1550" s="1" t="s">
        <v>23</v>
      </c>
      <c r="D1550" s="5">
        <v>45899</v>
      </c>
      <c r="E1550" s="6">
        <v>248468623096</v>
      </c>
      <c r="F1550" s="6">
        <v>103185533365</v>
      </c>
      <c r="G1550" s="6">
        <v>145283089731</v>
      </c>
      <c r="H1550" s="6">
        <v>99079282451</v>
      </c>
      <c r="I1550" s="7">
        <v>149389340645</v>
      </c>
    </row>
    <row r="1551" spans="1:9" ht="12" customHeight="1" thickBot="1" x14ac:dyDescent="0.25">
      <c r="A1551" s="1" t="s">
        <v>49</v>
      </c>
      <c r="B1551" s="1" t="s">
        <v>37</v>
      </c>
      <c r="C1551" s="1" t="s">
        <v>23</v>
      </c>
      <c r="D1551" s="5">
        <v>45900</v>
      </c>
      <c r="E1551" s="6">
        <v>250229929312</v>
      </c>
      <c r="F1551" s="6">
        <v>103422661088</v>
      </c>
      <c r="G1551" s="6">
        <v>146807268224</v>
      </c>
      <c r="H1551" s="6">
        <v>99390988253</v>
      </c>
      <c r="I1551" s="7">
        <v>150838941059</v>
      </c>
    </row>
    <row r="1552" spans="1:9" ht="12" customHeight="1" thickBot="1" x14ac:dyDescent="0.25">
      <c r="A1552" s="1" t="s">
        <v>49</v>
      </c>
      <c r="B1552" s="1" t="s">
        <v>37</v>
      </c>
      <c r="C1552" s="1" t="s">
        <v>23</v>
      </c>
      <c r="D1552" s="5">
        <v>45901</v>
      </c>
      <c r="E1552" s="6">
        <v>251893808249</v>
      </c>
      <c r="F1552" s="6">
        <v>103241359811</v>
      </c>
      <c r="G1552" s="6">
        <v>148652448438</v>
      </c>
      <c r="H1552" s="6">
        <v>99661761478</v>
      </c>
      <c r="I1552" s="7">
        <v>152232046771</v>
      </c>
    </row>
    <row r="1553" spans="1:9" ht="12" customHeight="1" thickBot="1" x14ac:dyDescent="0.25">
      <c r="A1553" s="1" t="s">
        <v>49</v>
      </c>
      <c r="B1553" s="1" t="s">
        <v>37</v>
      </c>
      <c r="C1553" s="1" t="s">
        <v>23</v>
      </c>
      <c r="D1553" s="5">
        <v>45902</v>
      </c>
      <c r="E1553" s="6">
        <v>253407016004</v>
      </c>
      <c r="F1553" s="6">
        <v>103130707213</v>
      </c>
      <c r="G1553" s="6">
        <v>150276308791</v>
      </c>
      <c r="H1553" s="6">
        <v>99920567632</v>
      </c>
      <c r="I1553" s="7">
        <v>153486448372</v>
      </c>
    </row>
    <row r="1554" spans="1:9" ht="12" customHeight="1" thickBot="1" x14ac:dyDescent="0.25">
      <c r="A1554" s="1" t="s">
        <v>49</v>
      </c>
      <c r="B1554" s="1" t="s">
        <v>37</v>
      </c>
      <c r="C1554" s="1" t="s">
        <v>23</v>
      </c>
      <c r="D1554" s="5">
        <v>45903</v>
      </c>
      <c r="E1554" s="6">
        <v>253682961483</v>
      </c>
      <c r="F1554" s="6">
        <v>102937425953</v>
      </c>
      <c r="G1554" s="6">
        <v>150745535530</v>
      </c>
      <c r="H1554" s="6">
        <v>100180993313</v>
      </c>
      <c r="I1554" s="7">
        <v>153501968170</v>
      </c>
    </row>
    <row r="1555" spans="1:9" ht="12" customHeight="1" thickBot="1" x14ac:dyDescent="0.25">
      <c r="A1555" s="1" t="s">
        <v>49</v>
      </c>
      <c r="B1555" s="1" t="s">
        <v>37</v>
      </c>
      <c r="C1555" s="1" t="s">
        <v>23</v>
      </c>
      <c r="D1555" s="5">
        <v>45904</v>
      </c>
      <c r="E1555" s="6">
        <v>255527386035</v>
      </c>
      <c r="F1555" s="6">
        <v>105175646473</v>
      </c>
      <c r="G1555" s="6">
        <v>150351739562</v>
      </c>
      <c r="H1555" s="6">
        <v>100112282494</v>
      </c>
      <c r="I1555" s="7">
        <v>155415103541</v>
      </c>
    </row>
    <row r="1556" spans="1:9" ht="12" customHeight="1" thickBot="1" x14ac:dyDescent="0.25">
      <c r="A1556" s="1" t="s">
        <v>49</v>
      </c>
      <c r="B1556" s="1" t="s">
        <v>37</v>
      </c>
      <c r="C1556" s="1" t="s">
        <v>23</v>
      </c>
      <c r="D1556" s="5">
        <v>45905</v>
      </c>
      <c r="E1556" s="6">
        <v>257833477084</v>
      </c>
      <c r="F1556" s="6">
        <v>105269898592</v>
      </c>
      <c r="G1556" s="6">
        <v>152563578492</v>
      </c>
      <c r="H1556" s="6">
        <v>100829670195</v>
      </c>
      <c r="I1556" s="7">
        <v>157003806889</v>
      </c>
    </row>
    <row r="1557" spans="1:9" ht="12" customHeight="1" thickBot="1" x14ac:dyDescent="0.25">
      <c r="A1557" s="1" t="s">
        <v>49</v>
      </c>
      <c r="B1557" s="1" t="s">
        <v>37</v>
      </c>
      <c r="C1557" s="1" t="s">
        <v>23</v>
      </c>
      <c r="D1557" s="5">
        <v>45906</v>
      </c>
      <c r="E1557" s="6">
        <v>260397709072</v>
      </c>
      <c r="F1557" s="6">
        <v>105455165136</v>
      </c>
      <c r="G1557" s="6">
        <v>154942543936</v>
      </c>
      <c r="H1557" s="6">
        <v>101163590018</v>
      </c>
      <c r="I1557" s="7">
        <v>159234119054</v>
      </c>
    </row>
    <row r="1558" spans="1:9" ht="12" customHeight="1" thickBot="1" x14ac:dyDescent="0.25">
      <c r="A1558" s="1" t="s">
        <v>49</v>
      </c>
      <c r="B1558" s="1" t="s">
        <v>37</v>
      </c>
      <c r="C1558" s="1" t="s">
        <v>23</v>
      </c>
      <c r="D1558" s="5">
        <v>45907</v>
      </c>
      <c r="E1558" s="6">
        <v>263657756030</v>
      </c>
      <c r="F1558" s="6">
        <v>105782847619</v>
      </c>
      <c r="G1558" s="6">
        <v>157874908411</v>
      </c>
      <c r="H1558" s="6">
        <v>101517018281</v>
      </c>
      <c r="I1558" s="7">
        <v>162140737749</v>
      </c>
    </row>
    <row r="1559" spans="1:9" ht="12" customHeight="1" thickBot="1" x14ac:dyDescent="0.25">
      <c r="A1559" s="1" t="s">
        <v>49</v>
      </c>
      <c r="B1559" s="1" t="s">
        <v>37</v>
      </c>
      <c r="C1559" s="1" t="s">
        <v>23</v>
      </c>
      <c r="D1559" s="5">
        <v>45908</v>
      </c>
      <c r="E1559" s="6">
        <v>265804964831</v>
      </c>
      <c r="F1559" s="6">
        <v>105326139214</v>
      </c>
      <c r="G1559" s="6">
        <v>160478825617</v>
      </c>
      <c r="H1559" s="6">
        <v>101732224711</v>
      </c>
      <c r="I1559" s="7">
        <v>164072740120</v>
      </c>
    </row>
    <row r="1560" spans="1:9" ht="12" customHeight="1" thickBot="1" x14ac:dyDescent="0.25">
      <c r="A1560" s="1" t="s">
        <v>49</v>
      </c>
      <c r="B1560" s="1" t="s">
        <v>37</v>
      </c>
      <c r="C1560" s="1" t="s">
        <v>23</v>
      </c>
      <c r="D1560" s="5">
        <v>45909</v>
      </c>
      <c r="E1560" s="6">
        <v>268275621405</v>
      </c>
      <c r="F1560" s="6">
        <v>106442923396</v>
      </c>
      <c r="G1560" s="6">
        <v>161832698009</v>
      </c>
      <c r="H1560" s="6">
        <v>101956358940</v>
      </c>
      <c r="I1560" s="7">
        <v>166319262465</v>
      </c>
    </row>
    <row r="1561" spans="1:9" ht="12" customHeight="1" thickBot="1" x14ac:dyDescent="0.25">
      <c r="A1561" s="1" t="s">
        <v>49</v>
      </c>
      <c r="B1561" s="1" t="s">
        <v>37</v>
      </c>
      <c r="C1561" s="1" t="s">
        <v>23</v>
      </c>
      <c r="D1561" s="5">
        <v>45910</v>
      </c>
      <c r="E1561" s="6">
        <v>267497467464</v>
      </c>
      <c r="F1561" s="6">
        <v>106281936165</v>
      </c>
      <c r="G1561" s="6">
        <v>161215531299</v>
      </c>
      <c r="H1561" s="6">
        <v>102043125348</v>
      </c>
      <c r="I1561" s="7">
        <v>165454342116</v>
      </c>
    </row>
    <row r="1562" spans="1:9" ht="12" customHeight="1" thickBot="1" x14ac:dyDescent="0.25">
      <c r="A1562" s="1" t="s">
        <v>49</v>
      </c>
      <c r="B1562" s="1" t="s">
        <v>37</v>
      </c>
      <c r="C1562" s="1" t="s">
        <v>23</v>
      </c>
      <c r="D1562" s="5">
        <v>45911</v>
      </c>
      <c r="E1562" s="6">
        <v>270167775184</v>
      </c>
      <c r="F1562" s="6">
        <v>106430024772</v>
      </c>
      <c r="G1562" s="6">
        <v>163737750412</v>
      </c>
      <c r="H1562" s="6">
        <v>101911060149</v>
      </c>
      <c r="I1562" s="7">
        <v>168256715035</v>
      </c>
    </row>
    <row r="1563" spans="1:9" ht="12" customHeight="1" thickBot="1" x14ac:dyDescent="0.25">
      <c r="A1563" s="1" t="s">
        <v>49</v>
      </c>
      <c r="B1563" s="1" t="s">
        <v>37</v>
      </c>
      <c r="C1563" s="1" t="s">
        <v>23</v>
      </c>
      <c r="D1563" s="5">
        <v>45912</v>
      </c>
      <c r="E1563" s="6">
        <v>272179417383</v>
      </c>
      <c r="F1563" s="6">
        <v>106565305853</v>
      </c>
      <c r="G1563" s="6">
        <v>165614111530</v>
      </c>
      <c r="H1563" s="6">
        <v>101822108388</v>
      </c>
      <c r="I1563" s="7">
        <v>170357308995</v>
      </c>
    </row>
    <row r="1564" spans="1:9" ht="12" customHeight="1" thickBot="1" x14ac:dyDescent="0.25">
      <c r="A1564" s="1" t="s">
        <v>49</v>
      </c>
      <c r="B1564" s="1" t="s">
        <v>37</v>
      </c>
      <c r="C1564" s="1" t="s">
        <v>23</v>
      </c>
      <c r="D1564" s="5">
        <v>45913</v>
      </c>
      <c r="E1564" s="6">
        <v>275226604138</v>
      </c>
      <c r="F1564" s="6">
        <v>106845731123</v>
      </c>
      <c r="G1564" s="6">
        <v>168380873015</v>
      </c>
      <c r="H1564" s="6">
        <v>101749767970</v>
      </c>
      <c r="I1564" s="7">
        <v>173476836168</v>
      </c>
    </row>
    <row r="1565" spans="1:9" ht="12" customHeight="1" thickBot="1" x14ac:dyDescent="0.25">
      <c r="A1565" s="1" t="s">
        <v>49</v>
      </c>
      <c r="B1565" s="1" t="s">
        <v>37</v>
      </c>
      <c r="C1565" s="1" t="s">
        <v>23</v>
      </c>
      <c r="D1565" s="5">
        <v>45914</v>
      </c>
      <c r="E1565" s="6">
        <v>279007608767</v>
      </c>
      <c r="F1565" s="6">
        <v>107207164203</v>
      </c>
      <c r="G1565" s="6">
        <v>171800444564</v>
      </c>
      <c r="H1565" s="6">
        <v>103008976385</v>
      </c>
      <c r="I1565" s="7">
        <v>175998632382</v>
      </c>
    </row>
    <row r="1566" spans="1:9" ht="12" customHeight="1" thickBot="1" x14ac:dyDescent="0.25">
      <c r="A1566" s="1" t="s">
        <v>49</v>
      </c>
      <c r="B1566" s="1" t="s">
        <v>37</v>
      </c>
      <c r="C1566" s="1" t="s">
        <v>23</v>
      </c>
      <c r="D1566" s="5">
        <v>45915</v>
      </c>
      <c r="E1566" s="6">
        <v>279993768807</v>
      </c>
      <c r="F1566" s="6">
        <v>106772268803</v>
      </c>
      <c r="G1566" s="6">
        <v>173221500004</v>
      </c>
      <c r="H1566" s="6">
        <v>103211217523</v>
      </c>
      <c r="I1566" s="7">
        <v>176782551284</v>
      </c>
    </row>
    <row r="1567" spans="1:9" ht="12" customHeight="1" thickBot="1" x14ac:dyDescent="0.25">
      <c r="A1567" s="1" t="s">
        <v>49</v>
      </c>
      <c r="B1567" s="1" t="s">
        <v>37</v>
      </c>
      <c r="C1567" s="1" t="s">
        <v>23</v>
      </c>
      <c r="D1567" s="5">
        <v>45916</v>
      </c>
      <c r="E1567" s="6">
        <v>282282582389</v>
      </c>
      <c r="F1567" s="6">
        <v>107738406147</v>
      </c>
      <c r="G1567" s="6">
        <v>174544176242</v>
      </c>
      <c r="H1567" s="6">
        <v>103468401026</v>
      </c>
      <c r="I1567" s="7">
        <v>178814181363</v>
      </c>
    </row>
    <row r="1568" spans="1:9" ht="12" customHeight="1" thickBot="1" x14ac:dyDescent="0.25">
      <c r="A1568" s="1" t="s">
        <v>49</v>
      </c>
      <c r="B1568" s="1" t="s">
        <v>37</v>
      </c>
      <c r="C1568" s="1" t="s">
        <v>23</v>
      </c>
      <c r="D1568" s="5">
        <v>45917</v>
      </c>
      <c r="E1568" s="6">
        <v>284728141891</v>
      </c>
      <c r="F1568" s="6">
        <v>107848437831</v>
      </c>
      <c r="G1568" s="6">
        <v>176879704060</v>
      </c>
      <c r="H1568" s="6">
        <v>103701769549</v>
      </c>
      <c r="I1568" s="7">
        <v>181026372342</v>
      </c>
    </row>
    <row r="1569" spans="1:9" ht="12" customHeight="1" thickBot="1" x14ac:dyDescent="0.25">
      <c r="A1569" s="1" t="s">
        <v>49</v>
      </c>
      <c r="B1569" s="1" t="s">
        <v>37</v>
      </c>
      <c r="C1569" s="1" t="s">
        <v>23</v>
      </c>
      <c r="D1569" s="5">
        <v>45918</v>
      </c>
      <c r="E1569" s="6">
        <v>287773060752</v>
      </c>
      <c r="F1569" s="6">
        <v>108208895215</v>
      </c>
      <c r="G1569" s="6">
        <v>179564165537</v>
      </c>
      <c r="H1569" s="6">
        <v>103629896373</v>
      </c>
      <c r="I1569" s="7">
        <v>184143164379</v>
      </c>
    </row>
    <row r="1570" spans="1:9" ht="12" customHeight="1" thickBot="1" x14ac:dyDescent="0.25">
      <c r="A1570" s="1" t="s">
        <v>49</v>
      </c>
      <c r="B1570" s="1" t="s">
        <v>37</v>
      </c>
      <c r="C1570" s="1" t="s">
        <v>23</v>
      </c>
      <c r="D1570" s="5">
        <v>45919</v>
      </c>
      <c r="E1570" s="6">
        <v>290510722067</v>
      </c>
      <c r="F1570" s="6">
        <v>108436160171</v>
      </c>
      <c r="G1570" s="6">
        <v>182074561896</v>
      </c>
      <c r="H1570" s="6">
        <v>104231385125</v>
      </c>
      <c r="I1570" s="7">
        <v>186279336942</v>
      </c>
    </row>
    <row r="1571" spans="1:9" ht="12" customHeight="1" thickBot="1" x14ac:dyDescent="0.25">
      <c r="A1571" s="1" t="s">
        <v>49</v>
      </c>
      <c r="B1571" s="1" t="s">
        <v>37</v>
      </c>
      <c r="C1571" s="1" t="s">
        <v>23</v>
      </c>
      <c r="D1571" s="5">
        <v>45920</v>
      </c>
      <c r="E1571" s="6">
        <v>294195412188</v>
      </c>
      <c r="F1571" s="6">
        <v>108837333790</v>
      </c>
      <c r="G1571" s="6">
        <v>185358078398</v>
      </c>
      <c r="H1571" s="6">
        <v>104444539511</v>
      </c>
      <c r="I1571" s="7">
        <v>189750872677</v>
      </c>
    </row>
    <row r="1572" spans="1:9" ht="12" customHeight="1" thickBot="1" x14ac:dyDescent="0.25">
      <c r="A1572" s="1" t="s">
        <v>49</v>
      </c>
      <c r="B1572" s="1" t="s">
        <v>37</v>
      </c>
      <c r="C1572" s="1" t="s">
        <v>23</v>
      </c>
      <c r="D1572" s="5">
        <v>45921</v>
      </c>
      <c r="E1572" s="6">
        <v>297918214585</v>
      </c>
      <c r="F1572" s="6">
        <v>109267764602</v>
      </c>
      <c r="G1572" s="6">
        <v>188650449983</v>
      </c>
      <c r="H1572" s="6">
        <v>104721233949</v>
      </c>
      <c r="I1572" s="7">
        <v>193196980636</v>
      </c>
    </row>
    <row r="1573" spans="1:9" ht="12" customHeight="1" thickBot="1" x14ac:dyDescent="0.25">
      <c r="A1573" s="1" t="s">
        <v>49</v>
      </c>
      <c r="B1573" s="1" t="s">
        <v>37</v>
      </c>
      <c r="C1573" s="1" t="s">
        <v>23</v>
      </c>
      <c r="D1573" s="5">
        <v>45922</v>
      </c>
      <c r="E1573" s="6">
        <v>300800006641</v>
      </c>
      <c r="F1573" s="6">
        <v>108959504831</v>
      </c>
      <c r="G1573" s="6">
        <v>191840501810</v>
      </c>
      <c r="H1573" s="6">
        <v>104990946026</v>
      </c>
      <c r="I1573" s="7">
        <v>195809060615</v>
      </c>
    </row>
    <row r="1574" spans="1:9" ht="12" customHeight="1" thickBot="1" x14ac:dyDescent="0.25">
      <c r="A1574" s="1" t="s">
        <v>49</v>
      </c>
      <c r="B1574" s="1" t="s">
        <v>37</v>
      </c>
      <c r="C1574" s="1" t="s">
        <v>23</v>
      </c>
      <c r="D1574" s="5">
        <v>45923</v>
      </c>
      <c r="E1574" s="6">
        <v>303907899373</v>
      </c>
      <c r="F1574" s="6">
        <v>109875580320</v>
      </c>
      <c r="G1574" s="6">
        <v>194032319053</v>
      </c>
      <c r="H1574" s="6">
        <v>105161969316</v>
      </c>
      <c r="I1574" s="7">
        <v>198745930057</v>
      </c>
    </row>
    <row r="1575" spans="1:9" ht="12" customHeight="1" thickBot="1" x14ac:dyDescent="0.25">
      <c r="A1575" s="1" t="s">
        <v>49</v>
      </c>
      <c r="B1575" s="1" t="s">
        <v>37</v>
      </c>
      <c r="C1575" s="1" t="s">
        <v>23</v>
      </c>
      <c r="D1575" s="5">
        <v>45924</v>
      </c>
      <c r="E1575" s="6">
        <v>306296485978</v>
      </c>
      <c r="F1575" s="6">
        <v>110038571329</v>
      </c>
      <c r="G1575" s="6">
        <v>196257914649</v>
      </c>
      <c r="H1575" s="6">
        <v>105415551323</v>
      </c>
      <c r="I1575" s="7">
        <v>200880934655</v>
      </c>
    </row>
    <row r="1576" spans="1:9" ht="12" customHeight="1" thickBot="1" x14ac:dyDescent="0.25">
      <c r="A1576" s="1" t="s">
        <v>49</v>
      </c>
      <c r="B1576" s="1" t="s">
        <v>37</v>
      </c>
      <c r="C1576" s="1" t="s">
        <v>23</v>
      </c>
      <c r="D1576" s="5">
        <v>45925</v>
      </c>
      <c r="E1576" s="6">
        <v>309061310233</v>
      </c>
      <c r="F1576" s="6">
        <v>110159931846</v>
      </c>
      <c r="G1576" s="6">
        <v>198901378387</v>
      </c>
      <c r="H1576" s="6">
        <v>105356546132</v>
      </c>
      <c r="I1576" s="7">
        <v>203704764101</v>
      </c>
    </row>
    <row r="1577" spans="1:9" ht="12" customHeight="1" thickBot="1" x14ac:dyDescent="0.25">
      <c r="A1577" s="1" t="s">
        <v>49</v>
      </c>
      <c r="B1577" s="1" t="s">
        <v>37</v>
      </c>
      <c r="C1577" s="1" t="s">
        <v>23</v>
      </c>
      <c r="D1577" s="5">
        <v>45926</v>
      </c>
      <c r="E1577" s="6">
        <v>312114011396</v>
      </c>
      <c r="F1577" s="6">
        <v>110378209859</v>
      </c>
      <c r="G1577" s="6">
        <v>201735801537</v>
      </c>
      <c r="H1577" s="6">
        <v>105998080394</v>
      </c>
      <c r="I1577" s="7">
        <v>206115931002</v>
      </c>
    </row>
    <row r="1578" spans="1:9" ht="12" customHeight="1" thickBot="1" x14ac:dyDescent="0.25">
      <c r="A1578" s="1" t="s">
        <v>49</v>
      </c>
      <c r="B1578" s="1" t="s">
        <v>37</v>
      </c>
      <c r="C1578" s="1" t="s">
        <v>23</v>
      </c>
      <c r="D1578" s="5">
        <v>45927</v>
      </c>
      <c r="E1578" s="6">
        <v>315388360826</v>
      </c>
      <c r="F1578" s="6">
        <v>110768613133</v>
      </c>
      <c r="G1578" s="6">
        <v>204619747693</v>
      </c>
      <c r="H1578" s="6">
        <v>106285326966</v>
      </c>
      <c r="I1578" s="7">
        <v>209103033860</v>
      </c>
    </row>
    <row r="1579" spans="1:9" ht="12" customHeight="1" thickBot="1" x14ac:dyDescent="0.25">
      <c r="A1579" s="1" t="s">
        <v>49</v>
      </c>
      <c r="B1579" s="1" t="s">
        <v>37</v>
      </c>
      <c r="C1579" s="1" t="s">
        <v>23</v>
      </c>
      <c r="D1579" s="5">
        <v>45928</v>
      </c>
      <c r="E1579" s="6">
        <v>318933440231</v>
      </c>
      <c r="F1579" s="6">
        <v>111252534376</v>
      </c>
      <c r="G1579" s="6">
        <v>207680905855</v>
      </c>
      <c r="H1579" s="6">
        <v>106591684903</v>
      </c>
      <c r="I1579" s="7">
        <v>212341755328</v>
      </c>
    </row>
    <row r="1580" spans="1:9" ht="12" customHeight="1" thickBot="1" x14ac:dyDescent="0.25">
      <c r="A1580" s="1" t="s">
        <v>49</v>
      </c>
      <c r="B1580" s="1" t="s">
        <v>37</v>
      </c>
      <c r="C1580" s="1" t="s">
        <v>23</v>
      </c>
      <c r="D1580" s="5">
        <v>45929</v>
      </c>
      <c r="E1580" s="6">
        <v>321263789919</v>
      </c>
      <c r="F1580" s="6">
        <v>110855849781</v>
      </c>
      <c r="G1580" s="6">
        <v>210407940138</v>
      </c>
      <c r="H1580" s="6">
        <v>106849575375</v>
      </c>
      <c r="I1580" s="7">
        <v>214414214544</v>
      </c>
    </row>
    <row r="1581" spans="1:9" ht="12" customHeight="1" thickBot="1" x14ac:dyDescent="0.25">
      <c r="A1581" s="1" t="s">
        <v>49</v>
      </c>
      <c r="B1581" s="1" t="s">
        <v>37</v>
      </c>
      <c r="C1581" s="1" t="s">
        <v>23</v>
      </c>
      <c r="D1581" s="5">
        <v>45930</v>
      </c>
      <c r="E1581" s="6">
        <v>323085705871</v>
      </c>
      <c r="F1581" s="6">
        <v>111940965265</v>
      </c>
      <c r="G1581" s="6">
        <v>211144740606</v>
      </c>
      <c r="H1581" s="6">
        <v>107114620780</v>
      </c>
      <c r="I1581" s="7">
        <v>215971085091</v>
      </c>
    </row>
    <row r="1582" spans="1:9" ht="12" customHeight="1" thickBot="1" x14ac:dyDescent="0.25">
      <c r="A1582" s="1" t="s">
        <v>50</v>
      </c>
      <c r="B1582" s="1" t="s">
        <v>31</v>
      </c>
      <c r="C1582" s="1" t="s">
        <v>23</v>
      </c>
      <c r="D1582" s="5">
        <v>45839</v>
      </c>
      <c r="E1582" s="6">
        <v>25919736312</v>
      </c>
      <c r="F1582" s="6">
        <v>12197225024</v>
      </c>
      <c r="G1582" s="6">
        <v>13722511288</v>
      </c>
      <c r="H1582" s="6">
        <v>12197225024</v>
      </c>
      <c r="I1582" s="7">
        <v>13722511288</v>
      </c>
    </row>
    <row r="1583" spans="1:9" ht="12" customHeight="1" thickBot="1" x14ac:dyDescent="0.25">
      <c r="A1583" s="1" t="s">
        <v>50</v>
      </c>
      <c r="B1583" s="1" t="s">
        <v>31</v>
      </c>
      <c r="C1583" s="1" t="s">
        <v>23</v>
      </c>
      <c r="D1583" s="5">
        <v>45840</v>
      </c>
      <c r="E1583" s="6">
        <v>25941075998</v>
      </c>
      <c r="F1583" s="6">
        <v>12177122837</v>
      </c>
      <c r="G1583" s="6">
        <v>13763953161</v>
      </c>
      <c r="H1583" s="6">
        <v>12177122837</v>
      </c>
      <c r="I1583" s="7">
        <v>13763953161</v>
      </c>
    </row>
    <row r="1584" spans="1:9" ht="12" customHeight="1" thickBot="1" x14ac:dyDescent="0.25">
      <c r="A1584" s="1" t="s">
        <v>50</v>
      </c>
      <c r="B1584" s="1" t="s">
        <v>31</v>
      </c>
      <c r="C1584" s="1" t="s">
        <v>23</v>
      </c>
      <c r="D1584" s="5">
        <v>45841</v>
      </c>
      <c r="E1584" s="6">
        <v>25942068022</v>
      </c>
      <c r="F1584" s="6">
        <v>12165456118</v>
      </c>
      <c r="G1584" s="6">
        <v>13776611904</v>
      </c>
      <c r="H1584" s="6">
        <v>12165456118</v>
      </c>
      <c r="I1584" s="7">
        <v>13776611904</v>
      </c>
    </row>
    <row r="1585" spans="1:9" ht="12" customHeight="1" thickBot="1" x14ac:dyDescent="0.25">
      <c r="A1585" s="1" t="s">
        <v>50</v>
      </c>
      <c r="B1585" s="1" t="s">
        <v>31</v>
      </c>
      <c r="C1585" s="1" t="s">
        <v>23</v>
      </c>
      <c r="D1585" s="5">
        <v>45842</v>
      </c>
      <c r="E1585" s="6">
        <v>25652598987</v>
      </c>
      <c r="F1585" s="6">
        <v>12152738483</v>
      </c>
      <c r="G1585" s="6">
        <v>13499860504</v>
      </c>
      <c r="H1585" s="6">
        <v>12152738483</v>
      </c>
      <c r="I1585" s="7">
        <v>13499860504</v>
      </c>
    </row>
    <row r="1586" spans="1:9" ht="12" customHeight="1" thickBot="1" x14ac:dyDescent="0.25">
      <c r="A1586" s="1" t="s">
        <v>50</v>
      </c>
      <c r="B1586" s="1" t="s">
        <v>31</v>
      </c>
      <c r="C1586" s="1" t="s">
        <v>23</v>
      </c>
      <c r="D1586" s="5">
        <v>45843</v>
      </c>
      <c r="E1586" s="6">
        <v>25206388892</v>
      </c>
      <c r="F1586" s="6">
        <v>12128606459</v>
      </c>
      <c r="G1586" s="6">
        <v>13077782433</v>
      </c>
      <c r="H1586" s="6">
        <v>12128606459</v>
      </c>
      <c r="I1586" s="7">
        <v>13077782433</v>
      </c>
    </row>
    <row r="1587" spans="1:9" ht="12" customHeight="1" thickBot="1" x14ac:dyDescent="0.25">
      <c r="A1587" s="1" t="s">
        <v>50</v>
      </c>
      <c r="B1587" s="1" t="s">
        <v>31</v>
      </c>
      <c r="C1587" s="1" t="s">
        <v>23</v>
      </c>
      <c r="D1587" s="5">
        <v>45844</v>
      </c>
      <c r="E1587" s="6">
        <v>25411743763</v>
      </c>
      <c r="F1587" s="6">
        <v>15479711892</v>
      </c>
      <c r="G1587" s="6">
        <v>9932031871</v>
      </c>
      <c r="H1587" s="6">
        <v>12107123544</v>
      </c>
      <c r="I1587" s="7">
        <v>13304620219</v>
      </c>
    </row>
    <row r="1588" spans="1:9" ht="12" customHeight="1" thickBot="1" x14ac:dyDescent="0.25">
      <c r="A1588" s="1" t="s">
        <v>50</v>
      </c>
      <c r="B1588" s="1" t="s">
        <v>31</v>
      </c>
      <c r="C1588" s="1" t="s">
        <v>23</v>
      </c>
      <c r="D1588" s="5">
        <v>45845</v>
      </c>
      <c r="E1588" s="6">
        <v>25607218077</v>
      </c>
      <c r="F1588" s="6">
        <v>14826534716</v>
      </c>
      <c r="G1588" s="6">
        <v>10780683361</v>
      </c>
      <c r="H1588" s="6">
        <v>12083015081</v>
      </c>
      <c r="I1588" s="7">
        <v>13524202996</v>
      </c>
    </row>
    <row r="1589" spans="1:9" ht="12" customHeight="1" thickBot="1" x14ac:dyDescent="0.25">
      <c r="A1589" s="1" t="s">
        <v>50</v>
      </c>
      <c r="B1589" s="1" t="s">
        <v>31</v>
      </c>
      <c r="C1589" s="1" t="s">
        <v>23</v>
      </c>
      <c r="D1589" s="5">
        <v>45846</v>
      </c>
      <c r="E1589" s="6">
        <v>25778916734</v>
      </c>
      <c r="F1589" s="6">
        <v>14535629630</v>
      </c>
      <c r="G1589" s="6">
        <v>11243287104</v>
      </c>
      <c r="H1589" s="6">
        <v>12065897345</v>
      </c>
      <c r="I1589" s="7">
        <v>13713019389</v>
      </c>
    </row>
    <row r="1590" spans="1:9" ht="12" customHeight="1" thickBot="1" x14ac:dyDescent="0.25">
      <c r="A1590" s="1" t="s">
        <v>50</v>
      </c>
      <c r="B1590" s="1" t="s">
        <v>31</v>
      </c>
      <c r="C1590" s="1" t="s">
        <v>23</v>
      </c>
      <c r="D1590" s="5">
        <v>45847</v>
      </c>
      <c r="E1590" s="6">
        <v>26017883365</v>
      </c>
      <c r="F1590" s="6">
        <v>14349304132</v>
      </c>
      <c r="G1590" s="6">
        <v>11668579233</v>
      </c>
      <c r="H1590" s="6">
        <v>12055480173</v>
      </c>
      <c r="I1590" s="7">
        <v>13962403192</v>
      </c>
    </row>
    <row r="1591" spans="1:9" ht="12" customHeight="1" thickBot="1" x14ac:dyDescent="0.25">
      <c r="A1591" s="1" t="s">
        <v>50</v>
      </c>
      <c r="B1591" s="1" t="s">
        <v>31</v>
      </c>
      <c r="C1591" s="1" t="s">
        <v>23</v>
      </c>
      <c r="D1591" s="5">
        <v>45848</v>
      </c>
      <c r="E1591" s="6">
        <v>26186703938</v>
      </c>
      <c r="F1591" s="6">
        <v>14027262740</v>
      </c>
      <c r="G1591" s="6">
        <v>12159441198</v>
      </c>
      <c r="H1591" s="6">
        <v>12028560504</v>
      </c>
      <c r="I1591" s="7">
        <v>14158143434</v>
      </c>
    </row>
    <row r="1592" spans="1:9" ht="12" customHeight="1" thickBot="1" x14ac:dyDescent="0.25">
      <c r="A1592" s="1" t="s">
        <v>50</v>
      </c>
      <c r="B1592" s="1" t="s">
        <v>31</v>
      </c>
      <c r="C1592" s="1" t="s">
        <v>23</v>
      </c>
      <c r="D1592" s="5">
        <v>45849</v>
      </c>
      <c r="E1592" s="6">
        <v>26311993741</v>
      </c>
      <c r="F1592" s="6">
        <v>13850725773</v>
      </c>
      <c r="G1592" s="6">
        <v>12461267968</v>
      </c>
      <c r="H1592" s="6">
        <v>12007416584</v>
      </c>
      <c r="I1592" s="7">
        <v>14304577157</v>
      </c>
    </row>
    <row r="1593" spans="1:9" ht="12" customHeight="1" thickBot="1" x14ac:dyDescent="0.25">
      <c r="A1593" s="1" t="s">
        <v>50</v>
      </c>
      <c r="B1593" s="1" t="s">
        <v>31</v>
      </c>
      <c r="C1593" s="1" t="s">
        <v>23</v>
      </c>
      <c r="D1593" s="5">
        <v>45850</v>
      </c>
      <c r="E1593" s="6">
        <v>26482247109</v>
      </c>
      <c r="F1593" s="6">
        <v>13752175690</v>
      </c>
      <c r="G1593" s="6">
        <v>12730071419</v>
      </c>
      <c r="H1593" s="6">
        <v>11987538188</v>
      </c>
      <c r="I1593" s="7">
        <v>14494708921</v>
      </c>
    </row>
    <row r="1594" spans="1:9" ht="12" customHeight="1" thickBot="1" x14ac:dyDescent="0.25">
      <c r="A1594" s="1" t="s">
        <v>50</v>
      </c>
      <c r="B1594" s="1" t="s">
        <v>31</v>
      </c>
      <c r="C1594" s="1" t="s">
        <v>23</v>
      </c>
      <c r="D1594" s="5">
        <v>45851</v>
      </c>
      <c r="E1594" s="6">
        <v>26655534221</v>
      </c>
      <c r="F1594" s="6">
        <v>13687033937</v>
      </c>
      <c r="G1594" s="6">
        <v>12968500284</v>
      </c>
      <c r="H1594" s="6">
        <v>11976966635</v>
      </c>
      <c r="I1594" s="7">
        <v>14678567586</v>
      </c>
    </row>
    <row r="1595" spans="1:9" ht="12" customHeight="1" thickBot="1" x14ac:dyDescent="0.25">
      <c r="A1595" s="1" t="s">
        <v>50</v>
      </c>
      <c r="B1595" s="1" t="s">
        <v>31</v>
      </c>
      <c r="C1595" s="1" t="s">
        <v>23</v>
      </c>
      <c r="D1595" s="5">
        <v>45852</v>
      </c>
      <c r="E1595" s="6">
        <v>26826292002</v>
      </c>
      <c r="F1595" s="6">
        <v>13605075445</v>
      </c>
      <c r="G1595" s="6">
        <v>13221216557</v>
      </c>
      <c r="H1595" s="6">
        <v>11967908718</v>
      </c>
      <c r="I1595" s="7">
        <v>14858383284</v>
      </c>
    </row>
    <row r="1596" spans="1:9" ht="12" customHeight="1" thickBot="1" x14ac:dyDescent="0.25">
      <c r="A1596" s="1" t="s">
        <v>50</v>
      </c>
      <c r="B1596" s="1" t="s">
        <v>31</v>
      </c>
      <c r="C1596" s="1" t="s">
        <v>23</v>
      </c>
      <c r="D1596" s="5">
        <v>45853</v>
      </c>
      <c r="E1596" s="6">
        <v>26973745558</v>
      </c>
      <c r="F1596" s="6">
        <v>13483040764</v>
      </c>
      <c r="G1596" s="6">
        <v>13490704794</v>
      </c>
      <c r="H1596" s="6">
        <v>11950478952</v>
      </c>
      <c r="I1596" s="7">
        <v>15023266606</v>
      </c>
    </row>
    <row r="1597" spans="1:9" ht="12" customHeight="1" thickBot="1" x14ac:dyDescent="0.25">
      <c r="A1597" s="1" t="s">
        <v>50</v>
      </c>
      <c r="B1597" s="1" t="s">
        <v>31</v>
      </c>
      <c r="C1597" s="1" t="s">
        <v>23</v>
      </c>
      <c r="D1597" s="5">
        <v>45854</v>
      </c>
      <c r="E1597" s="6">
        <v>27137404228</v>
      </c>
      <c r="F1597" s="6">
        <v>13414550466</v>
      </c>
      <c r="G1597" s="6">
        <v>13722853762</v>
      </c>
      <c r="H1597" s="6">
        <v>13414550466</v>
      </c>
      <c r="I1597" s="7">
        <v>13722853762</v>
      </c>
    </row>
    <row r="1598" spans="1:9" ht="12" customHeight="1" thickBot="1" x14ac:dyDescent="0.25">
      <c r="A1598" s="1" t="s">
        <v>50</v>
      </c>
      <c r="B1598" s="1" t="s">
        <v>31</v>
      </c>
      <c r="C1598" s="1" t="s">
        <v>23</v>
      </c>
      <c r="D1598" s="5">
        <v>45855</v>
      </c>
      <c r="E1598" s="6">
        <v>27236511824</v>
      </c>
      <c r="F1598" s="6">
        <v>13354408515</v>
      </c>
      <c r="G1598" s="6">
        <v>13882103309</v>
      </c>
      <c r="H1598" s="6">
        <v>13354408515</v>
      </c>
      <c r="I1598" s="7">
        <v>13882103309</v>
      </c>
    </row>
    <row r="1599" spans="1:9" ht="12" customHeight="1" thickBot="1" x14ac:dyDescent="0.25">
      <c r="A1599" s="1" t="s">
        <v>50</v>
      </c>
      <c r="B1599" s="1" t="s">
        <v>31</v>
      </c>
      <c r="C1599" s="1" t="s">
        <v>23</v>
      </c>
      <c r="D1599" s="5">
        <v>45856</v>
      </c>
      <c r="E1599" s="6">
        <v>27354286743</v>
      </c>
      <c r="F1599" s="6">
        <v>13292147733</v>
      </c>
      <c r="G1599" s="6">
        <v>14062139010</v>
      </c>
      <c r="H1599" s="6">
        <v>13292147733</v>
      </c>
      <c r="I1599" s="7">
        <v>14062139010</v>
      </c>
    </row>
    <row r="1600" spans="1:9" ht="12" customHeight="1" thickBot="1" x14ac:dyDescent="0.25">
      <c r="A1600" s="1" t="s">
        <v>50</v>
      </c>
      <c r="B1600" s="1" t="s">
        <v>31</v>
      </c>
      <c r="C1600" s="1" t="s">
        <v>23</v>
      </c>
      <c r="D1600" s="5">
        <v>45857</v>
      </c>
      <c r="E1600" s="6">
        <v>27475389817</v>
      </c>
      <c r="F1600" s="6">
        <v>13260985683</v>
      </c>
      <c r="G1600" s="6">
        <v>14214404134</v>
      </c>
      <c r="H1600" s="6">
        <v>13260985683</v>
      </c>
      <c r="I1600" s="7">
        <v>14214404134</v>
      </c>
    </row>
    <row r="1601" spans="1:9" ht="12" customHeight="1" thickBot="1" x14ac:dyDescent="0.25">
      <c r="A1601" s="1" t="s">
        <v>50</v>
      </c>
      <c r="B1601" s="1" t="s">
        <v>31</v>
      </c>
      <c r="C1601" s="1" t="s">
        <v>23</v>
      </c>
      <c r="D1601" s="5">
        <v>45858</v>
      </c>
      <c r="E1601" s="6">
        <v>27635278628</v>
      </c>
      <c r="F1601" s="6">
        <v>13234610960</v>
      </c>
      <c r="G1601" s="6">
        <v>14400667668</v>
      </c>
      <c r="H1601" s="6">
        <v>13234610960</v>
      </c>
      <c r="I1601" s="7">
        <v>14400667668</v>
      </c>
    </row>
    <row r="1602" spans="1:9" ht="12" customHeight="1" thickBot="1" x14ac:dyDescent="0.25">
      <c r="A1602" s="1" t="s">
        <v>50</v>
      </c>
      <c r="B1602" s="1" t="s">
        <v>31</v>
      </c>
      <c r="C1602" s="1" t="s">
        <v>23</v>
      </c>
      <c r="D1602" s="5">
        <v>45859</v>
      </c>
      <c r="E1602" s="6">
        <v>27660735179</v>
      </c>
      <c r="F1602" s="6">
        <v>13205630498</v>
      </c>
      <c r="G1602" s="6">
        <v>14455104681</v>
      </c>
      <c r="H1602" s="6">
        <v>13205630498</v>
      </c>
      <c r="I1602" s="7">
        <v>14455104681</v>
      </c>
    </row>
    <row r="1603" spans="1:9" ht="12" customHeight="1" thickBot="1" x14ac:dyDescent="0.25">
      <c r="A1603" s="1" t="s">
        <v>50</v>
      </c>
      <c r="B1603" s="1" t="s">
        <v>31</v>
      </c>
      <c r="C1603" s="1" t="s">
        <v>23</v>
      </c>
      <c r="D1603" s="5">
        <v>45860</v>
      </c>
      <c r="E1603" s="6">
        <v>27669780976</v>
      </c>
      <c r="F1603" s="6">
        <v>13186175599</v>
      </c>
      <c r="G1603" s="6">
        <v>14483605377</v>
      </c>
      <c r="H1603" s="6">
        <v>13186175599</v>
      </c>
      <c r="I1603" s="7">
        <v>14483605377</v>
      </c>
    </row>
    <row r="1604" spans="1:9" ht="12" customHeight="1" thickBot="1" x14ac:dyDescent="0.25">
      <c r="A1604" s="1" t="s">
        <v>50</v>
      </c>
      <c r="B1604" s="1" t="s">
        <v>31</v>
      </c>
      <c r="C1604" s="1" t="s">
        <v>23</v>
      </c>
      <c r="D1604" s="5">
        <v>45861</v>
      </c>
      <c r="E1604" s="6">
        <v>27753535615</v>
      </c>
      <c r="F1604" s="6">
        <v>13167870820</v>
      </c>
      <c r="G1604" s="6">
        <v>14585664795</v>
      </c>
      <c r="H1604" s="6">
        <v>13167870820</v>
      </c>
      <c r="I1604" s="7">
        <v>14585664795</v>
      </c>
    </row>
    <row r="1605" spans="1:9" ht="12" customHeight="1" thickBot="1" x14ac:dyDescent="0.25">
      <c r="A1605" s="1" t="s">
        <v>50</v>
      </c>
      <c r="B1605" s="1" t="s">
        <v>31</v>
      </c>
      <c r="C1605" s="1" t="s">
        <v>23</v>
      </c>
      <c r="D1605" s="5">
        <v>45862</v>
      </c>
      <c r="E1605" s="6">
        <v>27830873061</v>
      </c>
      <c r="F1605" s="6">
        <v>13151983899</v>
      </c>
      <c r="G1605" s="6">
        <v>14678889162</v>
      </c>
      <c r="H1605" s="6">
        <v>13151983899</v>
      </c>
      <c r="I1605" s="7">
        <v>14678889162</v>
      </c>
    </row>
    <row r="1606" spans="1:9" ht="12" customHeight="1" thickBot="1" x14ac:dyDescent="0.25">
      <c r="A1606" s="1" t="s">
        <v>50</v>
      </c>
      <c r="B1606" s="1" t="s">
        <v>31</v>
      </c>
      <c r="C1606" s="1" t="s">
        <v>23</v>
      </c>
      <c r="D1606" s="5">
        <v>45863</v>
      </c>
      <c r="E1606" s="6">
        <v>27788754300</v>
      </c>
      <c r="F1606" s="6">
        <v>13132906223</v>
      </c>
      <c r="G1606" s="6">
        <v>14655848077</v>
      </c>
      <c r="H1606" s="6">
        <v>13132906223</v>
      </c>
      <c r="I1606" s="7">
        <v>14655848077</v>
      </c>
    </row>
    <row r="1607" spans="1:9" ht="12" customHeight="1" thickBot="1" x14ac:dyDescent="0.25">
      <c r="A1607" s="1" t="s">
        <v>50</v>
      </c>
      <c r="B1607" s="1" t="s">
        <v>31</v>
      </c>
      <c r="C1607" s="1" t="s">
        <v>23</v>
      </c>
      <c r="D1607" s="5">
        <v>45864</v>
      </c>
      <c r="E1607" s="6">
        <v>27841522141</v>
      </c>
      <c r="F1607" s="6">
        <v>13113849812</v>
      </c>
      <c r="G1607" s="6">
        <v>14727672329</v>
      </c>
      <c r="H1607" s="6">
        <v>13113849812</v>
      </c>
      <c r="I1607" s="7">
        <v>14727672329</v>
      </c>
    </row>
    <row r="1608" spans="1:9" ht="12" customHeight="1" thickBot="1" x14ac:dyDescent="0.25">
      <c r="A1608" s="1" t="s">
        <v>50</v>
      </c>
      <c r="B1608" s="1" t="s">
        <v>31</v>
      </c>
      <c r="C1608" s="1" t="s">
        <v>23</v>
      </c>
      <c r="D1608" s="5">
        <v>45865</v>
      </c>
      <c r="E1608" s="6">
        <v>27895557813</v>
      </c>
      <c r="F1608" s="6">
        <v>13099333514</v>
      </c>
      <c r="G1608" s="6">
        <v>14796224299</v>
      </c>
      <c r="H1608" s="6">
        <v>13099333514</v>
      </c>
      <c r="I1608" s="7">
        <v>14796224299</v>
      </c>
    </row>
    <row r="1609" spans="1:9" ht="12" customHeight="1" thickBot="1" x14ac:dyDescent="0.25">
      <c r="A1609" s="1" t="s">
        <v>50</v>
      </c>
      <c r="B1609" s="1" t="s">
        <v>31</v>
      </c>
      <c r="C1609" s="1" t="s">
        <v>23</v>
      </c>
      <c r="D1609" s="5">
        <v>45866</v>
      </c>
      <c r="E1609" s="6">
        <v>27903653842</v>
      </c>
      <c r="F1609" s="6">
        <v>13073834590</v>
      </c>
      <c r="G1609" s="6">
        <v>14829819252</v>
      </c>
      <c r="H1609" s="6">
        <v>13073834590</v>
      </c>
      <c r="I1609" s="7">
        <v>14829819252</v>
      </c>
    </row>
    <row r="1610" spans="1:9" ht="12" customHeight="1" thickBot="1" x14ac:dyDescent="0.25">
      <c r="A1610" s="1" t="s">
        <v>50</v>
      </c>
      <c r="B1610" s="1" t="s">
        <v>31</v>
      </c>
      <c r="C1610" s="1" t="s">
        <v>23</v>
      </c>
      <c r="D1610" s="5">
        <v>45867</v>
      </c>
      <c r="E1610" s="6">
        <v>27922016110</v>
      </c>
      <c r="F1610" s="6">
        <v>13047639266</v>
      </c>
      <c r="G1610" s="6">
        <v>14874376844</v>
      </c>
      <c r="H1610" s="6">
        <v>13047639266</v>
      </c>
      <c r="I1610" s="7">
        <v>14874376844</v>
      </c>
    </row>
    <row r="1611" spans="1:9" ht="12" customHeight="1" thickBot="1" x14ac:dyDescent="0.25">
      <c r="A1611" s="1" t="s">
        <v>50</v>
      </c>
      <c r="B1611" s="1" t="s">
        <v>31</v>
      </c>
      <c r="C1611" s="1" t="s">
        <v>23</v>
      </c>
      <c r="D1611" s="5">
        <v>45868</v>
      </c>
      <c r="E1611" s="6">
        <v>27805909666</v>
      </c>
      <c r="F1611" s="6">
        <v>13028428554</v>
      </c>
      <c r="G1611" s="6">
        <v>14777481112</v>
      </c>
      <c r="H1611" s="6">
        <v>13028428554</v>
      </c>
      <c r="I1611" s="7">
        <v>14777481112</v>
      </c>
    </row>
    <row r="1612" spans="1:9" ht="12" customHeight="1" thickBot="1" x14ac:dyDescent="0.25">
      <c r="A1612" s="1" t="s">
        <v>50</v>
      </c>
      <c r="B1612" s="1" t="s">
        <v>31</v>
      </c>
      <c r="C1612" s="1" t="s">
        <v>23</v>
      </c>
      <c r="D1612" s="5">
        <v>45869</v>
      </c>
      <c r="E1612" s="6">
        <v>27730684757</v>
      </c>
      <c r="F1612" s="6">
        <v>13018771349</v>
      </c>
      <c r="G1612" s="6">
        <v>14711913408</v>
      </c>
      <c r="H1612" s="6">
        <v>13018771349</v>
      </c>
      <c r="I1612" s="7">
        <v>14711913408</v>
      </c>
    </row>
    <row r="1613" spans="1:9" ht="12" customHeight="1" thickBot="1" x14ac:dyDescent="0.25">
      <c r="A1613" s="1" t="s">
        <v>50</v>
      </c>
      <c r="B1613" s="1" t="s">
        <v>31</v>
      </c>
      <c r="C1613" s="1" t="s">
        <v>23</v>
      </c>
      <c r="D1613" s="5">
        <v>45870</v>
      </c>
      <c r="E1613" s="6">
        <v>27598734619</v>
      </c>
      <c r="F1613" s="6">
        <v>13006764584</v>
      </c>
      <c r="G1613" s="6">
        <v>14591970035</v>
      </c>
      <c r="H1613" s="6">
        <v>13006764584</v>
      </c>
      <c r="I1613" s="7">
        <v>14591970035</v>
      </c>
    </row>
    <row r="1614" spans="1:9" ht="12" customHeight="1" thickBot="1" x14ac:dyDescent="0.25">
      <c r="A1614" s="1" t="s">
        <v>50</v>
      </c>
      <c r="B1614" s="1" t="s">
        <v>31</v>
      </c>
      <c r="C1614" s="1" t="s">
        <v>23</v>
      </c>
      <c r="D1614" s="5">
        <v>45871</v>
      </c>
      <c r="E1614" s="6">
        <v>27571272136</v>
      </c>
      <c r="F1614" s="6">
        <v>12993989355</v>
      </c>
      <c r="G1614" s="6">
        <v>14577282781</v>
      </c>
      <c r="H1614" s="6">
        <v>12993989355</v>
      </c>
      <c r="I1614" s="7">
        <v>14577282781</v>
      </c>
    </row>
    <row r="1615" spans="1:9" ht="12" customHeight="1" thickBot="1" x14ac:dyDescent="0.25">
      <c r="A1615" s="1" t="s">
        <v>50</v>
      </c>
      <c r="B1615" s="1" t="s">
        <v>31</v>
      </c>
      <c r="C1615" s="1" t="s">
        <v>23</v>
      </c>
      <c r="D1615" s="5">
        <v>45872</v>
      </c>
      <c r="E1615" s="6">
        <v>27567798820</v>
      </c>
      <c r="F1615" s="6">
        <v>12985899301</v>
      </c>
      <c r="G1615" s="6">
        <v>14581899519</v>
      </c>
      <c r="H1615" s="6">
        <v>12985899301</v>
      </c>
      <c r="I1615" s="7">
        <v>14581899519</v>
      </c>
    </row>
    <row r="1616" spans="1:9" ht="12" customHeight="1" thickBot="1" x14ac:dyDescent="0.25">
      <c r="A1616" s="1" t="s">
        <v>50</v>
      </c>
      <c r="B1616" s="1" t="s">
        <v>31</v>
      </c>
      <c r="C1616" s="1" t="s">
        <v>23</v>
      </c>
      <c r="D1616" s="5">
        <v>45873</v>
      </c>
      <c r="E1616" s="6">
        <v>27075616483</v>
      </c>
      <c r="F1616" s="6">
        <v>12969882517</v>
      </c>
      <c r="G1616" s="6">
        <v>14105733966</v>
      </c>
      <c r="H1616" s="6">
        <v>12969882517</v>
      </c>
      <c r="I1616" s="7">
        <v>14105733966</v>
      </c>
    </row>
    <row r="1617" spans="1:9" ht="12" customHeight="1" thickBot="1" x14ac:dyDescent="0.25">
      <c r="A1617" s="1" t="s">
        <v>50</v>
      </c>
      <c r="B1617" s="1" t="s">
        <v>31</v>
      </c>
      <c r="C1617" s="1" t="s">
        <v>23</v>
      </c>
      <c r="D1617" s="5">
        <v>45874</v>
      </c>
      <c r="E1617" s="6">
        <v>27205243329</v>
      </c>
      <c r="F1617" s="6">
        <v>16052878938</v>
      </c>
      <c r="G1617" s="6">
        <v>11152364391</v>
      </c>
      <c r="H1617" s="6">
        <v>12958335794</v>
      </c>
      <c r="I1617" s="7">
        <v>14246907535</v>
      </c>
    </row>
    <row r="1618" spans="1:9" ht="12" customHeight="1" thickBot="1" x14ac:dyDescent="0.25">
      <c r="A1618" s="1" t="s">
        <v>50</v>
      </c>
      <c r="B1618" s="1" t="s">
        <v>31</v>
      </c>
      <c r="C1618" s="1" t="s">
        <v>23</v>
      </c>
      <c r="D1618" s="5">
        <v>45875</v>
      </c>
      <c r="E1618" s="6">
        <v>27361777104</v>
      </c>
      <c r="F1618" s="6">
        <v>15635815520</v>
      </c>
      <c r="G1618" s="6">
        <v>11725961584</v>
      </c>
      <c r="H1618" s="6">
        <v>12937308617</v>
      </c>
      <c r="I1618" s="7">
        <v>14424468487</v>
      </c>
    </row>
    <row r="1619" spans="1:9" ht="12" customHeight="1" thickBot="1" x14ac:dyDescent="0.25">
      <c r="A1619" s="1" t="s">
        <v>50</v>
      </c>
      <c r="B1619" s="1" t="s">
        <v>31</v>
      </c>
      <c r="C1619" s="1" t="s">
        <v>23</v>
      </c>
      <c r="D1619" s="5">
        <v>45876</v>
      </c>
      <c r="E1619" s="6">
        <v>27474442375</v>
      </c>
      <c r="F1619" s="6">
        <v>15366348038</v>
      </c>
      <c r="G1619" s="6">
        <v>12108094337</v>
      </c>
      <c r="H1619" s="6">
        <v>12918880525</v>
      </c>
      <c r="I1619" s="7">
        <v>14555561850</v>
      </c>
    </row>
    <row r="1620" spans="1:9" ht="12" customHeight="1" thickBot="1" x14ac:dyDescent="0.25">
      <c r="A1620" s="1" t="s">
        <v>50</v>
      </c>
      <c r="B1620" s="1" t="s">
        <v>31</v>
      </c>
      <c r="C1620" s="1" t="s">
        <v>23</v>
      </c>
      <c r="D1620" s="5">
        <v>45877</v>
      </c>
      <c r="E1620" s="6">
        <v>27571103431</v>
      </c>
      <c r="F1620" s="6">
        <v>15124062211</v>
      </c>
      <c r="G1620" s="6">
        <v>12447041220</v>
      </c>
      <c r="H1620" s="6">
        <v>12890133146</v>
      </c>
      <c r="I1620" s="7">
        <v>14680970285</v>
      </c>
    </row>
    <row r="1621" spans="1:9" ht="12" customHeight="1" thickBot="1" x14ac:dyDescent="0.25">
      <c r="A1621" s="1" t="s">
        <v>50</v>
      </c>
      <c r="B1621" s="1" t="s">
        <v>31</v>
      </c>
      <c r="C1621" s="1" t="s">
        <v>23</v>
      </c>
      <c r="D1621" s="5">
        <v>45878</v>
      </c>
      <c r="E1621" s="6">
        <v>27659000824</v>
      </c>
      <c r="F1621" s="6">
        <v>14816111816</v>
      </c>
      <c r="G1621" s="6">
        <v>12842889008</v>
      </c>
      <c r="H1621" s="6">
        <v>12871585921</v>
      </c>
      <c r="I1621" s="7">
        <v>14787414903</v>
      </c>
    </row>
    <row r="1622" spans="1:9" ht="12" customHeight="1" thickBot="1" x14ac:dyDescent="0.25">
      <c r="A1622" s="1" t="s">
        <v>50</v>
      </c>
      <c r="B1622" s="1" t="s">
        <v>31</v>
      </c>
      <c r="C1622" s="1" t="s">
        <v>23</v>
      </c>
      <c r="D1622" s="5">
        <v>45879</v>
      </c>
      <c r="E1622" s="6">
        <v>27823552723</v>
      </c>
      <c r="F1622" s="6">
        <v>14693763901</v>
      </c>
      <c r="G1622" s="6">
        <v>13129788822</v>
      </c>
      <c r="H1622" s="6">
        <v>12857483082</v>
      </c>
      <c r="I1622" s="7">
        <v>14966069641</v>
      </c>
    </row>
    <row r="1623" spans="1:9" ht="12" customHeight="1" thickBot="1" x14ac:dyDescent="0.25">
      <c r="A1623" s="1" t="s">
        <v>50</v>
      </c>
      <c r="B1623" s="1" t="s">
        <v>31</v>
      </c>
      <c r="C1623" s="1" t="s">
        <v>23</v>
      </c>
      <c r="D1623" s="5">
        <v>45880</v>
      </c>
      <c r="E1623" s="6">
        <v>27960030574</v>
      </c>
      <c r="F1623" s="6">
        <v>14546939555</v>
      </c>
      <c r="G1623" s="6">
        <v>13413091019</v>
      </c>
      <c r="H1623" s="6">
        <v>12837933901</v>
      </c>
      <c r="I1623" s="7">
        <v>15122096673</v>
      </c>
    </row>
    <row r="1624" spans="1:9" ht="12" customHeight="1" thickBot="1" x14ac:dyDescent="0.25">
      <c r="A1624" s="1" t="s">
        <v>50</v>
      </c>
      <c r="B1624" s="1" t="s">
        <v>31</v>
      </c>
      <c r="C1624" s="1" t="s">
        <v>23</v>
      </c>
      <c r="D1624" s="5">
        <v>45881</v>
      </c>
      <c r="E1624" s="6">
        <v>28091111424</v>
      </c>
      <c r="F1624" s="6">
        <v>14447665350</v>
      </c>
      <c r="G1624" s="6">
        <v>13643446074</v>
      </c>
      <c r="H1624" s="6">
        <v>12819976046</v>
      </c>
      <c r="I1624" s="7">
        <v>15271135378</v>
      </c>
    </row>
    <row r="1625" spans="1:9" ht="12" customHeight="1" thickBot="1" x14ac:dyDescent="0.25">
      <c r="A1625" s="1" t="s">
        <v>50</v>
      </c>
      <c r="B1625" s="1" t="s">
        <v>31</v>
      </c>
      <c r="C1625" s="1" t="s">
        <v>23</v>
      </c>
      <c r="D1625" s="5">
        <v>45882</v>
      </c>
      <c r="E1625" s="6">
        <v>28167687687</v>
      </c>
      <c r="F1625" s="6">
        <v>14339709249</v>
      </c>
      <c r="G1625" s="6">
        <v>13827978438</v>
      </c>
      <c r="H1625" s="6">
        <v>12799637524</v>
      </c>
      <c r="I1625" s="7">
        <v>15368050163</v>
      </c>
    </row>
    <row r="1626" spans="1:9" ht="12" customHeight="1" thickBot="1" x14ac:dyDescent="0.25">
      <c r="A1626" s="1" t="s">
        <v>50</v>
      </c>
      <c r="B1626" s="1" t="s">
        <v>31</v>
      </c>
      <c r="C1626" s="1" t="s">
        <v>23</v>
      </c>
      <c r="D1626" s="5">
        <v>45883</v>
      </c>
      <c r="E1626" s="6">
        <v>28275880243</v>
      </c>
      <c r="F1626" s="6">
        <v>14235245722</v>
      </c>
      <c r="G1626" s="6">
        <v>14040634521</v>
      </c>
      <c r="H1626" s="6">
        <v>12790347853</v>
      </c>
      <c r="I1626" s="7">
        <v>15485532390</v>
      </c>
    </row>
    <row r="1627" spans="1:9" ht="12" customHeight="1" thickBot="1" x14ac:dyDescent="0.25">
      <c r="A1627" s="1" t="s">
        <v>50</v>
      </c>
      <c r="B1627" s="1" t="s">
        <v>31</v>
      </c>
      <c r="C1627" s="1" t="s">
        <v>23</v>
      </c>
      <c r="D1627" s="5">
        <v>45884</v>
      </c>
      <c r="E1627" s="6">
        <v>28395090315</v>
      </c>
      <c r="F1627" s="6">
        <v>14161216313</v>
      </c>
      <c r="G1627" s="6">
        <v>14233874002</v>
      </c>
      <c r="H1627" s="6">
        <v>14161216313</v>
      </c>
      <c r="I1627" s="7">
        <v>14233874002</v>
      </c>
    </row>
    <row r="1628" spans="1:9" ht="12" customHeight="1" thickBot="1" x14ac:dyDescent="0.25">
      <c r="A1628" s="1" t="s">
        <v>50</v>
      </c>
      <c r="B1628" s="1" t="s">
        <v>31</v>
      </c>
      <c r="C1628" s="1" t="s">
        <v>23</v>
      </c>
      <c r="D1628" s="5">
        <v>45885</v>
      </c>
      <c r="E1628" s="6">
        <v>28511119419</v>
      </c>
      <c r="F1628" s="6">
        <v>14110479483</v>
      </c>
      <c r="G1628" s="6">
        <v>14400639936</v>
      </c>
      <c r="H1628" s="6">
        <v>14110479483</v>
      </c>
      <c r="I1628" s="7">
        <v>14400639936</v>
      </c>
    </row>
    <row r="1629" spans="1:9" ht="12" customHeight="1" thickBot="1" x14ac:dyDescent="0.25">
      <c r="A1629" s="1" t="s">
        <v>50</v>
      </c>
      <c r="B1629" s="1" t="s">
        <v>31</v>
      </c>
      <c r="C1629" s="1" t="s">
        <v>23</v>
      </c>
      <c r="D1629" s="5">
        <v>45886</v>
      </c>
      <c r="E1629" s="6">
        <v>28608675900</v>
      </c>
      <c r="F1629" s="6">
        <v>14082794824</v>
      </c>
      <c r="G1629" s="6">
        <v>14525881076</v>
      </c>
      <c r="H1629" s="6">
        <v>14082794824</v>
      </c>
      <c r="I1629" s="7">
        <v>14525881076</v>
      </c>
    </row>
    <row r="1630" spans="1:9" ht="12" customHeight="1" thickBot="1" x14ac:dyDescent="0.25">
      <c r="A1630" s="1" t="s">
        <v>50</v>
      </c>
      <c r="B1630" s="1" t="s">
        <v>31</v>
      </c>
      <c r="C1630" s="1" t="s">
        <v>23</v>
      </c>
      <c r="D1630" s="5">
        <v>45887</v>
      </c>
      <c r="E1630" s="6">
        <v>28686416157</v>
      </c>
      <c r="F1630" s="6">
        <v>14039737067</v>
      </c>
      <c r="G1630" s="6">
        <v>14646679090</v>
      </c>
      <c r="H1630" s="6">
        <v>14039737067</v>
      </c>
      <c r="I1630" s="7">
        <v>14646679090</v>
      </c>
    </row>
    <row r="1631" spans="1:9" ht="12" customHeight="1" thickBot="1" x14ac:dyDescent="0.25">
      <c r="A1631" s="1" t="s">
        <v>50</v>
      </c>
      <c r="B1631" s="1" t="s">
        <v>31</v>
      </c>
      <c r="C1631" s="1" t="s">
        <v>23</v>
      </c>
      <c r="D1631" s="5">
        <v>45888</v>
      </c>
      <c r="E1631" s="6">
        <v>28759938575</v>
      </c>
      <c r="F1631" s="6">
        <v>13988981643</v>
      </c>
      <c r="G1631" s="6">
        <v>14770956932</v>
      </c>
      <c r="H1631" s="6">
        <v>13988981643</v>
      </c>
      <c r="I1631" s="7">
        <v>14770956932</v>
      </c>
    </row>
    <row r="1632" spans="1:9" ht="12" customHeight="1" thickBot="1" x14ac:dyDescent="0.25">
      <c r="A1632" s="1" t="s">
        <v>50</v>
      </c>
      <c r="B1632" s="1" t="s">
        <v>31</v>
      </c>
      <c r="C1632" s="1" t="s">
        <v>23</v>
      </c>
      <c r="D1632" s="5">
        <v>45889</v>
      </c>
      <c r="E1632" s="6">
        <v>28855339633</v>
      </c>
      <c r="F1632" s="6">
        <v>13957579015</v>
      </c>
      <c r="G1632" s="6">
        <v>14897760618</v>
      </c>
      <c r="H1632" s="6">
        <v>13957579015</v>
      </c>
      <c r="I1632" s="7">
        <v>14897760618</v>
      </c>
    </row>
    <row r="1633" spans="1:9" ht="12" customHeight="1" thickBot="1" x14ac:dyDescent="0.25">
      <c r="A1633" s="1" t="s">
        <v>50</v>
      </c>
      <c r="B1633" s="1" t="s">
        <v>31</v>
      </c>
      <c r="C1633" s="1" t="s">
        <v>23</v>
      </c>
      <c r="D1633" s="5">
        <v>45890</v>
      </c>
      <c r="E1633" s="6">
        <v>28875890477</v>
      </c>
      <c r="F1633" s="6">
        <v>13928921118</v>
      </c>
      <c r="G1633" s="6">
        <v>14946969359</v>
      </c>
      <c r="H1633" s="6">
        <v>13928921118</v>
      </c>
      <c r="I1633" s="7">
        <v>14946969359</v>
      </c>
    </row>
    <row r="1634" spans="1:9" ht="12" customHeight="1" thickBot="1" x14ac:dyDescent="0.25">
      <c r="A1634" s="1" t="s">
        <v>50</v>
      </c>
      <c r="B1634" s="1" t="s">
        <v>31</v>
      </c>
      <c r="C1634" s="1" t="s">
        <v>23</v>
      </c>
      <c r="D1634" s="5">
        <v>45891</v>
      </c>
      <c r="E1634" s="6">
        <v>28869347742</v>
      </c>
      <c r="F1634" s="6">
        <v>13901342203</v>
      </c>
      <c r="G1634" s="6">
        <v>14968005539</v>
      </c>
      <c r="H1634" s="6">
        <v>13901342203</v>
      </c>
      <c r="I1634" s="7">
        <v>14968005539</v>
      </c>
    </row>
    <row r="1635" spans="1:9" ht="12" customHeight="1" thickBot="1" x14ac:dyDescent="0.25">
      <c r="A1635" s="1" t="s">
        <v>50</v>
      </c>
      <c r="B1635" s="1" t="s">
        <v>31</v>
      </c>
      <c r="C1635" s="1" t="s">
        <v>23</v>
      </c>
      <c r="D1635" s="5">
        <v>45892</v>
      </c>
      <c r="E1635" s="6">
        <v>28918315108</v>
      </c>
      <c r="F1635" s="6">
        <v>13879770935</v>
      </c>
      <c r="G1635" s="6">
        <v>15038544173</v>
      </c>
      <c r="H1635" s="6">
        <v>13879770935</v>
      </c>
      <c r="I1635" s="7">
        <v>15038544173</v>
      </c>
    </row>
    <row r="1636" spans="1:9" ht="12" customHeight="1" thickBot="1" x14ac:dyDescent="0.25">
      <c r="A1636" s="1" t="s">
        <v>50</v>
      </c>
      <c r="B1636" s="1" t="s">
        <v>31</v>
      </c>
      <c r="C1636" s="1" t="s">
        <v>23</v>
      </c>
      <c r="D1636" s="5">
        <v>45893</v>
      </c>
      <c r="E1636" s="6">
        <v>28959481231</v>
      </c>
      <c r="F1636" s="6">
        <v>13865746777</v>
      </c>
      <c r="G1636" s="6">
        <v>15093734454</v>
      </c>
      <c r="H1636" s="6">
        <v>13865746777</v>
      </c>
      <c r="I1636" s="7">
        <v>15093734454</v>
      </c>
    </row>
    <row r="1637" spans="1:9" ht="12" customHeight="1" thickBot="1" x14ac:dyDescent="0.25">
      <c r="A1637" s="1" t="s">
        <v>50</v>
      </c>
      <c r="B1637" s="1" t="s">
        <v>31</v>
      </c>
      <c r="C1637" s="1" t="s">
        <v>23</v>
      </c>
      <c r="D1637" s="5">
        <v>45894</v>
      </c>
      <c r="E1637" s="6">
        <v>28856683109</v>
      </c>
      <c r="F1637" s="6">
        <v>13838941420</v>
      </c>
      <c r="G1637" s="6">
        <v>15017741689</v>
      </c>
      <c r="H1637" s="6">
        <v>13838941420</v>
      </c>
      <c r="I1637" s="7">
        <v>15017741689</v>
      </c>
    </row>
    <row r="1638" spans="1:9" ht="12" customHeight="1" thickBot="1" x14ac:dyDescent="0.25">
      <c r="A1638" s="1" t="s">
        <v>50</v>
      </c>
      <c r="B1638" s="1" t="s">
        <v>31</v>
      </c>
      <c r="C1638" s="1" t="s">
        <v>23</v>
      </c>
      <c r="D1638" s="5">
        <v>45895</v>
      </c>
      <c r="E1638" s="6">
        <v>28827460740</v>
      </c>
      <c r="F1638" s="6">
        <v>13814864276</v>
      </c>
      <c r="G1638" s="6">
        <v>15012596464</v>
      </c>
      <c r="H1638" s="6">
        <v>13814864276</v>
      </c>
      <c r="I1638" s="7">
        <v>15012596464</v>
      </c>
    </row>
    <row r="1639" spans="1:9" ht="12" customHeight="1" thickBot="1" x14ac:dyDescent="0.25">
      <c r="A1639" s="1" t="s">
        <v>50</v>
      </c>
      <c r="B1639" s="1" t="s">
        <v>31</v>
      </c>
      <c r="C1639" s="1" t="s">
        <v>23</v>
      </c>
      <c r="D1639" s="5">
        <v>45896</v>
      </c>
      <c r="E1639" s="6">
        <v>28829266341</v>
      </c>
      <c r="F1639" s="6">
        <v>13800126184</v>
      </c>
      <c r="G1639" s="6">
        <v>15029140157</v>
      </c>
      <c r="H1639" s="6">
        <v>13800126184</v>
      </c>
      <c r="I1639" s="7">
        <v>15029140157</v>
      </c>
    </row>
    <row r="1640" spans="1:9" ht="12" customHeight="1" thickBot="1" x14ac:dyDescent="0.25">
      <c r="A1640" s="1" t="s">
        <v>50</v>
      </c>
      <c r="B1640" s="1" t="s">
        <v>31</v>
      </c>
      <c r="C1640" s="1" t="s">
        <v>23</v>
      </c>
      <c r="D1640" s="5">
        <v>45897</v>
      </c>
      <c r="E1640" s="6">
        <v>28833993523</v>
      </c>
      <c r="F1640" s="6">
        <v>13787139855</v>
      </c>
      <c r="G1640" s="6">
        <v>15046853668</v>
      </c>
      <c r="H1640" s="6">
        <v>13787139855</v>
      </c>
      <c r="I1640" s="7">
        <v>15046853668</v>
      </c>
    </row>
    <row r="1641" spans="1:9" ht="12" customHeight="1" thickBot="1" x14ac:dyDescent="0.25">
      <c r="A1641" s="1" t="s">
        <v>50</v>
      </c>
      <c r="B1641" s="1" t="s">
        <v>31</v>
      </c>
      <c r="C1641" s="1" t="s">
        <v>23</v>
      </c>
      <c r="D1641" s="5">
        <v>45898</v>
      </c>
      <c r="E1641" s="6">
        <v>28792572836</v>
      </c>
      <c r="F1641" s="6">
        <v>13750574924</v>
      </c>
      <c r="G1641" s="6">
        <v>15041997912</v>
      </c>
      <c r="H1641" s="6">
        <v>13750574924</v>
      </c>
      <c r="I1641" s="7">
        <v>15041997912</v>
      </c>
    </row>
    <row r="1642" spans="1:9" ht="12" customHeight="1" thickBot="1" x14ac:dyDescent="0.25">
      <c r="A1642" s="1" t="s">
        <v>50</v>
      </c>
      <c r="B1642" s="1" t="s">
        <v>31</v>
      </c>
      <c r="C1642" s="1" t="s">
        <v>23</v>
      </c>
      <c r="D1642" s="5">
        <v>45899</v>
      </c>
      <c r="E1642" s="6">
        <v>28781437025</v>
      </c>
      <c r="F1642" s="6">
        <v>13741036205</v>
      </c>
      <c r="G1642" s="6">
        <v>15040400820</v>
      </c>
      <c r="H1642" s="6">
        <v>13741036205</v>
      </c>
      <c r="I1642" s="7">
        <v>15040400820</v>
      </c>
    </row>
    <row r="1643" spans="1:9" ht="12" customHeight="1" thickBot="1" x14ac:dyDescent="0.25">
      <c r="A1643" s="1" t="s">
        <v>50</v>
      </c>
      <c r="B1643" s="1" t="s">
        <v>31</v>
      </c>
      <c r="C1643" s="1" t="s">
        <v>23</v>
      </c>
      <c r="D1643" s="5">
        <v>45900</v>
      </c>
      <c r="E1643" s="6">
        <v>28744359931</v>
      </c>
      <c r="F1643" s="6">
        <v>13731200918</v>
      </c>
      <c r="G1643" s="6">
        <v>15013159013</v>
      </c>
      <c r="H1643" s="6">
        <v>13731200918</v>
      </c>
      <c r="I1643" s="7">
        <v>15013159013</v>
      </c>
    </row>
    <row r="1644" spans="1:9" ht="12" customHeight="1" thickBot="1" x14ac:dyDescent="0.25">
      <c r="A1644" s="1" t="s">
        <v>50</v>
      </c>
      <c r="B1644" s="1" t="s">
        <v>31</v>
      </c>
      <c r="C1644" s="1" t="s">
        <v>23</v>
      </c>
      <c r="D1644" s="5">
        <v>45901</v>
      </c>
      <c r="E1644" s="6">
        <v>28892458622</v>
      </c>
      <c r="F1644" s="6">
        <v>13719129691</v>
      </c>
      <c r="G1644" s="6">
        <v>15173328931</v>
      </c>
      <c r="H1644" s="6">
        <v>13719129691</v>
      </c>
      <c r="I1644" s="7">
        <v>15173328931</v>
      </c>
    </row>
    <row r="1645" spans="1:9" ht="12" customHeight="1" thickBot="1" x14ac:dyDescent="0.25">
      <c r="A1645" s="1" t="s">
        <v>50</v>
      </c>
      <c r="B1645" s="1" t="s">
        <v>31</v>
      </c>
      <c r="C1645" s="1" t="s">
        <v>23</v>
      </c>
      <c r="D1645" s="5">
        <v>45902</v>
      </c>
      <c r="E1645" s="6">
        <v>28930104907</v>
      </c>
      <c r="F1645" s="6">
        <v>13713767099</v>
      </c>
      <c r="G1645" s="6">
        <v>15216337808</v>
      </c>
      <c r="H1645" s="6">
        <v>13713767099</v>
      </c>
      <c r="I1645" s="7">
        <v>15216337808</v>
      </c>
    </row>
    <row r="1646" spans="1:9" ht="12" customHeight="1" thickBot="1" x14ac:dyDescent="0.25">
      <c r="A1646" s="1" t="s">
        <v>50</v>
      </c>
      <c r="B1646" s="1" t="s">
        <v>31</v>
      </c>
      <c r="C1646" s="1" t="s">
        <v>23</v>
      </c>
      <c r="D1646" s="5">
        <v>45903</v>
      </c>
      <c r="E1646" s="6">
        <v>28833431625</v>
      </c>
      <c r="F1646" s="6">
        <v>13697052518</v>
      </c>
      <c r="G1646" s="6">
        <v>15136379107</v>
      </c>
      <c r="H1646" s="6">
        <v>13697052518</v>
      </c>
      <c r="I1646" s="7">
        <v>15136379107</v>
      </c>
    </row>
    <row r="1647" spans="1:9" ht="12" customHeight="1" thickBot="1" x14ac:dyDescent="0.25">
      <c r="A1647" s="1" t="s">
        <v>50</v>
      </c>
      <c r="B1647" s="1" t="s">
        <v>31</v>
      </c>
      <c r="C1647" s="1" t="s">
        <v>23</v>
      </c>
      <c r="D1647" s="5">
        <v>45904</v>
      </c>
      <c r="E1647" s="6">
        <v>28431281798</v>
      </c>
      <c r="F1647" s="6">
        <v>13673894965</v>
      </c>
      <c r="G1647" s="6">
        <v>14757386833</v>
      </c>
      <c r="H1647" s="6">
        <v>13673894965</v>
      </c>
      <c r="I1647" s="7">
        <v>14757386833</v>
      </c>
    </row>
    <row r="1648" spans="1:9" ht="12" customHeight="1" thickBot="1" x14ac:dyDescent="0.25">
      <c r="A1648" s="1" t="s">
        <v>50</v>
      </c>
      <c r="B1648" s="1" t="s">
        <v>31</v>
      </c>
      <c r="C1648" s="1" t="s">
        <v>23</v>
      </c>
      <c r="D1648" s="5">
        <v>45905</v>
      </c>
      <c r="E1648" s="6">
        <v>28412361381</v>
      </c>
      <c r="F1648" s="6">
        <v>16961713581</v>
      </c>
      <c r="G1648" s="6">
        <v>11450647800</v>
      </c>
      <c r="H1648" s="6">
        <v>13650490930</v>
      </c>
      <c r="I1648" s="7">
        <v>14761870451</v>
      </c>
    </row>
    <row r="1649" spans="1:9" ht="12" customHeight="1" thickBot="1" x14ac:dyDescent="0.25">
      <c r="A1649" s="1" t="s">
        <v>50</v>
      </c>
      <c r="B1649" s="1" t="s">
        <v>31</v>
      </c>
      <c r="C1649" s="1" t="s">
        <v>23</v>
      </c>
      <c r="D1649" s="5">
        <v>45906</v>
      </c>
      <c r="E1649" s="6">
        <v>28648173341</v>
      </c>
      <c r="F1649" s="6">
        <v>16541018233</v>
      </c>
      <c r="G1649" s="6">
        <v>12107155108</v>
      </c>
      <c r="H1649" s="6">
        <v>13633966243</v>
      </c>
      <c r="I1649" s="7">
        <v>15014207098</v>
      </c>
    </row>
    <row r="1650" spans="1:9" ht="12" customHeight="1" thickBot="1" x14ac:dyDescent="0.25">
      <c r="A1650" s="1" t="s">
        <v>50</v>
      </c>
      <c r="B1650" s="1" t="s">
        <v>31</v>
      </c>
      <c r="C1650" s="1" t="s">
        <v>23</v>
      </c>
      <c r="D1650" s="5">
        <v>45907</v>
      </c>
      <c r="E1650" s="6">
        <v>28815410131</v>
      </c>
      <c r="F1650" s="6">
        <v>16383754333</v>
      </c>
      <c r="G1650" s="6">
        <v>12431655798</v>
      </c>
      <c r="H1650" s="6">
        <v>13624310174</v>
      </c>
      <c r="I1650" s="7">
        <v>15191099957</v>
      </c>
    </row>
    <row r="1651" spans="1:9" ht="12" customHeight="1" thickBot="1" x14ac:dyDescent="0.25">
      <c r="A1651" s="1" t="s">
        <v>50</v>
      </c>
      <c r="B1651" s="1" t="s">
        <v>31</v>
      </c>
      <c r="C1651" s="1" t="s">
        <v>23</v>
      </c>
      <c r="D1651" s="5">
        <v>45908</v>
      </c>
      <c r="E1651" s="6">
        <v>28948347524</v>
      </c>
      <c r="F1651" s="6">
        <v>16152388670</v>
      </c>
      <c r="G1651" s="6">
        <v>12795958854</v>
      </c>
      <c r="H1651" s="6">
        <v>13612530743</v>
      </c>
      <c r="I1651" s="7">
        <v>15335816781</v>
      </c>
    </row>
    <row r="1652" spans="1:9" ht="12" customHeight="1" thickBot="1" x14ac:dyDescent="0.25">
      <c r="A1652" s="1" t="s">
        <v>50</v>
      </c>
      <c r="B1652" s="1" t="s">
        <v>31</v>
      </c>
      <c r="C1652" s="1" t="s">
        <v>23</v>
      </c>
      <c r="D1652" s="5">
        <v>45909</v>
      </c>
      <c r="E1652" s="6">
        <v>29142367965</v>
      </c>
      <c r="F1652" s="6">
        <v>15947641081</v>
      </c>
      <c r="G1652" s="6">
        <v>13194726884</v>
      </c>
      <c r="H1652" s="6">
        <v>13599884995</v>
      </c>
      <c r="I1652" s="7">
        <v>15542482970</v>
      </c>
    </row>
    <row r="1653" spans="1:9" ht="12" customHeight="1" thickBot="1" x14ac:dyDescent="0.25">
      <c r="A1653" s="1" t="s">
        <v>50</v>
      </c>
      <c r="B1653" s="1" t="s">
        <v>31</v>
      </c>
      <c r="C1653" s="1" t="s">
        <v>23</v>
      </c>
      <c r="D1653" s="5">
        <v>45910</v>
      </c>
      <c r="E1653" s="6">
        <v>29243029896</v>
      </c>
      <c r="F1653" s="6">
        <v>15700596281</v>
      </c>
      <c r="G1653" s="6">
        <v>13542433615</v>
      </c>
      <c r="H1653" s="6">
        <v>13582180479</v>
      </c>
      <c r="I1653" s="7">
        <v>15660849417</v>
      </c>
    </row>
    <row r="1654" spans="1:9" ht="12" customHeight="1" thickBot="1" x14ac:dyDescent="0.25">
      <c r="A1654" s="1" t="s">
        <v>50</v>
      </c>
      <c r="B1654" s="1" t="s">
        <v>31</v>
      </c>
      <c r="C1654" s="1" t="s">
        <v>23</v>
      </c>
      <c r="D1654" s="5">
        <v>45911</v>
      </c>
      <c r="E1654" s="6">
        <v>29318978526</v>
      </c>
      <c r="F1654" s="6">
        <v>15550684075</v>
      </c>
      <c r="G1654" s="6">
        <v>13768294451</v>
      </c>
      <c r="H1654" s="6">
        <v>13564724122</v>
      </c>
      <c r="I1654" s="7">
        <v>15754254404</v>
      </c>
    </row>
    <row r="1655" spans="1:9" ht="12" customHeight="1" thickBot="1" x14ac:dyDescent="0.25">
      <c r="A1655" s="1" t="s">
        <v>50</v>
      </c>
      <c r="B1655" s="1" t="s">
        <v>31</v>
      </c>
      <c r="C1655" s="1" t="s">
        <v>23</v>
      </c>
      <c r="D1655" s="5">
        <v>45912</v>
      </c>
      <c r="E1655" s="6">
        <v>29426803030</v>
      </c>
      <c r="F1655" s="6">
        <v>15447765369</v>
      </c>
      <c r="G1655" s="6">
        <v>13979037661</v>
      </c>
      <c r="H1655" s="6">
        <v>13552090983</v>
      </c>
      <c r="I1655" s="7">
        <v>15874712047</v>
      </c>
    </row>
    <row r="1656" spans="1:9" ht="12" customHeight="1" thickBot="1" x14ac:dyDescent="0.25">
      <c r="A1656" s="1" t="s">
        <v>50</v>
      </c>
      <c r="B1656" s="1" t="s">
        <v>31</v>
      </c>
      <c r="C1656" s="1" t="s">
        <v>23</v>
      </c>
      <c r="D1656" s="5">
        <v>45913</v>
      </c>
      <c r="E1656" s="6">
        <v>29583354530</v>
      </c>
      <c r="F1656" s="6">
        <v>15367484030</v>
      </c>
      <c r="G1656" s="6">
        <v>14215870500</v>
      </c>
      <c r="H1656" s="6">
        <v>13542363980</v>
      </c>
      <c r="I1656" s="7">
        <v>16040990550</v>
      </c>
    </row>
    <row r="1657" spans="1:9" ht="12" customHeight="1" thickBot="1" x14ac:dyDescent="0.25">
      <c r="A1657" s="1" t="s">
        <v>50</v>
      </c>
      <c r="B1657" s="1" t="s">
        <v>31</v>
      </c>
      <c r="C1657" s="1" t="s">
        <v>23</v>
      </c>
      <c r="D1657" s="5">
        <v>45914</v>
      </c>
      <c r="E1657" s="6">
        <v>29716307053</v>
      </c>
      <c r="F1657" s="6">
        <v>15246378455</v>
      </c>
      <c r="G1657" s="6">
        <v>14469928598</v>
      </c>
      <c r="H1657" s="6">
        <v>13532361057</v>
      </c>
      <c r="I1657" s="7">
        <v>16183945996</v>
      </c>
    </row>
    <row r="1658" spans="1:9" ht="12" customHeight="1" thickBot="1" x14ac:dyDescent="0.25">
      <c r="A1658" s="1" t="s">
        <v>50</v>
      </c>
      <c r="B1658" s="1" t="s">
        <v>31</v>
      </c>
      <c r="C1658" s="1" t="s">
        <v>23</v>
      </c>
      <c r="D1658" s="5">
        <v>45915</v>
      </c>
      <c r="E1658" s="6">
        <v>29790854337</v>
      </c>
      <c r="F1658" s="6">
        <v>15147403257</v>
      </c>
      <c r="G1658" s="6">
        <v>14643451080</v>
      </c>
      <c r="H1658" s="6">
        <v>15147403257</v>
      </c>
      <c r="I1658" s="7">
        <v>14643451080</v>
      </c>
    </row>
    <row r="1659" spans="1:9" ht="12" customHeight="1" thickBot="1" x14ac:dyDescent="0.25">
      <c r="A1659" s="1" t="s">
        <v>50</v>
      </c>
      <c r="B1659" s="1" t="s">
        <v>31</v>
      </c>
      <c r="C1659" s="1" t="s">
        <v>23</v>
      </c>
      <c r="D1659" s="5">
        <v>45916</v>
      </c>
      <c r="E1659" s="6">
        <v>29884505013</v>
      </c>
      <c r="F1659" s="6">
        <v>15084632850</v>
      </c>
      <c r="G1659" s="6">
        <v>14799872163</v>
      </c>
      <c r="H1659" s="6">
        <v>15084632850</v>
      </c>
      <c r="I1659" s="7">
        <v>14799872163</v>
      </c>
    </row>
    <row r="1660" spans="1:9" ht="12" customHeight="1" thickBot="1" x14ac:dyDescent="0.25">
      <c r="A1660" s="1" t="s">
        <v>50</v>
      </c>
      <c r="B1660" s="1" t="s">
        <v>31</v>
      </c>
      <c r="C1660" s="1" t="s">
        <v>23</v>
      </c>
      <c r="D1660" s="5">
        <v>45917</v>
      </c>
      <c r="E1660" s="6">
        <v>29926010262</v>
      </c>
      <c r="F1660" s="6">
        <v>15035473088</v>
      </c>
      <c r="G1660" s="6">
        <v>14890537174</v>
      </c>
      <c r="H1660" s="6">
        <v>15035473088</v>
      </c>
      <c r="I1660" s="7">
        <v>14890537174</v>
      </c>
    </row>
    <row r="1661" spans="1:9" ht="12" customHeight="1" thickBot="1" x14ac:dyDescent="0.25">
      <c r="A1661" s="1" t="s">
        <v>50</v>
      </c>
      <c r="B1661" s="1" t="s">
        <v>31</v>
      </c>
      <c r="C1661" s="1" t="s">
        <v>23</v>
      </c>
      <c r="D1661" s="5">
        <v>45918</v>
      </c>
      <c r="E1661" s="6">
        <v>29986135155</v>
      </c>
      <c r="F1661" s="6">
        <v>14956933187</v>
      </c>
      <c r="G1661" s="6">
        <v>15029201968</v>
      </c>
      <c r="H1661" s="6">
        <v>14956933187</v>
      </c>
      <c r="I1661" s="7">
        <v>15029201968</v>
      </c>
    </row>
    <row r="1662" spans="1:9" ht="12" customHeight="1" thickBot="1" x14ac:dyDescent="0.25">
      <c r="A1662" s="1" t="s">
        <v>50</v>
      </c>
      <c r="B1662" s="1" t="s">
        <v>31</v>
      </c>
      <c r="C1662" s="1" t="s">
        <v>23</v>
      </c>
      <c r="D1662" s="5">
        <v>45919</v>
      </c>
      <c r="E1662" s="6">
        <v>30043623043</v>
      </c>
      <c r="F1662" s="6">
        <v>14903785657</v>
      </c>
      <c r="G1662" s="6">
        <v>15139837386</v>
      </c>
      <c r="H1662" s="6">
        <v>14903785657</v>
      </c>
      <c r="I1662" s="7">
        <v>15139837386</v>
      </c>
    </row>
    <row r="1663" spans="1:9" ht="12" customHeight="1" thickBot="1" x14ac:dyDescent="0.25">
      <c r="A1663" s="1" t="s">
        <v>50</v>
      </c>
      <c r="B1663" s="1" t="s">
        <v>31</v>
      </c>
      <c r="C1663" s="1" t="s">
        <v>23</v>
      </c>
      <c r="D1663" s="5">
        <v>45920</v>
      </c>
      <c r="E1663" s="6">
        <v>30125301292</v>
      </c>
      <c r="F1663" s="6">
        <v>14865824314</v>
      </c>
      <c r="G1663" s="6">
        <v>15259476978</v>
      </c>
      <c r="H1663" s="6">
        <v>14865824314</v>
      </c>
      <c r="I1663" s="7">
        <v>15259476978</v>
      </c>
    </row>
    <row r="1664" spans="1:9" ht="12" customHeight="1" thickBot="1" x14ac:dyDescent="0.25">
      <c r="A1664" s="1" t="s">
        <v>50</v>
      </c>
      <c r="B1664" s="1" t="s">
        <v>31</v>
      </c>
      <c r="C1664" s="1" t="s">
        <v>23</v>
      </c>
      <c r="D1664" s="5">
        <v>45921</v>
      </c>
      <c r="E1664" s="6">
        <v>30179228201</v>
      </c>
      <c r="F1664" s="6">
        <v>14832068510</v>
      </c>
      <c r="G1664" s="6">
        <v>15347159691</v>
      </c>
      <c r="H1664" s="6">
        <v>14832068510</v>
      </c>
      <c r="I1664" s="7">
        <v>15347159691</v>
      </c>
    </row>
    <row r="1665" spans="1:9" ht="12" customHeight="1" thickBot="1" x14ac:dyDescent="0.25">
      <c r="A1665" s="1" t="s">
        <v>50</v>
      </c>
      <c r="B1665" s="1" t="s">
        <v>31</v>
      </c>
      <c r="C1665" s="1" t="s">
        <v>23</v>
      </c>
      <c r="D1665" s="5">
        <v>45922</v>
      </c>
      <c r="E1665" s="6">
        <v>30223119032</v>
      </c>
      <c r="F1665" s="6">
        <v>14795480028</v>
      </c>
      <c r="G1665" s="6">
        <v>15427639004</v>
      </c>
      <c r="H1665" s="6">
        <v>14795480028</v>
      </c>
      <c r="I1665" s="7">
        <v>15427639004</v>
      </c>
    </row>
    <row r="1666" spans="1:9" ht="12" customHeight="1" thickBot="1" x14ac:dyDescent="0.25">
      <c r="A1666" s="1" t="s">
        <v>50</v>
      </c>
      <c r="B1666" s="1" t="s">
        <v>31</v>
      </c>
      <c r="C1666" s="1" t="s">
        <v>23</v>
      </c>
      <c r="D1666" s="5">
        <v>45923</v>
      </c>
      <c r="E1666" s="6">
        <v>30239711559</v>
      </c>
      <c r="F1666" s="6">
        <v>14761259986</v>
      </c>
      <c r="G1666" s="6">
        <v>15478451573</v>
      </c>
      <c r="H1666" s="6">
        <v>14761259986</v>
      </c>
      <c r="I1666" s="7">
        <v>15478451573</v>
      </c>
    </row>
    <row r="1667" spans="1:9" ht="12" customHeight="1" thickBot="1" x14ac:dyDescent="0.25">
      <c r="A1667" s="1" t="s">
        <v>50</v>
      </c>
      <c r="B1667" s="1" t="s">
        <v>31</v>
      </c>
      <c r="C1667" s="1" t="s">
        <v>23</v>
      </c>
      <c r="D1667" s="5">
        <v>45924</v>
      </c>
      <c r="E1667" s="6">
        <v>30250519929</v>
      </c>
      <c r="F1667" s="6">
        <v>14732563968</v>
      </c>
      <c r="G1667" s="6">
        <v>15517955961</v>
      </c>
      <c r="H1667" s="6">
        <v>14732563968</v>
      </c>
      <c r="I1667" s="7">
        <v>15517955961</v>
      </c>
    </row>
    <row r="1668" spans="1:9" ht="12" customHeight="1" thickBot="1" x14ac:dyDescent="0.25">
      <c r="A1668" s="1" t="s">
        <v>50</v>
      </c>
      <c r="B1668" s="1" t="s">
        <v>31</v>
      </c>
      <c r="C1668" s="1" t="s">
        <v>23</v>
      </c>
      <c r="D1668" s="5">
        <v>45925</v>
      </c>
      <c r="E1668" s="6">
        <v>30198812867</v>
      </c>
      <c r="F1668" s="6">
        <v>14701316761</v>
      </c>
      <c r="G1668" s="6">
        <v>15497496106</v>
      </c>
      <c r="H1668" s="6">
        <v>14701316761</v>
      </c>
      <c r="I1668" s="7">
        <v>15497496106</v>
      </c>
    </row>
    <row r="1669" spans="1:9" ht="12" customHeight="1" thickBot="1" x14ac:dyDescent="0.25">
      <c r="A1669" s="1" t="s">
        <v>50</v>
      </c>
      <c r="B1669" s="1" t="s">
        <v>31</v>
      </c>
      <c r="C1669" s="1" t="s">
        <v>23</v>
      </c>
      <c r="D1669" s="5">
        <v>45926</v>
      </c>
      <c r="E1669" s="6">
        <v>30198944764</v>
      </c>
      <c r="F1669" s="6">
        <v>14673394149</v>
      </c>
      <c r="G1669" s="6">
        <v>15525550615</v>
      </c>
      <c r="H1669" s="6">
        <v>14673394149</v>
      </c>
      <c r="I1669" s="7">
        <v>15525550615</v>
      </c>
    </row>
    <row r="1670" spans="1:9" ht="12" customHeight="1" thickBot="1" x14ac:dyDescent="0.25">
      <c r="A1670" s="1" t="s">
        <v>50</v>
      </c>
      <c r="B1670" s="1" t="s">
        <v>31</v>
      </c>
      <c r="C1670" s="1" t="s">
        <v>23</v>
      </c>
      <c r="D1670" s="5">
        <v>45927</v>
      </c>
      <c r="E1670" s="6">
        <v>30241467337</v>
      </c>
      <c r="F1670" s="6">
        <v>14658983521</v>
      </c>
      <c r="G1670" s="6">
        <v>15582483816</v>
      </c>
      <c r="H1670" s="6">
        <v>14658983521</v>
      </c>
      <c r="I1670" s="7">
        <v>15582483816</v>
      </c>
    </row>
    <row r="1671" spans="1:9" ht="12" customHeight="1" thickBot="1" x14ac:dyDescent="0.25">
      <c r="A1671" s="1" t="s">
        <v>50</v>
      </c>
      <c r="B1671" s="1" t="s">
        <v>31</v>
      </c>
      <c r="C1671" s="1" t="s">
        <v>23</v>
      </c>
      <c r="D1671" s="5">
        <v>45928</v>
      </c>
      <c r="E1671" s="6">
        <v>30295091570</v>
      </c>
      <c r="F1671" s="6">
        <v>14642964872</v>
      </c>
      <c r="G1671" s="6">
        <v>15652126698</v>
      </c>
      <c r="H1671" s="6">
        <v>14642964872</v>
      </c>
      <c r="I1671" s="7">
        <v>15652126698</v>
      </c>
    </row>
    <row r="1672" spans="1:9" ht="12" customHeight="1" thickBot="1" x14ac:dyDescent="0.25">
      <c r="A1672" s="1" t="s">
        <v>50</v>
      </c>
      <c r="B1672" s="1" t="s">
        <v>31</v>
      </c>
      <c r="C1672" s="1" t="s">
        <v>23</v>
      </c>
      <c r="D1672" s="5">
        <v>45929</v>
      </c>
      <c r="E1672" s="6">
        <v>30281222278</v>
      </c>
      <c r="F1672" s="6">
        <v>14633587101</v>
      </c>
      <c r="G1672" s="6">
        <v>15647635177</v>
      </c>
      <c r="H1672" s="6">
        <v>14633587101</v>
      </c>
      <c r="I1672" s="7">
        <v>15647635177</v>
      </c>
    </row>
    <row r="1673" spans="1:9" ht="12" customHeight="1" thickBot="1" x14ac:dyDescent="0.25">
      <c r="A1673" s="1" t="s">
        <v>50</v>
      </c>
      <c r="B1673" s="1" t="s">
        <v>31</v>
      </c>
      <c r="C1673" s="1" t="s">
        <v>23</v>
      </c>
      <c r="D1673" s="5">
        <v>45930</v>
      </c>
      <c r="E1673" s="6">
        <v>30178361985</v>
      </c>
      <c r="F1673" s="6">
        <v>14614117427</v>
      </c>
      <c r="G1673" s="6">
        <v>15564244558</v>
      </c>
      <c r="H1673" s="6">
        <v>14614117427</v>
      </c>
      <c r="I1673" s="7">
        <v>15564244558</v>
      </c>
    </row>
    <row r="1674" spans="1:9" ht="12" customHeight="1" thickBot="1" x14ac:dyDescent="0.25">
      <c r="A1674" s="1" t="s">
        <v>51</v>
      </c>
      <c r="B1674" s="1" t="s">
        <v>12</v>
      </c>
      <c r="C1674" s="1" t="s">
        <v>23</v>
      </c>
      <c r="D1674" s="5">
        <v>45839</v>
      </c>
      <c r="E1674" s="6">
        <v>8972705237</v>
      </c>
      <c r="F1674" s="6">
        <v>1382492337</v>
      </c>
      <c r="G1674" s="6">
        <v>7590212900</v>
      </c>
      <c r="H1674" s="6">
        <v>1231387826</v>
      </c>
      <c r="I1674" s="7">
        <v>7741317411</v>
      </c>
    </row>
    <row r="1675" spans="1:9" ht="12" customHeight="1" thickBot="1" x14ac:dyDescent="0.25">
      <c r="A1675" s="1" t="s">
        <v>51</v>
      </c>
      <c r="B1675" s="1" t="s">
        <v>12</v>
      </c>
      <c r="C1675" s="1" t="s">
        <v>23</v>
      </c>
      <c r="D1675" s="5">
        <v>45840</v>
      </c>
      <c r="E1675" s="6">
        <v>8942060792</v>
      </c>
      <c r="F1675" s="6">
        <v>1397972085</v>
      </c>
      <c r="G1675" s="6">
        <v>7544088707</v>
      </c>
      <c r="H1675" s="6">
        <v>1246849591</v>
      </c>
      <c r="I1675" s="7">
        <v>7695211201</v>
      </c>
    </row>
    <row r="1676" spans="1:9" ht="12" customHeight="1" thickBot="1" x14ac:dyDescent="0.25">
      <c r="A1676" s="1" t="s">
        <v>51</v>
      </c>
      <c r="B1676" s="1" t="s">
        <v>12</v>
      </c>
      <c r="C1676" s="1" t="s">
        <v>23</v>
      </c>
      <c r="D1676" s="5">
        <v>45841</v>
      </c>
      <c r="E1676" s="6">
        <v>8937996652</v>
      </c>
      <c r="F1676" s="6">
        <v>1408559158</v>
      </c>
      <c r="G1676" s="6">
        <v>7529437494</v>
      </c>
      <c r="H1676" s="6">
        <v>1246849591</v>
      </c>
      <c r="I1676" s="7">
        <v>7691147061</v>
      </c>
    </row>
    <row r="1677" spans="1:9" ht="12" customHeight="1" thickBot="1" x14ac:dyDescent="0.25">
      <c r="A1677" s="1" t="s">
        <v>51</v>
      </c>
      <c r="B1677" s="1" t="s">
        <v>12</v>
      </c>
      <c r="C1677" s="1" t="s">
        <v>23</v>
      </c>
      <c r="D1677" s="5">
        <v>45842</v>
      </c>
      <c r="E1677" s="6">
        <v>8870045430</v>
      </c>
      <c r="F1677" s="6">
        <v>1430626633</v>
      </c>
      <c r="G1677" s="6">
        <v>7439418797</v>
      </c>
      <c r="H1677" s="6">
        <v>1245849591</v>
      </c>
      <c r="I1677" s="7">
        <v>7624195839</v>
      </c>
    </row>
    <row r="1678" spans="1:9" ht="12" customHeight="1" thickBot="1" x14ac:dyDescent="0.25">
      <c r="A1678" s="1" t="s">
        <v>51</v>
      </c>
      <c r="B1678" s="1" t="s">
        <v>12</v>
      </c>
      <c r="C1678" s="1" t="s">
        <v>23</v>
      </c>
      <c r="D1678" s="5">
        <v>45843</v>
      </c>
      <c r="E1678" s="6">
        <v>8834303928</v>
      </c>
      <c r="F1678" s="6">
        <v>1444134625</v>
      </c>
      <c r="G1678" s="6">
        <v>7390169303</v>
      </c>
      <c r="H1678" s="6">
        <v>1245849591</v>
      </c>
      <c r="I1678" s="7">
        <v>7588454337</v>
      </c>
    </row>
    <row r="1679" spans="1:9" ht="12" customHeight="1" thickBot="1" x14ac:dyDescent="0.25">
      <c r="A1679" s="1" t="s">
        <v>51</v>
      </c>
      <c r="B1679" s="1" t="s">
        <v>12</v>
      </c>
      <c r="C1679" s="1" t="s">
        <v>23</v>
      </c>
      <c r="D1679" s="5">
        <v>45844</v>
      </c>
      <c r="E1679" s="6">
        <v>8826909663</v>
      </c>
      <c r="F1679" s="6">
        <v>1489094022</v>
      </c>
      <c r="G1679" s="6">
        <v>7337815641</v>
      </c>
      <c r="H1679" s="6">
        <v>1245849591</v>
      </c>
      <c r="I1679" s="7">
        <v>7581060072</v>
      </c>
    </row>
    <row r="1680" spans="1:9" ht="12" customHeight="1" thickBot="1" x14ac:dyDescent="0.25">
      <c r="A1680" s="1" t="s">
        <v>51</v>
      </c>
      <c r="B1680" s="1" t="s">
        <v>12</v>
      </c>
      <c r="C1680" s="1" t="s">
        <v>23</v>
      </c>
      <c r="D1680" s="5">
        <v>45845</v>
      </c>
      <c r="E1680" s="6">
        <v>8818043503</v>
      </c>
      <c r="F1680" s="6">
        <v>1449111339</v>
      </c>
      <c r="G1680" s="6">
        <v>7368932164</v>
      </c>
      <c r="H1680" s="6">
        <v>1248636906</v>
      </c>
      <c r="I1680" s="7">
        <v>7569406597</v>
      </c>
    </row>
    <row r="1681" spans="1:9" ht="12" customHeight="1" thickBot="1" x14ac:dyDescent="0.25">
      <c r="A1681" s="1" t="s">
        <v>51</v>
      </c>
      <c r="B1681" s="1" t="s">
        <v>12</v>
      </c>
      <c r="C1681" s="1" t="s">
        <v>23</v>
      </c>
      <c r="D1681" s="5">
        <v>45846</v>
      </c>
      <c r="E1681" s="6">
        <v>8795169204</v>
      </c>
      <c r="F1681" s="6">
        <v>1465098514</v>
      </c>
      <c r="G1681" s="6">
        <v>7330070690</v>
      </c>
      <c r="H1681" s="6">
        <v>1251852039</v>
      </c>
      <c r="I1681" s="7">
        <v>7543317165</v>
      </c>
    </row>
    <row r="1682" spans="1:9" ht="12" customHeight="1" thickBot="1" x14ac:dyDescent="0.25">
      <c r="A1682" s="1" t="s">
        <v>51</v>
      </c>
      <c r="B1682" s="1" t="s">
        <v>12</v>
      </c>
      <c r="C1682" s="1" t="s">
        <v>23</v>
      </c>
      <c r="D1682" s="5">
        <v>45847</v>
      </c>
      <c r="E1682" s="6">
        <v>8758423200</v>
      </c>
      <c r="F1682" s="6">
        <v>1442477187</v>
      </c>
      <c r="G1682" s="6">
        <v>7315946013</v>
      </c>
      <c r="H1682" s="6">
        <v>1297751970</v>
      </c>
      <c r="I1682" s="7">
        <v>7460671230</v>
      </c>
    </row>
    <row r="1683" spans="1:9" ht="12" customHeight="1" thickBot="1" x14ac:dyDescent="0.25">
      <c r="A1683" s="1" t="s">
        <v>51</v>
      </c>
      <c r="B1683" s="1" t="s">
        <v>12</v>
      </c>
      <c r="C1683" s="1" t="s">
        <v>23</v>
      </c>
      <c r="D1683" s="5">
        <v>45848</v>
      </c>
      <c r="E1683" s="6">
        <v>8761074835</v>
      </c>
      <c r="F1683" s="6">
        <v>1421065941</v>
      </c>
      <c r="G1683" s="6">
        <v>7340008894</v>
      </c>
      <c r="H1683" s="6">
        <v>1297738071</v>
      </c>
      <c r="I1683" s="7">
        <v>7463336764</v>
      </c>
    </row>
    <row r="1684" spans="1:9" ht="12" customHeight="1" thickBot="1" x14ac:dyDescent="0.25">
      <c r="A1684" s="1" t="s">
        <v>51</v>
      </c>
      <c r="B1684" s="1" t="s">
        <v>12</v>
      </c>
      <c r="C1684" s="1" t="s">
        <v>23</v>
      </c>
      <c r="D1684" s="5">
        <v>45849</v>
      </c>
      <c r="E1684" s="6">
        <v>8736345604</v>
      </c>
      <c r="F1684" s="6">
        <v>1418007688</v>
      </c>
      <c r="G1684" s="6">
        <v>7318337916</v>
      </c>
      <c r="H1684" s="6">
        <v>1297738071</v>
      </c>
      <c r="I1684" s="7">
        <v>7438607533</v>
      </c>
    </row>
    <row r="1685" spans="1:9" ht="12" customHeight="1" thickBot="1" x14ac:dyDescent="0.25">
      <c r="A1685" s="1" t="s">
        <v>51</v>
      </c>
      <c r="B1685" s="1" t="s">
        <v>12</v>
      </c>
      <c r="C1685" s="1" t="s">
        <v>23</v>
      </c>
      <c r="D1685" s="5">
        <v>45850</v>
      </c>
      <c r="E1685" s="6">
        <v>8701042253</v>
      </c>
      <c r="F1685" s="6">
        <v>1471384024</v>
      </c>
      <c r="G1685" s="6">
        <v>7229658229</v>
      </c>
      <c r="H1685" s="6">
        <v>1296434071</v>
      </c>
      <c r="I1685" s="7">
        <v>7404608182</v>
      </c>
    </row>
    <row r="1686" spans="1:9" ht="12" customHeight="1" thickBot="1" x14ac:dyDescent="0.25">
      <c r="A1686" s="1" t="s">
        <v>51</v>
      </c>
      <c r="B1686" s="1" t="s">
        <v>12</v>
      </c>
      <c r="C1686" s="1" t="s">
        <v>23</v>
      </c>
      <c r="D1686" s="5">
        <v>45851</v>
      </c>
      <c r="E1686" s="6">
        <v>8699241060</v>
      </c>
      <c r="F1686" s="6">
        <v>1485213267</v>
      </c>
      <c r="G1686" s="6">
        <v>7214027793</v>
      </c>
      <c r="H1686" s="6">
        <v>1314142703</v>
      </c>
      <c r="I1686" s="7">
        <v>7385098357</v>
      </c>
    </row>
    <row r="1687" spans="1:9" ht="12" customHeight="1" thickBot="1" x14ac:dyDescent="0.25">
      <c r="A1687" s="1" t="s">
        <v>51</v>
      </c>
      <c r="B1687" s="1" t="s">
        <v>12</v>
      </c>
      <c r="C1687" s="1" t="s">
        <v>23</v>
      </c>
      <c r="D1687" s="5">
        <v>45852</v>
      </c>
      <c r="E1687" s="6">
        <v>8716872265</v>
      </c>
      <c r="F1687" s="6">
        <v>1458968531</v>
      </c>
      <c r="G1687" s="6">
        <v>7257903734</v>
      </c>
      <c r="H1687" s="6">
        <v>1328720226</v>
      </c>
      <c r="I1687" s="7">
        <v>7388152039</v>
      </c>
    </row>
    <row r="1688" spans="1:9" ht="12" customHeight="1" thickBot="1" x14ac:dyDescent="0.25">
      <c r="A1688" s="1" t="s">
        <v>51</v>
      </c>
      <c r="B1688" s="1" t="s">
        <v>12</v>
      </c>
      <c r="C1688" s="1" t="s">
        <v>23</v>
      </c>
      <c r="D1688" s="5">
        <v>45853</v>
      </c>
      <c r="E1688" s="6">
        <v>8816423661</v>
      </c>
      <c r="F1688" s="6">
        <v>1452782170</v>
      </c>
      <c r="G1688" s="6">
        <v>7363641491</v>
      </c>
      <c r="H1688" s="6">
        <v>1317287708</v>
      </c>
      <c r="I1688" s="7">
        <v>7499135953</v>
      </c>
    </row>
    <row r="1689" spans="1:9" ht="12" customHeight="1" thickBot="1" x14ac:dyDescent="0.25">
      <c r="A1689" s="1" t="s">
        <v>51</v>
      </c>
      <c r="B1689" s="1" t="s">
        <v>12</v>
      </c>
      <c r="C1689" s="1" t="s">
        <v>23</v>
      </c>
      <c r="D1689" s="5">
        <v>45854</v>
      </c>
      <c r="E1689" s="6">
        <v>8807014829</v>
      </c>
      <c r="F1689" s="6">
        <v>1451780264</v>
      </c>
      <c r="G1689" s="6">
        <v>7355234565</v>
      </c>
      <c r="H1689" s="6">
        <v>1290800702</v>
      </c>
      <c r="I1689" s="7">
        <v>7516214127</v>
      </c>
    </row>
    <row r="1690" spans="1:9" ht="12" customHeight="1" thickBot="1" x14ac:dyDescent="0.25">
      <c r="A1690" s="1" t="s">
        <v>51</v>
      </c>
      <c r="B1690" s="1" t="s">
        <v>12</v>
      </c>
      <c r="C1690" s="1" t="s">
        <v>23</v>
      </c>
      <c r="D1690" s="5">
        <v>45855</v>
      </c>
      <c r="E1690" s="6">
        <v>8789825472</v>
      </c>
      <c r="F1690" s="6">
        <v>1423386926</v>
      </c>
      <c r="G1690" s="6">
        <v>7366438546</v>
      </c>
      <c r="H1690" s="6">
        <v>1287509039</v>
      </c>
      <c r="I1690" s="7">
        <v>7502316433</v>
      </c>
    </row>
    <row r="1691" spans="1:9" ht="12" customHeight="1" thickBot="1" x14ac:dyDescent="0.25">
      <c r="A1691" s="1" t="s">
        <v>51</v>
      </c>
      <c r="B1691" s="1" t="s">
        <v>12</v>
      </c>
      <c r="C1691" s="1" t="s">
        <v>23</v>
      </c>
      <c r="D1691" s="5">
        <v>45856</v>
      </c>
      <c r="E1691" s="6">
        <v>8850166920</v>
      </c>
      <c r="F1691" s="6">
        <v>1432585285</v>
      </c>
      <c r="G1691" s="6">
        <v>7417581635</v>
      </c>
      <c r="H1691" s="6">
        <v>1302573316</v>
      </c>
      <c r="I1691" s="7">
        <v>7547593604</v>
      </c>
    </row>
    <row r="1692" spans="1:9" ht="12" customHeight="1" thickBot="1" x14ac:dyDescent="0.25">
      <c r="A1692" s="1" t="s">
        <v>51</v>
      </c>
      <c r="B1692" s="1" t="s">
        <v>12</v>
      </c>
      <c r="C1692" s="1" t="s">
        <v>23</v>
      </c>
      <c r="D1692" s="5">
        <v>45857</v>
      </c>
      <c r="E1692" s="6">
        <v>8867319508</v>
      </c>
      <c r="F1692" s="6">
        <v>1441572124</v>
      </c>
      <c r="G1692" s="6">
        <v>7425747384</v>
      </c>
      <c r="H1692" s="6">
        <v>1279672536</v>
      </c>
      <c r="I1692" s="7">
        <v>7587646972</v>
      </c>
    </row>
    <row r="1693" spans="1:9" ht="12" customHeight="1" thickBot="1" x14ac:dyDescent="0.25">
      <c r="A1693" s="1" t="s">
        <v>51</v>
      </c>
      <c r="B1693" s="1" t="s">
        <v>12</v>
      </c>
      <c r="C1693" s="1" t="s">
        <v>23</v>
      </c>
      <c r="D1693" s="5">
        <v>45858</v>
      </c>
      <c r="E1693" s="6">
        <v>8852794906</v>
      </c>
      <c r="F1693" s="6">
        <v>1498963824</v>
      </c>
      <c r="G1693" s="6">
        <v>7353831082</v>
      </c>
      <c r="H1693" s="6">
        <v>1265952494</v>
      </c>
      <c r="I1693" s="7">
        <v>7586842412</v>
      </c>
    </row>
    <row r="1694" spans="1:9" ht="12" customHeight="1" thickBot="1" x14ac:dyDescent="0.25">
      <c r="A1694" s="1" t="s">
        <v>51</v>
      </c>
      <c r="B1694" s="1" t="s">
        <v>12</v>
      </c>
      <c r="C1694" s="1" t="s">
        <v>23</v>
      </c>
      <c r="D1694" s="5">
        <v>45859</v>
      </c>
      <c r="E1694" s="6">
        <v>8737646373</v>
      </c>
      <c r="F1694" s="6">
        <v>1319383423</v>
      </c>
      <c r="G1694" s="6">
        <v>7418262950</v>
      </c>
      <c r="H1694" s="6">
        <v>1226137383</v>
      </c>
      <c r="I1694" s="7">
        <v>7511508990</v>
      </c>
    </row>
    <row r="1695" spans="1:9" ht="12" customHeight="1" thickBot="1" x14ac:dyDescent="0.25">
      <c r="A1695" s="1" t="s">
        <v>51</v>
      </c>
      <c r="B1695" s="1" t="s">
        <v>12</v>
      </c>
      <c r="C1695" s="1" t="s">
        <v>23</v>
      </c>
      <c r="D1695" s="5">
        <v>45860</v>
      </c>
      <c r="E1695" s="6">
        <v>8727035884</v>
      </c>
      <c r="F1695" s="6">
        <v>1330782470</v>
      </c>
      <c r="G1695" s="6">
        <v>7396253414</v>
      </c>
      <c r="H1695" s="6">
        <v>1225597022</v>
      </c>
      <c r="I1695" s="7">
        <v>7501438862</v>
      </c>
    </row>
    <row r="1696" spans="1:9" ht="12" customHeight="1" thickBot="1" x14ac:dyDescent="0.25">
      <c r="A1696" s="1" t="s">
        <v>51</v>
      </c>
      <c r="B1696" s="1" t="s">
        <v>12</v>
      </c>
      <c r="C1696" s="1" t="s">
        <v>23</v>
      </c>
      <c r="D1696" s="5">
        <v>45861</v>
      </c>
      <c r="E1696" s="6">
        <v>8698852551</v>
      </c>
      <c r="F1696" s="6">
        <v>1375854421</v>
      </c>
      <c r="G1696" s="6">
        <v>7322998130</v>
      </c>
      <c r="H1696" s="6">
        <v>1225597022</v>
      </c>
      <c r="I1696" s="7">
        <v>7473255529</v>
      </c>
    </row>
    <row r="1697" spans="1:9" ht="12" customHeight="1" thickBot="1" x14ac:dyDescent="0.25">
      <c r="A1697" s="1" t="s">
        <v>51</v>
      </c>
      <c r="B1697" s="1" t="s">
        <v>12</v>
      </c>
      <c r="C1697" s="1" t="s">
        <v>23</v>
      </c>
      <c r="D1697" s="5">
        <v>45862</v>
      </c>
      <c r="E1697" s="6">
        <v>8657337410</v>
      </c>
      <c r="F1697" s="6">
        <v>1350147855</v>
      </c>
      <c r="G1697" s="6">
        <v>7307189555</v>
      </c>
      <c r="H1697" s="6">
        <v>1224504044</v>
      </c>
      <c r="I1697" s="7">
        <v>7432833366</v>
      </c>
    </row>
    <row r="1698" spans="1:9" ht="12" customHeight="1" thickBot="1" x14ac:dyDescent="0.25">
      <c r="A1698" s="1" t="s">
        <v>51</v>
      </c>
      <c r="B1698" s="1" t="s">
        <v>12</v>
      </c>
      <c r="C1698" s="1" t="s">
        <v>23</v>
      </c>
      <c r="D1698" s="5">
        <v>45863</v>
      </c>
      <c r="E1698" s="6">
        <v>8655983767</v>
      </c>
      <c r="F1698" s="6">
        <v>1308846666</v>
      </c>
      <c r="G1698" s="6">
        <v>7347137101</v>
      </c>
      <c r="H1698" s="6">
        <v>1217680810</v>
      </c>
      <c r="I1698" s="7">
        <v>7438302957</v>
      </c>
    </row>
    <row r="1699" spans="1:9" ht="12" customHeight="1" thickBot="1" x14ac:dyDescent="0.25">
      <c r="A1699" s="1" t="s">
        <v>51</v>
      </c>
      <c r="B1699" s="1" t="s">
        <v>12</v>
      </c>
      <c r="C1699" s="1" t="s">
        <v>23</v>
      </c>
      <c r="D1699" s="5">
        <v>45864</v>
      </c>
      <c r="E1699" s="6">
        <v>8618845860</v>
      </c>
      <c r="F1699" s="6">
        <v>1318833811</v>
      </c>
      <c r="G1699" s="6">
        <v>7300012049</v>
      </c>
      <c r="H1699" s="6">
        <v>1228273178</v>
      </c>
      <c r="I1699" s="7">
        <v>7390572682</v>
      </c>
    </row>
    <row r="1700" spans="1:9" ht="12" customHeight="1" thickBot="1" x14ac:dyDescent="0.25">
      <c r="A1700" s="1" t="s">
        <v>51</v>
      </c>
      <c r="B1700" s="1" t="s">
        <v>12</v>
      </c>
      <c r="C1700" s="1" t="s">
        <v>23</v>
      </c>
      <c r="D1700" s="5">
        <v>45865</v>
      </c>
      <c r="E1700" s="6">
        <v>8652530094</v>
      </c>
      <c r="F1700" s="6">
        <v>1319480702</v>
      </c>
      <c r="G1700" s="6">
        <v>7333049392</v>
      </c>
      <c r="H1700" s="6">
        <v>1237616637</v>
      </c>
      <c r="I1700" s="7">
        <v>7414913457</v>
      </c>
    </row>
    <row r="1701" spans="1:9" ht="12" customHeight="1" thickBot="1" x14ac:dyDescent="0.25">
      <c r="A1701" s="1" t="s">
        <v>51</v>
      </c>
      <c r="B1701" s="1" t="s">
        <v>12</v>
      </c>
      <c r="C1701" s="1" t="s">
        <v>23</v>
      </c>
      <c r="D1701" s="5">
        <v>45866</v>
      </c>
      <c r="E1701" s="6">
        <v>8594795248</v>
      </c>
      <c r="F1701" s="6">
        <v>1290428017</v>
      </c>
      <c r="G1701" s="6">
        <v>7304367231</v>
      </c>
      <c r="H1701" s="6">
        <v>1249267279</v>
      </c>
      <c r="I1701" s="7">
        <v>7345527969</v>
      </c>
    </row>
    <row r="1702" spans="1:9" ht="12" customHeight="1" thickBot="1" x14ac:dyDescent="0.25">
      <c r="A1702" s="1" t="s">
        <v>51</v>
      </c>
      <c r="B1702" s="1" t="s">
        <v>12</v>
      </c>
      <c r="C1702" s="1" t="s">
        <v>23</v>
      </c>
      <c r="D1702" s="5">
        <v>45867</v>
      </c>
      <c r="E1702" s="6">
        <v>8651843766</v>
      </c>
      <c r="F1702" s="6">
        <v>1381923130</v>
      </c>
      <c r="G1702" s="6">
        <v>7269920636</v>
      </c>
      <c r="H1702" s="6">
        <v>1240926085</v>
      </c>
      <c r="I1702" s="7">
        <v>7410917681</v>
      </c>
    </row>
    <row r="1703" spans="1:9" ht="12" customHeight="1" thickBot="1" x14ac:dyDescent="0.25">
      <c r="A1703" s="1" t="s">
        <v>51</v>
      </c>
      <c r="B1703" s="1" t="s">
        <v>12</v>
      </c>
      <c r="C1703" s="1" t="s">
        <v>23</v>
      </c>
      <c r="D1703" s="5">
        <v>45868</v>
      </c>
      <c r="E1703" s="6">
        <v>8654787456</v>
      </c>
      <c r="F1703" s="6">
        <v>1317786233</v>
      </c>
      <c r="G1703" s="6">
        <v>7337001223</v>
      </c>
      <c r="H1703" s="6">
        <v>1214596531</v>
      </c>
      <c r="I1703" s="7">
        <v>7440190925</v>
      </c>
    </row>
    <row r="1704" spans="1:9" ht="12" customHeight="1" thickBot="1" x14ac:dyDescent="0.25">
      <c r="A1704" s="1" t="s">
        <v>51</v>
      </c>
      <c r="B1704" s="1" t="s">
        <v>12</v>
      </c>
      <c r="C1704" s="1" t="s">
        <v>23</v>
      </c>
      <c r="D1704" s="5">
        <v>45869</v>
      </c>
      <c r="E1704" s="6">
        <v>8681301661</v>
      </c>
      <c r="F1704" s="6">
        <v>1286293506</v>
      </c>
      <c r="G1704" s="6">
        <v>7395008155</v>
      </c>
      <c r="H1704" s="6">
        <v>1192348695</v>
      </c>
      <c r="I1704" s="7">
        <v>7488952966</v>
      </c>
    </row>
    <row r="1705" spans="1:9" ht="12" customHeight="1" thickBot="1" x14ac:dyDescent="0.25">
      <c r="A1705" s="1" t="s">
        <v>51</v>
      </c>
      <c r="B1705" s="1" t="s">
        <v>12</v>
      </c>
      <c r="C1705" s="1" t="s">
        <v>23</v>
      </c>
      <c r="D1705" s="5">
        <v>45870</v>
      </c>
      <c r="E1705" s="6">
        <v>8645284149</v>
      </c>
      <c r="F1705" s="6">
        <v>1285455592</v>
      </c>
      <c r="G1705" s="6">
        <v>7359828557</v>
      </c>
      <c r="H1705" s="6">
        <v>1225489163</v>
      </c>
      <c r="I1705" s="7">
        <v>7419794986</v>
      </c>
    </row>
    <row r="1706" spans="1:9" ht="12" customHeight="1" thickBot="1" x14ac:dyDescent="0.25">
      <c r="A1706" s="1" t="s">
        <v>51</v>
      </c>
      <c r="B1706" s="1" t="s">
        <v>12</v>
      </c>
      <c r="C1706" s="1" t="s">
        <v>23</v>
      </c>
      <c r="D1706" s="5">
        <v>45871</v>
      </c>
      <c r="E1706" s="6">
        <v>8634702641</v>
      </c>
      <c r="F1706" s="6">
        <v>1311770762</v>
      </c>
      <c r="G1706" s="6">
        <v>7322931879</v>
      </c>
      <c r="H1706" s="6">
        <v>1223478568</v>
      </c>
      <c r="I1706" s="7">
        <v>7411224073</v>
      </c>
    </row>
    <row r="1707" spans="1:9" ht="12" customHeight="1" thickBot="1" x14ac:dyDescent="0.25">
      <c r="A1707" s="1" t="s">
        <v>51</v>
      </c>
      <c r="B1707" s="1" t="s">
        <v>12</v>
      </c>
      <c r="C1707" s="1" t="s">
        <v>23</v>
      </c>
      <c r="D1707" s="5">
        <v>45872</v>
      </c>
      <c r="E1707" s="6">
        <v>8659580699</v>
      </c>
      <c r="F1707" s="6">
        <v>1357497752</v>
      </c>
      <c r="G1707" s="6">
        <v>7302082947</v>
      </c>
      <c r="H1707" s="6">
        <v>1223478568</v>
      </c>
      <c r="I1707" s="7">
        <v>7436102131</v>
      </c>
    </row>
    <row r="1708" spans="1:9" ht="12" customHeight="1" thickBot="1" x14ac:dyDescent="0.25">
      <c r="A1708" s="1" t="s">
        <v>51</v>
      </c>
      <c r="B1708" s="1" t="s">
        <v>12</v>
      </c>
      <c r="C1708" s="1" t="s">
        <v>23</v>
      </c>
      <c r="D1708" s="5">
        <v>45873</v>
      </c>
      <c r="E1708" s="6">
        <v>8610838605</v>
      </c>
      <c r="F1708" s="6">
        <v>1329530423</v>
      </c>
      <c r="G1708" s="6">
        <v>7281308182</v>
      </c>
      <c r="H1708" s="6">
        <v>1226975688</v>
      </c>
      <c r="I1708" s="7">
        <v>7383862917</v>
      </c>
    </row>
    <row r="1709" spans="1:9" ht="12" customHeight="1" thickBot="1" x14ac:dyDescent="0.25">
      <c r="A1709" s="1" t="s">
        <v>51</v>
      </c>
      <c r="B1709" s="1" t="s">
        <v>12</v>
      </c>
      <c r="C1709" s="1" t="s">
        <v>23</v>
      </c>
      <c r="D1709" s="5">
        <v>45874</v>
      </c>
      <c r="E1709" s="6">
        <v>8585933505</v>
      </c>
      <c r="F1709" s="6">
        <v>1290135508</v>
      </c>
      <c r="G1709" s="6">
        <v>7295797997</v>
      </c>
      <c r="H1709" s="6">
        <v>1213489553</v>
      </c>
      <c r="I1709" s="7">
        <v>7372443952</v>
      </c>
    </row>
    <row r="1710" spans="1:9" ht="12" customHeight="1" thickBot="1" x14ac:dyDescent="0.25">
      <c r="A1710" s="1" t="s">
        <v>51</v>
      </c>
      <c r="B1710" s="1" t="s">
        <v>12</v>
      </c>
      <c r="C1710" s="1" t="s">
        <v>23</v>
      </c>
      <c r="D1710" s="5">
        <v>45875</v>
      </c>
      <c r="E1710" s="6">
        <v>8603853651</v>
      </c>
      <c r="F1710" s="6">
        <v>1278213826</v>
      </c>
      <c r="G1710" s="6">
        <v>7325639825</v>
      </c>
      <c r="H1710" s="6">
        <v>1187271271</v>
      </c>
      <c r="I1710" s="7">
        <v>7416582380</v>
      </c>
    </row>
    <row r="1711" spans="1:9" ht="12" customHeight="1" thickBot="1" x14ac:dyDescent="0.25">
      <c r="A1711" s="1" t="s">
        <v>51</v>
      </c>
      <c r="B1711" s="1" t="s">
        <v>12</v>
      </c>
      <c r="C1711" s="1" t="s">
        <v>23</v>
      </c>
      <c r="D1711" s="5">
        <v>45876</v>
      </c>
      <c r="E1711" s="6">
        <v>8588511040</v>
      </c>
      <c r="F1711" s="6">
        <v>1281536023</v>
      </c>
      <c r="G1711" s="6">
        <v>7306975017</v>
      </c>
      <c r="H1711" s="6">
        <v>1184515456</v>
      </c>
      <c r="I1711" s="7">
        <v>7403995584</v>
      </c>
    </row>
    <row r="1712" spans="1:9" ht="12" customHeight="1" thickBot="1" x14ac:dyDescent="0.25">
      <c r="A1712" s="1" t="s">
        <v>51</v>
      </c>
      <c r="B1712" s="1" t="s">
        <v>12</v>
      </c>
      <c r="C1712" s="1" t="s">
        <v>23</v>
      </c>
      <c r="D1712" s="5">
        <v>45877</v>
      </c>
      <c r="E1712" s="6">
        <v>8567951386</v>
      </c>
      <c r="F1712" s="6">
        <v>1289646491</v>
      </c>
      <c r="G1712" s="6">
        <v>7278304895</v>
      </c>
      <c r="H1712" s="6">
        <v>1193775050</v>
      </c>
      <c r="I1712" s="7">
        <v>7374176336</v>
      </c>
    </row>
    <row r="1713" spans="1:9" ht="12" customHeight="1" thickBot="1" x14ac:dyDescent="0.25">
      <c r="A1713" s="1" t="s">
        <v>51</v>
      </c>
      <c r="B1713" s="1" t="s">
        <v>12</v>
      </c>
      <c r="C1713" s="1" t="s">
        <v>23</v>
      </c>
      <c r="D1713" s="5">
        <v>45878</v>
      </c>
      <c r="E1713" s="6">
        <v>8515867036</v>
      </c>
      <c r="F1713" s="6">
        <v>1282421933</v>
      </c>
      <c r="G1713" s="6">
        <v>7233445103</v>
      </c>
      <c r="H1713" s="6">
        <v>1193775050</v>
      </c>
      <c r="I1713" s="7">
        <v>7322091986</v>
      </c>
    </row>
    <row r="1714" spans="1:9" ht="12" customHeight="1" thickBot="1" x14ac:dyDescent="0.25">
      <c r="A1714" s="1" t="s">
        <v>51</v>
      </c>
      <c r="B1714" s="1" t="s">
        <v>12</v>
      </c>
      <c r="C1714" s="1" t="s">
        <v>23</v>
      </c>
      <c r="D1714" s="5">
        <v>45879</v>
      </c>
      <c r="E1714" s="6">
        <v>8552351592</v>
      </c>
      <c r="F1714" s="6">
        <v>1282548888</v>
      </c>
      <c r="G1714" s="6">
        <v>7269802704</v>
      </c>
      <c r="H1714" s="6">
        <v>1184441279</v>
      </c>
      <c r="I1714" s="7">
        <v>7367910313</v>
      </c>
    </row>
    <row r="1715" spans="1:9" ht="12" customHeight="1" thickBot="1" x14ac:dyDescent="0.25">
      <c r="A1715" s="1" t="s">
        <v>51</v>
      </c>
      <c r="B1715" s="1" t="s">
        <v>12</v>
      </c>
      <c r="C1715" s="1" t="s">
        <v>23</v>
      </c>
      <c r="D1715" s="5">
        <v>45880</v>
      </c>
      <c r="E1715" s="6">
        <v>8506590539</v>
      </c>
      <c r="F1715" s="6">
        <v>1278694528</v>
      </c>
      <c r="G1715" s="6">
        <v>7227896011</v>
      </c>
      <c r="H1715" s="6">
        <v>1182409629</v>
      </c>
      <c r="I1715" s="7">
        <v>7324180910</v>
      </c>
    </row>
    <row r="1716" spans="1:9" ht="12" customHeight="1" thickBot="1" x14ac:dyDescent="0.25">
      <c r="A1716" s="1" t="s">
        <v>51</v>
      </c>
      <c r="B1716" s="1" t="s">
        <v>12</v>
      </c>
      <c r="C1716" s="1" t="s">
        <v>23</v>
      </c>
      <c r="D1716" s="5">
        <v>45881</v>
      </c>
      <c r="E1716" s="6">
        <v>8511759072</v>
      </c>
      <c r="F1716" s="6">
        <v>1327725188</v>
      </c>
      <c r="G1716" s="6">
        <v>7184033884</v>
      </c>
      <c r="H1716" s="6">
        <v>1181833015</v>
      </c>
      <c r="I1716" s="7">
        <v>7329926057</v>
      </c>
    </row>
    <row r="1717" spans="1:9" ht="12" customHeight="1" thickBot="1" x14ac:dyDescent="0.25">
      <c r="A1717" s="1" t="s">
        <v>51</v>
      </c>
      <c r="B1717" s="1" t="s">
        <v>12</v>
      </c>
      <c r="C1717" s="1" t="s">
        <v>23</v>
      </c>
      <c r="D1717" s="5">
        <v>45882</v>
      </c>
      <c r="E1717" s="6">
        <v>8518470272</v>
      </c>
      <c r="F1717" s="6">
        <v>1326029603</v>
      </c>
      <c r="G1717" s="6">
        <v>7192440669</v>
      </c>
      <c r="H1717" s="6">
        <v>1193507118</v>
      </c>
      <c r="I1717" s="7">
        <v>7324963154</v>
      </c>
    </row>
    <row r="1718" spans="1:9" ht="12" customHeight="1" thickBot="1" x14ac:dyDescent="0.25">
      <c r="A1718" s="1" t="s">
        <v>51</v>
      </c>
      <c r="B1718" s="1" t="s">
        <v>12</v>
      </c>
      <c r="C1718" s="1" t="s">
        <v>23</v>
      </c>
      <c r="D1718" s="5">
        <v>45883</v>
      </c>
      <c r="E1718" s="6">
        <v>8559321202</v>
      </c>
      <c r="F1718" s="6">
        <v>1332978162</v>
      </c>
      <c r="G1718" s="6">
        <v>7226343040</v>
      </c>
      <c r="H1718" s="6">
        <v>1193507118</v>
      </c>
      <c r="I1718" s="7">
        <v>7365814084</v>
      </c>
    </row>
    <row r="1719" spans="1:9" ht="12" customHeight="1" thickBot="1" x14ac:dyDescent="0.25">
      <c r="A1719" s="1" t="s">
        <v>51</v>
      </c>
      <c r="B1719" s="1" t="s">
        <v>12</v>
      </c>
      <c r="C1719" s="1" t="s">
        <v>23</v>
      </c>
      <c r="D1719" s="5">
        <v>45884</v>
      </c>
      <c r="E1719" s="6">
        <v>8570921064</v>
      </c>
      <c r="F1719" s="6">
        <v>1339825966</v>
      </c>
      <c r="G1719" s="6">
        <v>7231095098</v>
      </c>
      <c r="H1719" s="6">
        <v>1218896125</v>
      </c>
      <c r="I1719" s="7">
        <v>7352024939</v>
      </c>
    </row>
    <row r="1720" spans="1:9" ht="12" customHeight="1" thickBot="1" x14ac:dyDescent="0.25">
      <c r="A1720" s="1" t="s">
        <v>51</v>
      </c>
      <c r="B1720" s="1" t="s">
        <v>12</v>
      </c>
      <c r="C1720" s="1" t="s">
        <v>23</v>
      </c>
      <c r="D1720" s="5">
        <v>45885</v>
      </c>
      <c r="E1720" s="6">
        <v>8552176099</v>
      </c>
      <c r="F1720" s="6">
        <v>1382246725</v>
      </c>
      <c r="G1720" s="6">
        <v>7169929374</v>
      </c>
      <c r="H1720" s="6">
        <v>1208095222</v>
      </c>
      <c r="I1720" s="7">
        <v>7344080877</v>
      </c>
    </row>
    <row r="1721" spans="1:9" ht="12" customHeight="1" thickBot="1" x14ac:dyDescent="0.25">
      <c r="A1721" s="1" t="s">
        <v>51</v>
      </c>
      <c r="B1721" s="1" t="s">
        <v>12</v>
      </c>
      <c r="C1721" s="1" t="s">
        <v>23</v>
      </c>
      <c r="D1721" s="5">
        <v>45886</v>
      </c>
      <c r="E1721" s="6">
        <v>8554816993</v>
      </c>
      <c r="F1721" s="6">
        <v>1397735490</v>
      </c>
      <c r="G1721" s="6">
        <v>7157081503</v>
      </c>
      <c r="H1721" s="6">
        <v>1211790098</v>
      </c>
      <c r="I1721" s="7">
        <v>7343026895</v>
      </c>
    </row>
    <row r="1722" spans="1:9" ht="12" customHeight="1" thickBot="1" x14ac:dyDescent="0.25">
      <c r="A1722" s="1" t="s">
        <v>51</v>
      </c>
      <c r="B1722" s="1" t="s">
        <v>12</v>
      </c>
      <c r="C1722" s="1" t="s">
        <v>23</v>
      </c>
      <c r="D1722" s="5">
        <v>45887</v>
      </c>
      <c r="E1722" s="6">
        <v>8538106374</v>
      </c>
      <c r="F1722" s="6">
        <v>1299552181</v>
      </c>
      <c r="G1722" s="6">
        <v>7238554193</v>
      </c>
      <c r="H1722" s="6">
        <v>1177031970</v>
      </c>
      <c r="I1722" s="7">
        <v>7361074404</v>
      </c>
    </row>
    <row r="1723" spans="1:9" ht="12" customHeight="1" thickBot="1" x14ac:dyDescent="0.25">
      <c r="A1723" s="1" t="s">
        <v>51</v>
      </c>
      <c r="B1723" s="1" t="s">
        <v>12</v>
      </c>
      <c r="C1723" s="1" t="s">
        <v>23</v>
      </c>
      <c r="D1723" s="5">
        <v>45888</v>
      </c>
      <c r="E1723" s="6">
        <v>8542566216</v>
      </c>
      <c r="F1723" s="6">
        <v>1317423764</v>
      </c>
      <c r="G1723" s="6">
        <v>7225142452</v>
      </c>
      <c r="H1723" s="6">
        <v>1176557280</v>
      </c>
      <c r="I1723" s="7">
        <v>7366008936</v>
      </c>
    </row>
    <row r="1724" spans="1:9" ht="12" customHeight="1" thickBot="1" x14ac:dyDescent="0.25">
      <c r="A1724" s="1" t="s">
        <v>51</v>
      </c>
      <c r="B1724" s="1" t="s">
        <v>12</v>
      </c>
      <c r="C1724" s="1" t="s">
        <v>23</v>
      </c>
      <c r="D1724" s="5">
        <v>45889</v>
      </c>
      <c r="E1724" s="6">
        <v>8556409573</v>
      </c>
      <c r="F1724" s="6">
        <v>1392456582</v>
      </c>
      <c r="G1724" s="6">
        <v>7163952991</v>
      </c>
      <c r="H1724" s="6">
        <v>1180420782</v>
      </c>
      <c r="I1724" s="7">
        <v>7375988791</v>
      </c>
    </row>
    <row r="1725" spans="1:9" ht="12" customHeight="1" thickBot="1" x14ac:dyDescent="0.25">
      <c r="A1725" s="1" t="s">
        <v>51</v>
      </c>
      <c r="B1725" s="1" t="s">
        <v>12</v>
      </c>
      <c r="C1725" s="1" t="s">
        <v>23</v>
      </c>
      <c r="D1725" s="5">
        <v>45890</v>
      </c>
      <c r="E1725" s="6">
        <v>8579489287</v>
      </c>
      <c r="F1725" s="6">
        <v>1332118246</v>
      </c>
      <c r="G1725" s="6">
        <v>7247371041</v>
      </c>
      <c r="H1725" s="6">
        <v>1170644058</v>
      </c>
      <c r="I1725" s="7">
        <v>7408845229</v>
      </c>
    </row>
    <row r="1726" spans="1:9" ht="12" customHeight="1" thickBot="1" x14ac:dyDescent="0.25">
      <c r="A1726" s="1" t="s">
        <v>51</v>
      </c>
      <c r="B1726" s="1" t="s">
        <v>12</v>
      </c>
      <c r="C1726" s="1" t="s">
        <v>23</v>
      </c>
      <c r="D1726" s="5">
        <v>45891</v>
      </c>
      <c r="E1726" s="6">
        <v>8634405017</v>
      </c>
      <c r="F1726" s="6">
        <v>1302536957</v>
      </c>
      <c r="G1726" s="6">
        <v>7331868060</v>
      </c>
      <c r="H1726" s="6">
        <v>1171888415</v>
      </c>
      <c r="I1726" s="7">
        <v>7462516602</v>
      </c>
    </row>
    <row r="1727" spans="1:9" ht="12" customHeight="1" thickBot="1" x14ac:dyDescent="0.25">
      <c r="A1727" s="1" t="s">
        <v>51</v>
      </c>
      <c r="B1727" s="1" t="s">
        <v>12</v>
      </c>
      <c r="C1727" s="1" t="s">
        <v>23</v>
      </c>
      <c r="D1727" s="5">
        <v>45892</v>
      </c>
      <c r="E1727" s="6">
        <v>8613980393</v>
      </c>
      <c r="F1727" s="6">
        <v>1293624573</v>
      </c>
      <c r="G1727" s="6">
        <v>7320355820</v>
      </c>
      <c r="H1727" s="6">
        <v>1180085671</v>
      </c>
      <c r="I1727" s="7">
        <v>7433894722</v>
      </c>
    </row>
    <row r="1728" spans="1:9" ht="12" customHeight="1" thickBot="1" x14ac:dyDescent="0.25">
      <c r="A1728" s="1" t="s">
        <v>51</v>
      </c>
      <c r="B1728" s="1" t="s">
        <v>12</v>
      </c>
      <c r="C1728" s="1" t="s">
        <v>23</v>
      </c>
      <c r="D1728" s="5">
        <v>45893</v>
      </c>
      <c r="E1728" s="6">
        <v>8625973800</v>
      </c>
      <c r="F1728" s="6">
        <v>1273479384</v>
      </c>
      <c r="G1728" s="6">
        <v>7352494416</v>
      </c>
      <c r="H1728" s="6">
        <v>1177467814</v>
      </c>
      <c r="I1728" s="7">
        <v>7448505986</v>
      </c>
    </row>
    <row r="1729" spans="1:9" ht="12" customHeight="1" thickBot="1" x14ac:dyDescent="0.25">
      <c r="A1729" s="1" t="s">
        <v>51</v>
      </c>
      <c r="B1729" s="1" t="s">
        <v>12</v>
      </c>
      <c r="C1729" s="1" t="s">
        <v>23</v>
      </c>
      <c r="D1729" s="5">
        <v>45894</v>
      </c>
      <c r="E1729" s="6">
        <v>8615509067</v>
      </c>
      <c r="F1729" s="6">
        <v>1244212703</v>
      </c>
      <c r="G1729" s="6">
        <v>7371296364</v>
      </c>
      <c r="H1729" s="6">
        <v>1177203946</v>
      </c>
      <c r="I1729" s="7">
        <v>7438305121</v>
      </c>
    </row>
    <row r="1730" spans="1:9" ht="12" customHeight="1" thickBot="1" x14ac:dyDescent="0.25">
      <c r="A1730" s="1" t="s">
        <v>51</v>
      </c>
      <c r="B1730" s="1" t="s">
        <v>12</v>
      </c>
      <c r="C1730" s="1" t="s">
        <v>23</v>
      </c>
      <c r="D1730" s="5">
        <v>45895</v>
      </c>
      <c r="E1730" s="6">
        <v>8646849999</v>
      </c>
      <c r="F1730" s="6">
        <v>1258598134</v>
      </c>
      <c r="G1730" s="6">
        <v>7388251865</v>
      </c>
      <c r="H1730" s="6">
        <v>1177203946</v>
      </c>
      <c r="I1730" s="7">
        <v>7469646053</v>
      </c>
    </row>
    <row r="1731" spans="1:9" ht="12" customHeight="1" thickBot="1" x14ac:dyDescent="0.25">
      <c r="A1731" s="1" t="s">
        <v>51</v>
      </c>
      <c r="B1731" s="1" t="s">
        <v>12</v>
      </c>
      <c r="C1731" s="1" t="s">
        <v>23</v>
      </c>
      <c r="D1731" s="5">
        <v>45896</v>
      </c>
      <c r="E1731" s="6">
        <v>8620951950</v>
      </c>
      <c r="F1731" s="6">
        <v>1279773705</v>
      </c>
      <c r="G1731" s="6">
        <v>7341178245</v>
      </c>
      <c r="H1731" s="6">
        <v>1189599039</v>
      </c>
      <c r="I1731" s="7">
        <v>7431352911</v>
      </c>
    </row>
    <row r="1732" spans="1:9" ht="12" customHeight="1" thickBot="1" x14ac:dyDescent="0.25">
      <c r="A1732" s="1" t="s">
        <v>51</v>
      </c>
      <c r="B1732" s="1" t="s">
        <v>12</v>
      </c>
      <c r="C1732" s="1" t="s">
        <v>23</v>
      </c>
      <c r="D1732" s="5">
        <v>45897</v>
      </c>
      <c r="E1732" s="6">
        <v>8561487982</v>
      </c>
      <c r="F1732" s="6">
        <v>1285354682</v>
      </c>
      <c r="G1732" s="6">
        <v>7276133300</v>
      </c>
      <c r="H1732" s="6">
        <v>1189534039</v>
      </c>
      <c r="I1732" s="7">
        <v>7371953943</v>
      </c>
    </row>
    <row r="1733" spans="1:9" ht="12" customHeight="1" thickBot="1" x14ac:dyDescent="0.25">
      <c r="A1733" s="1" t="s">
        <v>51</v>
      </c>
      <c r="B1733" s="1" t="s">
        <v>12</v>
      </c>
      <c r="C1733" s="1" t="s">
        <v>23</v>
      </c>
      <c r="D1733" s="5">
        <v>45898</v>
      </c>
      <c r="E1733" s="6">
        <v>8515029860</v>
      </c>
      <c r="F1733" s="6">
        <v>1296223547</v>
      </c>
      <c r="G1733" s="6">
        <v>7218806313</v>
      </c>
      <c r="H1733" s="6">
        <v>1144955891</v>
      </c>
      <c r="I1733" s="7">
        <v>7370073969</v>
      </c>
    </row>
    <row r="1734" spans="1:9" ht="12" customHeight="1" thickBot="1" x14ac:dyDescent="0.25">
      <c r="A1734" s="1" t="s">
        <v>51</v>
      </c>
      <c r="B1734" s="1" t="s">
        <v>12</v>
      </c>
      <c r="C1734" s="1" t="s">
        <v>23</v>
      </c>
      <c r="D1734" s="5">
        <v>45899</v>
      </c>
      <c r="E1734" s="6">
        <v>8536842068</v>
      </c>
      <c r="F1734" s="6">
        <v>1221800598</v>
      </c>
      <c r="G1734" s="6">
        <v>7315041470</v>
      </c>
      <c r="H1734" s="6">
        <v>1144955891</v>
      </c>
      <c r="I1734" s="7">
        <v>7391886177</v>
      </c>
    </row>
    <row r="1735" spans="1:9" ht="12" customHeight="1" thickBot="1" x14ac:dyDescent="0.25">
      <c r="A1735" s="1" t="s">
        <v>51</v>
      </c>
      <c r="B1735" s="1" t="s">
        <v>12</v>
      </c>
      <c r="C1735" s="1" t="s">
        <v>23</v>
      </c>
      <c r="D1735" s="5">
        <v>45900</v>
      </c>
      <c r="E1735" s="6">
        <v>8566448509</v>
      </c>
      <c r="F1735" s="6">
        <v>1213478619</v>
      </c>
      <c r="G1735" s="6">
        <v>7352969890</v>
      </c>
      <c r="H1735" s="6">
        <v>1143955891</v>
      </c>
      <c r="I1735" s="7">
        <v>7422492618</v>
      </c>
    </row>
    <row r="1736" spans="1:9" ht="12" customHeight="1" thickBot="1" x14ac:dyDescent="0.25">
      <c r="A1736" s="1" t="s">
        <v>51</v>
      </c>
      <c r="B1736" s="1" t="s">
        <v>12</v>
      </c>
      <c r="C1736" s="1" t="s">
        <v>23</v>
      </c>
      <c r="D1736" s="5">
        <v>45901</v>
      </c>
      <c r="E1736" s="6">
        <v>8586036564</v>
      </c>
      <c r="F1736" s="6">
        <v>1207563383</v>
      </c>
      <c r="G1736" s="6">
        <v>7378473181</v>
      </c>
      <c r="H1736" s="6">
        <v>1143007875</v>
      </c>
      <c r="I1736" s="7">
        <v>7443028689</v>
      </c>
    </row>
    <row r="1737" spans="1:9" ht="12" customHeight="1" thickBot="1" x14ac:dyDescent="0.25">
      <c r="A1737" s="1" t="s">
        <v>51</v>
      </c>
      <c r="B1737" s="1" t="s">
        <v>12</v>
      </c>
      <c r="C1737" s="1" t="s">
        <v>23</v>
      </c>
      <c r="D1737" s="5">
        <v>45902</v>
      </c>
      <c r="E1737" s="6">
        <v>8596536564</v>
      </c>
      <c r="F1737" s="6">
        <v>1196442589</v>
      </c>
      <c r="G1737" s="6">
        <v>7400093975</v>
      </c>
      <c r="H1737" s="6">
        <v>1131887081</v>
      </c>
      <c r="I1737" s="7">
        <v>7464649483</v>
      </c>
    </row>
    <row r="1738" spans="1:9" ht="12" customHeight="1" thickBot="1" x14ac:dyDescent="0.25">
      <c r="A1738" s="1" t="s">
        <v>51</v>
      </c>
      <c r="B1738" s="1" t="s">
        <v>12</v>
      </c>
      <c r="C1738" s="1" t="s">
        <v>23</v>
      </c>
      <c r="D1738" s="5">
        <v>45903</v>
      </c>
      <c r="E1738" s="6">
        <v>8548937831</v>
      </c>
      <c r="F1738" s="6">
        <v>1187561896</v>
      </c>
      <c r="G1738" s="6">
        <v>7361375935</v>
      </c>
      <c r="H1738" s="6">
        <v>1131887081</v>
      </c>
      <c r="I1738" s="7">
        <v>7417050750</v>
      </c>
    </row>
    <row r="1739" spans="1:9" ht="12" customHeight="1" thickBot="1" x14ac:dyDescent="0.25">
      <c r="A1739" s="1" t="s">
        <v>51</v>
      </c>
      <c r="B1739" s="1" t="s">
        <v>12</v>
      </c>
      <c r="C1739" s="1" t="s">
        <v>23</v>
      </c>
      <c r="D1739" s="5">
        <v>45904</v>
      </c>
      <c r="E1739" s="6">
        <v>8545250549</v>
      </c>
      <c r="F1739" s="6">
        <v>1286372525</v>
      </c>
      <c r="G1739" s="6">
        <v>7258878024</v>
      </c>
      <c r="H1739" s="6">
        <v>1123715994</v>
      </c>
      <c r="I1739" s="7">
        <v>7421534555</v>
      </c>
    </row>
    <row r="1740" spans="1:9" ht="12" customHeight="1" thickBot="1" x14ac:dyDescent="0.25">
      <c r="A1740" s="1" t="s">
        <v>51</v>
      </c>
      <c r="B1740" s="1" t="s">
        <v>12</v>
      </c>
      <c r="C1740" s="1" t="s">
        <v>23</v>
      </c>
      <c r="D1740" s="5">
        <v>45905</v>
      </c>
      <c r="E1740" s="6">
        <v>8540628144</v>
      </c>
      <c r="F1740" s="6">
        <v>1266166384</v>
      </c>
      <c r="G1740" s="6">
        <v>7274461760</v>
      </c>
      <c r="H1740" s="6">
        <v>1134488645</v>
      </c>
      <c r="I1740" s="7">
        <v>7406139499</v>
      </c>
    </row>
    <row r="1741" spans="1:9" ht="12" customHeight="1" thickBot="1" x14ac:dyDescent="0.25">
      <c r="A1741" s="1" t="s">
        <v>51</v>
      </c>
      <c r="B1741" s="1" t="s">
        <v>12</v>
      </c>
      <c r="C1741" s="1" t="s">
        <v>23</v>
      </c>
      <c r="D1741" s="5">
        <v>45906</v>
      </c>
      <c r="E1741" s="6">
        <v>8535952295</v>
      </c>
      <c r="F1741" s="6">
        <v>1328725197</v>
      </c>
      <c r="G1741" s="6">
        <v>7207227098</v>
      </c>
      <c r="H1741" s="6">
        <v>1144431526</v>
      </c>
      <c r="I1741" s="7">
        <v>7391520769</v>
      </c>
    </row>
    <row r="1742" spans="1:9" ht="12" customHeight="1" thickBot="1" x14ac:dyDescent="0.25">
      <c r="A1742" s="1" t="s">
        <v>51</v>
      </c>
      <c r="B1742" s="1" t="s">
        <v>12</v>
      </c>
      <c r="C1742" s="1" t="s">
        <v>23</v>
      </c>
      <c r="D1742" s="5">
        <v>45907</v>
      </c>
      <c r="E1742" s="6">
        <v>8525816547</v>
      </c>
      <c r="F1742" s="6">
        <v>1291316929</v>
      </c>
      <c r="G1742" s="6">
        <v>7234499618</v>
      </c>
      <c r="H1742" s="6">
        <v>1144431526</v>
      </c>
      <c r="I1742" s="7">
        <v>7381385021</v>
      </c>
    </row>
    <row r="1743" spans="1:9" ht="12" customHeight="1" thickBot="1" x14ac:dyDescent="0.25">
      <c r="A1743" s="1" t="s">
        <v>51</v>
      </c>
      <c r="B1743" s="1" t="s">
        <v>12</v>
      </c>
      <c r="C1743" s="1" t="s">
        <v>23</v>
      </c>
      <c r="D1743" s="5">
        <v>45908</v>
      </c>
      <c r="E1743" s="6">
        <v>8570748675</v>
      </c>
      <c r="F1743" s="6">
        <v>1286499467</v>
      </c>
      <c r="G1743" s="6">
        <v>7284249208</v>
      </c>
      <c r="H1743" s="6">
        <v>1175226994</v>
      </c>
      <c r="I1743" s="7">
        <v>7395521681</v>
      </c>
    </row>
    <row r="1744" spans="1:9" ht="12" customHeight="1" thickBot="1" x14ac:dyDescent="0.25">
      <c r="A1744" s="1" t="s">
        <v>51</v>
      </c>
      <c r="B1744" s="1" t="s">
        <v>12</v>
      </c>
      <c r="C1744" s="1" t="s">
        <v>23</v>
      </c>
      <c r="D1744" s="5">
        <v>45909</v>
      </c>
      <c r="E1744" s="6">
        <v>8604415135</v>
      </c>
      <c r="F1744" s="6">
        <v>1290691462</v>
      </c>
      <c r="G1744" s="6">
        <v>7313723673</v>
      </c>
      <c r="H1744" s="6">
        <v>1175226994</v>
      </c>
      <c r="I1744" s="7">
        <v>7429188141</v>
      </c>
    </row>
    <row r="1745" spans="1:9" ht="12" customHeight="1" thickBot="1" x14ac:dyDescent="0.25">
      <c r="A1745" s="1" t="s">
        <v>51</v>
      </c>
      <c r="B1745" s="1" t="s">
        <v>12</v>
      </c>
      <c r="C1745" s="1" t="s">
        <v>23</v>
      </c>
      <c r="D1745" s="5">
        <v>45910</v>
      </c>
      <c r="E1745" s="6">
        <v>8549091130</v>
      </c>
      <c r="F1745" s="6">
        <v>1278921326</v>
      </c>
      <c r="G1745" s="6">
        <v>7270169804</v>
      </c>
      <c r="H1745" s="6">
        <v>1175027472</v>
      </c>
      <c r="I1745" s="7">
        <v>7374063658</v>
      </c>
    </row>
    <row r="1746" spans="1:9" ht="12" customHeight="1" thickBot="1" x14ac:dyDescent="0.25">
      <c r="A1746" s="1" t="s">
        <v>51</v>
      </c>
      <c r="B1746" s="1" t="s">
        <v>12</v>
      </c>
      <c r="C1746" s="1" t="s">
        <v>23</v>
      </c>
      <c r="D1746" s="5">
        <v>45911</v>
      </c>
      <c r="E1746" s="6">
        <v>8614846623</v>
      </c>
      <c r="F1746" s="6">
        <v>1292419379</v>
      </c>
      <c r="G1746" s="6">
        <v>7322427244</v>
      </c>
      <c r="H1746" s="6">
        <v>1175027472</v>
      </c>
      <c r="I1746" s="7">
        <v>7439819151</v>
      </c>
    </row>
    <row r="1747" spans="1:9" ht="12" customHeight="1" thickBot="1" x14ac:dyDescent="0.25">
      <c r="A1747" s="1" t="s">
        <v>51</v>
      </c>
      <c r="B1747" s="1" t="s">
        <v>12</v>
      </c>
      <c r="C1747" s="1" t="s">
        <v>23</v>
      </c>
      <c r="D1747" s="5">
        <v>45912</v>
      </c>
      <c r="E1747" s="6">
        <v>8637061092</v>
      </c>
      <c r="F1747" s="6">
        <v>1308413049</v>
      </c>
      <c r="G1747" s="6">
        <v>7328648043</v>
      </c>
      <c r="H1747" s="6">
        <v>1174066060</v>
      </c>
      <c r="I1747" s="7">
        <v>7462995032</v>
      </c>
    </row>
    <row r="1748" spans="1:9" ht="12" customHeight="1" thickBot="1" x14ac:dyDescent="0.25">
      <c r="A1748" s="1" t="s">
        <v>51</v>
      </c>
      <c r="B1748" s="1" t="s">
        <v>12</v>
      </c>
      <c r="C1748" s="1" t="s">
        <v>23</v>
      </c>
      <c r="D1748" s="5">
        <v>45913</v>
      </c>
      <c r="E1748" s="6">
        <v>8631430444</v>
      </c>
      <c r="F1748" s="6">
        <v>1301338814</v>
      </c>
      <c r="G1748" s="6">
        <v>7330091630</v>
      </c>
      <c r="H1748" s="6">
        <v>1172460635</v>
      </c>
      <c r="I1748" s="7">
        <v>7458969809</v>
      </c>
    </row>
    <row r="1749" spans="1:9" ht="12" customHeight="1" thickBot="1" x14ac:dyDescent="0.25">
      <c r="A1749" s="1" t="s">
        <v>51</v>
      </c>
      <c r="B1749" s="1" t="s">
        <v>12</v>
      </c>
      <c r="C1749" s="1" t="s">
        <v>23</v>
      </c>
      <c r="D1749" s="5">
        <v>45914</v>
      </c>
      <c r="E1749" s="6">
        <v>8619401869</v>
      </c>
      <c r="F1749" s="6">
        <v>1311994110</v>
      </c>
      <c r="G1749" s="6">
        <v>7307407759</v>
      </c>
      <c r="H1749" s="6">
        <v>1206884847</v>
      </c>
      <c r="I1749" s="7">
        <v>7412517022</v>
      </c>
    </row>
    <row r="1750" spans="1:9" ht="12" customHeight="1" thickBot="1" x14ac:dyDescent="0.25">
      <c r="A1750" s="1" t="s">
        <v>51</v>
      </c>
      <c r="B1750" s="1" t="s">
        <v>12</v>
      </c>
      <c r="C1750" s="1" t="s">
        <v>23</v>
      </c>
      <c r="D1750" s="5">
        <v>45915</v>
      </c>
      <c r="E1750" s="6">
        <v>8586501352</v>
      </c>
      <c r="F1750" s="6">
        <v>1298496057</v>
      </c>
      <c r="G1750" s="6">
        <v>7288005295</v>
      </c>
      <c r="H1750" s="6">
        <v>1201598271</v>
      </c>
      <c r="I1750" s="7">
        <v>7384903081</v>
      </c>
    </row>
    <row r="1751" spans="1:9" ht="12" customHeight="1" thickBot="1" x14ac:dyDescent="0.25">
      <c r="A1751" s="1" t="s">
        <v>51</v>
      </c>
      <c r="B1751" s="1" t="s">
        <v>12</v>
      </c>
      <c r="C1751" s="1" t="s">
        <v>23</v>
      </c>
      <c r="D1751" s="5">
        <v>45916</v>
      </c>
      <c r="E1751" s="6">
        <v>8564303012</v>
      </c>
      <c r="F1751" s="6">
        <v>1385077949</v>
      </c>
      <c r="G1751" s="6">
        <v>7179225063</v>
      </c>
      <c r="H1751" s="6">
        <v>1215084273</v>
      </c>
      <c r="I1751" s="7">
        <v>7349218739</v>
      </c>
    </row>
    <row r="1752" spans="1:9" ht="12" customHeight="1" thickBot="1" x14ac:dyDescent="0.25">
      <c r="A1752" s="1" t="s">
        <v>51</v>
      </c>
      <c r="B1752" s="1" t="s">
        <v>12</v>
      </c>
      <c r="C1752" s="1" t="s">
        <v>23</v>
      </c>
      <c r="D1752" s="5">
        <v>45917</v>
      </c>
      <c r="E1752" s="6">
        <v>8566019984</v>
      </c>
      <c r="F1752" s="6">
        <v>1355079908</v>
      </c>
      <c r="G1752" s="6">
        <v>7210940076</v>
      </c>
      <c r="H1752" s="6">
        <v>1226546157</v>
      </c>
      <c r="I1752" s="7">
        <v>7339473827</v>
      </c>
    </row>
    <row r="1753" spans="1:9" ht="12" customHeight="1" thickBot="1" x14ac:dyDescent="0.25">
      <c r="A1753" s="1" t="s">
        <v>51</v>
      </c>
      <c r="B1753" s="1" t="s">
        <v>12</v>
      </c>
      <c r="C1753" s="1" t="s">
        <v>23</v>
      </c>
      <c r="D1753" s="5">
        <v>45918</v>
      </c>
      <c r="E1753" s="6">
        <v>8520560814</v>
      </c>
      <c r="F1753" s="6">
        <v>1341609128</v>
      </c>
      <c r="G1753" s="6">
        <v>7178951686</v>
      </c>
      <c r="H1753" s="6">
        <v>1215879103</v>
      </c>
      <c r="I1753" s="7">
        <v>7304681711</v>
      </c>
    </row>
    <row r="1754" spans="1:9" ht="12" customHeight="1" thickBot="1" x14ac:dyDescent="0.25">
      <c r="A1754" s="1" t="s">
        <v>51</v>
      </c>
      <c r="B1754" s="1" t="s">
        <v>12</v>
      </c>
      <c r="C1754" s="1" t="s">
        <v>23</v>
      </c>
      <c r="D1754" s="5">
        <v>45919</v>
      </c>
      <c r="E1754" s="6">
        <v>8492581053</v>
      </c>
      <c r="F1754" s="6">
        <v>1370170253</v>
      </c>
      <c r="G1754" s="6">
        <v>7122410800</v>
      </c>
      <c r="H1754" s="6">
        <v>1226809449</v>
      </c>
      <c r="I1754" s="7">
        <v>7265771604</v>
      </c>
    </row>
    <row r="1755" spans="1:9" ht="12" customHeight="1" thickBot="1" x14ac:dyDescent="0.25">
      <c r="A1755" s="1" t="s">
        <v>51</v>
      </c>
      <c r="B1755" s="1" t="s">
        <v>12</v>
      </c>
      <c r="C1755" s="1" t="s">
        <v>23</v>
      </c>
      <c r="D1755" s="5">
        <v>45920</v>
      </c>
      <c r="E1755" s="6">
        <v>8477948613</v>
      </c>
      <c r="F1755" s="6">
        <v>1402544822</v>
      </c>
      <c r="G1755" s="6">
        <v>7075403791</v>
      </c>
      <c r="H1755" s="6">
        <v>1226809449</v>
      </c>
      <c r="I1755" s="7">
        <v>7251139164</v>
      </c>
    </row>
    <row r="1756" spans="1:9" ht="12" customHeight="1" thickBot="1" x14ac:dyDescent="0.25">
      <c r="A1756" s="1" t="s">
        <v>51</v>
      </c>
      <c r="B1756" s="1" t="s">
        <v>12</v>
      </c>
      <c r="C1756" s="1" t="s">
        <v>23</v>
      </c>
      <c r="D1756" s="5">
        <v>45921</v>
      </c>
      <c r="E1756" s="6">
        <v>8489292308</v>
      </c>
      <c r="F1756" s="6">
        <v>1407161800</v>
      </c>
      <c r="G1756" s="6">
        <v>7082130508</v>
      </c>
      <c r="H1756" s="6">
        <v>1224850806</v>
      </c>
      <c r="I1756" s="7">
        <v>7264441502</v>
      </c>
    </row>
    <row r="1757" spans="1:9" ht="12" customHeight="1" thickBot="1" x14ac:dyDescent="0.25">
      <c r="A1757" s="1" t="s">
        <v>51</v>
      </c>
      <c r="B1757" s="1" t="s">
        <v>12</v>
      </c>
      <c r="C1757" s="1" t="s">
        <v>23</v>
      </c>
      <c r="D1757" s="5">
        <v>45922</v>
      </c>
      <c r="E1757" s="6">
        <v>8430124356</v>
      </c>
      <c r="F1757" s="6">
        <v>1390449078</v>
      </c>
      <c r="G1757" s="6">
        <v>7039675278</v>
      </c>
      <c r="H1757" s="6">
        <v>1236185578</v>
      </c>
      <c r="I1757" s="7">
        <v>7193938778</v>
      </c>
    </row>
    <row r="1758" spans="1:9" ht="12" customHeight="1" thickBot="1" x14ac:dyDescent="0.25">
      <c r="A1758" s="1" t="s">
        <v>51</v>
      </c>
      <c r="B1758" s="1" t="s">
        <v>12</v>
      </c>
      <c r="C1758" s="1" t="s">
        <v>23</v>
      </c>
      <c r="D1758" s="5">
        <v>45923</v>
      </c>
      <c r="E1758" s="6">
        <v>8453724427</v>
      </c>
      <c r="F1758" s="6">
        <v>1458991602</v>
      </c>
      <c r="G1758" s="6">
        <v>6994732825</v>
      </c>
      <c r="H1758" s="6">
        <v>1236185578</v>
      </c>
      <c r="I1758" s="7">
        <v>7217538849</v>
      </c>
    </row>
    <row r="1759" spans="1:9" ht="12" customHeight="1" thickBot="1" x14ac:dyDescent="0.25">
      <c r="A1759" s="1" t="s">
        <v>51</v>
      </c>
      <c r="B1759" s="1" t="s">
        <v>12</v>
      </c>
      <c r="C1759" s="1" t="s">
        <v>23</v>
      </c>
      <c r="D1759" s="5">
        <v>45924</v>
      </c>
      <c r="E1759" s="6">
        <v>8483772589</v>
      </c>
      <c r="F1759" s="6">
        <v>1435284044</v>
      </c>
      <c r="G1759" s="6">
        <v>7048488545</v>
      </c>
      <c r="H1759" s="6">
        <v>1236185578</v>
      </c>
      <c r="I1759" s="7">
        <v>7247587011</v>
      </c>
    </row>
    <row r="1760" spans="1:9" ht="12" customHeight="1" thickBot="1" x14ac:dyDescent="0.25">
      <c r="A1760" s="1" t="s">
        <v>51</v>
      </c>
      <c r="B1760" s="1" t="s">
        <v>12</v>
      </c>
      <c r="C1760" s="1" t="s">
        <v>23</v>
      </c>
      <c r="D1760" s="5">
        <v>45925</v>
      </c>
      <c r="E1760" s="6">
        <v>8503603564</v>
      </c>
      <c r="F1760" s="6">
        <v>1429127984</v>
      </c>
      <c r="G1760" s="6">
        <v>7074475580</v>
      </c>
      <c r="H1760" s="6">
        <v>1226243447</v>
      </c>
      <c r="I1760" s="7">
        <v>7277360117</v>
      </c>
    </row>
    <row r="1761" spans="1:9" ht="12" customHeight="1" thickBot="1" x14ac:dyDescent="0.25">
      <c r="A1761" s="1" t="s">
        <v>51</v>
      </c>
      <c r="B1761" s="1" t="s">
        <v>12</v>
      </c>
      <c r="C1761" s="1" t="s">
        <v>23</v>
      </c>
      <c r="D1761" s="5">
        <v>45926</v>
      </c>
      <c r="E1761" s="6">
        <v>8500093207</v>
      </c>
      <c r="F1761" s="6">
        <v>1419161551</v>
      </c>
      <c r="G1761" s="6">
        <v>7080931656</v>
      </c>
      <c r="H1761" s="6">
        <v>1267271410</v>
      </c>
      <c r="I1761" s="7">
        <v>7232821797</v>
      </c>
    </row>
    <row r="1762" spans="1:9" ht="12" customHeight="1" thickBot="1" x14ac:dyDescent="0.25">
      <c r="A1762" s="1" t="s">
        <v>51</v>
      </c>
      <c r="B1762" s="1" t="s">
        <v>12</v>
      </c>
      <c r="C1762" s="1" t="s">
        <v>23</v>
      </c>
      <c r="D1762" s="5">
        <v>45927</v>
      </c>
      <c r="E1762" s="6">
        <v>8485329297</v>
      </c>
      <c r="F1762" s="6">
        <v>1409469954</v>
      </c>
      <c r="G1762" s="6">
        <v>7075859343</v>
      </c>
      <c r="H1762" s="6">
        <v>1273008616</v>
      </c>
      <c r="I1762" s="7">
        <v>7212320681</v>
      </c>
    </row>
    <row r="1763" spans="1:9" ht="12" customHeight="1" thickBot="1" x14ac:dyDescent="0.25">
      <c r="A1763" s="1" t="s">
        <v>51</v>
      </c>
      <c r="B1763" s="1" t="s">
        <v>12</v>
      </c>
      <c r="C1763" s="1" t="s">
        <v>23</v>
      </c>
      <c r="D1763" s="5">
        <v>45928</v>
      </c>
      <c r="E1763" s="6">
        <v>8471708372</v>
      </c>
      <c r="F1763" s="6">
        <v>1420448138</v>
      </c>
      <c r="G1763" s="6">
        <v>7051260234</v>
      </c>
      <c r="H1763" s="6">
        <v>1278696147</v>
      </c>
      <c r="I1763" s="7">
        <v>7193012225</v>
      </c>
    </row>
    <row r="1764" spans="1:9" ht="12" customHeight="1" thickBot="1" x14ac:dyDescent="0.25">
      <c r="A1764" s="1" t="s">
        <v>51</v>
      </c>
      <c r="B1764" s="1" t="s">
        <v>12</v>
      </c>
      <c r="C1764" s="1" t="s">
        <v>23</v>
      </c>
      <c r="D1764" s="5">
        <v>45929</v>
      </c>
      <c r="E1764" s="6">
        <v>8425307962</v>
      </c>
      <c r="F1764" s="6">
        <v>1396191830</v>
      </c>
      <c r="G1764" s="6">
        <v>7029116132</v>
      </c>
      <c r="H1764" s="6">
        <v>1288900864</v>
      </c>
      <c r="I1764" s="7">
        <v>7136407098</v>
      </c>
    </row>
    <row r="1765" spans="1:9" ht="12" customHeight="1" thickBot="1" x14ac:dyDescent="0.25">
      <c r="A1765" s="1" t="s">
        <v>51</v>
      </c>
      <c r="B1765" s="1" t="s">
        <v>12</v>
      </c>
      <c r="C1765" s="1" t="s">
        <v>23</v>
      </c>
      <c r="D1765" s="5">
        <v>45930</v>
      </c>
      <c r="E1765" s="6">
        <v>8412852749</v>
      </c>
      <c r="F1765" s="6">
        <v>1435896195</v>
      </c>
      <c r="G1765" s="6">
        <v>6976956554</v>
      </c>
      <c r="H1765" s="6">
        <v>1296847195</v>
      </c>
      <c r="I1765" s="7">
        <v>7116005554</v>
      </c>
    </row>
    <row r="1766" spans="1:9" ht="12" customHeight="1" thickBot="1" x14ac:dyDescent="0.25">
      <c r="A1766" s="1" t="s">
        <v>52</v>
      </c>
      <c r="B1766" s="1" t="s">
        <v>37</v>
      </c>
      <c r="C1766" s="1" t="s">
        <v>23</v>
      </c>
      <c r="D1766" s="5">
        <v>45839</v>
      </c>
      <c r="E1766" s="6">
        <v>488360299</v>
      </c>
      <c r="F1766" s="6">
        <v>97440085</v>
      </c>
      <c r="G1766" s="6">
        <v>390920214</v>
      </c>
      <c r="H1766" s="6">
        <v>86444258</v>
      </c>
      <c r="I1766" s="7">
        <v>401916041</v>
      </c>
    </row>
    <row r="1767" spans="1:9" ht="12" customHeight="1" thickBot="1" x14ac:dyDescent="0.25">
      <c r="A1767" s="1" t="s">
        <v>52</v>
      </c>
      <c r="B1767" s="1" t="s">
        <v>37</v>
      </c>
      <c r="C1767" s="1" t="s">
        <v>23</v>
      </c>
      <c r="D1767" s="5">
        <v>45840</v>
      </c>
      <c r="E1767" s="6">
        <v>458360299</v>
      </c>
      <c r="F1767" s="6">
        <v>97440085</v>
      </c>
      <c r="G1767" s="6">
        <v>360920214</v>
      </c>
      <c r="H1767" s="6">
        <v>86444258</v>
      </c>
      <c r="I1767" s="7">
        <v>371916041</v>
      </c>
    </row>
    <row r="1768" spans="1:9" ht="12" customHeight="1" thickBot="1" x14ac:dyDescent="0.25">
      <c r="A1768" s="1" t="s">
        <v>52</v>
      </c>
      <c r="B1768" s="1" t="s">
        <v>37</v>
      </c>
      <c r="C1768" s="1" t="s">
        <v>23</v>
      </c>
      <c r="D1768" s="5">
        <v>45841</v>
      </c>
      <c r="E1768" s="6">
        <v>528360299</v>
      </c>
      <c r="F1768" s="6">
        <v>97440085</v>
      </c>
      <c r="G1768" s="6">
        <v>430920214</v>
      </c>
      <c r="H1768" s="6">
        <v>86444258</v>
      </c>
      <c r="I1768" s="7">
        <v>441916041</v>
      </c>
    </row>
    <row r="1769" spans="1:9" ht="12" customHeight="1" thickBot="1" x14ac:dyDescent="0.25">
      <c r="A1769" s="1" t="s">
        <v>52</v>
      </c>
      <c r="B1769" s="1" t="s">
        <v>37</v>
      </c>
      <c r="C1769" s="1" t="s">
        <v>23</v>
      </c>
      <c r="D1769" s="5">
        <v>45842</v>
      </c>
      <c r="E1769" s="6">
        <v>552860299</v>
      </c>
      <c r="F1769" s="6">
        <v>100940085</v>
      </c>
      <c r="G1769" s="6">
        <v>451920214</v>
      </c>
      <c r="H1769" s="6">
        <v>83944258</v>
      </c>
      <c r="I1769" s="7">
        <v>468916041</v>
      </c>
    </row>
    <row r="1770" spans="1:9" ht="12" customHeight="1" thickBot="1" x14ac:dyDescent="0.25">
      <c r="A1770" s="1" t="s">
        <v>52</v>
      </c>
      <c r="B1770" s="1" t="s">
        <v>37</v>
      </c>
      <c r="C1770" s="1" t="s">
        <v>23</v>
      </c>
      <c r="D1770" s="5">
        <v>45843</v>
      </c>
      <c r="E1770" s="6">
        <v>522860299</v>
      </c>
      <c r="F1770" s="6">
        <v>100940085</v>
      </c>
      <c r="G1770" s="6">
        <v>421920214</v>
      </c>
      <c r="H1770" s="6">
        <v>83944258</v>
      </c>
      <c r="I1770" s="7">
        <v>438916041</v>
      </c>
    </row>
    <row r="1771" spans="1:9" ht="12" customHeight="1" thickBot="1" x14ac:dyDescent="0.25">
      <c r="A1771" s="1" t="s">
        <v>52</v>
      </c>
      <c r="B1771" s="1" t="s">
        <v>37</v>
      </c>
      <c r="C1771" s="1" t="s">
        <v>23</v>
      </c>
      <c r="D1771" s="5">
        <v>45844</v>
      </c>
      <c r="E1771" s="6">
        <v>512860299</v>
      </c>
      <c r="F1771" s="6">
        <v>100940085</v>
      </c>
      <c r="G1771" s="6">
        <v>411920214</v>
      </c>
      <c r="H1771" s="6">
        <v>83944258</v>
      </c>
      <c r="I1771" s="7">
        <v>428916041</v>
      </c>
    </row>
    <row r="1772" spans="1:9" ht="12" customHeight="1" thickBot="1" x14ac:dyDescent="0.25">
      <c r="A1772" s="1" t="s">
        <v>52</v>
      </c>
      <c r="B1772" s="1" t="s">
        <v>37</v>
      </c>
      <c r="C1772" s="1" t="s">
        <v>23</v>
      </c>
      <c r="D1772" s="5">
        <v>45845</v>
      </c>
      <c r="E1772" s="6">
        <v>559860299</v>
      </c>
      <c r="F1772" s="6">
        <v>100940085</v>
      </c>
      <c r="G1772" s="6">
        <v>458920214</v>
      </c>
      <c r="H1772" s="6">
        <v>83944258</v>
      </c>
      <c r="I1772" s="7">
        <v>475916041</v>
      </c>
    </row>
    <row r="1773" spans="1:9" ht="12" customHeight="1" thickBot="1" x14ac:dyDescent="0.25">
      <c r="A1773" s="1" t="s">
        <v>52</v>
      </c>
      <c r="B1773" s="1" t="s">
        <v>37</v>
      </c>
      <c r="C1773" s="1" t="s">
        <v>23</v>
      </c>
      <c r="D1773" s="5">
        <v>45846</v>
      </c>
      <c r="E1773" s="6">
        <v>542860299</v>
      </c>
      <c r="F1773" s="6">
        <v>100940085</v>
      </c>
      <c r="G1773" s="6">
        <v>441920214</v>
      </c>
      <c r="H1773" s="6">
        <v>83944258</v>
      </c>
      <c r="I1773" s="7">
        <v>458916041</v>
      </c>
    </row>
    <row r="1774" spans="1:9" ht="12" customHeight="1" thickBot="1" x14ac:dyDescent="0.25">
      <c r="A1774" s="1" t="s">
        <v>52</v>
      </c>
      <c r="B1774" s="1" t="s">
        <v>37</v>
      </c>
      <c r="C1774" s="1" t="s">
        <v>23</v>
      </c>
      <c r="D1774" s="5">
        <v>45847</v>
      </c>
      <c r="E1774" s="6">
        <v>534864472</v>
      </c>
      <c r="F1774" s="6">
        <v>92944258</v>
      </c>
      <c r="G1774" s="6">
        <v>441920214</v>
      </c>
      <c r="H1774" s="6">
        <v>86944258</v>
      </c>
      <c r="I1774" s="7">
        <v>447920214</v>
      </c>
    </row>
    <row r="1775" spans="1:9" ht="12" customHeight="1" thickBot="1" x14ac:dyDescent="0.25">
      <c r="A1775" s="1" t="s">
        <v>52</v>
      </c>
      <c r="B1775" s="1" t="s">
        <v>37</v>
      </c>
      <c r="C1775" s="1" t="s">
        <v>23</v>
      </c>
      <c r="D1775" s="5">
        <v>45848</v>
      </c>
      <c r="E1775" s="6">
        <v>555864472</v>
      </c>
      <c r="F1775" s="6">
        <v>92944258</v>
      </c>
      <c r="G1775" s="6">
        <v>462920214</v>
      </c>
      <c r="H1775" s="6">
        <v>86944258</v>
      </c>
      <c r="I1775" s="7">
        <v>468920214</v>
      </c>
    </row>
    <row r="1776" spans="1:9" ht="12" customHeight="1" thickBot="1" x14ac:dyDescent="0.25">
      <c r="A1776" s="1" t="s">
        <v>52</v>
      </c>
      <c r="B1776" s="1" t="s">
        <v>37</v>
      </c>
      <c r="C1776" s="1" t="s">
        <v>23</v>
      </c>
      <c r="D1776" s="5">
        <v>45849</v>
      </c>
      <c r="E1776" s="6">
        <v>538891071</v>
      </c>
      <c r="F1776" s="6">
        <v>92944258</v>
      </c>
      <c r="G1776" s="6">
        <v>445946813</v>
      </c>
      <c r="H1776" s="6">
        <v>92944258</v>
      </c>
      <c r="I1776" s="7">
        <v>445946813</v>
      </c>
    </row>
    <row r="1777" spans="1:9" ht="12" customHeight="1" thickBot="1" x14ac:dyDescent="0.25">
      <c r="A1777" s="1" t="s">
        <v>52</v>
      </c>
      <c r="B1777" s="1" t="s">
        <v>37</v>
      </c>
      <c r="C1777" s="1" t="s">
        <v>23</v>
      </c>
      <c r="D1777" s="5">
        <v>45850</v>
      </c>
      <c r="E1777" s="6">
        <v>536891071</v>
      </c>
      <c r="F1777" s="6">
        <v>92944258</v>
      </c>
      <c r="G1777" s="6">
        <v>443946813</v>
      </c>
      <c r="H1777" s="6">
        <v>92944258</v>
      </c>
      <c r="I1777" s="7">
        <v>443946813</v>
      </c>
    </row>
    <row r="1778" spans="1:9" ht="12" customHeight="1" thickBot="1" x14ac:dyDescent="0.25">
      <c r="A1778" s="1" t="s">
        <v>52</v>
      </c>
      <c r="B1778" s="1" t="s">
        <v>37</v>
      </c>
      <c r="C1778" s="1" t="s">
        <v>23</v>
      </c>
      <c r="D1778" s="5">
        <v>45851</v>
      </c>
      <c r="E1778" s="6">
        <v>527891071</v>
      </c>
      <c r="F1778" s="6">
        <v>92944258</v>
      </c>
      <c r="G1778" s="6">
        <v>434946813</v>
      </c>
      <c r="H1778" s="6">
        <v>92944258</v>
      </c>
      <c r="I1778" s="7">
        <v>434946813</v>
      </c>
    </row>
    <row r="1779" spans="1:9" ht="12" customHeight="1" thickBot="1" x14ac:dyDescent="0.25">
      <c r="A1779" s="1" t="s">
        <v>52</v>
      </c>
      <c r="B1779" s="1" t="s">
        <v>37</v>
      </c>
      <c r="C1779" s="1" t="s">
        <v>23</v>
      </c>
      <c r="D1779" s="5">
        <v>45852</v>
      </c>
      <c r="E1779" s="6">
        <v>579890705</v>
      </c>
      <c r="F1779" s="6">
        <v>92944258</v>
      </c>
      <c r="G1779" s="6">
        <v>486946447</v>
      </c>
      <c r="H1779" s="6">
        <v>92944258</v>
      </c>
      <c r="I1779" s="7">
        <v>486946447</v>
      </c>
    </row>
    <row r="1780" spans="1:9" ht="12" customHeight="1" thickBot="1" x14ac:dyDescent="0.25">
      <c r="A1780" s="1" t="s">
        <v>52</v>
      </c>
      <c r="B1780" s="1" t="s">
        <v>37</v>
      </c>
      <c r="C1780" s="1" t="s">
        <v>23</v>
      </c>
      <c r="D1780" s="5">
        <v>45853</v>
      </c>
      <c r="E1780" s="6">
        <v>646302826</v>
      </c>
      <c r="F1780" s="6">
        <v>92856013</v>
      </c>
      <c r="G1780" s="6">
        <v>553446813</v>
      </c>
      <c r="H1780" s="6">
        <v>92856013</v>
      </c>
      <c r="I1780" s="7">
        <v>553446813</v>
      </c>
    </row>
    <row r="1781" spans="1:9" ht="12" customHeight="1" thickBot="1" x14ac:dyDescent="0.25">
      <c r="A1781" s="1" t="s">
        <v>52</v>
      </c>
      <c r="B1781" s="1" t="s">
        <v>37</v>
      </c>
      <c r="C1781" s="1" t="s">
        <v>23</v>
      </c>
      <c r="D1781" s="5">
        <v>45854</v>
      </c>
      <c r="E1781" s="6">
        <v>669302826</v>
      </c>
      <c r="F1781" s="6">
        <v>92856013</v>
      </c>
      <c r="G1781" s="6">
        <v>576446813</v>
      </c>
      <c r="H1781" s="6">
        <v>92856013</v>
      </c>
      <c r="I1781" s="7">
        <v>576446813</v>
      </c>
    </row>
    <row r="1782" spans="1:9" ht="12" customHeight="1" thickBot="1" x14ac:dyDescent="0.25">
      <c r="A1782" s="1" t="s">
        <v>52</v>
      </c>
      <c r="B1782" s="1" t="s">
        <v>37</v>
      </c>
      <c r="C1782" s="1" t="s">
        <v>23</v>
      </c>
      <c r="D1782" s="5">
        <v>45855</v>
      </c>
      <c r="E1782" s="6">
        <v>674815282</v>
      </c>
      <c r="F1782" s="6">
        <v>89868469</v>
      </c>
      <c r="G1782" s="6">
        <v>584946813</v>
      </c>
      <c r="H1782" s="6">
        <v>89868469</v>
      </c>
      <c r="I1782" s="7">
        <v>584946813</v>
      </c>
    </row>
    <row r="1783" spans="1:9" ht="12" customHeight="1" thickBot="1" x14ac:dyDescent="0.25">
      <c r="A1783" s="1" t="s">
        <v>52</v>
      </c>
      <c r="B1783" s="1" t="s">
        <v>37</v>
      </c>
      <c r="C1783" s="1" t="s">
        <v>23</v>
      </c>
      <c r="D1783" s="5">
        <v>45856</v>
      </c>
      <c r="E1783" s="6">
        <v>683815282</v>
      </c>
      <c r="F1783" s="6">
        <v>86868469</v>
      </c>
      <c r="G1783" s="6">
        <v>596946813</v>
      </c>
      <c r="H1783" s="6">
        <v>86868469</v>
      </c>
      <c r="I1783" s="7">
        <v>596946813</v>
      </c>
    </row>
    <row r="1784" spans="1:9" ht="12" customHeight="1" thickBot="1" x14ac:dyDescent="0.25">
      <c r="A1784" s="1" t="s">
        <v>52</v>
      </c>
      <c r="B1784" s="1" t="s">
        <v>37</v>
      </c>
      <c r="C1784" s="1" t="s">
        <v>23</v>
      </c>
      <c r="D1784" s="5">
        <v>45857</v>
      </c>
      <c r="E1784" s="6">
        <v>710815282</v>
      </c>
      <c r="F1784" s="6">
        <v>86868469</v>
      </c>
      <c r="G1784" s="6">
        <v>623946813</v>
      </c>
      <c r="H1784" s="6">
        <v>86868469</v>
      </c>
      <c r="I1784" s="7">
        <v>623946813</v>
      </c>
    </row>
    <row r="1785" spans="1:9" ht="12" customHeight="1" thickBot="1" x14ac:dyDescent="0.25">
      <c r="A1785" s="1" t="s">
        <v>52</v>
      </c>
      <c r="B1785" s="1" t="s">
        <v>37</v>
      </c>
      <c r="C1785" s="1" t="s">
        <v>23</v>
      </c>
      <c r="D1785" s="5">
        <v>45858</v>
      </c>
      <c r="E1785" s="6">
        <v>750815282</v>
      </c>
      <c r="F1785" s="6">
        <v>86868469</v>
      </c>
      <c r="G1785" s="6">
        <v>663946813</v>
      </c>
      <c r="H1785" s="6">
        <v>86868469</v>
      </c>
      <c r="I1785" s="7">
        <v>663946813</v>
      </c>
    </row>
    <row r="1786" spans="1:9" ht="12" customHeight="1" thickBot="1" x14ac:dyDescent="0.25">
      <c r="A1786" s="1" t="s">
        <v>52</v>
      </c>
      <c r="B1786" s="1" t="s">
        <v>37</v>
      </c>
      <c r="C1786" s="1" t="s">
        <v>23</v>
      </c>
      <c r="D1786" s="5">
        <v>45859</v>
      </c>
      <c r="E1786" s="6">
        <v>722615282</v>
      </c>
      <c r="F1786" s="6">
        <v>86868469</v>
      </c>
      <c r="G1786" s="6">
        <v>635746813</v>
      </c>
      <c r="H1786" s="6">
        <v>86868469</v>
      </c>
      <c r="I1786" s="7">
        <v>635746813</v>
      </c>
    </row>
    <row r="1787" spans="1:9" ht="12" customHeight="1" thickBot="1" x14ac:dyDescent="0.25">
      <c r="A1787" s="1" t="s">
        <v>52</v>
      </c>
      <c r="B1787" s="1" t="s">
        <v>37</v>
      </c>
      <c r="C1787" s="1" t="s">
        <v>23</v>
      </c>
      <c r="D1787" s="5">
        <v>45860</v>
      </c>
      <c r="E1787" s="6">
        <v>709415282</v>
      </c>
      <c r="F1787" s="6">
        <v>86868469</v>
      </c>
      <c r="G1787" s="6">
        <v>622546813</v>
      </c>
      <c r="H1787" s="6">
        <v>86868469</v>
      </c>
      <c r="I1787" s="7">
        <v>622546813</v>
      </c>
    </row>
    <row r="1788" spans="1:9" ht="12" customHeight="1" thickBot="1" x14ac:dyDescent="0.25">
      <c r="A1788" s="1" t="s">
        <v>52</v>
      </c>
      <c r="B1788" s="1" t="s">
        <v>37</v>
      </c>
      <c r="C1788" s="1" t="s">
        <v>23</v>
      </c>
      <c r="D1788" s="5">
        <v>45861</v>
      </c>
      <c r="E1788" s="6">
        <v>724415282</v>
      </c>
      <c r="F1788" s="6">
        <v>86868469</v>
      </c>
      <c r="G1788" s="6">
        <v>637546813</v>
      </c>
      <c r="H1788" s="6">
        <v>86868469</v>
      </c>
      <c r="I1788" s="7">
        <v>637546813</v>
      </c>
    </row>
    <row r="1789" spans="1:9" ht="12" customHeight="1" thickBot="1" x14ac:dyDescent="0.25">
      <c r="A1789" s="1" t="s">
        <v>52</v>
      </c>
      <c r="B1789" s="1" t="s">
        <v>37</v>
      </c>
      <c r="C1789" s="1" t="s">
        <v>23</v>
      </c>
      <c r="D1789" s="5">
        <v>45862</v>
      </c>
      <c r="E1789" s="6">
        <v>716287731</v>
      </c>
      <c r="F1789" s="6">
        <v>88840918</v>
      </c>
      <c r="G1789" s="6">
        <v>627446813</v>
      </c>
      <c r="H1789" s="6">
        <v>86868469</v>
      </c>
      <c r="I1789" s="7">
        <v>629419262</v>
      </c>
    </row>
    <row r="1790" spans="1:9" ht="12" customHeight="1" thickBot="1" x14ac:dyDescent="0.25">
      <c r="A1790" s="1" t="s">
        <v>52</v>
      </c>
      <c r="B1790" s="1" t="s">
        <v>37</v>
      </c>
      <c r="C1790" s="1" t="s">
        <v>23</v>
      </c>
      <c r="D1790" s="5">
        <v>45863</v>
      </c>
      <c r="E1790" s="6">
        <v>717137731</v>
      </c>
      <c r="F1790" s="6">
        <v>92590918</v>
      </c>
      <c r="G1790" s="6">
        <v>624546813</v>
      </c>
      <c r="H1790" s="6">
        <v>86868469</v>
      </c>
      <c r="I1790" s="7">
        <v>630269262</v>
      </c>
    </row>
    <row r="1791" spans="1:9" ht="12" customHeight="1" thickBot="1" x14ac:dyDescent="0.25">
      <c r="A1791" s="1" t="s">
        <v>52</v>
      </c>
      <c r="B1791" s="1" t="s">
        <v>37</v>
      </c>
      <c r="C1791" s="1" t="s">
        <v>23</v>
      </c>
      <c r="D1791" s="5">
        <v>45864</v>
      </c>
      <c r="E1791" s="6">
        <v>732315282</v>
      </c>
      <c r="F1791" s="6">
        <v>91768469</v>
      </c>
      <c r="G1791" s="6">
        <v>640546813</v>
      </c>
      <c r="H1791" s="6">
        <v>86868469</v>
      </c>
      <c r="I1791" s="7">
        <v>645446813</v>
      </c>
    </row>
    <row r="1792" spans="1:9" ht="12" customHeight="1" thickBot="1" x14ac:dyDescent="0.25">
      <c r="A1792" s="1" t="s">
        <v>52</v>
      </c>
      <c r="B1792" s="1" t="s">
        <v>37</v>
      </c>
      <c r="C1792" s="1" t="s">
        <v>23</v>
      </c>
      <c r="D1792" s="5">
        <v>45865</v>
      </c>
      <c r="E1792" s="6">
        <v>732315282</v>
      </c>
      <c r="F1792" s="6">
        <v>91768469</v>
      </c>
      <c r="G1792" s="6">
        <v>640546813</v>
      </c>
      <c r="H1792" s="6">
        <v>86868469</v>
      </c>
      <c r="I1792" s="7">
        <v>645446813</v>
      </c>
    </row>
    <row r="1793" spans="1:9" ht="12" customHeight="1" thickBot="1" x14ac:dyDescent="0.25">
      <c r="A1793" s="1" t="s">
        <v>52</v>
      </c>
      <c r="B1793" s="1" t="s">
        <v>37</v>
      </c>
      <c r="C1793" s="1" t="s">
        <v>23</v>
      </c>
      <c r="D1793" s="5">
        <v>45866</v>
      </c>
      <c r="E1793" s="6">
        <v>776315282</v>
      </c>
      <c r="F1793" s="6">
        <v>91768469</v>
      </c>
      <c r="G1793" s="6">
        <v>684546813</v>
      </c>
      <c r="H1793" s="6">
        <v>86868469</v>
      </c>
      <c r="I1793" s="7">
        <v>689446813</v>
      </c>
    </row>
    <row r="1794" spans="1:9" ht="12" customHeight="1" thickBot="1" x14ac:dyDescent="0.25">
      <c r="A1794" s="1" t="s">
        <v>52</v>
      </c>
      <c r="B1794" s="1" t="s">
        <v>37</v>
      </c>
      <c r="C1794" s="1" t="s">
        <v>23</v>
      </c>
      <c r="D1794" s="5">
        <v>45867</v>
      </c>
      <c r="E1794" s="6">
        <v>787220905</v>
      </c>
      <c r="F1794" s="6">
        <v>91620905</v>
      </c>
      <c r="G1794" s="6">
        <v>695600000</v>
      </c>
      <c r="H1794" s="6">
        <v>86868469</v>
      </c>
      <c r="I1794" s="7">
        <v>700352436</v>
      </c>
    </row>
    <row r="1795" spans="1:9" ht="12" customHeight="1" thickBot="1" x14ac:dyDescent="0.25">
      <c r="A1795" s="1" t="s">
        <v>52</v>
      </c>
      <c r="B1795" s="1" t="s">
        <v>37</v>
      </c>
      <c r="C1795" s="1" t="s">
        <v>23</v>
      </c>
      <c r="D1795" s="5">
        <v>45868</v>
      </c>
      <c r="E1795" s="6">
        <v>764220905</v>
      </c>
      <c r="F1795" s="6">
        <v>91620905</v>
      </c>
      <c r="G1795" s="6">
        <v>672600000</v>
      </c>
      <c r="H1795" s="6">
        <v>86868469</v>
      </c>
      <c r="I1795" s="7">
        <v>677352436</v>
      </c>
    </row>
    <row r="1796" spans="1:9" ht="12" customHeight="1" thickBot="1" x14ac:dyDescent="0.25">
      <c r="A1796" s="1" t="s">
        <v>52</v>
      </c>
      <c r="B1796" s="1" t="s">
        <v>37</v>
      </c>
      <c r="C1796" s="1" t="s">
        <v>23</v>
      </c>
      <c r="D1796" s="5">
        <v>45869</v>
      </c>
      <c r="E1796" s="6">
        <v>781220905</v>
      </c>
      <c r="F1796" s="6">
        <v>91620905</v>
      </c>
      <c r="G1796" s="6">
        <v>689600000</v>
      </c>
      <c r="H1796" s="6">
        <v>86868469</v>
      </c>
      <c r="I1796" s="7">
        <v>694352436</v>
      </c>
    </row>
    <row r="1797" spans="1:9" ht="12" customHeight="1" thickBot="1" x14ac:dyDescent="0.25">
      <c r="A1797" s="1" t="s">
        <v>52</v>
      </c>
      <c r="B1797" s="1" t="s">
        <v>37</v>
      </c>
      <c r="C1797" s="1" t="s">
        <v>23</v>
      </c>
      <c r="D1797" s="5">
        <v>45870</v>
      </c>
      <c r="E1797" s="6">
        <v>817620905</v>
      </c>
      <c r="F1797" s="6">
        <v>91620905</v>
      </c>
      <c r="G1797" s="6">
        <v>726000000</v>
      </c>
      <c r="H1797" s="6">
        <v>86868469</v>
      </c>
      <c r="I1797" s="7">
        <v>730752436</v>
      </c>
    </row>
    <row r="1798" spans="1:9" ht="12" customHeight="1" thickBot="1" x14ac:dyDescent="0.25">
      <c r="A1798" s="1" t="s">
        <v>52</v>
      </c>
      <c r="B1798" s="1" t="s">
        <v>37</v>
      </c>
      <c r="C1798" s="1" t="s">
        <v>23</v>
      </c>
      <c r="D1798" s="5">
        <v>45871</v>
      </c>
      <c r="E1798" s="6">
        <v>822620905</v>
      </c>
      <c r="F1798" s="6">
        <v>91620905</v>
      </c>
      <c r="G1798" s="6">
        <v>731000000</v>
      </c>
      <c r="H1798" s="6">
        <v>86868469</v>
      </c>
      <c r="I1798" s="7">
        <v>735752436</v>
      </c>
    </row>
    <row r="1799" spans="1:9" ht="12" customHeight="1" thickBot="1" x14ac:dyDescent="0.25">
      <c r="A1799" s="1" t="s">
        <v>52</v>
      </c>
      <c r="B1799" s="1" t="s">
        <v>37</v>
      </c>
      <c r="C1799" s="1" t="s">
        <v>23</v>
      </c>
      <c r="D1799" s="5">
        <v>45872</v>
      </c>
      <c r="E1799" s="6">
        <v>850620905</v>
      </c>
      <c r="F1799" s="6">
        <v>97620905</v>
      </c>
      <c r="G1799" s="6">
        <v>753000000</v>
      </c>
      <c r="H1799" s="6">
        <v>86868469</v>
      </c>
      <c r="I1799" s="7">
        <v>763752436</v>
      </c>
    </row>
    <row r="1800" spans="1:9" ht="12" customHeight="1" thickBot="1" x14ac:dyDescent="0.25">
      <c r="A1800" s="1" t="s">
        <v>52</v>
      </c>
      <c r="B1800" s="1" t="s">
        <v>37</v>
      </c>
      <c r="C1800" s="1" t="s">
        <v>23</v>
      </c>
      <c r="D1800" s="5">
        <v>45873</v>
      </c>
      <c r="E1800" s="6">
        <v>879620905</v>
      </c>
      <c r="F1800" s="6">
        <v>91620905</v>
      </c>
      <c r="G1800" s="6">
        <v>788000000</v>
      </c>
      <c r="H1800" s="6">
        <v>91620905</v>
      </c>
      <c r="I1800" s="7">
        <v>788000000</v>
      </c>
    </row>
    <row r="1801" spans="1:9" ht="12" customHeight="1" thickBot="1" x14ac:dyDescent="0.25">
      <c r="A1801" s="1" t="s">
        <v>52</v>
      </c>
      <c r="B1801" s="1" t="s">
        <v>37</v>
      </c>
      <c r="C1801" s="1" t="s">
        <v>23</v>
      </c>
      <c r="D1801" s="5">
        <v>45874</v>
      </c>
      <c r="E1801" s="6">
        <v>870820905</v>
      </c>
      <c r="F1801" s="6">
        <v>95620905</v>
      </c>
      <c r="G1801" s="6">
        <v>775200000</v>
      </c>
      <c r="H1801" s="6">
        <v>91620905</v>
      </c>
      <c r="I1801" s="7">
        <v>779200000</v>
      </c>
    </row>
    <row r="1802" spans="1:9" ht="12" customHeight="1" thickBot="1" x14ac:dyDescent="0.25">
      <c r="A1802" s="1" t="s">
        <v>52</v>
      </c>
      <c r="B1802" s="1" t="s">
        <v>37</v>
      </c>
      <c r="C1802" s="1" t="s">
        <v>23</v>
      </c>
      <c r="D1802" s="5">
        <v>45875</v>
      </c>
      <c r="E1802" s="6">
        <v>875820905</v>
      </c>
      <c r="F1802" s="6">
        <v>95620905</v>
      </c>
      <c r="G1802" s="6">
        <v>780200000</v>
      </c>
      <c r="H1802" s="6">
        <v>91620905</v>
      </c>
      <c r="I1802" s="7">
        <v>784200000</v>
      </c>
    </row>
    <row r="1803" spans="1:9" ht="12" customHeight="1" thickBot="1" x14ac:dyDescent="0.25">
      <c r="A1803" s="1" t="s">
        <v>52</v>
      </c>
      <c r="B1803" s="1" t="s">
        <v>37</v>
      </c>
      <c r="C1803" s="1" t="s">
        <v>23</v>
      </c>
      <c r="D1803" s="5">
        <v>45876</v>
      </c>
      <c r="E1803" s="6">
        <v>898820905</v>
      </c>
      <c r="F1803" s="6">
        <v>97620905</v>
      </c>
      <c r="G1803" s="6">
        <v>801200000</v>
      </c>
      <c r="H1803" s="6">
        <v>91620905</v>
      </c>
      <c r="I1803" s="7">
        <v>807200000</v>
      </c>
    </row>
    <row r="1804" spans="1:9" ht="12" customHeight="1" thickBot="1" x14ac:dyDescent="0.25">
      <c r="A1804" s="1" t="s">
        <v>52</v>
      </c>
      <c r="B1804" s="1" t="s">
        <v>37</v>
      </c>
      <c r="C1804" s="1" t="s">
        <v>23</v>
      </c>
      <c r="D1804" s="5">
        <v>45877</v>
      </c>
      <c r="E1804" s="6">
        <v>882820905</v>
      </c>
      <c r="F1804" s="6">
        <v>93620905</v>
      </c>
      <c r="G1804" s="6">
        <v>789200000</v>
      </c>
      <c r="H1804" s="6">
        <v>87620905</v>
      </c>
      <c r="I1804" s="7">
        <v>795200000</v>
      </c>
    </row>
    <row r="1805" spans="1:9" ht="12" customHeight="1" thickBot="1" x14ac:dyDescent="0.25">
      <c r="A1805" s="1" t="s">
        <v>52</v>
      </c>
      <c r="B1805" s="1" t="s">
        <v>37</v>
      </c>
      <c r="C1805" s="1" t="s">
        <v>23</v>
      </c>
      <c r="D1805" s="5">
        <v>45878</v>
      </c>
      <c r="E1805" s="6">
        <v>902820905</v>
      </c>
      <c r="F1805" s="6">
        <v>93620905</v>
      </c>
      <c r="G1805" s="6">
        <v>809200000</v>
      </c>
      <c r="H1805" s="6">
        <v>87620905</v>
      </c>
      <c r="I1805" s="7">
        <v>815200000</v>
      </c>
    </row>
    <row r="1806" spans="1:9" ht="12" customHeight="1" thickBot="1" x14ac:dyDescent="0.25">
      <c r="A1806" s="1" t="s">
        <v>52</v>
      </c>
      <c r="B1806" s="1" t="s">
        <v>37</v>
      </c>
      <c r="C1806" s="1" t="s">
        <v>23</v>
      </c>
      <c r="D1806" s="5">
        <v>45879</v>
      </c>
      <c r="E1806" s="6">
        <v>918820905</v>
      </c>
      <c r="F1806" s="6">
        <v>96620905</v>
      </c>
      <c r="G1806" s="6">
        <v>822200000</v>
      </c>
      <c r="H1806" s="6">
        <v>87620905</v>
      </c>
      <c r="I1806" s="7">
        <v>831200000</v>
      </c>
    </row>
    <row r="1807" spans="1:9" ht="12" customHeight="1" thickBot="1" x14ac:dyDescent="0.25">
      <c r="A1807" s="1" t="s">
        <v>52</v>
      </c>
      <c r="B1807" s="1" t="s">
        <v>37</v>
      </c>
      <c r="C1807" s="1" t="s">
        <v>23</v>
      </c>
      <c r="D1807" s="5">
        <v>45880</v>
      </c>
      <c r="E1807" s="6">
        <v>885820905</v>
      </c>
      <c r="F1807" s="6">
        <v>90620905</v>
      </c>
      <c r="G1807" s="6">
        <v>795200000</v>
      </c>
      <c r="H1807" s="6">
        <v>87620905</v>
      </c>
      <c r="I1807" s="7">
        <v>798200000</v>
      </c>
    </row>
    <row r="1808" spans="1:9" ht="12" customHeight="1" thickBot="1" x14ac:dyDescent="0.25">
      <c r="A1808" s="1" t="s">
        <v>52</v>
      </c>
      <c r="B1808" s="1" t="s">
        <v>37</v>
      </c>
      <c r="C1808" s="1" t="s">
        <v>23</v>
      </c>
      <c r="D1808" s="5">
        <v>45881</v>
      </c>
      <c r="E1808" s="6">
        <v>914820905</v>
      </c>
      <c r="F1808" s="6">
        <v>90620905</v>
      </c>
      <c r="G1808" s="6">
        <v>824200000</v>
      </c>
      <c r="H1808" s="6">
        <v>87620905</v>
      </c>
      <c r="I1808" s="7">
        <v>827200000</v>
      </c>
    </row>
    <row r="1809" spans="1:9" ht="12" customHeight="1" thickBot="1" x14ac:dyDescent="0.25">
      <c r="A1809" s="1" t="s">
        <v>52</v>
      </c>
      <c r="B1809" s="1" t="s">
        <v>37</v>
      </c>
      <c r="C1809" s="1" t="s">
        <v>23</v>
      </c>
      <c r="D1809" s="5">
        <v>45882</v>
      </c>
      <c r="E1809" s="6">
        <v>907820905</v>
      </c>
      <c r="F1809" s="6">
        <v>90620905</v>
      </c>
      <c r="G1809" s="6">
        <v>817200000</v>
      </c>
      <c r="H1809" s="6">
        <v>87620905</v>
      </c>
      <c r="I1809" s="7">
        <v>820200000</v>
      </c>
    </row>
    <row r="1810" spans="1:9" ht="12" customHeight="1" thickBot="1" x14ac:dyDescent="0.25">
      <c r="A1810" s="1" t="s">
        <v>52</v>
      </c>
      <c r="B1810" s="1" t="s">
        <v>37</v>
      </c>
      <c r="C1810" s="1" t="s">
        <v>23</v>
      </c>
      <c r="D1810" s="5">
        <v>45883</v>
      </c>
      <c r="E1810" s="6">
        <v>920810342</v>
      </c>
      <c r="F1810" s="6">
        <v>100620905</v>
      </c>
      <c r="G1810" s="6">
        <v>820189437</v>
      </c>
      <c r="H1810" s="6">
        <v>87620905</v>
      </c>
      <c r="I1810" s="7">
        <v>833189437</v>
      </c>
    </row>
    <row r="1811" spans="1:9" ht="12" customHeight="1" thickBot="1" x14ac:dyDescent="0.25">
      <c r="A1811" s="1" t="s">
        <v>52</v>
      </c>
      <c r="B1811" s="1" t="s">
        <v>37</v>
      </c>
      <c r="C1811" s="1" t="s">
        <v>23</v>
      </c>
      <c r="D1811" s="5">
        <v>45884</v>
      </c>
      <c r="E1811" s="6">
        <v>940535067</v>
      </c>
      <c r="F1811" s="6">
        <v>107335067</v>
      </c>
      <c r="G1811" s="6">
        <v>833200000</v>
      </c>
      <c r="H1811" s="6">
        <v>87439111</v>
      </c>
      <c r="I1811" s="7">
        <v>853095956</v>
      </c>
    </row>
    <row r="1812" spans="1:9" ht="12" customHeight="1" thickBot="1" x14ac:dyDescent="0.25">
      <c r="A1812" s="1" t="s">
        <v>52</v>
      </c>
      <c r="B1812" s="1" t="s">
        <v>37</v>
      </c>
      <c r="C1812" s="1" t="s">
        <v>23</v>
      </c>
      <c r="D1812" s="5">
        <v>45885</v>
      </c>
      <c r="E1812" s="6">
        <v>889639111</v>
      </c>
      <c r="F1812" s="6">
        <v>108439111</v>
      </c>
      <c r="G1812" s="6">
        <v>781200000</v>
      </c>
      <c r="H1812" s="6">
        <v>87439111</v>
      </c>
      <c r="I1812" s="7">
        <v>802200000</v>
      </c>
    </row>
    <row r="1813" spans="1:9" ht="12" customHeight="1" thickBot="1" x14ac:dyDescent="0.25">
      <c r="A1813" s="1" t="s">
        <v>52</v>
      </c>
      <c r="B1813" s="1" t="s">
        <v>37</v>
      </c>
      <c r="C1813" s="1" t="s">
        <v>23</v>
      </c>
      <c r="D1813" s="5">
        <v>45886</v>
      </c>
      <c r="E1813" s="6">
        <v>869639111</v>
      </c>
      <c r="F1813" s="6">
        <v>108439111</v>
      </c>
      <c r="G1813" s="6">
        <v>761200000</v>
      </c>
      <c r="H1813" s="6">
        <v>87439111</v>
      </c>
      <c r="I1813" s="7">
        <v>782200000</v>
      </c>
    </row>
    <row r="1814" spans="1:9" ht="12" customHeight="1" thickBot="1" x14ac:dyDescent="0.25">
      <c r="A1814" s="1" t="s">
        <v>52</v>
      </c>
      <c r="B1814" s="1" t="s">
        <v>37</v>
      </c>
      <c r="C1814" s="1" t="s">
        <v>23</v>
      </c>
      <c r="D1814" s="5">
        <v>45887</v>
      </c>
      <c r="E1814" s="6">
        <v>900639111</v>
      </c>
      <c r="F1814" s="6">
        <v>98439111</v>
      </c>
      <c r="G1814" s="6">
        <v>802200000</v>
      </c>
      <c r="H1814" s="6">
        <v>87439111</v>
      </c>
      <c r="I1814" s="7">
        <v>813200000</v>
      </c>
    </row>
    <row r="1815" spans="1:9" ht="12" customHeight="1" thickBot="1" x14ac:dyDescent="0.25">
      <c r="A1815" s="1" t="s">
        <v>52</v>
      </c>
      <c r="B1815" s="1" t="s">
        <v>37</v>
      </c>
      <c r="C1815" s="1" t="s">
        <v>23</v>
      </c>
      <c r="D1815" s="5">
        <v>45888</v>
      </c>
      <c r="E1815" s="6">
        <v>907139111</v>
      </c>
      <c r="F1815" s="6">
        <v>98439111</v>
      </c>
      <c r="G1815" s="6">
        <v>808700000</v>
      </c>
      <c r="H1815" s="6">
        <v>87439111</v>
      </c>
      <c r="I1815" s="7">
        <v>819700000</v>
      </c>
    </row>
    <row r="1816" spans="1:9" ht="12" customHeight="1" thickBot="1" x14ac:dyDescent="0.25">
      <c r="A1816" s="1" t="s">
        <v>52</v>
      </c>
      <c r="B1816" s="1" t="s">
        <v>37</v>
      </c>
      <c r="C1816" s="1" t="s">
        <v>23</v>
      </c>
      <c r="D1816" s="5">
        <v>45889</v>
      </c>
      <c r="E1816" s="6">
        <v>903139111</v>
      </c>
      <c r="F1816" s="6">
        <v>98439111</v>
      </c>
      <c r="G1816" s="6">
        <v>804700000</v>
      </c>
      <c r="H1816" s="6">
        <v>90439111</v>
      </c>
      <c r="I1816" s="7">
        <v>812700000</v>
      </c>
    </row>
    <row r="1817" spans="1:9" ht="12" customHeight="1" thickBot="1" x14ac:dyDescent="0.25">
      <c r="A1817" s="1" t="s">
        <v>52</v>
      </c>
      <c r="B1817" s="1" t="s">
        <v>37</v>
      </c>
      <c r="C1817" s="1" t="s">
        <v>23</v>
      </c>
      <c r="D1817" s="5">
        <v>45890</v>
      </c>
      <c r="E1817" s="6">
        <v>795139041</v>
      </c>
      <c r="F1817" s="6">
        <v>98439111</v>
      </c>
      <c r="G1817" s="6">
        <v>696699930</v>
      </c>
      <c r="H1817" s="6">
        <v>90439111</v>
      </c>
      <c r="I1817" s="7">
        <v>704699930</v>
      </c>
    </row>
    <row r="1818" spans="1:9" ht="12" customHeight="1" thickBot="1" x14ac:dyDescent="0.25">
      <c r="A1818" s="1" t="s">
        <v>52</v>
      </c>
      <c r="B1818" s="1" t="s">
        <v>37</v>
      </c>
      <c r="C1818" s="1" t="s">
        <v>23</v>
      </c>
      <c r="D1818" s="5">
        <v>45891</v>
      </c>
      <c r="E1818" s="6">
        <v>803607756</v>
      </c>
      <c r="F1818" s="6">
        <v>98407756</v>
      </c>
      <c r="G1818" s="6">
        <v>705200000</v>
      </c>
      <c r="H1818" s="6">
        <v>90407756</v>
      </c>
      <c r="I1818" s="7">
        <v>713200000</v>
      </c>
    </row>
    <row r="1819" spans="1:9" ht="12" customHeight="1" thickBot="1" x14ac:dyDescent="0.25">
      <c r="A1819" s="1" t="s">
        <v>52</v>
      </c>
      <c r="B1819" s="1" t="s">
        <v>37</v>
      </c>
      <c r="C1819" s="1" t="s">
        <v>23</v>
      </c>
      <c r="D1819" s="5">
        <v>45892</v>
      </c>
      <c r="E1819" s="6">
        <v>791607756</v>
      </c>
      <c r="F1819" s="6">
        <v>98407756</v>
      </c>
      <c r="G1819" s="6">
        <v>693200000</v>
      </c>
      <c r="H1819" s="6">
        <v>90407756</v>
      </c>
      <c r="I1819" s="7">
        <v>701200000</v>
      </c>
    </row>
    <row r="1820" spans="1:9" ht="12" customHeight="1" thickBot="1" x14ac:dyDescent="0.25">
      <c r="A1820" s="1" t="s">
        <v>52</v>
      </c>
      <c r="B1820" s="1" t="s">
        <v>37</v>
      </c>
      <c r="C1820" s="1" t="s">
        <v>23</v>
      </c>
      <c r="D1820" s="5">
        <v>45893</v>
      </c>
      <c r="E1820" s="6">
        <v>817607756</v>
      </c>
      <c r="F1820" s="6">
        <v>98407756</v>
      </c>
      <c r="G1820" s="6">
        <v>719200000</v>
      </c>
      <c r="H1820" s="6">
        <v>98407756</v>
      </c>
      <c r="I1820" s="7">
        <v>719200000</v>
      </c>
    </row>
    <row r="1821" spans="1:9" ht="12" customHeight="1" thickBot="1" x14ac:dyDescent="0.25">
      <c r="A1821" s="1" t="s">
        <v>52</v>
      </c>
      <c r="B1821" s="1" t="s">
        <v>37</v>
      </c>
      <c r="C1821" s="1" t="s">
        <v>23</v>
      </c>
      <c r="D1821" s="5">
        <v>45894</v>
      </c>
      <c r="E1821" s="6">
        <v>784407756</v>
      </c>
      <c r="F1821" s="6">
        <v>98407756</v>
      </c>
      <c r="G1821" s="6">
        <v>686000000</v>
      </c>
      <c r="H1821" s="6">
        <v>98407756</v>
      </c>
      <c r="I1821" s="7">
        <v>686000000</v>
      </c>
    </row>
    <row r="1822" spans="1:9" ht="12" customHeight="1" thickBot="1" x14ac:dyDescent="0.25">
      <c r="A1822" s="1" t="s">
        <v>52</v>
      </c>
      <c r="B1822" s="1" t="s">
        <v>37</v>
      </c>
      <c r="C1822" s="1" t="s">
        <v>23</v>
      </c>
      <c r="D1822" s="5">
        <v>45895</v>
      </c>
      <c r="E1822" s="6">
        <v>808407756</v>
      </c>
      <c r="F1822" s="6">
        <v>98407756</v>
      </c>
      <c r="G1822" s="6">
        <v>710000000</v>
      </c>
      <c r="H1822" s="6">
        <v>98407756</v>
      </c>
      <c r="I1822" s="7">
        <v>710000000</v>
      </c>
    </row>
    <row r="1823" spans="1:9" ht="12" customHeight="1" thickBot="1" x14ac:dyDescent="0.25">
      <c r="A1823" s="1" t="s">
        <v>52</v>
      </c>
      <c r="B1823" s="1" t="s">
        <v>37</v>
      </c>
      <c r="C1823" s="1" t="s">
        <v>23</v>
      </c>
      <c r="D1823" s="5">
        <v>45896</v>
      </c>
      <c r="E1823" s="6">
        <v>847407756</v>
      </c>
      <c r="F1823" s="6">
        <v>98407756</v>
      </c>
      <c r="G1823" s="6">
        <v>749000000</v>
      </c>
      <c r="H1823" s="6">
        <v>98407756</v>
      </c>
      <c r="I1823" s="7">
        <v>749000000</v>
      </c>
    </row>
    <row r="1824" spans="1:9" ht="12" customHeight="1" thickBot="1" x14ac:dyDescent="0.25">
      <c r="A1824" s="1" t="s">
        <v>52</v>
      </c>
      <c r="B1824" s="1" t="s">
        <v>37</v>
      </c>
      <c r="C1824" s="1" t="s">
        <v>23</v>
      </c>
      <c r="D1824" s="5">
        <v>45897</v>
      </c>
      <c r="E1824" s="6">
        <v>851236079</v>
      </c>
      <c r="F1824" s="6">
        <v>113236079</v>
      </c>
      <c r="G1824" s="6">
        <v>738000000</v>
      </c>
      <c r="H1824" s="6">
        <v>98407756</v>
      </c>
      <c r="I1824" s="7">
        <v>752828323</v>
      </c>
    </row>
    <row r="1825" spans="1:9" ht="12" customHeight="1" thickBot="1" x14ac:dyDescent="0.25">
      <c r="A1825" s="1" t="s">
        <v>52</v>
      </c>
      <c r="B1825" s="1" t="s">
        <v>37</v>
      </c>
      <c r="C1825" s="1" t="s">
        <v>23</v>
      </c>
      <c r="D1825" s="5">
        <v>45898</v>
      </c>
      <c r="E1825" s="6">
        <v>825236079</v>
      </c>
      <c r="F1825" s="6">
        <v>105236079</v>
      </c>
      <c r="G1825" s="6">
        <v>720000000</v>
      </c>
      <c r="H1825" s="6">
        <v>90407756</v>
      </c>
      <c r="I1825" s="7">
        <v>734828323</v>
      </c>
    </row>
    <row r="1826" spans="1:9" ht="12" customHeight="1" thickBot="1" x14ac:dyDescent="0.25">
      <c r="A1826" s="1" t="s">
        <v>52</v>
      </c>
      <c r="B1826" s="1" t="s">
        <v>37</v>
      </c>
      <c r="C1826" s="1" t="s">
        <v>23</v>
      </c>
      <c r="D1826" s="5">
        <v>45899</v>
      </c>
      <c r="E1826" s="6">
        <v>838239450</v>
      </c>
      <c r="F1826" s="6">
        <v>103239450</v>
      </c>
      <c r="G1826" s="6">
        <v>735000000</v>
      </c>
      <c r="H1826" s="6">
        <v>90407756</v>
      </c>
      <c r="I1826" s="7">
        <v>747831694</v>
      </c>
    </row>
    <row r="1827" spans="1:9" ht="12" customHeight="1" thickBot="1" x14ac:dyDescent="0.25">
      <c r="A1827" s="1" t="s">
        <v>52</v>
      </c>
      <c r="B1827" s="1" t="s">
        <v>37</v>
      </c>
      <c r="C1827" s="1" t="s">
        <v>23</v>
      </c>
      <c r="D1827" s="5">
        <v>45900</v>
      </c>
      <c r="E1827" s="6">
        <v>886239450</v>
      </c>
      <c r="F1827" s="6">
        <v>103239450</v>
      </c>
      <c r="G1827" s="6">
        <v>783000000</v>
      </c>
      <c r="H1827" s="6">
        <v>90407756</v>
      </c>
      <c r="I1827" s="7">
        <v>795831694</v>
      </c>
    </row>
    <row r="1828" spans="1:9" ht="12" customHeight="1" thickBot="1" x14ac:dyDescent="0.25">
      <c r="A1828" s="1" t="s">
        <v>52</v>
      </c>
      <c r="B1828" s="1" t="s">
        <v>37</v>
      </c>
      <c r="C1828" s="1" t="s">
        <v>23</v>
      </c>
      <c r="D1828" s="5">
        <v>45901</v>
      </c>
      <c r="E1828" s="6">
        <v>885487014</v>
      </c>
      <c r="F1828" s="6">
        <v>102487014</v>
      </c>
      <c r="G1828" s="6">
        <v>783000000</v>
      </c>
      <c r="H1828" s="6">
        <v>89655320</v>
      </c>
      <c r="I1828" s="7">
        <v>795831694</v>
      </c>
    </row>
    <row r="1829" spans="1:9" ht="12" customHeight="1" thickBot="1" x14ac:dyDescent="0.25">
      <c r="A1829" s="1" t="s">
        <v>52</v>
      </c>
      <c r="B1829" s="1" t="s">
        <v>37</v>
      </c>
      <c r="C1829" s="1" t="s">
        <v>23</v>
      </c>
      <c r="D1829" s="5">
        <v>45902</v>
      </c>
      <c r="E1829" s="6">
        <v>880655320</v>
      </c>
      <c r="F1829" s="6">
        <v>94655320</v>
      </c>
      <c r="G1829" s="6">
        <v>786000000</v>
      </c>
      <c r="H1829" s="6">
        <v>89655320</v>
      </c>
      <c r="I1829" s="7">
        <v>791000000</v>
      </c>
    </row>
    <row r="1830" spans="1:9" ht="12" customHeight="1" thickBot="1" x14ac:dyDescent="0.25">
      <c r="A1830" s="1" t="s">
        <v>52</v>
      </c>
      <c r="B1830" s="1" t="s">
        <v>37</v>
      </c>
      <c r="C1830" s="1" t="s">
        <v>23</v>
      </c>
      <c r="D1830" s="5">
        <v>45903</v>
      </c>
      <c r="E1830" s="6">
        <v>889655320</v>
      </c>
      <c r="F1830" s="6">
        <v>94655320</v>
      </c>
      <c r="G1830" s="6">
        <v>795000000</v>
      </c>
      <c r="H1830" s="6">
        <v>89655320</v>
      </c>
      <c r="I1830" s="7">
        <v>800000000</v>
      </c>
    </row>
    <row r="1831" spans="1:9" ht="12" customHeight="1" thickBot="1" x14ac:dyDescent="0.25">
      <c r="A1831" s="1" t="s">
        <v>52</v>
      </c>
      <c r="B1831" s="1" t="s">
        <v>37</v>
      </c>
      <c r="C1831" s="1" t="s">
        <v>23</v>
      </c>
      <c r="D1831" s="5">
        <v>45904</v>
      </c>
      <c r="E1831" s="6">
        <v>897655320</v>
      </c>
      <c r="F1831" s="6">
        <v>94655320</v>
      </c>
      <c r="G1831" s="6">
        <v>803000000</v>
      </c>
      <c r="H1831" s="6">
        <v>89655320</v>
      </c>
      <c r="I1831" s="7">
        <v>808000000</v>
      </c>
    </row>
    <row r="1832" spans="1:9" ht="12" customHeight="1" thickBot="1" x14ac:dyDescent="0.25">
      <c r="A1832" s="1" t="s">
        <v>52</v>
      </c>
      <c r="B1832" s="1" t="s">
        <v>37</v>
      </c>
      <c r="C1832" s="1" t="s">
        <v>23</v>
      </c>
      <c r="D1832" s="5">
        <v>45905</v>
      </c>
      <c r="E1832" s="6">
        <v>919655320</v>
      </c>
      <c r="F1832" s="6">
        <v>94655320</v>
      </c>
      <c r="G1832" s="6">
        <v>825000000</v>
      </c>
      <c r="H1832" s="6">
        <v>89655320</v>
      </c>
      <c r="I1832" s="7">
        <v>830000000</v>
      </c>
    </row>
    <row r="1833" spans="1:9" ht="12" customHeight="1" thickBot="1" x14ac:dyDescent="0.25">
      <c r="A1833" s="1" t="s">
        <v>52</v>
      </c>
      <c r="B1833" s="1" t="s">
        <v>37</v>
      </c>
      <c r="C1833" s="1" t="s">
        <v>23</v>
      </c>
      <c r="D1833" s="5">
        <v>45906</v>
      </c>
      <c r="E1833" s="6">
        <v>938655320</v>
      </c>
      <c r="F1833" s="6">
        <v>94655320</v>
      </c>
      <c r="G1833" s="6">
        <v>844000000</v>
      </c>
      <c r="H1833" s="6">
        <v>89655320</v>
      </c>
      <c r="I1833" s="7">
        <v>849000000</v>
      </c>
    </row>
    <row r="1834" spans="1:9" ht="12" customHeight="1" thickBot="1" x14ac:dyDescent="0.25">
      <c r="A1834" s="1" t="s">
        <v>52</v>
      </c>
      <c r="B1834" s="1" t="s">
        <v>37</v>
      </c>
      <c r="C1834" s="1" t="s">
        <v>23</v>
      </c>
      <c r="D1834" s="5">
        <v>45907</v>
      </c>
      <c r="E1834" s="6">
        <v>948655320</v>
      </c>
      <c r="F1834" s="6">
        <v>89655320</v>
      </c>
      <c r="G1834" s="6">
        <v>859000000</v>
      </c>
      <c r="H1834" s="6">
        <v>89655320</v>
      </c>
      <c r="I1834" s="7">
        <v>859000000</v>
      </c>
    </row>
    <row r="1835" spans="1:9" ht="12" customHeight="1" thickBot="1" x14ac:dyDescent="0.25">
      <c r="A1835" s="1" t="s">
        <v>52</v>
      </c>
      <c r="B1835" s="1" t="s">
        <v>37</v>
      </c>
      <c r="C1835" s="1" t="s">
        <v>23</v>
      </c>
      <c r="D1835" s="5">
        <v>45908</v>
      </c>
      <c r="E1835" s="6">
        <v>951655320</v>
      </c>
      <c r="F1835" s="6">
        <v>89655320</v>
      </c>
      <c r="G1835" s="6">
        <v>862000000</v>
      </c>
      <c r="H1835" s="6">
        <v>89655320</v>
      </c>
      <c r="I1835" s="7">
        <v>862000000</v>
      </c>
    </row>
    <row r="1836" spans="1:9" ht="12" customHeight="1" thickBot="1" x14ac:dyDescent="0.25">
      <c r="A1836" s="1" t="s">
        <v>52</v>
      </c>
      <c r="B1836" s="1" t="s">
        <v>37</v>
      </c>
      <c r="C1836" s="1" t="s">
        <v>23</v>
      </c>
      <c r="D1836" s="5">
        <v>45909</v>
      </c>
      <c r="E1836" s="6">
        <v>941655320</v>
      </c>
      <c r="F1836" s="6">
        <v>89655320</v>
      </c>
      <c r="G1836" s="6">
        <v>852000000</v>
      </c>
      <c r="H1836" s="6">
        <v>89655320</v>
      </c>
      <c r="I1836" s="7">
        <v>852000000</v>
      </c>
    </row>
    <row r="1837" spans="1:9" ht="12" customHeight="1" thickBot="1" x14ac:dyDescent="0.25">
      <c r="A1837" s="1" t="s">
        <v>52</v>
      </c>
      <c r="B1837" s="1" t="s">
        <v>37</v>
      </c>
      <c r="C1837" s="1" t="s">
        <v>23</v>
      </c>
      <c r="D1837" s="5">
        <v>45910</v>
      </c>
      <c r="E1837" s="6">
        <v>931655320</v>
      </c>
      <c r="F1837" s="6">
        <v>89655320</v>
      </c>
      <c r="G1837" s="6">
        <v>842000000</v>
      </c>
      <c r="H1837" s="6">
        <v>89655320</v>
      </c>
      <c r="I1837" s="7">
        <v>842000000</v>
      </c>
    </row>
    <row r="1838" spans="1:9" ht="12" customHeight="1" thickBot="1" x14ac:dyDescent="0.25">
      <c r="A1838" s="1" t="s">
        <v>52</v>
      </c>
      <c r="B1838" s="1" t="s">
        <v>37</v>
      </c>
      <c r="C1838" s="1" t="s">
        <v>23</v>
      </c>
      <c r="D1838" s="5">
        <v>45911</v>
      </c>
      <c r="E1838" s="6">
        <v>937655320</v>
      </c>
      <c r="F1838" s="6">
        <v>89655320</v>
      </c>
      <c r="G1838" s="6">
        <v>848000000</v>
      </c>
      <c r="H1838" s="6">
        <v>89655320</v>
      </c>
      <c r="I1838" s="7">
        <v>848000000</v>
      </c>
    </row>
    <row r="1839" spans="1:9" ht="12" customHeight="1" thickBot="1" x14ac:dyDescent="0.25">
      <c r="A1839" s="1" t="s">
        <v>52</v>
      </c>
      <c r="B1839" s="1" t="s">
        <v>37</v>
      </c>
      <c r="C1839" s="1" t="s">
        <v>23</v>
      </c>
      <c r="D1839" s="5">
        <v>45912</v>
      </c>
      <c r="E1839" s="6">
        <v>962655320</v>
      </c>
      <c r="F1839" s="6">
        <v>89655320</v>
      </c>
      <c r="G1839" s="6">
        <v>873000000</v>
      </c>
      <c r="H1839" s="6">
        <v>89655320</v>
      </c>
      <c r="I1839" s="7">
        <v>873000000</v>
      </c>
    </row>
    <row r="1840" spans="1:9" ht="12" customHeight="1" thickBot="1" x14ac:dyDescent="0.25">
      <c r="A1840" s="1" t="s">
        <v>52</v>
      </c>
      <c r="B1840" s="1" t="s">
        <v>37</v>
      </c>
      <c r="C1840" s="1" t="s">
        <v>23</v>
      </c>
      <c r="D1840" s="5">
        <v>45913</v>
      </c>
      <c r="E1840" s="6">
        <v>937655320</v>
      </c>
      <c r="F1840" s="6">
        <v>89655320</v>
      </c>
      <c r="G1840" s="6">
        <v>848000000</v>
      </c>
      <c r="H1840" s="6">
        <v>89655320</v>
      </c>
      <c r="I1840" s="7">
        <v>848000000</v>
      </c>
    </row>
    <row r="1841" spans="1:9" ht="12" customHeight="1" thickBot="1" x14ac:dyDescent="0.25">
      <c r="A1841" s="1" t="s">
        <v>52</v>
      </c>
      <c r="B1841" s="1" t="s">
        <v>37</v>
      </c>
      <c r="C1841" s="1" t="s">
        <v>23</v>
      </c>
      <c r="D1841" s="5">
        <v>45914</v>
      </c>
      <c r="E1841" s="6">
        <v>971655320</v>
      </c>
      <c r="F1841" s="6">
        <v>93655320</v>
      </c>
      <c r="G1841" s="6">
        <v>878000000</v>
      </c>
      <c r="H1841" s="6">
        <v>89655320</v>
      </c>
      <c r="I1841" s="7">
        <v>882000000</v>
      </c>
    </row>
    <row r="1842" spans="1:9" ht="12" customHeight="1" thickBot="1" x14ac:dyDescent="0.25">
      <c r="A1842" s="1" t="s">
        <v>52</v>
      </c>
      <c r="B1842" s="1" t="s">
        <v>37</v>
      </c>
      <c r="C1842" s="1" t="s">
        <v>23</v>
      </c>
      <c r="D1842" s="5">
        <v>45915</v>
      </c>
      <c r="E1842" s="6">
        <v>965655320</v>
      </c>
      <c r="F1842" s="6">
        <v>93655320</v>
      </c>
      <c r="G1842" s="6">
        <v>872000000</v>
      </c>
      <c r="H1842" s="6">
        <v>89655320</v>
      </c>
      <c r="I1842" s="7">
        <v>876000000</v>
      </c>
    </row>
    <row r="1843" spans="1:9" ht="12" customHeight="1" thickBot="1" x14ac:dyDescent="0.25">
      <c r="A1843" s="1" t="s">
        <v>52</v>
      </c>
      <c r="B1843" s="1" t="s">
        <v>37</v>
      </c>
      <c r="C1843" s="1" t="s">
        <v>23</v>
      </c>
      <c r="D1843" s="5">
        <v>45916</v>
      </c>
      <c r="E1843" s="6">
        <v>912655320</v>
      </c>
      <c r="F1843" s="6">
        <v>98655320</v>
      </c>
      <c r="G1843" s="6">
        <v>814000000</v>
      </c>
      <c r="H1843" s="6">
        <v>89655320</v>
      </c>
      <c r="I1843" s="7">
        <v>823000000</v>
      </c>
    </row>
    <row r="1844" spans="1:9" ht="12" customHeight="1" thickBot="1" x14ac:dyDescent="0.25">
      <c r="A1844" s="1" t="s">
        <v>52</v>
      </c>
      <c r="B1844" s="1" t="s">
        <v>37</v>
      </c>
      <c r="C1844" s="1" t="s">
        <v>23</v>
      </c>
      <c r="D1844" s="5">
        <v>45917</v>
      </c>
      <c r="E1844" s="6">
        <v>897059320</v>
      </c>
      <c r="F1844" s="6">
        <v>98655320</v>
      </c>
      <c r="G1844" s="6">
        <v>798404000</v>
      </c>
      <c r="H1844" s="6">
        <v>89655320</v>
      </c>
      <c r="I1844" s="7">
        <v>807404000</v>
      </c>
    </row>
    <row r="1845" spans="1:9" ht="12" customHeight="1" thickBot="1" x14ac:dyDescent="0.25">
      <c r="A1845" s="1" t="s">
        <v>52</v>
      </c>
      <c r="B1845" s="1" t="s">
        <v>37</v>
      </c>
      <c r="C1845" s="1" t="s">
        <v>23</v>
      </c>
      <c r="D1845" s="5">
        <v>45918</v>
      </c>
      <c r="E1845" s="6">
        <v>901059320</v>
      </c>
      <c r="F1845" s="6">
        <v>100655320</v>
      </c>
      <c r="G1845" s="6">
        <v>800404000</v>
      </c>
      <c r="H1845" s="6">
        <v>89655320</v>
      </c>
      <c r="I1845" s="7">
        <v>811404000</v>
      </c>
    </row>
    <row r="1846" spans="1:9" ht="12" customHeight="1" thickBot="1" x14ac:dyDescent="0.25">
      <c r="A1846" s="1" t="s">
        <v>52</v>
      </c>
      <c r="B1846" s="1" t="s">
        <v>37</v>
      </c>
      <c r="C1846" s="1" t="s">
        <v>23</v>
      </c>
      <c r="D1846" s="5">
        <v>45919</v>
      </c>
      <c r="E1846" s="6">
        <v>919655320</v>
      </c>
      <c r="F1846" s="6">
        <v>95655320</v>
      </c>
      <c r="G1846" s="6">
        <v>824000000</v>
      </c>
      <c r="H1846" s="6">
        <v>89655320</v>
      </c>
      <c r="I1846" s="7">
        <v>830000000</v>
      </c>
    </row>
    <row r="1847" spans="1:9" ht="12" customHeight="1" thickBot="1" x14ac:dyDescent="0.25">
      <c r="A1847" s="1" t="s">
        <v>52</v>
      </c>
      <c r="B1847" s="1" t="s">
        <v>37</v>
      </c>
      <c r="C1847" s="1" t="s">
        <v>23</v>
      </c>
      <c r="D1847" s="5">
        <v>45920</v>
      </c>
      <c r="E1847" s="6">
        <v>891546910</v>
      </c>
      <c r="F1847" s="6">
        <v>93655320</v>
      </c>
      <c r="G1847" s="6">
        <v>797891590</v>
      </c>
      <c r="H1847" s="6">
        <v>89655320</v>
      </c>
      <c r="I1847" s="7">
        <v>801891590</v>
      </c>
    </row>
    <row r="1848" spans="1:9" ht="12" customHeight="1" thickBot="1" x14ac:dyDescent="0.25">
      <c r="A1848" s="1" t="s">
        <v>52</v>
      </c>
      <c r="B1848" s="1" t="s">
        <v>37</v>
      </c>
      <c r="C1848" s="1" t="s">
        <v>23</v>
      </c>
      <c r="D1848" s="5">
        <v>45921</v>
      </c>
      <c r="E1848" s="6">
        <v>915546910</v>
      </c>
      <c r="F1848" s="6">
        <v>104546910</v>
      </c>
      <c r="G1848" s="6">
        <v>811000000</v>
      </c>
      <c r="H1848" s="6">
        <v>89655320</v>
      </c>
      <c r="I1848" s="7">
        <v>825891590</v>
      </c>
    </row>
    <row r="1849" spans="1:9" ht="12" customHeight="1" thickBot="1" x14ac:dyDescent="0.25">
      <c r="A1849" s="1" t="s">
        <v>52</v>
      </c>
      <c r="B1849" s="1" t="s">
        <v>37</v>
      </c>
      <c r="C1849" s="1" t="s">
        <v>23</v>
      </c>
      <c r="D1849" s="5">
        <v>45922</v>
      </c>
      <c r="E1849" s="6">
        <v>934546910</v>
      </c>
      <c r="F1849" s="6">
        <v>99546910</v>
      </c>
      <c r="G1849" s="6">
        <v>835000000</v>
      </c>
      <c r="H1849" s="6">
        <v>89655320</v>
      </c>
      <c r="I1849" s="7">
        <v>844891590</v>
      </c>
    </row>
    <row r="1850" spans="1:9" ht="12" customHeight="1" thickBot="1" x14ac:dyDescent="0.25">
      <c r="A1850" s="1" t="s">
        <v>52</v>
      </c>
      <c r="B1850" s="1" t="s">
        <v>37</v>
      </c>
      <c r="C1850" s="1" t="s">
        <v>23</v>
      </c>
      <c r="D1850" s="5">
        <v>45923</v>
      </c>
      <c r="E1850" s="6">
        <v>901331910</v>
      </c>
      <c r="F1850" s="6">
        <v>99546910</v>
      </c>
      <c r="G1850" s="6">
        <v>801785000</v>
      </c>
      <c r="H1850" s="6">
        <v>89655320</v>
      </c>
      <c r="I1850" s="7">
        <v>811676590</v>
      </c>
    </row>
    <row r="1851" spans="1:9" ht="12" customHeight="1" thickBot="1" x14ac:dyDescent="0.25">
      <c r="A1851" s="1" t="s">
        <v>52</v>
      </c>
      <c r="B1851" s="1" t="s">
        <v>37</v>
      </c>
      <c r="C1851" s="1" t="s">
        <v>23</v>
      </c>
      <c r="D1851" s="5">
        <v>45924</v>
      </c>
      <c r="E1851" s="6">
        <v>925961910</v>
      </c>
      <c r="F1851" s="6">
        <v>99546910</v>
      </c>
      <c r="G1851" s="6">
        <v>826415000</v>
      </c>
      <c r="H1851" s="6">
        <v>93655320</v>
      </c>
      <c r="I1851" s="7">
        <v>832306590</v>
      </c>
    </row>
    <row r="1852" spans="1:9" ht="12" customHeight="1" thickBot="1" x14ac:dyDescent="0.25">
      <c r="A1852" s="1" t="s">
        <v>52</v>
      </c>
      <c r="B1852" s="1" t="s">
        <v>37</v>
      </c>
      <c r="C1852" s="1" t="s">
        <v>23</v>
      </c>
      <c r="D1852" s="5">
        <v>45925</v>
      </c>
      <c r="E1852" s="6">
        <v>951692486</v>
      </c>
      <c r="F1852" s="6">
        <v>93655320</v>
      </c>
      <c r="G1852" s="6">
        <v>858037166</v>
      </c>
      <c r="H1852" s="6">
        <v>93655320</v>
      </c>
      <c r="I1852" s="7">
        <v>858037166</v>
      </c>
    </row>
    <row r="1853" spans="1:9" ht="12" customHeight="1" thickBot="1" x14ac:dyDescent="0.25">
      <c r="A1853" s="1" t="s">
        <v>52</v>
      </c>
      <c r="B1853" s="1" t="s">
        <v>37</v>
      </c>
      <c r="C1853" s="1" t="s">
        <v>23</v>
      </c>
      <c r="D1853" s="5">
        <v>45926</v>
      </c>
      <c r="E1853" s="6">
        <v>985059937</v>
      </c>
      <c r="F1853" s="6">
        <v>98655320</v>
      </c>
      <c r="G1853" s="6">
        <v>886404617</v>
      </c>
      <c r="H1853" s="6">
        <v>93655320</v>
      </c>
      <c r="I1853" s="7">
        <v>891404617</v>
      </c>
    </row>
    <row r="1854" spans="1:9" ht="12" customHeight="1" thickBot="1" x14ac:dyDescent="0.25">
      <c r="A1854" s="1" t="s">
        <v>52</v>
      </c>
      <c r="B1854" s="1" t="s">
        <v>37</v>
      </c>
      <c r="C1854" s="1" t="s">
        <v>23</v>
      </c>
      <c r="D1854" s="5">
        <v>45927</v>
      </c>
      <c r="E1854" s="6">
        <v>983370813</v>
      </c>
      <c r="F1854" s="6">
        <v>97037143</v>
      </c>
      <c r="G1854" s="6">
        <v>886333670</v>
      </c>
      <c r="H1854" s="6">
        <v>89655320</v>
      </c>
      <c r="I1854" s="7">
        <v>893715493</v>
      </c>
    </row>
    <row r="1855" spans="1:9" ht="12" customHeight="1" thickBot="1" x14ac:dyDescent="0.25">
      <c r="A1855" s="1" t="s">
        <v>52</v>
      </c>
      <c r="B1855" s="1" t="s">
        <v>37</v>
      </c>
      <c r="C1855" s="1" t="s">
        <v>23</v>
      </c>
      <c r="D1855" s="5">
        <v>45928</v>
      </c>
      <c r="E1855" s="6">
        <v>996017569</v>
      </c>
      <c r="F1855" s="6">
        <v>107656285</v>
      </c>
      <c r="G1855" s="6">
        <v>888361284</v>
      </c>
      <c r="H1855" s="6">
        <v>89655320</v>
      </c>
      <c r="I1855" s="7">
        <v>906362249</v>
      </c>
    </row>
    <row r="1856" spans="1:9" ht="12" customHeight="1" thickBot="1" x14ac:dyDescent="0.25">
      <c r="A1856" s="1" t="s">
        <v>52</v>
      </c>
      <c r="B1856" s="1" t="s">
        <v>37</v>
      </c>
      <c r="C1856" s="1" t="s">
        <v>23</v>
      </c>
      <c r="D1856" s="5">
        <v>45929</v>
      </c>
      <c r="E1856" s="6">
        <v>1007453108</v>
      </c>
      <c r="F1856" s="6">
        <v>102038108</v>
      </c>
      <c r="G1856" s="6">
        <v>905415000</v>
      </c>
      <c r="H1856" s="6">
        <v>89655320</v>
      </c>
      <c r="I1856" s="7">
        <v>917797788</v>
      </c>
    </row>
    <row r="1857" spans="1:9" ht="12" customHeight="1" thickBot="1" x14ac:dyDescent="0.25">
      <c r="A1857" s="1" t="s">
        <v>52</v>
      </c>
      <c r="B1857" s="1" t="s">
        <v>37</v>
      </c>
      <c r="C1857" s="1" t="s">
        <v>23</v>
      </c>
      <c r="D1857" s="5">
        <v>45930</v>
      </c>
      <c r="E1857" s="6">
        <v>1019505545</v>
      </c>
      <c r="F1857" s="6">
        <v>102091548</v>
      </c>
      <c r="G1857" s="6">
        <v>917413997</v>
      </c>
      <c r="H1857" s="6">
        <v>89655320</v>
      </c>
      <c r="I1857" s="7">
        <v>929850225</v>
      </c>
    </row>
    <row r="1858" spans="1:9" ht="12" customHeight="1" thickBot="1" x14ac:dyDescent="0.25">
      <c r="A1858" s="1" t="s">
        <v>53</v>
      </c>
      <c r="B1858" s="1" t="s">
        <v>12</v>
      </c>
      <c r="C1858" s="1" t="s">
        <v>24</v>
      </c>
      <c r="D1858" s="5">
        <v>45839</v>
      </c>
      <c r="E1858" s="6">
        <v>69356741070</v>
      </c>
      <c r="F1858" s="6">
        <v>5611128121</v>
      </c>
      <c r="G1858" s="6">
        <v>63745612949</v>
      </c>
      <c r="H1858" s="6">
        <v>4417885445</v>
      </c>
      <c r="I1858" s="7">
        <v>64938855625</v>
      </c>
    </row>
    <row r="1859" spans="1:9" ht="12" customHeight="1" thickBot="1" x14ac:dyDescent="0.25">
      <c r="A1859" s="1" t="s">
        <v>53</v>
      </c>
      <c r="B1859" s="1" t="s">
        <v>12</v>
      </c>
      <c r="C1859" s="1" t="s">
        <v>24</v>
      </c>
      <c r="D1859" s="5">
        <v>45840</v>
      </c>
      <c r="E1859" s="6">
        <v>69658070170</v>
      </c>
      <c r="F1859" s="6">
        <v>5615359556</v>
      </c>
      <c r="G1859" s="6">
        <v>64042710614</v>
      </c>
      <c r="H1859" s="6">
        <v>4487294782</v>
      </c>
      <c r="I1859" s="7">
        <v>65170775388</v>
      </c>
    </row>
    <row r="1860" spans="1:9" ht="12" customHeight="1" thickBot="1" x14ac:dyDescent="0.25">
      <c r="A1860" s="1" t="s">
        <v>53</v>
      </c>
      <c r="B1860" s="1" t="s">
        <v>12</v>
      </c>
      <c r="C1860" s="1" t="s">
        <v>24</v>
      </c>
      <c r="D1860" s="5">
        <v>45841</v>
      </c>
      <c r="E1860" s="6">
        <v>70047195082</v>
      </c>
      <c r="F1860" s="6">
        <v>5714725260</v>
      </c>
      <c r="G1860" s="6">
        <v>64332469822</v>
      </c>
      <c r="H1860" s="6">
        <v>4468729912</v>
      </c>
      <c r="I1860" s="7">
        <v>65578465170</v>
      </c>
    </row>
    <row r="1861" spans="1:9" ht="12" customHeight="1" thickBot="1" x14ac:dyDescent="0.25">
      <c r="A1861" s="1" t="s">
        <v>53</v>
      </c>
      <c r="B1861" s="1" t="s">
        <v>12</v>
      </c>
      <c r="C1861" s="1" t="s">
        <v>24</v>
      </c>
      <c r="D1861" s="5">
        <v>45842</v>
      </c>
      <c r="E1861" s="6">
        <v>70455637075</v>
      </c>
      <c r="F1861" s="6">
        <v>5818229976</v>
      </c>
      <c r="G1861" s="6">
        <v>64637407099</v>
      </c>
      <c r="H1861" s="6">
        <v>4578081604</v>
      </c>
      <c r="I1861" s="7">
        <v>65877555471</v>
      </c>
    </row>
    <row r="1862" spans="1:9" ht="12" customHeight="1" thickBot="1" x14ac:dyDescent="0.25">
      <c r="A1862" s="1" t="s">
        <v>53</v>
      </c>
      <c r="B1862" s="1" t="s">
        <v>12</v>
      </c>
      <c r="C1862" s="1" t="s">
        <v>24</v>
      </c>
      <c r="D1862" s="5">
        <v>45843</v>
      </c>
      <c r="E1862" s="6">
        <v>70753040690</v>
      </c>
      <c r="F1862" s="6">
        <v>5943416406</v>
      </c>
      <c r="G1862" s="6">
        <v>64809624284</v>
      </c>
      <c r="H1862" s="6">
        <v>4628088412</v>
      </c>
      <c r="I1862" s="7">
        <v>66124952278</v>
      </c>
    </row>
    <row r="1863" spans="1:9" ht="12" customHeight="1" thickBot="1" x14ac:dyDescent="0.25">
      <c r="A1863" s="1" t="s">
        <v>53</v>
      </c>
      <c r="B1863" s="1" t="s">
        <v>12</v>
      </c>
      <c r="C1863" s="1" t="s">
        <v>24</v>
      </c>
      <c r="D1863" s="5">
        <v>45844</v>
      </c>
      <c r="E1863" s="6">
        <v>71088717385</v>
      </c>
      <c r="F1863" s="6">
        <v>6013436909</v>
      </c>
      <c r="G1863" s="6">
        <v>65075280476</v>
      </c>
      <c r="H1863" s="6">
        <v>4644923585</v>
      </c>
      <c r="I1863" s="7">
        <v>66443793800</v>
      </c>
    </row>
    <row r="1864" spans="1:9" ht="12" customHeight="1" thickBot="1" x14ac:dyDescent="0.25">
      <c r="A1864" s="1" t="s">
        <v>53</v>
      </c>
      <c r="B1864" s="1" t="s">
        <v>12</v>
      </c>
      <c r="C1864" s="1" t="s">
        <v>24</v>
      </c>
      <c r="D1864" s="5">
        <v>45845</v>
      </c>
      <c r="E1864" s="6">
        <v>71313554712</v>
      </c>
      <c r="F1864" s="6">
        <v>5859668352</v>
      </c>
      <c r="G1864" s="6">
        <v>65453886360</v>
      </c>
      <c r="H1864" s="6">
        <v>4713630242</v>
      </c>
      <c r="I1864" s="7">
        <v>66599924470</v>
      </c>
    </row>
    <row r="1865" spans="1:9" ht="12" customHeight="1" thickBot="1" x14ac:dyDescent="0.25">
      <c r="A1865" s="1" t="s">
        <v>53</v>
      </c>
      <c r="B1865" s="1" t="s">
        <v>12</v>
      </c>
      <c r="C1865" s="1" t="s">
        <v>24</v>
      </c>
      <c r="D1865" s="5">
        <v>45846</v>
      </c>
      <c r="E1865" s="6">
        <v>71714272298</v>
      </c>
      <c r="F1865" s="6">
        <v>6228822519</v>
      </c>
      <c r="G1865" s="6">
        <v>65485449779</v>
      </c>
      <c r="H1865" s="6">
        <v>4781514594</v>
      </c>
      <c r="I1865" s="7">
        <v>66932757704</v>
      </c>
    </row>
    <row r="1866" spans="1:9" ht="12" customHeight="1" thickBot="1" x14ac:dyDescent="0.25">
      <c r="A1866" s="1" t="s">
        <v>53</v>
      </c>
      <c r="B1866" s="1" t="s">
        <v>12</v>
      </c>
      <c r="C1866" s="1" t="s">
        <v>24</v>
      </c>
      <c r="D1866" s="5">
        <v>45847</v>
      </c>
      <c r="E1866" s="6">
        <v>71967467511</v>
      </c>
      <c r="F1866" s="6">
        <v>6193730629</v>
      </c>
      <c r="G1866" s="6">
        <v>65773736882</v>
      </c>
      <c r="H1866" s="6">
        <v>4958171832</v>
      </c>
      <c r="I1866" s="7">
        <v>67009295679</v>
      </c>
    </row>
    <row r="1867" spans="1:9" ht="12" customHeight="1" thickBot="1" x14ac:dyDescent="0.25">
      <c r="A1867" s="1" t="s">
        <v>53</v>
      </c>
      <c r="B1867" s="1" t="s">
        <v>12</v>
      </c>
      <c r="C1867" s="1" t="s">
        <v>24</v>
      </c>
      <c r="D1867" s="5">
        <v>45848</v>
      </c>
      <c r="E1867" s="6">
        <v>71917169759</v>
      </c>
      <c r="F1867" s="6">
        <v>6073500320</v>
      </c>
      <c r="G1867" s="6">
        <v>65843669439</v>
      </c>
      <c r="H1867" s="6">
        <v>4911197088</v>
      </c>
      <c r="I1867" s="7">
        <v>67005972671</v>
      </c>
    </row>
    <row r="1868" spans="1:9" ht="12" customHeight="1" thickBot="1" x14ac:dyDescent="0.25">
      <c r="A1868" s="1" t="s">
        <v>53</v>
      </c>
      <c r="B1868" s="1" t="s">
        <v>12</v>
      </c>
      <c r="C1868" s="1" t="s">
        <v>24</v>
      </c>
      <c r="D1868" s="5">
        <v>45849</v>
      </c>
      <c r="E1868" s="6">
        <v>71981995681</v>
      </c>
      <c r="F1868" s="6">
        <v>6199177974</v>
      </c>
      <c r="G1868" s="6">
        <v>65782817707</v>
      </c>
      <c r="H1868" s="6">
        <v>4895663680</v>
      </c>
      <c r="I1868" s="7">
        <v>67086332001</v>
      </c>
    </row>
    <row r="1869" spans="1:9" ht="12" customHeight="1" thickBot="1" x14ac:dyDescent="0.25">
      <c r="A1869" s="1" t="s">
        <v>53</v>
      </c>
      <c r="B1869" s="1" t="s">
        <v>12</v>
      </c>
      <c r="C1869" s="1" t="s">
        <v>24</v>
      </c>
      <c r="D1869" s="5">
        <v>45850</v>
      </c>
      <c r="E1869" s="6">
        <v>71988062247</v>
      </c>
      <c r="F1869" s="6">
        <v>6398673331</v>
      </c>
      <c r="G1869" s="6">
        <v>65589388916</v>
      </c>
      <c r="H1869" s="6">
        <v>4920420696</v>
      </c>
      <c r="I1869" s="7">
        <v>67067641551</v>
      </c>
    </row>
    <row r="1870" spans="1:9" ht="12" customHeight="1" thickBot="1" x14ac:dyDescent="0.25">
      <c r="A1870" s="1" t="s">
        <v>53</v>
      </c>
      <c r="B1870" s="1" t="s">
        <v>12</v>
      </c>
      <c r="C1870" s="1" t="s">
        <v>24</v>
      </c>
      <c r="D1870" s="5">
        <v>45851</v>
      </c>
      <c r="E1870" s="6">
        <v>72125337648</v>
      </c>
      <c r="F1870" s="6">
        <v>6583315733</v>
      </c>
      <c r="G1870" s="6">
        <v>65542021915</v>
      </c>
      <c r="H1870" s="6">
        <v>4978560833</v>
      </c>
      <c r="I1870" s="7">
        <v>67146776815</v>
      </c>
    </row>
    <row r="1871" spans="1:9" ht="12" customHeight="1" thickBot="1" x14ac:dyDescent="0.25">
      <c r="A1871" s="1" t="s">
        <v>53</v>
      </c>
      <c r="B1871" s="1" t="s">
        <v>12</v>
      </c>
      <c r="C1871" s="1" t="s">
        <v>24</v>
      </c>
      <c r="D1871" s="5">
        <v>45852</v>
      </c>
      <c r="E1871" s="6">
        <v>71928178682</v>
      </c>
      <c r="F1871" s="6">
        <v>6425347772</v>
      </c>
      <c r="G1871" s="6">
        <v>65502830910</v>
      </c>
      <c r="H1871" s="6">
        <v>5043059162</v>
      </c>
      <c r="I1871" s="7">
        <v>66885119520</v>
      </c>
    </row>
    <row r="1872" spans="1:9" ht="12" customHeight="1" thickBot="1" x14ac:dyDescent="0.25">
      <c r="A1872" s="1" t="s">
        <v>53</v>
      </c>
      <c r="B1872" s="1" t="s">
        <v>12</v>
      </c>
      <c r="C1872" s="1" t="s">
        <v>24</v>
      </c>
      <c r="D1872" s="5">
        <v>45853</v>
      </c>
      <c r="E1872" s="6">
        <v>72126857005</v>
      </c>
      <c r="F1872" s="6">
        <v>6471312034</v>
      </c>
      <c r="G1872" s="6">
        <v>65655544971</v>
      </c>
      <c r="H1872" s="6">
        <v>5066519680</v>
      </c>
      <c r="I1872" s="7">
        <v>67060337325</v>
      </c>
    </row>
    <row r="1873" spans="1:9" ht="12" customHeight="1" thickBot="1" x14ac:dyDescent="0.25">
      <c r="A1873" s="1" t="s">
        <v>53</v>
      </c>
      <c r="B1873" s="1" t="s">
        <v>12</v>
      </c>
      <c r="C1873" s="1" t="s">
        <v>24</v>
      </c>
      <c r="D1873" s="5">
        <v>45854</v>
      </c>
      <c r="E1873" s="6">
        <v>72394869534</v>
      </c>
      <c r="F1873" s="6">
        <v>6306856810</v>
      </c>
      <c r="G1873" s="6">
        <v>66088012724</v>
      </c>
      <c r="H1873" s="6">
        <v>5136766730</v>
      </c>
      <c r="I1873" s="7">
        <v>67258102804</v>
      </c>
    </row>
    <row r="1874" spans="1:9" ht="12" customHeight="1" thickBot="1" x14ac:dyDescent="0.25">
      <c r="A1874" s="1" t="s">
        <v>53</v>
      </c>
      <c r="B1874" s="1" t="s">
        <v>12</v>
      </c>
      <c r="C1874" s="1" t="s">
        <v>24</v>
      </c>
      <c r="D1874" s="5">
        <v>45855</v>
      </c>
      <c r="E1874" s="6">
        <v>72498704085</v>
      </c>
      <c r="F1874" s="6">
        <v>6260430018</v>
      </c>
      <c r="G1874" s="6">
        <v>66238274067</v>
      </c>
      <c r="H1874" s="6">
        <v>5087589248</v>
      </c>
      <c r="I1874" s="7">
        <v>67411114837</v>
      </c>
    </row>
    <row r="1875" spans="1:9" ht="12" customHeight="1" thickBot="1" x14ac:dyDescent="0.25">
      <c r="A1875" s="1" t="s">
        <v>53</v>
      </c>
      <c r="B1875" s="1" t="s">
        <v>12</v>
      </c>
      <c r="C1875" s="1" t="s">
        <v>24</v>
      </c>
      <c r="D1875" s="5">
        <v>45856</v>
      </c>
      <c r="E1875" s="6">
        <v>72726214959</v>
      </c>
      <c r="F1875" s="6">
        <v>6323240709</v>
      </c>
      <c r="G1875" s="6">
        <v>66402974250</v>
      </c>
      <c r="H1875" s="6">
        <v>5221106001</v>
      </c>
      <c r="I1875" s="7">
        <v>67505108958</v>
      </c>
    </row>
    <row r="1876" spans="1:9" ht="12" customHeight="1" thickBot="1" x14ac:dyDescent="0.25">
      <c r="A1876" s="1" t="s">
        <v>53</v>
      </c>
      <c r="B1876" s="1" t="s">
        <v>12</v>
      </c>
      <c r="C1876" s="1" t="s">
        <v>24</v>
      </c>
      <c r="D1876" s="5">
        <v>45857</v>
      </c>
      <c r="E1876" s="6">
        <v>72945187237</v>
      </c>
      <c r="F1876" s="6">
        <v>6425947539</v>
      </c>
      <c r="G1876" s="6">
        <v>66519239698</v>
      </c>
      <c r="H1876" s="6">
        <v>5222784482</v>
      </c>
      <c r="I1876" s="7">
        <v>67722402755</v>
      </c>
    </row>
    <row r="1877" spans="1:9" ht="12" customHeight="1" thickBot="1" x14ac:dyDescent="0.25">
      <c r="A1877" s="1" t="s">
        <v>53</v>
      </c>
      <c r="B1877" s="1" t="s">
        <v>12</v>
      </c>
      <c r="C1877" s="1" t="s">
        <v>24</v>
      </c>
      <c r="D1877" s="5">
        <v>45858</v>
      </c>
      <c r="E1877" s="6">
        <v>73433478077</v>
      </c>
      <c r="F1877" s="6">
        <v>6612593999</v>
      </c>
      <c r="G1877" s="6">
        <v>66820884078</v>
      </c>
      <c r="H1877" s="6">
        <v>5316748550</v>
      </c>
      <c r="I1877" s="7">
        <v>68116729527</v>
      </c>
    </row>
    <row r="1878" spans="1:9" ht="12" customHeight="1" thickBot="1" x14ac:dyDescent="0.25">
      <c r="A1878" s="1" t="s">
        <v>53</v>
      </c>
      <c r="B1878" s="1" t="s">
        <v>12</v>
      </c>
      <c r="C1878" s="1" t="s">
        <v>24</v>
      </c>
      <c r="D1878" s="5">
        <v>45859</v>
      </c>
      <c r="E1878" s="6">
        <v>73714702544</v>
      </c>
      <c r="F1878" s="6">
        <v>6425624116</v>
      </c>
      <c r="G1878" s="6">
        <v>67289078428</v>
      </c>
      <c r="H1878" s="6">
        <v>5419608318</v>
      </c>
      <c r="I1878" s="7">
        <v>68295094226</v>
      </c>
    </row>
    <row r="1879" spans="1:9" ht="12" customHeight="1" thickBot="1" x14ac:dyDescent="0.25">
      <c r="A1879" s="1" t="s">
        <v>53</v>
      </c>
      <c r="B1879" s="1" t="s">
        <v>12</v>
      </c>
      <c r="C1879" s="1" t="s">
        <v>24</v>
      </c>
      <c r="D1879" s="5">
        <v>45860</v>
      </c>
      <c r="E1879" s="6">
        <v>73878987004</v>
      </c>
      <c r="F1879" s="6">
        <v>6893831618</v>
      </c>
      <c r="G1879" s="6">
        <v>66985155386</v>
      </c>
      <c r="H1879" s="6">
        <v>5474381710</v>
      </c>
      <c r="I1879" s="7">
        <v>68404605294</v>
      </c>
    </row>
    <row r="1880" spans="1:9" ht="12" customHeight="1" thickBot="1" x14ac:dyDescent="0.25">
      <c r="A1880" s="1" t="s">
        <v>53</v>
      </c>
      <c r="B1880" s="1" t="s">
        <v>12</v>
      </c>
      <c r="C1880" s="1" t="s">
        <v>24</v>
      </c>
      <c r="D1880" s="5">
        <v>45861</v>
      </c>
      <c r="E1880" s="6">
        <v>73968665504</v>
      </c>
      <c r="F1880" s="6">
        <v>6942290956</v>
      </c>
      <c r="G1880" s="6">
        <v>67026374548</v>
      </c>
      <c r="H1880" s="6">
        <v>5577706434</v>
      </c>
      <c r="I1880" s="7">
        <v>68390959070</v>
      </c>
    </row>
    <row r="1881" spans="1:9" ht="12" customHeight="1" thickBot="1" x14ac:dyDescent="0.25">
      <c r="A1881" s="1" t="s">
        <v>53</v>
      </c>
      <c r="B1881" s="1" t="s">
        <v>12</v>
      </c>
      <c r="C1881" s="1" t="s">
        <v>24</v>
      </c>
      <c r="D1881" s="5">
        <v>45862</v>
      </c>
      <c r="E1881" s="6">
        <v>74243248331</v>
      </c>
      <c r="F1881" s="6">
        <v>6953808283</v>
      </c>
      <c r="G1881" s="6">
        <v>67289440048</v>
      </c>
      <c r="H1881" s="6">
        <v>5551649336</v>
      </c>
      <c r="I1881" s="7">
        <v>68691598995</v>
      </c>
    </row>
    <row r="1882" spans="1:9" ht="12" customHeight="1" thickBot="1" x14ac:dyDescent="0.25">
      <c r="A1882" s="1" t="s">
        <v>53</v>
      </c>
      <c r="B1882" s="1" t="s">
        <v>12</v>
      </c>
      <c r="C1882" s="1" t="s">
        <v>24</v>
      </c>
      <c r="D1882" s="5">
        <v>45863</v>
      </c>
      <c r="E1882" s="6">
        <v>74669513620</v>
      </c>
      <c r="F1882" s="6">
        <v>7009181767</v>
      </c>
      <c r="G1882" s="6">
        <v>67660331853</v>
      </c>
      <c r="H1882" s="6">
        <v>5636261783</v>
      </c>
      <c r="I1882" s="7">
        <v>69033251837</v>
      </c>
    </row>
    <row r="1883" spans="1:9" ht="12" customHeight="1" thickBot="1" x14ac:dyDescent="0.25">
      <c r="A1883" s="1" t="s">
        <v>53</v>
      </c>
      <c r="B1883" s="1" t="s">
        <v>12</v>
      </c>
      <c r="C1883" s="1" t="s">
        <v>24</v>
      </c>
      <c r="D1883" s="5">
        <v>45864</v>
      </c>
      <c r="E1883" s="6">
        <v>74883946860</v>
      </c>
      <c r="F1883" s="6">
        <v>7036439586</v>
      </c>
      <c r="G1883" s="6">
        <v>67847507274</v>
      </c>
      <c r="H1883" s="6">
        <v>5638200473</v>
      </c>
      <c r="I1883" s="7">
        <v>69245746387</v>
      </c>
    </row>
    <row r="1884" spans="1:9" ht="12" customHeight="1" thickBot="1" x14ac:dyDescent="0.25">
      <c r="A1884" s="1" t="s">
        <v>53</v>
      </c>
      <c r="B1884" s="1" t="s">
        <v>12</v>
      </c>
      <c r="C1884" s="1" t="s">
        <v>24</v>
      </c>
      <c r="D1884" s="5">
        <v>45865</v>
      </c>
      <c r="E1884" s="6">
        <v>75256662366</v>
      </c>
      <c r="F1884" s="6">
        <v>7195642423</v>
      </c>
      <c r="G1884" s="6">
        <v>68061019943</v>
      </c>
      <c r="H1884" s="6">
        <v>5657460409</v>
      </c>
      <c r="I1884" s="7">
        <v>69599201957</v>
      </c>
    </row>
    <row r="1885" spans="1:9" ht="12" customHeight="1" thickBot="1" x14ac:dyDescent="0.25">
      <c r="A1885" s="1" t="s">
        <v>53</v>
      </c>
      <c r="B1885" s="1" t="s">
        <v>12</v>
      </c>
      <c r="C1885" s="1" t="s">
        <v>24</v>
      </c>
      <c r="D1885" s="5">
        <v>45866</v>
      </c>
      <c r="E1885" s="6">
        <v>75008343911</v>
      </c>
      <c r="F1885" s="6">
        <v>7024139857</v>
      </c>
      <c r="G1885" s="6">
        <v>67984204054</v>
      </c>
      <c r="H1885" s="6">
        <v>5731868220</v>
      </c>
      <c r="I1885" s="7">
        <v>69276475691</v>
      </c>
    </row>
    <row r="1886" spans="1:9" ht="12" customHeight="1" thickBot="1" x14ac:dyDescent="0.25">
      <c r="A1886" s="1" t="s">
        <v>53</v>
      </c>
      <c r="B1886" s="1" t="s">
        <v>12</v>
      </c>
      <c r="C1886" s="1" t="s">
        <v>24</v>
      </c>
      <c r="D1886" s="5">
        <v>45867</v>
      </c>
      <c r="E1886" s="6">
        <v>75285865674</v>
      </c>
      <c r="F1886" s="6">
        <v>7795141193</v>
      </c>
      <c r="G1886" s="6">
        <v>67490724481</v>
      </c>
      <c r="H1886" s="6">
        <v>5875253864</v>
      </c>
      <c r="I1886" s="7">
        <v>69410611810</v>
      </c>
    </row>
    <row r="1887" spans="1:9" ht="12" customHeight="1" thickBot="1" x14ac:dyDescent="0.25">
      <c r="A1887" s="1" t="s">
        <v>53</v>
      </c>
      <c r="B1887" s="1" t="s">
        <v>12</v>
      </c>
      <c r="C1887" s="1" t="s">
        <v>24</v>
      </c>
      <c r="D1887" s="5">
        <v>45868</v>
      </c>
      <c r="E1887" s="6">
        <v>75567838626</v>
      </c>
      <c r="F1887" s="6">
        <v>7530536267</v>
      </c>
      <c r="G1887" s="6">
        <v>68037302359</v>
      </c>
      <c r="H1887" s="6">
        <v>5945512955</v>
      </c>
      <c r="I1887" s="7">
        <v>69622325671</v>
      </c>
    </row>
    <row r="1888" spans="1:9" ht="12" customHeight="1" thickBot="1" x14ac:dyDescent="0.25">
      <c r="A1888" s="1" t="s">
        <v>53</v>
      </c>
      <c r="B1888" s="1" t="s">
        <v>12</v>
      </c>
      <c r="C1888" s="1" t="s">
        <v>24</v>
      </c>
      <c r="D1888" s="5">
        <v>45869</v>
      </c>
      <c r="E1888" s="6">
        <v>76005949782</v>
      </c>
      <c r="F1888" s="6">
        <v>7326412109</v>
      </c>
      <c r="G1888" s="6">
        <v>68679537673</v>
      </c>
      <c r="H1888" s="6">
        <v>5880028976</v>
      </c>
      <c r="I1888" s="7">
        <v>70125920806</v>
      </c>
    </row>
    <row r="1889" spans="1:9" ht="12" customHeight="1" thickBot="1" x14ac:dyDescent="0.25">
      <c r="A1889" s="1" t="s">
        <v>53</v>
      </c>
      <c r="B1889" s="1" t="s">
        <v>12</v>
      </c>
      <c r="C1889" s="1" t="s">
        <v>24</v>
      </c>
      <c r="D1889" s="5">
        <v>45870</v>
      </c>
      <c r="E1889" s="6">
        <v>76165949127</v>
      </c>
      <c r="F1889" s="6">
        <v>7154476762</v>
      </c>
      <c r="G1889" s="6">
        <v>69011472365</v>
      </c>
      <c r="H1889" s="6">
        <v>6126549791</v>
      </c>
      <c r="I1889" s="7">
        <v>70039399336</v>
      </c>
    </row>
    <row r="1890" spans="1:9" ht="12" customHeight="1" thickBot="1" x14ac:dyDescent="0.25">
      <c r="A1890" s="1" t="s">
        <v>53</v>
      </c>
      <c r="B1890" s="1" t="s">
        <v>12</v>
      </c>
      <c r="C1890" s="1" t="s">
        <v>24</v>
      </c>
      <c r="D1890" s="5">
        <v>45871</v>
      </c>
      <c r="E1890" s="6">
        <v>76492260546</v>
      </c>
      <c r="F1890" s="6">
        <v>7321191150</v>
      </c>
      <c r="G1890" s="6">
        <v>69171069396</v>
      </c>
      <c r="H1890" s="6">
        <v>6169202368</v>
      </c>
      <c r="I1890" s="7">
        <v>70323058178</v>
      </c>
    </row>
    <row r="1891" spans="1:9" ht="12" customHeight="1" thickBot="1" x14ac:dyDescent="0.25">
      <c r="A1891" s="1" t="s">
        <v>53</v>
      </c>
      <c r="B1891" s="1" t="s">
        <v>12</v>
      </c>
      <c r="C1891" s="1" t="s">
        <v>24</v>
      </c>
      <c r="D1891" s="5">
        <v>45872</v>
      </c>
      <c r="E1891" s="6">
        <v>76862302615</v>
      </c>
      <c r="F1891" s="6">
        <v>7641439952</v>
      </c>
      <c r="G1891" s="6">
        <v>69220862663</v>
      </c>
      <c r="H1891" s="6">
        <v>6242648968</v>
      </c>
      <c r="I1891" s="7">
        <v>70619653647</v>
      </c>
    </row>
    <row r="1892" spans="1:9" ht="12" customHeight="1" thickBot="1" x14ac:dyDescent="0.25">
      <c r="A1892" s="1" t="s">
        <v>53</v>
      </c>
      <c r="B1892" s="1" t="s">
        <v>12</v>
      </c>
      <c r="C1892" s="1" t="s">
        <v>24</v>
      </c>
      <c r="D1892" s="5">
        <v>45873</v>
      </c>
      <c r="E1892" s="6">
        <v>76689223330</v>
      </c>
      <c r="F1892" s="6">
        <v>7475029561</v>
      </c>
      <c r="G1892" s="6">
        <v>69214193769</v>
      </c>
      <c r="H1892" s="6">
        <v>6343034826</v>
      </c>
      <c r="I1892" s="7">
        <v>70346188504</v>
      </c>
    </row>
    <row r="1893" spans="1:9" ht="12" customHeight="1" thickBot="1" x14ac:dyDescent="0.25">
      <c r="A1893" s="1" t="s">
        <v>53</v>
      </c>
      <c r="B1893" s="1" t="s">
        <v>12</v>
      </c>
      <c r="C1893" s="1" t="s">
        <v>24</v>
      </c>
      <c r="D1893" s="5">
        <v>45874</v>
      </c>
      <c r="E1893" s="6">
        <v>77184934932</v>
      </c>
      <c r="F1893" s="6">
        <v>7962607326</v>
      </c>
      <c r="G1893" s="6">
        <v>69222327606</v>
      </c>
      <c r="H1893" s="6">
        <v>6355102522</v>
      </c>
      <c r="I1893" s="7">
        <v>70829832410</v>
      </c>
    </row>
    <row r="1894" spans="1:9" ht="12" customHeight="1" thickBot="1" x14ac:dyDescent="0.25">
      <c r="A1894" s="1" t="s">
        <v>53</v>
      </c>
      <c r="B1894" s="1" t="s">
        <v>12</v>
      </c>
      <c r="C1894" s="1" t="s">
        <v>24</v>
      </c>
      <c r="D1894" s="5">
        <v>45875</v>
      </c>
      <c r="E1894" s="6">
        <v>77487177254</v>
      </c>
      <c r="F1894" s="6">
        <v>7894416811</v>
      </c>
      <c r="G1894" s="6">
        <v>69592760443</v>
      </c>
      <c r="H1894" s="6">
        <v>6447437814</v>
      </c>
      <c r="I1894" s="7">
        <v>71039739440</v>
      </c>
    </row>
    <row r="1895" spans="1:9" ht="12" customHeight="1" thickBot="1" x14ac:dyDescent="0.25">
      <c r="A1895" s="1" t="s">
        <v>53</v>
      </c>
      <c r="B1895" s="1" t="s">
        <v>12</v>
      </c>
      <c r="C1895" s="1" t="s">
        <v>24</v>
      </c>
      <c r="D1895" s="5">
        <v>45876</v>
      </c>
      <c r="E1895" s="6">
        <v>77619528418</v>
      </c>
      <c r="F1895" s="6">
        <v>7829645456</v>
      </c>
      <c r="G1895" s="6">
        <v>69789882962</v>
      </c>
      <c r="H1895" s="6">
        <v>6378109313</v>
      </c>
      <c r="I1895" s="7">
        <v>71241419105</v>
      </c>
    </row>
    <row r="1896" spans="1:9" ht="12" customHeight="1" thickBot="1" x14ac:dyDescent="0.25">
      <c r="A1896" s="1" t="s">
        <v>53</v>
      </c>
      <c r="B1896" s="1" t="s">
        <v>12</v>
      </c>
      <c r="C1896" s="1" t="s">
        <v>24</v>
      </c>
      <c r="D1896" s="5">
        <v>45877</v>
      </c>
      <c r="E1896" s="6">
        <v>77676889007</v>
      </c>
      <c r="F1896" s="6">
        <v>7966041719</v>
      </c>
      <c r="G1896" s="6">
        <v>69710847288</v>
      </c>
      <c r="H1896" s="6">
        <v>6686427528</v>
      </c>
      <c r="I1896" s="7">
        <v>70990461479</v>
      </c>
    </row>
    <row r="1897" spans="1:9" ht="12" customHeight="1" thickBot="1" x14ac:dyDescent="0.25">
      <c r="A1897" s="1" t="s">
        <v>53</v>
      </c>
      <c r="B1897" s="1" t="s">
        <v>12</v>
      </c>
      <c r="C1897" s="1" t="s">
        <v>24</v>
      </c>
      <c r="D1897" s="5">
        <v>45878</v>
      </c>
      <c r="E1897" s="6">
        <v>77815526921</v>
      </c>
      <c r="F1897" s="6">
        <v>8091501049</v>
      </c>
      <c r="G1897" s="6">
        <v>69724025872</v>
      </c>
      <c r="H1897" s="6">
        <v>6647464930</v>
      </c>
      <c r="I1897" s="7">
        <v>71168061991</v>
      </c>
    </row>
    <row r="1898" spans="1:9" ht="12" customHeight="1" thickBot="1" x14ac:dyDescent="0.25">
      <c r="A1898" s="1" t="s">
        <v>53</v>
      </c>
      <c r="B1898" s="1" t="s">
        <v>12</v>
      </c>
      <c r="C1898" s="1" t="s">
        <v>24</v>
      </c>
      <c r="D1898" s="5">
        <v>45879</v>
      </c>
      <c r="E1898" s="6">
        <v>78413933657</v>
      </c>
      <c r="F1898" s="6">
        <v>8172453434</v>
      </c>
      <c r="G1898" s="6">
        <v>70241480223</v>
      </c>
      <c r="H1898" s="6">
        <v>6608026343</v>
      </c>
      <c r="I1898" s="7">
        <v>71805907314</v>
      </c>
    </row>
    <row r="1899" spans="1:9" ht="12" customHeight="1" thickBot="1" x14ac:dyDescent="0.25">
      <c r="A1899" s="1" t="s">
        <v>53</v>
      </c>
      <c r="B1899" s="1" t="s">
        <v>12</v>
      </c>
      <c r="C1899" s="1" t="s">
        <v>24</v>
      </c>
      <c r="D1899" s="5">
        <v>45880</v>
      </c>
      <c r="E1899" s="6">
        <v>78358532486</v>
      </c>
      <c r="F1899" s="6">
        <v>7936418191</v>
      </c>
      <c r="G1899" s="6">
        <v>70422114295</v>
      </c>
      <c r="H1899" s="6">
        <v>6579040821</v>
      </c>
      <c r="I1899" s="7">
        <v>71779491665</v>
      </c>
    </row>
    <row r="1900" spans="1:9" ht="12" customHeight="1" thickBot="1" x14ac:dyDescent="0.25">
      <c r="A1900" s="1" t="s">
        <v>53</v>
      </c>
      <c r="B1900" s="1" t="s">
        <v>12</v>
      </c>
      <c r="C1900" s="1" t="s">
        <v>24</v>
      </c>
      <c r="D1900" s="5">
        <v>45881</v>
      </c>
      <c r="E1900" s="6">
        <v>78455063761</v>
      </c>
      <c r="F1900" s="6">
        <v>8165969414</v>
      </c>
      <c r="G1900" s="6">
        <v>70289094347</v>
      </c>
      <c r="H1900" s="6">
        <v>6639124129</v>
      </c>
      <c r="I1900" s="7">
        <v>71815939632</v>
      </c>
    </row>
    <row r="1901" spans="1:9" ht="12" customHeight="1" thickBot="1" x14ac:dyDescent="0.25">
      <c r="A1901" s="1" t="s">
        <v>53</v>
      </c>
      <c r="B1901" s="1" t="s">
        <v>12</v>
      </c>
      <c r="C1901" s="1" t="s">
        <v>24</v>
      </c>
      <c r="D1901" s="5">
        <v>45882</v>
      </c>
      <c r="E1901" s="6">
        <v>78737431779</v>
      </c>
      <c r="F1901" s="6">
        <v>8259995915</v>
      </c>
      <c r="G1901" s="6">
        <v>70477435864</v>
      </c>
      <c r="H1901" s="6">
        <v>6738706713</v>
      </c>
      <c r="I1901" s="7">
        <v>71998725066</v>
      </c>
    </row>
    <row r="1902" spans="1:9" ht="12" customHeight="1" thickBot="1" x14ac:dyDescent="0.25">
      <c r="A1902" s="1" t="s">
        <v>53</v>
      </c>
      <c r="B1902" s="1" t="s">
        <v>12</v>
      </c>
      <c r="C1902" s="1" t="s">
        <v>24</v>
      </c>
      <c r="D1902" s="5">
        <v>45883</v>
      </c>
      <c r="E1902" s="6">
        <v>78866631043</v>
      </c>
      <c r="F1902" s="6">
        <v>8170409944</v>
      </c>
      <c r="G1902" s="6">
        <v>70696221099</v>
      </c>
      <c r="H1902" s="6">
        <v>6700368396</v>
      </c>
      <c r="I1902" s="7">
        <v>72166262647</v>
      </c>
    </row>
    <row r="1903" spans="1:9" ht="12" customHeight="1" thickBot="1" x14ac:dyDescent="0.25">
      <c r="A1903" s="1" t="s">
        <v>53</v>
      </c>
      <c r="B1903" s="1" t="s">
        <v>12</v>
      </c>
      <c r="C1903" s="1" t="s">
        <v>24</v>
      </c>
      <c r="D1903" s="5">
        <v>45884</v>
      </c>
      <c r="E1903" s="6">
        <v>79071774773</v>
      </c>
      <c r="F1903" s="6">
        <v>8072077877</v>
      </c>
      <c r="G1903" s="6">
        <v>70999696896</v>
      </c>
      <c r="H1903" s="6">
        <v>6838223807</v>
      </c>
      <c r="I1903" s="7">
        <v>72233550966</v>
      </c>
    </row>
    <row r="1904" spans="1:9" ht="12" customHeight="1" thickBot="1" x14ac:dyDescent="0.25">
      <c r="A1904" s="1" t="s">
        <v>53</v>
      </c>
      <c r="B1904" s="1" t="s">
        <v>12</v>
      </c>
      <c r="C1904" s="1" t="s">
        <v>24</v>
      </c>
      <c r="D1904" s="5">
        <v>45885</v>
      </c>
      <c r="E1904" s="6">
        <v>79265638519</v>
      </c>
      <c r="F1904" s="6">
        <v>8071384379</v>
      </c>
      <c r="G1904" s="6">
        <v>71194254140</v>
      </c>
      <c r="H1904" s="6">
        <v>6877173929</v>
      </c>
      <c r="I1904" s="7">
        <v>72388464590</v>
      </c>
    </row>
    <row r="1905" spans="1:9" ht="12" customHeight="1" thickBot="1" x14ac:dyDescent="0.25">
      <c r="A1905" s="1" t="s">
        <v>53</v>
      </c>
      <c r="B1905" s="1" t="s">
        <v>12</v>
      </c>
      <c r="C1905" s="1" t="s">
        <v>24</v>
      </c>
      <c r="D1905" s="5">
        <v>45886</v>
      </c>
      <c r="E1905" s="6">
        <v>79515524630</v>
      </c>
      <c r="F1905" s="6">
        <v>8240682555</v>
      </c>
      <c r="G1905" s="6">
        <v>71274842075</v>
      </c>
      <c r="H1905" s="6">
        <v>6930626904</v>
      </c>
      <c r="I1905" s="7">
        <v>72584897726</v>
      </c>
    </row>
    <row r="1906" spans="1:9" ht="12" customHeight="1" thickBot="1" x14ac:dyDescent="0.25">
      <c r="A1906" s="1" t="s">
        <v>53</v>
      </c>
      <c r="B1906" s="1" t="s">
        <v>12</v>
      </c>
      <c r="C1906" s="1" t="s">
        <v>24</v>
      </c>
      <c r="D1906" s="5">
        <v>45887</v>
      </c>
      <c r="E1906" s="6">
        <v>79482068926</v>
      </c>
      <c r="F1906" s="6">
        <v>8042778076</v>
      </c>
      <c r="G1906" s="6">
        <v>71439290850</v>
      </c>
      <c r="H1906" s="6">
        <v>6964018236</v>
      </c>
      <c r="I1906" s="7">
        <v>72518050690</v>
      </c>
    </row>
    <row r="1907" spans="1:9" ht="12" customHeight="1" thickBot="1" x14ac:dyDescent="0.25">
      <c r="A1907" s="1" t="s">
        <v>53</v>
      </c>
      <c r="B1907" s="1" t="s">
        <v>12</v>
      </c>
      <c r="C1907" s="1" t="s">
        <v>24</v>
      </c>
      <c r="D1907" s="5">
        <v>45888</v>
      </c>
      <c r="E1907" s="6">
        <v>79610575598</v>
      </c>
      <c r="F1907" s="6">
        <v>8378530998</v>
      </c>
      <c r="G1907" s="6">
        <v>71232044600</v>
      </c>
      <c r="H1907" s="6">
        <v>7067987729</v>
      </c>
      <c r="I1907" s="7">
        <v>72542587869</v>
      </c>
    </row>
    <row r="1908" spans="1:9" ht="12" customHeight="1" thickBot="1" x14ac:dyDescent="0.25">
      <c r="A1908" s="1" t="s">
        <v>53</v>
      </c>
      <c r="B1908" s="1" t="s">
        <v>12</v>
      </c>
      <c r="C1908" s="1" t="s">
        <v>24</v>
      </c>
      <c r="D1908" s="5">
        <v>45889</v>
      </c>
      <c r="E1908" s="6">
        <v>79654369255</v>
      </c>
      <c r="F1908" s="6">
        <v>8393256545</v>
      </c>
      <c r="G1908" s="6">
        <v>71261112710</v>
      </c>
      <c r="H1908" s="6">
        <v>7128062862</v>
      </c>
      <c r="I1908" s="7">
        <v>72526306393</v>
      </c>
    </row>
    <row r="1909" spans="1:9" ht="12" customHeight="1" thickBot="1" x14ac:dyDescent="0.25">
      <c r="A1909" s="1" t="s">
        <v>53</v>
      </c>
      <c r="B1909" s="1" t="s">
        <v>12</v>
      </c>
      <c r="C1909" s="1" t="s">
        <v>24</v>
      </c>
      <c r="D1909" s="5">
        <v>45890</v>
      </c>
      <c r="E1909" s="6">
        <v>79745868989</v>
      </c>
      <c r="F1909" s="6">
        <v>8470122453</v>
      </c>
      <c r="G1909" s="6">
        <v>71275746536</v>
      </c>
      <c r="H1909" s="6">
        <v>7076856882</v>
      </c>
      <c r="I1909" s="7">
        <v>72669012107</v>
      </c>
    </row>
    <row r="1910" spans="1:9" ht="12" customHeight="1" thickBot="1" x14ac:dyDescent="0.25">
      <c r="A1910" s="1" t="s">
        <v>53</v>
      </c>
      <c r="B1910" s="1" t="s">
        <v>12</v>
      </c>
      <c r="C1910" s="1" t="s">
        <v>24</v>
      </c>
      <c r="D1910" s="5">
        <v>45891</v>
      </c>
      <c r="E1910" s="6">
        <v>79752589063</v>
      </c>
      <c r="F1910" s="6">
        <v>8666935001</v>
      </c>
      <c r="G1910" s="6">
        <v>71085654062</v>
      </c>
      <c r="H1910" s="6">
        <v>7201848245</v>
      </c>
      <c r="I1910" s="7">
        <v>72550740818</v>
      </c>
    </row>
    <row r="1911" spans="1:9" ht="12" customHeight="1" thickBot="1" x14ac:dyDescent="0.25">
      <c r="A1911" s="1" t="s">
        <v>53</v>
      </c>
      <c r="B1911" s="1" t="s">
        <v>12</v>
      </c>
      <c r="C1911" s="1" t="s">
        <v>24</v>
      </c>
      <c r="D1911" s="5">
        <v>45892</v>
      </c>
      <c r="E1911" s="6">
        <v>79795786642</v>
      </c>
      <c r="F1911" s="6">
        <v>8777620451</v>
      </c>
      <c r="G1911" s="6">
        <v>71018166191</v>
      </c>
      <c r="H1911" s="6">
        <v>7244983017</v>
      </c>
      <c r="I1911" s="7">
        <v>72550803625</v>
      </c>
    </row>
    <row r="1912" spans="1:9" ht="12" customHeight="1" thickBot="1" x14ac:dyDescent="0.25">
      <c r="A1912" s="1" t="s">
        <v>53</v>
      </c>
      <c r="B1912" s="1" t="s">
        <v>12</v>
      </c>
      <c r="C1912" s="1" t="s">
        <v>24</v>
      </c>
      <c r="D1912" s="5">
        <v>45893</v>
      </c>
      <c r="E1912" s="6">
        <v>80057014338</v>
      </c>
      <c r="F1912" s="6">
        <v>8911107504</v>
      </c>
      <c r="G1912" s="6">
        <v>71145906834</v>
      </c>
      <c r="H1912" s="6">
        <v>7317683369</v>
      </c>
      <c r="I1912" s="7">
        <v>72739330969</v>
      </c>
    </row>
    <row r="1913" spans="1:9" ht="12" customHeight="1" thickBot="1" x14ac:dyDescent="0.25">
      <c r="A1913" s="1" t="s">
        <v>53</v>
      </c>
      <c r="B1913" s="1" t="s">
        <v>12</v>
      </c>
      <c r="C1913" s="1" t="s">
        <v>24</v>
      </c>
      <c r="D1913" s="5">
        <v>45894</v>
      </c>
      <c r="E1913" s="6">
        <v>80065245032</v>
      </c>
      <c r="F1913" s="6">
        <v>8717246938</v>
      </c>
      <c r="G1913" s="6">
        <v>71347998094</v>
      </c>
      <c r="H1913" s="6">
        <v>7422382870</v>
      </c>
      <c r="I1913" s="7">
        <v>72642862162</v>
      </c>
    </row>
    <row r="1914" spans="1:9" ht="12" customHeight="1" thickBot="1" x14ac:dyDescent="0.25">
      <c r="A1914" s="1" t="s">
        <v>53</v>
      </c>
      <c r="B1914" s="1" t="s">
        <v>12</v>
      </c>
      <c r="C1914" s="1" t="s">
        <v>24</v>
      </c>
      <c r="D1914" s="5">
        <v>45895</v>
      </c>
      <c r="E1914" s="6">
        <v>80031627734</v>
      </c>
      <c r="F1914" s="6">
        <v>9145472581</v>
      </c>
      <c r="G1914" s="6">
        <v>70886155153</v>
      </c>
      <c r="H1914" s="6">
        <v>7467859704</v>
      </c>
      <c r="I1914" s="7">
        <v>72563768030</v>
      </c>
    </row>
    <row r="1915" spans="1:9" ht="12" customHeight="1" thickBot="1" x14ac:dyDescent="0.25">
      <c r="A1915" s="1" t="s">
        <v>53</v>
      </c>
      <c r="B1915" s="1" t="s">
        <v>12</v>
      </c>
      <c r="C1915" s="1" t="s">
        <v>24</v>
      </c>
      <c r="D1915" s="5">
        <v>45896</v>
      </c>
      <c r="E1915" s="6">
        <v>80123303823</v>
      </c>
      <c r="F1915" s="6">
        <v>9279749874</v>
      </c>
      <c r="G1915" s="6">
        <v>70843553949</v>
      </c>
      <c r="H1915" s="6">
        <v>7553015158</v>
      </c>
      <c r="I1915" s="7">
        <v>72570288665</v>
      </c>
    </row>
    <row r="1916" spans="1:9" ht="12" customHeight="1" thickBot="1" x14ac:dyDescent="0.25">
      <c r="A1916" s="1" t="s">
        <v>53</v>
      </c>
      <c r="B1916" s="1" t="s">
        <v>12</v>
      </c>
      <c r="C1916" s="1" t="s">
        <v>24</v>
      </c>
      <c r="D1916" s="5">
        <v>45897</v>
      </c>
      <c r="E1916" s="6">
        <v>80110568151</v>
      </c>
      <c r="F1916" s="6">
        <v>9357359039</v>
      </c>
      <c r="G1916" s="6">
        <v>70753209112</v>
      </c>
      <c r="H1916" s="6">
        <v>7514961452</v>
      </c>
      <c r="I1916" s="7">
        <v>72595606699</v>
      </c>
    </row>
    <row r="1917" spans="1:9" ht="12" customHeight="1" thickBot="1" x14ac:dyDescent="0.25">
      <c r="A1917" s="1" t="s">
        <v>53</v>
      </c>
      <c r="B1917" s="1" t="s">
        <v>12</v>
      </c>
      <c r="C1917" s="1" t="s">
        <v>24</v>
      </c>
      <c r="D1917" s="5">
        <v>45898</v>
      </c>
      <c r="E1917" s="6">
        <v>80110345027</v>
      </c>
      <c r="F1917" s="6">
        <v>9914678765</v>
      </c>
      <c r="G1917" s="6">
        <v>70195666262</v>
      </c>
      <c r="H1917" s="6">
        <v>7689133115</v>
      </c>
      <c r="I1917" s="7">
        <v>72421211912</v>
      </c>
    </row>
    <row r="1918" spans="1:9" ht="12" customHeight="1" thickBot="1" x14ac:dyDescent="0.25">
      <c r="A1918" s="1" t="s">
        <v>53</v>
      </c>
      <c r="B1918" s="1" t="s">
        <v>12</v>
      </c>
      <c r="C1918" s="1" t="s">
        <v>24</v>
      </c>
      <c r="D1918" s="5">
        <v>45899</v>
      </c>
      <c r="E1918" s="6">
        <v>80603172363</v>
      </c>
      <c r="F1918" s="6">
        <v>9672400135</v>
      </c>
      <c r="G1918" s="6">
        <v>70930772228</v>
      </c>
      <c r="H1918" s="6">
        <v>7733988799</v>
      </c>
      <c r="I1918" s="7">
        <v>72869183564</v>
      </c>
    </row>
    <row r="1919" spans="1:9" ht="12" customHeight="1" thickBot="1" x14ac:dyDescent="0.25">
      <c r="A1919" s="1" t="s">
        <v>53</v>
      </c>
      <c r="B1919" s="1" t="s">
        <v>12</v>
      </c>
      <c r="C1919" s="1" t="s">
        <v>24</v>
      </c>
      <c r="D1919" s="5">
        <v>45900</v>
      </c>
      <c r="E1919" s="6">
        <v>80771715449</v>
      </c>
      <c r="F1919" s="6">
        <v>9524130707</v>
      </c>
      <c r="G1919" s="6">
        <v>71247584742</v>
      </c>
      <c r="H1919" s="6">
        <v>7799069945</v>
      </c>
      <c r="I1919" s="7">
        <v>72972645504</v>
      </c>
    </row>
    <row r="1920" spans="1:9" ht="12" customHeight="1" thickBot="1" x14ac:dyDescent="0.25">
      <c r="A1920" s="1" t="s">
        <v>53</v>
      </c>
      <c r="B1920" s="1" t="s">
        <v>12</v>
      </c>
      <c r="C1920" s="1" t="s">
        <v>24</v>
      </c>
      <c r="D1920" s="5">
        <v>45901</v>
      </c>
      <c r="E1920" s="6">
        <v>81205465350</v>
      </c>
      <c r="F1920" s="6">
        <v>9316923145</v>
      </c>
      <c r="G1920" s="6">
        <v>71888542205</v>
      </c>
      <c r="H1920" s="6">
        <v>7946905055</v>
      </c>
      <c r="I1920" s="7">
        <v>73258560295</v>
      </c>
    </row>
    <row r="1921" spans="1:9" ht="12" customHeight="1" thickBot="1" x14ac:dyDescent="0.25">
      <c r="A1921" s="1" t="s">
        <v>53</v>
      </c>
      <c r="B1921" s="1" t="s">
        <v>12</v>
      </c>
      <c r="C1921" s="1" t="s">
        <v>24</v>
      </c>
      <c r="D1921" s="5">
        <v>45902</v>
      </c>
      <c r="E1921" s="6">
        <v>81472194721</v>
      </c>
      <c r="F1921" s="6">
        <v>9284210226</v>
      </c>
      <c r="G1921" s="6">
        <v>72187984495</v>
      </c>
      <c r="H1921" s="6">
        <v>8078273979</v>
      </c>
      <c r="I1921" s="7">
        <v>73393920742</v>
      </c>
    </row>
    <row r="1922" spans="1:9" ht="12" customHeight="1" thickBot="1" x14ac:dyDescent="0.25">
      <c r="A1922" s="1" t="s">
        <v>53</v>
      </c>
      <c r="B1922" s="1" t="s">
        <v>12</v>
      </c>
      <c r="C1922" s="1" t="s">
        <v>24</v>
      </c>
      <c r="D1922" s="5">
        <v>45903</v>
      </c>
      <c r="E1922" s="6">
        <v>81319560958</v>
      </c>
      <c r="F1922" s="6">
        <v>9092018888</v>
      </c>
      <c r="G1922" s="6">
        <v>72227542070</v>
      </c>
      <c r="H1922" s="6">
        <v>8102540531</v>
      </c>
      <c r="I1922" s="7">
        <v>73217020427</v>
      </c>
    </row>
    <row r="1923" spans="1:9" ht="12" customHeight="1" thickBot="1" x14ac:dyDescent="0.25">
      <c r="A1923" s="1" t="s">
        <v>53</v>
      </c>
      <c r="B1923" s="1" t="s">
        <v>12</v>
      </c>
      <c r="C1923" s="1" t="s">
        <v>24</v>
      </c>
      <c r="D1923" s="5">
        <v>45904</v>
      </c>
      <c r="E1923" s="6">
        <v>81409638654</v>
      </c>
      <c r="F1923" s="6">
        <v>9567589058</v>
      </c>
      <c r="G1923" s="6">
        <v>71842049596</v>
      </c>
      <c r="H1923" s="6">
        <v>8016560155</v>
      </c>
      <c r="I1923" s="7">
        <v>73393078499</v>
      </c>
    </row>
    <row r="1924" spans="1:9" ht="12" customHeight="1" thickBot="1" x14ac:dyDescent="0.25">
      <c r="A1924" s="1" t="s">
        <v>53</v>
      </c>
      <c r="B1924" s="1" t="s">
        <v>12</v>
      </c>
      <c r="C1924" s="1" t="s">
        <v>24</v>
      </c>
      <c r="D1924" s="5">
        <v>45905</v>
      </c>
      <c r="E1924" s="6">
        <v>81418320626</v>
      </c>
      <c r="F1924" s="6">
        <v>9555386923</v>
      </c>
      <c r="G1924" s="6">
        <v>71862933703</v>
      </c>
      <c r="H1924" s="6">
        <v>8157514108</v>
      </c>
      <c r="I1924" s="7">
        <v>73260806518</v>
      </c>
    </row>
    <row r="1925" spans="1:9" ht="12" customHeight="1" thickBot="1" x14ac:dyDescent="0.25">
      <c r="A1925" s="1" t="s">
        <v>53</v>
      </c>
      <c r="B1925" s="1" t="s">
        <v>12</v>
      </c>
      <c r="C1925" s="1" t="s">
        <v>24</v>
      </c>
      <c r="D1925" s="5">
        <v>45906</v>
      </c>
      <c r="E1925" s="6">
        <v>81489987067</v>
      </c>
      <c r="F1925" s="6">
        <v>9697981373</v>
      </c>
      <c r="G1925" s="6">
        <v>71792005694</v>
      </c>
      <c r="H1925" s="6">
        <v>8177289973</v>
      </c>
      <c r="I1925" s="7">
        <v>73312697094</v>
      </c>
    </row>
    <row r="1926" spans="1:9" ht="12" customHeight="1" thickBot="1" x14ac:dyDescent="0.25">
      <c r="A1926" s="1" t="s">
        <v>53</v>
      </c>
      <c r="B1926" s="1" t="s">
        <v>12</v>
      </c>
      <c r="C1926" s="1" t="s">
        <v>24</v>
      </c>
      <c r="D1926" s="5">
        <v>45907</v>
      </c>
      <c r="E1926" s="6">
        <v>81918233628</v>
      </c>
      <c r="F1926" s="6">
        <v>9882037460</v>
      </c>
      <c r="G1926" s="6">
        <v>72036196168</v>
      </c>
      <c r="H1926" s="6">
        <v>8319993699</v>
      </c>
      <c r="I1926" s="7">
        <v>73598239929</v>
      </c>
    </row>
    <row r="1927" spans="1:9" ht="12" customHeight="1" thickBot="1" x14ac:dyDescent="0.25">
      <c r="A1927" s="1" t="s">
        <v>53</v>
      </c>
      <c r="B1927" s="1" t="s">
        <v>12</v>
      </c>
      <c r="C1927" s="1" t="s">
        <v>24</v>
      </c>
      <c r="D1927" s="5">
        <v>45908</v>
      </c>
      <c r="E1927" s="6">
        <v>81885561976</v>
      </c>
      <c r="F1927" s="6">
        <v>9705449354</v>
      </c>
      <c r="G1927" s="6">
        <v>72180112622</v>
      </c>
      <c r="H1927" s="6">
        <v>8688508023</v>
      </c>
      <c r="I1927" s="7">
        <v>73197053953</v>
      </c>
    </row>
    <row r="1928" spans="1:9" ht="12" customHeight="1" thickBot="1" x14ac:dyDescent="0.25">
      <c r="A1928" s="1" t="s">
        <v>53</v>
      </c>
      <c r="B1928" s="1" t="s">
        <v>12</v>
      </c>
      <c r="C1928" s="1" t="s">
        <v>24</v>
      </c>
      <c r="D1928" s="5">
        <v>45909</v>
      </c>
      <c r="E1928" s="6">
        <v>82175587311</v>
      </c>
      <c r="F1928" s="6">
        <v>10280733558</v>
      </c>
      <c r="G1928" s="6">
        <v>71894853753</v>
      </c>
      <c r="H1928" s="6">
        <v>8651122950</v>
      </c>
      <c r="I1928" s="7">
        <v>73524464361</v>
      </c>
    </row>
    <row r="1929" spans="1:9" ht="12" customHeight="1" thickBot="1" x14ac:dyDescent="0.25">
      <c r="A1929" s="1" t="s">
        <v>53</v>
      </c>
      <c r="B1929" s="1" t="s">
        <v>12</v>
      </c>
      <c r="C1929" s="1" t="s">
        <v>24</v>
      </c>
      <c r="D1929" s="5">
        <v>45910</v>
      </c>
      <c r="E1929" s="6">
        <v>82644799969</v>
      </c>
      <c r="F1929" s="6">
        <v>10102627638</v>
      </c>
      <c r="G1929" s="6">
        <v>72542172331</v>
      </c>
      <c r="H1929" s="6">
        <v>8556756303</v>
      </c>
      <c r="I1929" s="7">
        <v>74088043666</v>
      </c>
    </row>
    <row r="1930" spans="1:9" ht="12" customHeight="1" thickBot="1" x14ac:dyDescent="0.25">
      <c r="A1930" s="1" t="s">
        <v>53</v>
      </c>
      <c r="B1930" s="1" t="s">
        <v>12</v>
      </c>
      <c r="C1930" s="1" t="s">
        <v>24</v>
      </c>
      <c r="D1930" s="5">
        <v>45911</v>
      </c>
      <c r="E1930" s="6">
        <v>83157269108</v>
      </c>
      <c r="F1930" s="6">
        <v>10124555665</v>
      </c>
      <c r="G1930" s="6">
        <v>73032713443</v>
      </c>
      <c r="H1930" s="6">
        <v>8534951912</v>
      </c>
      <c r="I1930" s="7">
        <v>74622317196</v>
      </c>
    </row>
    <row r="1931" spans="1:9" ht="12" customHeight="1" thickBot="1" x14ac:dyDescent="0.25">
      <c r="A1931" s="1" t="s">
        <v>53</v>
      </c>
      <c r="B1931" s="1" t="s">
        <v>12</v>
      </c>
      <c r="C1931" s="1" t="s">
        <v>24</v>
      </c>
      <c r="D1931" s="5">
        <v>45912</v>
      </c>
      <c r="E1931" s="6">
        <v>83714346929</v>
      </c>
      <c r="F1931" s="6">
        <v>10136119849</v>
      </c>
      <c r="G1931" s="6">
        <v>73578227080</v>
      </c>
      <c r="H1931" s="6">
        <v>8452664925</v>
      </c>
      <c r="I1931" s="7">
        <v>75261682004</v>
      </c>
    </row>
    <row r="1932" spans="1:9" ht="12" customHeight="1" thickBot="1" x14ac:dyDescent="0.25">
      <c r="A1932" s="1" t="s">
        <v>53</v>
      </c>
      <c r="B1932" s="1" t="s">
        <v>12</v>
      </c>
      <c r="C1932" s="1" t="s">
        <v>24</v>
      </c>
      <c r="D1932" s="5">
        <v>45913</v>
      </c>
      <c r="E1932" s="6">
        <v>84101224829</v>
      </c>
      <c r="F1932" s="6">
        <v>10440712782</v>
      </c>
      <c r="G1932" s="6">
        <v>73660512047</v>
      </c>
      <c r="H1932" s="6">
        <v>8451133689</v>
      </c>
      <c r="I1932" s="7">
        <v>75650091140</v>
      </c>
    </row>
    <row r="1933" spans="1:9" ht="12" customHeight="1" thickBot="1" x14ac:dyDescent="0.25">
      <c r="A1933" s="1" t="s">
        <v>53</v>
      </c>
      <c r="B1933" s="1" t="s">
        <v>12</v>
      </c>
      <c r="C1933" s="1" t="s">
        <v>24</v>
      </c>
      <c r="D1933" s="5">
        <v>45914</v>
      </c>
      <c r="E1933" s="6">
        <v>84626647291</v>
      </c>
      <c r="F1933" s="6">
        <v>10618546373</v>
      </c>
      <c r="G1933" s="6">
        <v>74008100918</v>
      </c>
      <c r="H1933" s="6">
        <v>8657218265</v>
      </c>
      <c r="I1933" s="7">
        <v>75969429026</v>
      </c>
    </row>
    <row r="1934" spans="1:9" ht="12" customHeight="1" thickBot="1" x14ac:dyDescent="0.25">
      <c r="A1934" s="1" t="s">
        <v>53</v>
      </c>
      <c r="B1934" s="1" t="s">
        <v>12</v>
      </c>
      <c r="C1934" s="1" t="s">
        <v>24</v>
      </c>
      <c r="D1934" s="5">
        <v>45915</v>
      </c>
      <c r="E1934" s="6">
        <v>84943116408</v>
      </c>
      <c r="F1934" s="6">
        <v>10308389633</v>
      </c>
      <c r="G1934" s="6">
        <v>74634726775</v>
      </c>
      <c r="H1934" s="6">
        <v>8788119255</v>
      </c>
      <c r="I1934" s="7">
        <v>76154997153</v>
      </c>
    </row>
    <row r="1935" spans="1:9" ht="12" customHeight="1" thickBot="1" x14ac:dyDescent="0.25">
      <c r="A1935" s="1" t="s">
        <v>53</v>
      </c>
      <c r="B1935" s="1" t="s">
        <v>12</v>
      </c>
      <c r="C1935" s="1" t="s">
        <v>24</v>
      </c>
      <c r="D1935" s="5">
        <v>45916</v>
      </c>
      <c r="E1935" s="6">
        <v>85775850616</v>
      </c>
      <c r="F1935" s="6">
        <v>10642883911</v>
      </c>
      <c r="G1935" s="6">
        <v>75132966705</v>
      </c>
      <c r="H1935" s="6">
        <v>8896046434</v>
      </c>
      <c r="I1935" s="7">
        <v>76879804182</v>
      </c>
    </row>
    <row r="1936" spans="1:9" ht="12" customHeight="1" thickBot="1" x14ac:dyDescent="0.25">
      <c r="A1936" s="1" t="s">
        <v>53</v>
      </c>
      <c r="B1936" s="1" t="s">
        <v>12</v>
      </c>
      <c r="C1936" s="1" t="s">
        <v>24</v>
      </c>
      <c r="D1936" s="5">
        <v>45917</v>
      </c>
      <c r="E1936" s="6">
        <v>86474254488</v>
      </c>
      <c r="F1936" s="6">
        <v>10676748718</v>
      </c>
      <c r="G1936" s="6">
        <v>75797505770</v>
      </c>
      <c r="H1936" s="6">
        <v>8984765430</v>
      </c>
      <c r="I1936" s="7">
        <v>77489489058</v>
      </c>
    </row>
    <row r="1937" spans="1:9" ht="12" customHeight="1" thickBot="1" x14ac:dyDescent="0.25">
      <c r="A1937" s="1" t="s">
        <v>53</v>
      </c>
      <c r="B1937" s="1" t="s">
        <v>12</v>
      </c>
      <c r="C1937" s="1" t="s">
        <v>24</v>
      </c>
      <c r="D1937" s="5">
        <v>45918</v>
      </c>
      <c r="E1937" s="6">
        <v>86937916628</v>
      </c>
      <c r="F1937" s="6">
        <v>10749968119</v>
      </c>
      <c r="G1937" s="6">
        <v>76187948509</v>
      </c>
      <c r="H1937" s="6">
        <v>8934163495</v>
      </c>
      <c r="I1937" s="7">
        <v>78003753133</v>
      </c>
    </row>
    <row r="1938" spans="1:9" ht="12" customHeight="1" thickBot="1" x14ac:dyDescent="0.25">
      <c r="A1938" s="1" t="s">
        <v>53</v>
      </c>
      <c r="B1938" s="1" t="s">
        <v>12</v>
      </c>
      <c r="C1938" s="1" t="s">
        <v>24</v>
      </c>
      <c r="D1938" s="5">
        <v>45919</v>
      </c>
      <c r="E1938" s="6">
        <v>87520828592</v>
      </c>
      <c r="F1938" s="6">
        <v>10928740526</v>
      </c>
      <c r="G1938" s="6">
        <v>76592088066</v>
      </c>
      <c r="H1938" s="6">
        <v>9114386665</v>
      </c>
      <c r="I1938" s="7">
        <v>78406441927</v>
      </c>
    </row>
    <row r="1939" spans="1:9" ht="12" customHeight="1" thickBot="1" x14ac:dyDescent="0.25">
      <c r="A1939" s="1" t="s">
        <v>53</v>
      </c>
      <c r="B1939" s="1" t="s">
        <v>12</v>
      </c>
      <c r="C1939" s="1" t="s">
        <v>24</v>
      </c>
      <c r="D1939" s="5">
        <v>45920</v>
      </c>
      <c r="E1939" s="6">
        <v>88123956638</v>
      </c>
      <c r="F1939" s="6">
        <v>11022291896</v>
      </c>
      <c r="G1939" s="6">
        <v>77101664742</v>
      </c>
      <c r="H1939" s="6">
        <v>9169790126</v>
      </c>
      <c r="I1939" s="7">
        <v>78954166512</v>
      </c>
    </row>
    <row r="1940" spans="1:9" ht="12" customHeight="1" thickBot="1" x14ac:dyDescent="0.25">
      <c r="A1940" s="1" t="s">
        <v>53</v>
      </c>
      <c r="B1940" s="1" t="s">
        <v>12</v>
      </c>
      <c r="C1940" s="1" t="s">
        <v>24</v>
      </c>
      <c r="D1940" s="5">
        <v>45921</v>
      </c>
      <c r="E1940" s="6">
        <v>88551040573</v>
      </c>
      <c r="F1940" s="6">
        <v>11216951738</v>
      </c>
      <c r="G1940" s="6">
        <v>77334088835</v>
      </c>
      <c r="H1940" s="6">
        <v>9255683998</v>
      </c>
      <c r="I1940" s="7">
        <v>79295356575</v>
      </c>
    </row>
    <row r="1941" spans="1:9" ht="12" customHeight="1" thickBot="1" x14ac:dyDescent="0.25">
      <c r="A1941" s="1" t="s">
        <v>53</v>
      </c>
      <c r="B1941" s="1" t="s">
        <v>12</v>
      </c>
      <c r="C1941" s="1" t="s">
        <v>24</v>
      </c>
      <c r="D1941" s="5">
        <v>45922</v>
      </c>
      <c r="E1941" s="6">
        <v>88751766106</v>
      </c>
      <c r="F1941" s="6">
        <v>10916619574</v>
      </c>
      <c r="G1941" s="6">
        <v>77835146532</v>
      </c>
      <c r="H1941" s="6">
        <v>9317685141</v>
      </c>
      <c r="I1941" s="7">
        <v>79434080965</v>
      </c>
    </row>
    <row r="1942" spans="1:9" ht="12" customHeight="1" thickBot="1" x14ac:dyDescent="0.25">
      <c r="A1942" s="1" t="s">
        <v>53</v>
      </c>
      <c r="B1942" s="1" t="s">
        <v>12</v>
      </c>
      <c r="C1942" s="1" t="s">
        <v>24</v>
      </c>
      <c r="D1942" s="5">
        <v>45923</v>
      </c>
      <c r="E1942" s="6">
        <v>89250296713</v>
      </c>
      <c r="F1942" s="6">
        <v>11315911546</v>
      </c>
      <c r="G1942" s="6">
        <v>77934385167</v>
      </c>
      <c r="H1942" s="6">
        <v>9494382451</v>
      </c>
      <c r="I1942" s="7">
        <v>79755914262</v>
      </c>
    </row>
    <row r="1943" spans="1:9" ht="12" customHeight="1" thickBot="1" x14ac:dyDescent="0.25">
      <c r="A1943" s="1" t="s">
        <v>53</v>
      </c>
      <c r="B1943" s="1" t="s">
        <v>12</v>
      </c>
      <c r="C1943" s="1" t="s">
        <v>24</v>
      </c>
      <c r="D1943" s="5">
        <v>45924</v>
      </c>
      <c r="E1943" s="6">
        <v>89681915579</v>
      </c>
      <c r="F1943" s="6">
        <v>11375198950</v>
      </c>
      <c r="G1943" s="6">
        <v>78306716629</v>
      </c>
      <c r="H1943" s="6">
        <v>9553825646</v>
      </c>
      <c r="I1943" s="7">
        <v>80128089933</v>
      </c>
    </row>
    <row r="1944" spans="1:9" ht="12" customHeight="1" thickBot="1" x14ac:dyDescent="0.25">
      <c r="A1944" s="1" t="s">
        <v>53</v>
      </c>
      <c r="B1944" s="1" t="s">
        <v>12</v>
      </c>
      <c r="C1944" s="1" t="s">
        <v>24</v>
      </c>
      <c r="D1944" s="5">
        <v>45925</v>
      </c>
      <c r="E1944" s="6">
        <v>90053241205</v>
      </c>
      <c r="F1944" s="6">
        <v>11418853314</v>
      </c>
      <c r="G1944" s="6">
        <v>78634387891</v>
      </c>
      <c r="H1944" s="6">
        <v>9532343670</v>
      </c>
      <c r="I1944" s="7">
        <v>80520897535</v>
      </c>
    </row>
    <row r="1945" spans="1:9" ht="12" customHeight="1" thickBot="1" x14ac:dyDescent="0.25">
      <c r="A1945" s="1" t="s">
        <v>53</v>
      </c>
      <c r="B1945" s="1" t="s">
        <v>12</v>
      </c>
      <c r="C1945" s="1" t="s">
        <v>24</v>
      </c>
      <c r="D1945" s="5">
        <v>45926</v>
      </c>
      <c r="E1945" s="6">
        <v>90772391208</v>
      </c>
      <c r="F1945" s="6">
        <v>11572982289</v>
      </c>
      <c r="G1945" s="6">
        <v>79199408919</v>
      </c>
      <c r="H1945" s="6">
        <v>9800964160</v>
      </c>
      <c r="I1945" s="7">
        <v>80971427048</v>
      </c>
    </row>
    <row r="1946" spans="1:9" ht="12" customHeight="1" thickBot="1" x14ac:dyDescent="0.25">
      <c r="A1946" s="1" t="s">
        <v>53</v>
      </c>
      <c r="B1946" s="1" t="s">
        <v>12</v>
      </c>
      <c r="C1946" s="1" t="s">
        <v>24</v>
      </c>
      <c r="D1946" s="5">
        <v>45927</v>
      </c>
      <c r="E1946" s="6">
        <v>91005733462</v>
      </c>
      <c r="F1946" s="6">
        <v>11622750531</v>
      </c>
      <c r="G1946" s="6">
        <v>79382982931</v>
      </c>
      <c r="H1946" s="6">
        <v>9876977988</v>
      </c>
      <c r="I1946" s="7">
        <v>81128755474</v>
      </c>
    </row>
    <row r="1947" spans="1:9" ht="12" customHeight="1" thickBot="1" x14ac:dyDescent="0.25">
      <c r="A1947" s="1" t="s">
        <v>53</v>
      </c>
      <c r="B1947" s="1" t="s">
        <v>12</v>
      </c>
      <c r="C1947" s="1" t="s">
        <v>24</v>
      </c>
      <c r="D1947" s="5">
        <v>45928</v>
      </c>
      <c r="E1947" s="6">
        <v>91588096226</v>
      </c>
      <c r="F1947" s="6">
        <v>11904066121</v>
      </c>
      <c r="G1947" s="6">
        <v>79684030105</v>
      </c>
      <c r="H1947" s="6">
        <v>9896197482</v>
      </c>
      <c r="I1947" s="7">
        <v>81691898744</v>
      </c>
    </row>
    <row r="1948" spans="1:9" ht="12" customHeight="1" thickBot="1" x14ac:dyDescent="0.25">
      <c r="A1948" s="1" t="s">
        <v>53</v>
      </c>
      <c r="B1948" s="1" t="s">
        <v>12</v>
      </c>
      <c r="C1948" s="1" t="s">
        <v>24</v>
      </c>
      <c r="D1948" s="5">
        <v>45929</v>
      </c>
      <c r="E1948" s="6">
        <v>91372595340</v>
      </c>
      <c r="F1948" s="6">
        <v>11648702768</v>
      </c>
      <c r="G1948" s="6">
        <v>79723892572</v>
      </c>
      <c r="H1948" s="6">
        <v>9921771417</v>
      </c>
      <c r="I1948" s="7">
        <v>81450823923</v>
      </c>
    </row>
    <row r="1949" spans="1:9" ht="12" customHeight="1" thickBot="1" x14ac:dyDescent="0.25">
      <c r="A1949" s="1" t="s">
        <v>53</v>
      </c>
      <c r="B1949" s="1" t="s">
        <v>12</v>
      </c>
      <c r="C1949" s="1" t="s">
        <v>24</v>
      </c>
      <c r="D1949" s="5">
        <v>45930</v>
      </c>
      <c r="E1949" s="6">
        <v>91962652934</v>
      </c>
      <c r="F1949" s="6">
        <v>12010099079</v>
      </c>
      <c r="G1949" s="6">
        <v>79952553855</v>
      </c>
      <c r="H1949" s="6">
        <v>9978671162</v>
      </c>
      <c r="I1949" s="7">
        <v>81983981772</v>
      </c>
    </row>
    <row r="1950" spans="1:9" ht="12" customHeight="1" thickBot="1" x14ac:dyDescent="0.25">
      <c r="A1950" s="1" t="s">
        <v>54</v>
      </c>
      <c r="B1950" s="1" t="s">
        <v>37</v>
      </c>
      <c r="C1950" s="1" t="s">
        <v>24</v>
      </c>
      <c r="D1950" s="5">
        <v>45911</v>
      </c>
      <c r="E1950" s="6">
        <v>6460000</v>
      </c>
      <c r="F1950" s="6">
        <v>0</v>
      </c>
      <c r="G1950" s="6">
        <v>6460000</v>
      </c>
      <c r="H1950" s="6">
        <v>0</v>
      </c>
      <c r="I1950" s="7">
        <v>6460000</v>
      </c>
    </row>
    <row r="1951" spans="1:9" ht="12" customHeight="1" thickBot="1" x14ac:dyDescent="0.25">
      <c r="A1951" s="1" t="s">
        <v>54</v>
      </c>
      <c r="B1951" s="1" t="s">
        <v>37</v>
      </c>
      <c r="C1951" s="1" t="s">
        <v>24</v>
      </c>
      <c r="D1951" s="5">
        <v>45912</v>
      </c>
      <c r="E1951" s="6">
        <v>16080000</v>
      </c>
      <c r="F1951" s="6">
        <v>0</v>
      </c>
      <c r="G1951" s="6">
        <v>16080000</v>
      </c>
      <c r="H1951" s="6">
        <v>0</v>
      </c>
      <c r="I1951" s="7">
        <v>16080000</v>
      </c>
    </row>
    <row r="1952" spans="1:9" ht="12" customHeight="1" thickBot="1" x14ac:dyDescent="0.25">
      <c r="A1952" s="1" t="s">
        <v>54</v>
      </c>
      <c r="B1952" s="1" t="s">
        <v>37</v>
      </c>
      <c r="C1952" s="1" t="s">
        <v>24</v>
      </c>
      <c r="D1952" s="5">
        <v>45913</v>
      </c>
      <c r="E1952" s="6">
        <v>16080000</v>
      </c>
      <c r="F1952" s="6">
        <v>0</v>
      </c>
      <c r="G1952" s="6">
        <v>16080000</v>
      </c>
      <c r="H1952" s="6">
        <v>0</v>
      </c>
      <c r="I1952" s="7">
        <v>16080000</v>
      </c>
    </row>
    <row r="1953" spans="1:9" ht="12" customHeight="1" thickBot="1" x14ac:dyDescent="0.25">
      <c r="A1953" s="1" t="s">
        <v>54</v>
      </c>
      <c r="B1953" s="1" t="s">
        <v>37</v>
      </c>
      <c r="C1953" s="1" t="s">
        <v>24</v>
      </c>
      <c r="D1953" s="5">
        <v>45914</v>
      </c>
      <c r="E1953" s="6">
        <v>16080000</v>
      </c>
      <c r="F1953" s="6">
        <v>0</v>
      </c>
      <c r="G1953" s="6">
        <v>16080000</v>
      </c>
      <c r="H1953" s="6">
        <v>0</v>
      </c>
      <c r="I1953" s="7">
        <v>16080000</v>
      </c>
    </row>
    <row r="1954" spans="1:9" ht="12" customHeight="1" thickBot="1" x14ac:dyDescent="0.25">
      <c r="A1954" s="1" t="s">
        <v>54</v>
      </c>
      <c r="B1954" s="1" t="s">
        <v>37</v>
      </c>
      <c r="C1954" s="1" t="s">
        <v>24</v>
      </c>
      <c r="D1954" s="5">
        <v>45915</v>
      </c>
      <c r="E1954" s="6">
        <v>16080000</v>
      </c>
      <c r="F1954" s="6">
        <v>0</v>
      </c>
      <c r="G1954" s="6">
        <v>16080000</v>
      </c>
      <c r="H1954" s="6">
        <v>0</v>
      </c>
      <c r="I1954" s="7">
        <v>16080000</v>
      </c>
    </row>
    <row r="1955" spans="1:9" ht="12" customHeight="1" thickBot="1" x14ac:dyDescent="0.25">
      <c r="A1955" s="1" t="s">
        <v>54</v>
      </c>
      <c r="B1955" s="1" t="s">
        <v>37</v>
      </c>
      <c r="C1955" s="1" t="s">
        <v>24</v>
      </c>
      <c r="D1955" s="5">
        <v>45916</v>
      </c>
      <c r="E1955" s="6">
        <v>9620000</v>
      </c>
      <c r="F1955" s="6">
        <v>0</v>
      </c>
      <c r="G1955" s="6">
        <v>9620000</v>
      </c>
      <c r="H1955" s="6">
        <v>0</v>
      </c>
      <c r="I1955" s="7">
        <v>9620000</v>
      </c>
    </row>
    <row r="1956" spans="1:9" ht="12" customHeight="1" thickBot="1" x14ac:dyDescent="0.25">
      <c r="A1956" s="1" t="s">
        <v>54</v>
      </c>
      <c r="B1956" s="1" t="s">
        <v>37</v>
      </c>
      <c r="C1956" s="1" t="s">
        <v>24</v>
      </c>
      <c r="D1956" s="5">
        <v>45917</v>
      </c>
      <c r="E1956" s="6">
        <v>12840000</v>
      </c>
      <c r="F1956" s="6">
        <v>0</v>
      </c>
      <c r="G1956" s="6">
        <v>12840000</v>
      </c>
      <c r="H1956" s="6">
        <v>0</v>
      </c>
      <c r="I1956" s="7">
        <v>12840000</v>
      </c>
    </row>
    <row r="1957" spans="1:9" ht="12" customHeight="1" thickBot="1" x14ac:dyDescent="0.25">
      <c r="A1957" s="1" t="s">
        <v>54</v>
      </c>
      <c r="B1957" s="1" t="s">
        <v>37</v>
      </c>
      <c r="C1957" s="1" t="s">
        <v>24</v>
      </c>
      <c r="D1957" s="5">
        <v>45918</v>
      </c>
      <c r="E1957" s="6">
        <v>12805293</v>
      </c>
      <c r="F1957" s="6">
        <v>0</v>
      </c>
      <c r="G1957" s="6">
        <v>12805293</v>
      </c>
      <c r="H1957" s="6">
        <v>0</v>
      </c>
      <c r="I1957" s="7">
        <v>12805293</v>
      </c>
    </row>
    <row r="1958" spans="1:9" ht="12" customHeight="1" thickBot="1" x14ac:dyDescent="0.25">
      <c r="A1958" s="1" t="s">
        <v>54</v>
      </c>
      <c r="B1958" s="1" t="s">
        <v>37</v>
      </c>
      <c r="C1958" s="1" t="s">
        <v>24</v>
      </c>
      <c r="D1958" s="5">
        <v>45919</v>
      </c>
      <c r="E1958" s="6">
        <v>12770529</v>
      </c>
      <c r="F1958" s="6">
        <v>0</v>
      </c>
      <c r="G1958" s="6">
        <v>12770529</v>
      </c>
      <c r="H1958" s="6">
        <v>0</v>
      </c>
      <c r="I1958" s="7">
        <v>12770529</v>
      </c>
    </row>
    <row r="1959" spans="1:9" ht="12" customHeight="1" thickBot="1" x14ac:dyDescent="0.25">
      <c r="A1959" s="1" t="s">
        <v>54</v>
      </c>
      <c r="B1959" s="1" t="s">
        <v>37</v>
      </c>
      <c r="C1959" s="1" t="s">
        <v>24</v>
      </c>
      <c r="D1959" s="5">
        <v>45920</v>
      </c>
      <c r="E1959" s="6">
        <v>12770529</v>
      </c>
      <c r="F1959" s="6">
        <v>0</v>
      </c>
      <c r="G1959" s="6">
        <v>12770529</v>
      </c>
      <c r="H1959" s="6">
        <v>0</v>
      </c>
      <c r="I1959" s="7">
        <v>12770529</v>
      </c>
    </row>
    <row r="1960" spans="1:9" ht="12" customHeight="1" thickBot="1" x14ac:dyDescent="0.25">
      <c r="A1960" s="1" t="s">
        <v>54</v>
      </c>
      <c r="B1960" s="1" t="s">
        <v>37</v>
      </c>
      <c r="C1960" s="1" t="s">
        <v>24</v>
      </c>
      <c r="D1960" s="5">
        <v>45921</v>
      </c>
      <c r="E1960" s="6">
        <v>12770529</v>
      </c>
      <c r="F1960" s="6">
        <v>0</v>
      </c>
      <c r="G1960" s="6">
        <v>12770529</v>
      </c>
      <c r="H1960" s="6">
        <v>0</v>
      </c>
      <c r="I1960" s="7">
        <v>12770529</v>
      </c>
    </row>
    <row r="1961" spans="1:9" ht="12" customHeight="1" thickBot="1" x14ac:dyDescent="0.25">
      <c r="A1961" s="1" t="s">
        <v>54</v>
      </c>
      <c r="B1961" s="1" t="s">
        <v>37</v>
      </c>
      <c r="C1961" s="1" t="s">
        <v>24</v>
      </c>
      <c r="D1961" s="5">
        <v>45922</v>
      </c>
      <c r="E1961" s="6">
        <v>9620000</v>
      </c>
      <c r="F1961" s="6">
        <v>0</v>
      </c>
      <c r="G1961" s="6">
        <v>9620000</v>
      </c>
      <c r="H1961" s="6">
        <v>0</v>
      </c>
      <c r="I1961" s="7">
        <v>9620000</v>
      </c>
    </row>
    <row r="1962" spans="1:9" ht="12" customHeight="1" thickBot="1" x14ac:dyDescent="0.25">
      <c r="A1962" s="1" t="s">
        <v>54</v>
      </c>
      <c r="B1962" s="1" t="s">
        <v>37</v>
      </c>
      <c r="C1962" s="1" t="s">
        <v>24</v>
      </c>
      <c r="D1962" s="5">
        <v>45923</v>
      </c>
      <c r="E1962" s="6">
        <v>12820000</v>
      </c>
      <c r="F1962" s="6">
        <v>0</v>
      </c>
      <c r="G1962" s="6">
        <v>12820000</v>
      </c>
      <c r="H1962" s="6">
        <v>0</v>
      </c>
      <c r="I1962" s="7">
        <v>12820000</v>
      </c>
    </row>
    <row r="1963" spans="1:9" ht="12" customHeight="1" thickBot="1" x14ac:dyDescent="0.25">
      <c r="A1963" s="1" t="s">
        <v>54</v>
      </c>
      <c r="B1963" s="1" t="s">
        <v>37</v>
      </c>
      <c r="C1963" s="1" t="s">
        <v>24</v>
      </c>
      <c r="D1963" s="5">
        <v>45924</v>
      </c>
      <c r="E1963" s="6">
        <v>9620000</v>
      </c>
      <c r="F1963" s="6">
        <v>0</v>
      </c>
      <c r="G1963" s="6">
        <v>9620000</v>
      </c>
      <c r="H1963" s="6">
        <v>0</v>
      </c>
      <c r="I1963" s="7">
        <v>9620000</v>
      </c>
    </row>
    <row r="1964" spans="1:9" ht="12" customHeight="1" thickBot="1" x14ac:dyDescent="0.25">
      <c r="A1964" s="1" t="s">
        <v>54</v>
      </c>
      <c r="B1964" s="1" t="s">
        <v>37</v>
      </c>
      <c r="C1964" s="1" t="s">
        <v>24</v>
      </c>
      <c r="D1964" s="5">
        <v>45925</v>
      </c>
      <c r="E1964" s="6">
        <v>12827102</v>
      </c>
      <c r="F1964" s="6">
        <v>0</v>
      </c>
      <c r="G1964" s="6">
        <v>12827102</v>
      </c>
      <c r="H1964" s="6">
        <v>0</v>
      </c>
      <c r="I1964" s="7">
        <v>12827102</v>
      </c>
    </row>
    <row r="1965" spans="1:9" ht="12" customHeight="1" thickBot="1" x14ac:dyDescent="0.25">
      <c r="A1965" s="1" t="s">
        <v>54</v>
      </c>
      <c r="B1965" s="1" t="s">
        <v>37</v>
      </c>
      <c r="C1965" s="1" t="s">
        <v>24</v>
      </c>
      <c r="D1965" s="5">
        <v>45926</v>
      </c>
      <c r="E1965" s="6">
        <v>98147102</v>
      </c>
      <c r="F1965" s="6">
        <v>0</v>
      </c>
      <c r="G1965" s="6">
        <v>98147102</v>
      </c>
      <c r="H1965" s="6">
        <v>0</v>
      </c>
      <c r="I1965" s="7">
        <v>98147102</v>
      </c>
    </row>
    <row r="1966" spans="1:9" ht="12" customHeight="1" thickBot="1" x14ac:dyDescent="0.25">
      <c r="A1966" s="1" t="s">
        <v>54</v>
      </c>
      <c r="B1966" s="1" t="s">
        <v>37</v>
      </c>
      <c r="C1966" s="1" t="s">
        <v>24</v>
      </c>
      <c r="D1966" s="5">
        <v>45927</v>
      </c>
      <c r="E1966" s="6">
        <v>250427102</v>
      </c>
      <c r="F1966" s="6">
        <v>0</v>
      </c>
      <c r="G1966" s="6">
        <v>250427102</v>
      </c>
      <c r="H1966" s="6">
        <v>0</v>
      </c>
      <c r="I1966" s="7">
        <v>250427102</v>
      </c>
    </row>
    <row r="1967" spans="1:9" ht="12" customHeight="1" thickBot="1" x14ac:dyDescent="0.25">
      <c r="A1967" s="1" t="s">
        <v>54</v>
      </c>
      <c r="B1967" s="1" t="s">
        <v>37</v>
      </c>
      <c r="C1967" s="1" t="s">
        <v>24</v>
      </c>
      <c r="D1967" s="5">
        <v>45928</v>
      </c>
      <c r="E1967" s="6">
        <v>357347102</v>
      </c>
      <c r="F1967" s="6">
        <v>0</v>
      </c>
      <c r="G1967" s="6">
        <v>357347102</v>
      </c>
      <c r="H1967" s="6">
        <v>0</v>
      </c>
      <c r="I1967" s="7">
        <v>357347102</v>
      </c>
    </row>
    <row r="1968" spans="1:9" ht="12" customHeight="1" thickBot="1" x14ac:dyDescent="0.25">
      <c r="A1968" s="1" t="s">
        <v>54</v>
      </c>
      <c r="B1968" s="1" t="s">
        <v>37</v>
      </c>
      <c r="C1968" s="1" t="s">
        <v>24</v>
      </c>
      <c r="D1968" s="5">
        <v>45929</v>
      </c>
      <c r="E1968" s="6">
        <v>508467102</v>
      </c>
      <c r="F1968" s="6">
        <v>0</v>
      </c>
      <c r="G1968" s="6">
        <v>508467102</v>
      </c>
      <c r="H1968" s="6">
        <v>0</v>
      </c>
      <c r="I1968" s="7">
        <v>508467102</v>
      </c>
    </row>
    <row r="1969" spans="1:9" ht="12" customHeight="1" thickBot="1" x14ac:dyDescent="0.25">
      <c r="A1969" s="1" t="s">
        <v>54</v>
      </c>
      <c r="B1969" s="1" t="s">
        <v>37</v>
      </c>
      <c r="C1969" s="1" t="s">
        <v>24</v>
      </c>
      <c r="D1969" s="5">
        <v>45930</v>
      </c>
      <c r="E1969" s="6">
        <v>674587102</v>
      </c>
      <c r="F1969" s="6">
        <v>0</v>
      </c>
      <c r="G1969" s="6">
        <v>674587102</v>
      </c>
      <c r="H1969" s="6">
        <v>0</v>
      </c>
      <c r="I1969" s="7">
        <v>674587102</v>
      </c>
    </row>
    <row r="1970" spans="1:9" ht="12" customHeight="1" thickBot="1" x14ac:dyDescent="0.25">
      <c r="A1970" s="1" t="s">
        <v>55</v>
      </c>
      <c r="B1970" s="1" t="s">
        <v>31</v>
      </c>
      <c r="C1970" s="1" t="s">
        <v>24</v>
      </c>
      <c r="D1970" s="5">
        <v>45839</v>
      </c>
      <c r="E1970" s="6">
        <v>25365370698</v>
      </c>
      <c r="F1970" s="6">
        <v>4713015263</v>
      </c>
      <c r="G1970" s="6">
        <v>20652355435</v>
      </c>
      <c r="H1970" s="6">
        <v>4713015263</v>
      </c>
      <c r="I1970" s="7">
        <v>20652355435</v>
      </c>
    </row>
    <row r="1971" spans="1:9" ht="12" customHeight="1" thickBot="1" x14ac:dyDescent="0.25">
      <c r="A1971" s="1" t="s">
        <v>55</v>
      </c>
      <c r="B1971" s="1" t="s">
        <v>31</v>
      </c>
      <c r="C1971" s="1" t="s">
        <v>24</v>
      </c>
      <c r="D1971" s="5">
        <v>45840</v>
      </c>
      <c r="E1971" s="6">
        <v>25375890809</v>
      </c>
      <c r="F1971" s="6">
        <v>4696242368</v>
      </c>
      <c r="G1971" s="6">
        <v>20679648441</v>
      </c>
      <c r="H1971" s="6">
        <v>4696242368</v>
      </c>
      <c r="I1971" s="7">
        <v>20679648441</v>
      </c>
    </row>
    <row r="1972" spans="1:9" ht="12" customHeight="1" thickBot="1" x14ac:dyDescent="0.25">
      <c r="A1972" s="1" t="s">
        <v>55</v>
      </c>
      <c r="B1972" s="1" t="s">
        <v>31</v>
      </c>
      <c r="C1972" s="1" t="s">
        <v>24</v>
      </c>
      <c r="D1972" s="5">
        <v>45841</v>
      </c>
      <c r="E1972" s="6">
        <v>25370434724</v>
      </c>
      <c r="F1972" s="6">
        <v>4684895182</v>
      </c>
      <c r="G1972" s="6">
        <v>20685539542</v>
      </c>
      <c r="H1972" s="6">
        <v>4684895182</v>
      </c>
      <c r="I1972" s="7">
        <v>20685539542</v>
      </c>
    </row>
    <row r="1973" spans="1:9" ht="12" customHeight="1" thickBot="1" x14ac:dyDescent="0.25">
      <c r="A1973" s="1" t="s">
        <v>55</v>
      </c>
      <c r="B1973" s="1" t="s">
        <v>31</v>
      </c>
      <c r="C1973" s="1" t="s">
        <v>24</v>
      </c>
      <c r="D1973" s="5">
        <v>45842</v>
      </c>
      <c r="E1973" s="6">
        <v>25167447102</v>
      </c>
      <c r="F1973" s="6">
        <v>4668325986</v>
      </c>
      <c r="G1973" s="6">
        <v>20499121116</v>
      </c>
      <c r="H1973" s="6">
        <v>4668325986</v>
      </c>
      <c r="I1973" s="7">
        <v>20499121116</v>
      </c>
    </row>
    <row r="1974" spans="1:9" ht="12" customHeight="1" thickBot="1" x14ac:dyDescent="0.25">
      <c r="A1974" s="1" t="s">
        <v>55</v>
      </c>
      <c r="B1974" s="1" t="s">
        <v>31</v>
      </c>
      <c r="C1974" s="1" t="s">
        <v>24</v>
      </c>
      <c r="D1974" s="5">
        <v>45843</v>
      </c>
      <c r="E1974" s="6">
        <v>24712357356</v>
      </c>
      <c r="F1974" s="6">
        <v>4648483196</v>
      </c>
      <c r="G1974" s="6">
        <v>20063874160</v>
      </c>
      <c r="H1974" s="6">
        <v>4648483196</v>
      </c>
      <c r="I1974" s="7">
        <v>20063874160</v>
      </c>
    </row>
    <row r="1975" spans="1:9" ht="12" customHeight="1" thickBot="1" x14ac:dyDescent="0.25">
      <c r="A1975" s="1" t="s">
        <v>55</v>
      </c>
      <c r="B1975" s="1" t="s">
        <v>31</v>
      </c>
      <c r="C1975" s="1" t="s">
        <v>24</v>
      </c>
      <c r="D1975" s="5">
        <v>45844</v>
      </c>
      <c r="E1975" s="6">
        <v>25192302498</v>
      </c>
      <c r="F1975" s="6">
        <v>8153704498</v>
      </c>
      <c r="G1975" s="6">
        <v>17038598000</v>
      </c>
      <c r="H1975" s="6">
        <v>4646705539</v>
      </c>
      <c r="I1975" s="7">
        <v>20545596959</v>
      </c>
    </row>
    <row r="1976" spans="1:9" ht="12" customHeight="1" thickBot="1" x14ac:dyDescent="0.25">
      <c r="A1976" s="1" t="s">
        <v>55</v>
      </c>
      <c r="B1976" s="1" t="s">
        <v>31</v>
      </c>
      <c r="C1976" s="1" t="s">
        <v>24</v>
      </c>
      <c r="D1976" s="5">
        <v>45845</v>
      </c>
      <c r="E1976" s="6">
        <v>25618294774</v>
      </c>
      <c r="F1976" s="6">
        <v>7307190183</v>
      </c>
      <c r="G1976" s="6">
        <v>18311104591</v>
      </c>
      <c r="H1976" s="6">
        <v>4639699182</v>
      </c>
      <c r="I1976" s="7">
        <v>20978595592</v>
      </c>
    </row>
    <row r="1977" spans="1:9" ht="12" customHeight="1" thickBot="1" x14ac:dyDescent="0.25">
      <c r="A1977" s="1" t="s">
        <v>55</v>
      </c>
      <c r="B1977" s="1" t="s">
        <v>31</v>
      </c>
      <c r="C1977" s="1" t="s">
        <v>24</v>
      </c>
      <c r="D1977" s="5">
        <v>45846</v>
      </c>
      <c r="E1977" s="6">
        <v>25974665501</v>
      </c>
      <c r="F1977" s="6">
        <v>6972732616</v>
      </c>
      <c r="G1977" s="6">
        <v>19001932885</v>
      </c>
      <c r="H1977" s="6">
        <v>4623988395</v>
      </c>
      <c r="I1977" s="7">
        <v>21350677106</v>
      </c>
    </row>
    <row r="1978" spans="1:9" ht="12" customHeight="1" thickBot="1" x14ac:dyDescent="0.25">
      <c r="A1978" s="1" t="s">
        <v>55</v>
      </c>
      <c r="B1978" s="1" t="s">
        <v>31</v>
      </c>
      <c r="C1978" s="1" t="s">
        <v>24</v>
      </c>
      <c r="D1978" s="5">
        <v>45847</v>
      </c>
      <c r="E1978" s="6">
        <v>26450192814</v>
      </c>
      <c r="F1978" s="6">
        <v>6791552137</v>
      </c>
      <c r="G1978" s="6">
        <v>19658640677</v>
      </c>
      <c r="H1978" s="6">
        <v>4613747099</v>
      </c>
      <c r="I1978" s="7">
        <v>21836445715</v>
      </c>
    </row>
    <row r="1979" spans="1:9" ht="12" customHeight="1" thickBot="1" x14ac:dyDescent="0.25">
      <c r="A1979" s="1" t="s">
        <v>55</v>
      </c>
      <c r="B1979" s="1" t="s">
        <v>31</v>
      </c>
      <c r="C1979" s="1" t="s">
        <v>24</v>
      </c>
      <c r="D1979" s="5">
        <v>45848</v>
      </c>
      <c r="E1979" s="6">
        <v>26801087866</v>
      </c>
      <c r="F1979" s="6">
        <v>6593136116</v>
      </c>
      <c r="G1979" s="6">
        <v>20207951750</v>
      </c>
      <c r="H1979" s="6">
        <v>4592469605</v>
      </c>
      <c r="I1979" s="7">
        <v>22208618261</v>
      </c>
    </row>
    <row r="1980" spans="1:9" ht="12" customHeight="1" thickBot="1" x14ac:dyDescent="0.25">
      <c r="A1980" s="1" t="s">
        <v>55</v>
      </c>
      <c r="B1980" s="1" t="s">
        <v>31</v>
      </c>
      <c r="C1980" s="1" t="s">
        <v>24</v>
      </c>
      <c r="D1980" s="5">
        <v>45849</v>
      </c>
      <c r="E1980" s="6">
        <v>27079841062</v>
      </c>
      <c r="F1980" s="6">
        <v>6473274312</v>
      </c>
      <c r="G1980" s="6">
        <v>20606566750</v>
      </c>
      <c r="H1980" s="6">
        <v>4579136115</v>
      </c>
      <c r="I1980" s="7">
        <v>22500704947</v>
      </c>
    </row>
    <row r="1981" spans="1:9" ht="12" customHeight="1" thickBot="1" x14ac:dyDescent="0.25">
      <c r="A1981" s="1" t="s">
        <v>55</v>
      </c>
      <c r="B1981" s="1" t="s">
        <v>31</v>
      </c>
      <c r="C1981" s="1" t="s">
        <v>24</v>
      </c>
      <c r="D1981" s="5">
        <v>45850</v>
      </c>
      <c r="E1981" s="6">
        <v>27349874405</v>
      </c>
      <c r="F1981" s="6">
        <v>6413672501</v>
      </c>
      <c r="G1981" s="6">
        <v>20936201904</v>
      </c>
      <c r="H1981" s="6">
        <v>4573919845</v>
      </c>
      <c r="I1981" s="7">
        <v>22775954560</v>
      </c>
    </row>
    <row r="1982" spans="1:9" ht="12" customHeight="1" thickBot="1" x14ac:dyDescent="0.25">
      <c r="A1982" s="1" t="s">
        <v>55</v>
      </c>
      <c r="B1982" s="1" t="s">
        <v>31</v>
      </c>
      <c r="C1982" s="1" t="s">
        <v>24</v>
      </c>
      <c r="D1982" s="5">
        <v>45851</v>
      </c>
      <c r="E1982" s="6">
        <v>27586368324</v>
      </c>
      <c r="F1982" s="6">
        <v>6380862397</v>
      </c>
      <c r="G1982" s="6">
        <v>21205505927</v>
      </c>
      <c r="H1982" s="6">
        <v>4573919845</v>
      </c>
      <c r="I1982" s="7">
        <v>23012448479</v>
      </c>
    </row>
    <row r="1983" spans="1:9" ht="12" customHeight="1" thickBot="1" x14ac:dyDescent="0.25">
      <c r="A1983" s="1" t="s">
        <v>55</v>
      </c>
      <c r="B1983" s="1" t="s">
        <v>31</v>
      </c>
      <c r="C1983" s="1" t="s">
        <v>24</v>
      </c>
      <c r="D1983" s="5">
        <v>45852</v>
      </c>
      <c r="E1983" s="6">
        <v>27840299770</v>
      </c>
      <c r="F1983" s="6">
        <v>6301339756</v>
      </c>
      <c r="G1983" s="6">
        <v>21538960014</v>
      </c>
      <c r="H1983" s="6">
        <v>4564734789</v>
      </c>
      <c r="I1983" s="7">
        <v>23275564981</v>
      </c>
    </row>
    <row r="1984" spans="1:9" ht="12" customHeight="1" thickBot="1" x14ac:dyDescent="0.25">
      <c r="A1984" s="1" t="s">
        <v>55</v>
      </c>
      <c r="B1984" s="1" t="s">
        <v>31</v>
      </c>
      <c r="C1984" s="1" t="s">
        <v>24</v>
      </c>
      <c r="D1984" s="5">
        <v>45853</v>
      </c>
      <c r="E1984" s="6">
        <v>28110443587</v>
      </c>
      <c r="F1984" s="6">
        <v>6216471467</v>
      </c>
      <c r="G1984" s="6">
        <v>21893972120</v>
      </c>
      <c r="H1984" s="6">
        <v>4557507831</v>
      </c>
      <c r="I1984" s="7">
        <v>23552935756</v>
      </c>
    </row>
    <row r="1985" spans="1:9" ht="12" customHeight="1" thickBot="1" x14ac:dyDescent="0.25">
      <c r="A1985" s="1" t="s">
        <v>55</v>
      </c>
      <c r="B1985" s="1" t="s">
        <v>31</v>
      </c>
      <c r="C1985" s="1" t="s">
        <v>24</v>
      </c>
      <c r="D1985" s="5">
        <v>45854</v>
      </c>
      <c r="E1985" s="6">
        <v>28352336490</v>
      </c>
      <c r="F1985" s="6">
        <v>6133040357</v>
      </c>
      <c r="G1985" s="6">
        <v>22219296133</v>
      </c>
      <c r="H1985" s="6">
        <v>6133040357</v>
      </c>
      <c r="I1985" s="7">
        <v>22219296133</v>
      </c>
    </row>
    <row r="1986" spans="1:9" ht="12" customHeight="1" thickBot="1" x14ac:dyDescent="0.25">
      <c r="A1986" s="1" t="s">
        <v>55</v>
      </c>
      <c r="B1986" s="1" t="s">
        <v>31</v>
      </c>
      <c r="C1986" s="1" t="s">
        <v>24</v>
      </c>
      <c r="D1986" s="5">
        <v>45855</v>
      </c>
      <c r="E1986" s="6">
        <v>28543746244</v>
      </c>
      <c r="F1986" s="6">
        <v>6068204220</v>
      </c>
      <c r="G1986" s="6">
        <v>22475542024</v>
      </c>
      <c r="H1986" s="6">
        <v>6068204220</v>
      </c>
      <c r="I1986" s="7">
        <v>22475542024</v>
      </c>
    </row>
    <row r="1987" spans="1:9" ht="12" customHeight="1" thickBot="1" x14ac:dyDescent="0.25">
      <c r="A1987" s="1" t="s">
        <v>55</v>
      </c>
      <c r="B1987" s="1" t="s">
        <v>31</v>
      </c>
      <c r="C1987" s="1" t="s">
        <v>24</v>
      </c>
      <c r="D1987" s="5">
        <v>45856</v>
      </c>
      <c r="E1987" s="6">
        <v>28693004315</v>
      </c>
      <c r="F1987" s="6">
        <v>6034105816</v>
      </c>
      <c r="G1987" s="6">
        <v>22658898499</v>
      </c>
      <c r="H1987" s="6">
        <v>6034105816</v>
      </c>
      <c r="I1987" s="7">
        <v>22658898499</v>
      </c>
    </row>
    <row r="1988" spans="1:9" ht="12" customHeight="1" thickBot="1" x14ac:dyDescent="0.25">
      <c r="A1988" s="1" t="s">
        <v>55</v>
      </c>
      <c r="B1988" s="1" t="s">
        <v>31</v>
      </c>
      <c r="C1988" s="1" t="s">
        <v>24</v>
      </c>
      <c r="D1988" s="5">
        <v>45857</v>
      </c>
      <c r="E1988" s="6">
        <v>28931105690</v>
      </c>
      <c r="F1988" s="6">
        <v>6017789342</v>
      </c>
      <c r="G1988" s="6">
        <v>22913316348</v>
      </c>
      <c r="H1988" s="6">
        <v>6017789342</v>
      </c>
      <c r="I1988" s="7">
        <v>22913316348</v>
      </c>
    </row>
    <row r="1989" spans="1:9" ht="12" customHeight="1" thickBot="1" x14ac:dyDescent="0.25">
      <c r="A1989" s="1" t="s">
        <v>55</v>
      </c>
      <c r="B1989" s="1" t="s">
        <v>31</v>
      </c>
      <c r="C1989" s="1" t="s">
        <v>24</v>
      </c>
      <c r="D1989" s="5">
        <v>45858</v>
      </c>
      <c r="E1989" s="6">
        <v>29100313968</v>
      </c>
      <c r="F1989" s="6">
        <v>6006044714</v>
      </c>
      <c r="G1989" s="6">
        <v>23094269254</v>
      </c>
      <c r="H1989" s="6">
        <v>6006044714</v>
      </c>
      <c r="I1989" s="7">
        <v>23094269254</v>
      </c>
    </row>
    <row r="1990" spans="1:9" ht="12" customHeight="1" thickBot="1" x14ac:dyDescent="0.25">
      <c r="A1990" s="1" t="s">
        <v>55</v>
      </c>
      <c r="B1990" s="1" t="s">
        <v>31</v>
      </c>
      <c r="C1990" s="1" t="s">
        <v>24</v>
      </c>
      <c r="D1990" s="5">
        <v>45859</v>
      </c>
      <c r="E1990" s="6">
        <v>29058226201</v>
      </c>
      <c r="F1990" s="6">
        <v>5971209917</v>
      </c>
      <c r="G1990" s="6">
        <v>23087016284</v>
      </c>
      <c r="H1990" s="6">
        <v>5971209917</v>
      </c>
      <c r="I1990" s="7">
        <v>23087016284</v>
      </c>
    </row>
    <row r="1991" spans="1:9" ht="12" customHeight="1" thickBot="1" x14ac:dyDescent="0.25">
      <c r="A1991" s="1" t="s">
        <v>55</v>
      </c>
      <c r="B1991" s="1" t="s">
        <v>31</v>
      </c>
      <c r="C1991" s="1" t="s">
        <v>24</v>
      </c>
      <c r="D1991" s="5">
        <v>45860</v>
      </c>
      <c r="E1991" s="6">
        <v>29005623764</v>
      </c>
      <c r="F1991" s="6">
        <v>5965683528</v>
      </c>
      <c r="G1991" s="6">
        <v>23039940236</v>
      </c>
      <c r="H1991" s="6">
        <v>5965683528</v>
      </c>
      <c r="I1991" s="7">
        <v>23039940236</v>
      </c>
    </row>
    <row r="1992" spans="1:9" ht="12" customHeight="1" thickBot="1" x14ac:dyDescent="0.25">
      <c r="A1992" s="1" t="s">
        <v>55</v>
      </c>
      <c r="B1992" s="1" t="s">
        <v>31</v>
      </c>
      <c r="C1992" s="1" t="s">
        <v>24</v>
      </c>
      <c r="D1992" s="5">
        <v>45861</v>
      </c>
      <c r="E1992" s="6">
        <v>29035699877</v>
      </c>
      <c r="F1992" s="6">
        <v>5945978790</v>
      </c>
      <c r="G1992" s="6">
        <v>23089721087</v>
      </c>
      <c r="H1992" s="6">
        <v>5945978790</v>
      </c>
      <c r="I1992" s="7">
        <v>23089721087</v>
      </c>
    </row>
    <row r="1993" spans="1:9" ht="12" customHeight="1" thickBot="1" x14ac:dyDescent="0.25">
      <c r="A1993" s="1" t="s">
        <v>55</v>
      </c>
      <c r="B1993" s="1" t="s">
        <v>31</v>
      </c>
      <c r="C1993" s="1" t="s">
        <v>24</v>
      </c>
      <c r="D1993" s="5">
        <v>45862</v>
      </c>
      <c r="E1993" s="6">
        <v>29119478112</v>
      </c>
      <c r="F1993" s="6">
        <v>5934263685</v>
      </c>
      <c r="G1993" s="6">
        <v>23185214427</v>
      </c>
      <c r="H1993" s="6">
        <v>5934263685</v>
      </c>
      <c r="I1993" s="7">
        <v>23185214427</v>
      </c>
    </row>
    <row r="1994" spans="1:9" ht="12" customHeight="1" thickBot="1" x14ac:dyDescent="0.25">
      <c r="A1994" s="1" t="s">
        <v>55</v>
      </c>
      <c r="B1994" s="1" t="s">
        <v>31</v>
      </c>
      <c r="C1994" s="1" t="s">
        <v>24</v>
      </c>
      <c r="D1994" s="5">
        <v>45863</v>
      </c>
      <c r="E1994" s="6">
        <v>29149477342</v>
      </c>
      <c r="F1994" s="6">
        <v>5921886330</v>
      </c>
      <c r="G1994" s="6">
        <v>23227591012</v>
      </c>
      <c r="H1994" s="6">
        <v>5921886330</v>
      </c>
      <c r="I1994" s="7">
        <v>23227591012</v>
      </c>
    </row>
    <row r="1995" spans="1:9" ht="12" customHeight="1" thickBot="1" x14ac:dyDescent="0.25">
      <c r="A1995" s="1" t="s">
        <v>55</v>
      </c>
      <c r="B1995" s="1" t="s">
        <v>31</v>
      </c>
      <c r="C1995" s="1" t="s">
        <v>24</v>
      </c>
      <c r="D1995" s="5">
        <v>45864</v>
      </c>
      <c r="E1995" s="6">
        <v>29273687417</v>
      </c>
      <c r="F1995" s="6">
        <v>5912117575</v>
      </c>
      <c r="G1995" s="6">
        <v>23361569842</v>
      </c>
      <c r="H1995" s="6">
        <v>5912117575</v>
      </c>
      <c r="I1995" s="7">
        <v>23361569842</v>
      </c>
    </row>
    <row r="1996" spans="1:9" ht="12" customHeight="1" thickBot="1" x14ac:dyDescent="0.25">
      <c r="A1996" s="1" t="s">
        <v>55</v>
      </c>
      <c r="B1996" s="1" t="s">
        <v>31</v>
      </c>
      <c r="C1996" s="1" t="s">
        <v>24</v>
      </c>
      <c r="D1996" s="5">
        <v>45865</v>
      </c>
      <c r="E1996" s="6">
        <v>29351167309</v>
      </c>
      <c r="F1996" s="6">
        <v>5905155915</v>
      </c>
      <c r="G1996" s="6">
        <v>23446011394</v>
      </c>
      <c r="H1996" s="6">
        <v>5905155915</v>
      </c>
      <c r="I1996" s="7">
        <v>23446011394</v>
      </c>
    </row>
    <row r="1997" spans="1:9" ht="12" customHeight="1" thickBot="1" x14ac:dyDescent="0.25">
      <c r="A1997" s="1" t="s">
        <v>55</v>
      </c>
      <c r="B1997" s="1" t="s">
        <v>31</v>
      </c>
      <c r="C1997" s="1" t="s">
        <v>24</v>
      </c>
      <c r="D1997" s="5">
        <v>45866</v>
      </c>
      <c r="E1997" s="6">
        <v>29429868599</v>
      </c>
      <c r="F1997" s="6">
        <v>5885974214</v>
      </c>
      <c r="G1997" s="6">
        <v>23543894385</v>
      </c>
      <c r="H1997" s="6">
        <v>5885974214</v>
      </c>
      <c r="I1997" s="7">
        <v>23543894385</v>
      </c>
    </row>
    <row r="1998" spans="1:9" ht="12" customHeight="1" thickBot="1" x14ac:dyDescent="0.25">
      <c r="A1998" s="1" t="s">
        <v>55</v>
      </c>
      <c r="B1998" s="1" t="s">
        <v>31</v>
      </c>
      <c r="C1998" s="1" t="s">
        <v>24</v>
      </c>
      <c r="D1998" s="5">
        <v>45867</v>
      </c>
      <c r="E1998" s="6">
        <v>29507349291</v>
      </c>
      <c r="F1998" s="6">
        <v>5879051063</v>
      </c>
      <c r="G1998" s="6">
        <v>23628298228</v>
      </c>
      <c r="H1998" s="6">
        <v>5879051063</v>
      </c>
      <c r="I1998" s="7">
        <v>23628298228</v>
      </c>
    </row>
    <row r="1999" spans="1:9" ht="12" customHeight="1" thickBot="1" x14ac:dyDescent="0.25">
      <c r="A1999" s="1" t="s">
        <v>55</v>
      </c>
      <c r="B1999" s="1" t="s">
        <v>31</v>
      </c>
      <c r="C1999" s="1" t="s">
        <v>24</v>
      </c>
      <c r="D1999" s="5">
        <v>45868</v>
      </c>
      <c r="E1999" s="6">
        <v>29478779895</v>
      </c>
      <c r="F1999" s="6">
        <v>5862045614</v>
      </c>
      <c r="G1999" s="6">
        <v>23616734281</v>
      </c>
      <c r="H1999" s="6">
        <v>5862045614</v>
      </c>
      <c r="I1999" s="7">
        <v>23616734281</v>
      </c>
    </row>
    <row r="2000" spans="1:9" ht="12" customHeight="1" thickBot="1" x14ac:dyDescent="0.25">
      <c r="A2000" s="1" t="s">
        <v>55</v>
      </c>
      <c r="B2000" s="1" t="s">
        <v>31</v>
      </c>
      <c r="C2000" s="1" t="s">
        <v>24</v>
      </c>
      <c r="D2000" s="5">
        <v>45869</v>
      </c>
      <c r="E2000" s="6">
        <v>29352371776</v>
      </c>
      <c r="F2000" s="6">
        <v>5839346148</v>
      </c>
      <c r="G2000" s="6">
        <v>23513025628</v>
      </c>
      <c r="H2000" s="6">
        <v>5839346148</v>
      </c>
      <c r="I2000" s="7">
        <v>23513025628</v>
      </c>
    </row>
    <row r="2001" spans="1:9" ht="12" customHeight="1" thickBot="1" x14ac:dyDescent="0.25">
      <c r="A2001" s="1" t="s">
        <v>55</v>
      </c>
      <c r="B2001" s="1" t="s">
        <v>31</v>
      </c>
      <c r="C2001" s="1" t="s">
        <v>24</v>
      </c>
      <c r="D2001" s="5">
        <v>45870</v>
      </c>
      <c r="E2001" s="6">
        <v>29189100472</v>
      </c>
      <c r="F2001" s="6">
        <v>5825563732</v>
      </c>
      <c r="G2001" s="6">
        <v>23363536740</v>
      </c>
      <c r="H2001" s="6">
        <v>5825563732</v>
      </c>
      <c r="I2001" s="7">
        <v>23363536740</v>
      </c>
    </row>
    <row r="2002" spans="1:9" ht="12" customHeight="1" thickBot="1" x14ac:dyDescent="0.25">
      <c r="A2002" s="1" t="s">
        <v>55</v>
      </c>
      <c r="B2002" s="1" t="s">
        <v>31</v>
      </c>
      <c r="C2002" s="1" t="s">
        <v>24</v>
      </c>
      <c r="D2002" s="5">
        <v>45871</v>
      </c>
      <c r="E2002" s="6">
        <v>29266049786</v>
      </c>
      <c r="F2002" s="6">
        <v>5817841910</v>
      </c>
      <c r="G2002" s="6">
        <v>23448207876</v>
      </c>
      <c r="H2002" s="6">
        <v>5817841910</v>
      </c>
      <c r="I2002" s="7">
        <v>23448207876</v>
      </c>
    </row>
    <row r="2003" spans="1:9" ht="12" customHeight="1" thickBot="1" x14ac:dyDescent="0.25">
      <c r="A2003" s="1" t="s">
        <v>55</v>
      </c>
      <c r="B2003" s="1" t="s">
        <v>31</v>
      </c>
      <c r="C2003" s="1" t="s">
        <v>24</v>
      </c>
      <c r="D2003" s="5">
        <v>45872</v>
      </c>
      <c r="E2003" s="6">
        <v>29255963608</v>
      </c>
      <c r="F2003" s="6">
        <v>5812092975</v>
      </c>
      <c r="G2003" s="6">
        <v>23443870633</v>
      </c>
      <c r="H2003" s="6">
        <v>5812092975</v>
      </c>
      <c r="I2003" s="7">
        <v>23443870633</v>
      </c>
    </row>
    <row r="2004" spans="1:9" ht="12" customHeight="1" thickBot="1" x14ac:dyDescent="0.25">
      <c r="A2004" s="1" t="s">
        <v>55</v>
      </c>
      <c r="B2004" s="1" t="s">
        <v>31</v>
      </c>
      <c r="C2004" s="1" t="s">
        <v>24</v>
      </c>
      <c r="D2004" s="5">
        <v>45873</v>
      </c>
      <c r="E2004" s="6">
        <v>28587971722</v>
      </c>
      <c r="F2004" s="6">
        <v>5797784024</v>
      </c>
      <c r="G2004" s="6">
        <v>22790187698</v>
      </c>
      <c r="H2004" s="6">
        <v>5797784024</v>
      </c>
      <c r="I2004" s="7">
        <v>22790187698</v>
      </c>
    </row>
    <row r="2005" spans="1:9" ht="12" customHeight="1" thickBot="1" x14ac:dyDescent="0.25">
      <c r="A2005" s="1" t="s">
        <v>55</v>
      </c>
      <c r="B2005" s="1" t="s">
        <v>31</v>
      </c>
      <c r="C2005" s="1" t="s">
        <v>24</v>
      </c>
      <c r="D2005" s="5">
        <v>45874</v>
      </c>
      <c r="E2005" s="6">
        <v>28963462732</v>
      </c>
      <c r="F2005" s="6">
        <v>9129871280</v>
      </c>
      <c r="G2005" s="6">
        <v>19833591452</v>
      </c>
      <c r="H2005" s="6">
        <v>5781536651</v>
      </c>
      <c r="I2005" s="7">
        <v>23181926081</v>
      </c>
    </row>
    <row r="2006" spans="1:9" ht="12" customHeight="1" thickBot="1" x14ac:dyDescent="0.25">
      <c r="A2006" s="1" t="s">
        <v>55</v>
      </c>
      <c r="B2006" s="1" t="s">
        <v>31</v>
      </c>
      <c r="C2006" s="1" t="s">
        <v>24</v>
      </c>
      <c r="D2006" s="5">
        <v>45875</v>
      </c>
      <c r="E2006" s="6">
        <v>29365440145</v>
      </c>
      <c r="F2006" s="6">
        <v>8643676979</v>
      </c>
      <c r="G2006" s="6">
        <v>20721763166</v>
      </c>
      <c r="H2006" s="6">
        <v>5772296663</v>
      </c>
      <c r="I2006" s="7">
        <v>23593143482</v>
      </c>
    </row>
    <row r="2007" spans="1:9" ht="12" customHeight="1" thickBot="1" x14ac:dyDescent="0.25">
      <c r="A2007" s="1" t="s">
        <v>55</v>
      </c>
      <c r="B2007" s="1" t="s">
        <v>31</v>
      </c>
      <c r="C2007" s="1" t="s">
        <v>24</v>
      </c>
      <c r="D2007" s="5">
        <v>45876</v>
      </c>
      <c r="E2007" s="6">
        <v>29703594311</v>
      </c>
      <c r="F2007" s="6">
        <v>8400618897</v>
      </c>
      <c r="G2007" s="6">
        <v>21302975414</v>
      </c>
      <c r="H2007" s="6">
        <v>5766319832</v>
      </c>
      <c r="I2007" s="7">
        <v>23937274479</v>
      </c>
    </row>
    <row r="2008" spans="1:9" ht="12" customHeight="1" thickBot="1" x14ac:dyDescent="0.25">
      <c r="A2008" s="1" t="s">
        <v>55</v>
      </c>
      <c r="B2008" s="1" t="s">
        <v>31</v>
      </c>
      <c r="C2008" s="1" t="s">
        <v>24</v>
      </c>
      <c r="D2008" s="5">
        <v>45877</v>
      </c>
      <c r="E2008" s="6">
        <v>29973417990</v>
      </c>
      <c r="F2008" s="6">
        <v>8152074642</v>
      </c>
      <c r="G2008" s="6">
        <v>21821343348</v>
      </c>
      <c r="H2008" s="6">
        <v>5749428283</v>
      </c>
      <c r="I2008" s="7">
        <v>24223989707</v>
      </c>
    </row>
    <row r="2009" spans="1:9" ht="12" customHeight="1" thickBot="1" x14ac:dyDescent="0.25">
      <c r="A2009" s="1" t="s">
        <v>55</v>
      </c>
      <c r="B2009" s="1" t="s">
        <v>31</v>
      </c>
      <c r="C2009" s="1" t="s">
        <v>24</v>
      </c>
      <c r="D2009" s="5">
        <v>45878</v>
      </c>
      <c r="E2009" s="6">
        <v>30190394089</v>
      </c>
      <c r="F2009" s="6">
        <v>7923804604</v>
      </c>
      <c r="G2009" s="6">
        <v>22266589485</v>
      </c>
      <c r="H2009" s="6">
        <v>5744746947</v>
      </c>
      <c r="I2009" s="7">
        <v>24445647142</v>
      </c>
    </row>
    <row r="2010" spans="1:9" ht="12" customHeight="1" thickBot="1" x14ac:dyDescent="0.25">
      <c r="A2010" s="1" t="s">
        <v>55</v>
      </c>
      <c r="B2010" s="1" t="s">
        <v>31</v>
      </c>
      <c r="C2010" s="1" t="s">
        <v>24</v>
      </c>
      <c r="D2010" s="5">
        <v>45879</v>
      </c>
      <c r="E2010" s="6">
        <v>30464670499</v>
      </c>
      <c r="F2010" s="6">
        <v>7803662586</v>
      </c>
      <c r="G2010" s="6">
        <v>22661007913</v>
      </c>
      <c r="H2010" s="6">
        <v>5742473572</v>
      </c>
      <c r="I2010" s="7">
        <v>24722196927</v>
      </c>
    </row>
    <row r="2011" spans="1:9" ht="12" customHeight="1" thickBot="1" x14ac:dyDescent="0.25">
      <c r="A2011" s="1" t="s">
        <v>55</v>
      </c>
      <c r="B2011" s="1" t="s">
        <v>31</v>
      </c>
      <c r="C2011" s="1" t="s">
        <v>24</v>
      </c>
      <c r="D2011" s="5">
        <v>45880</v>
      </c>
      <c r="E2011" s="6">
        <v>30824289268</v>
      </c>
      <c r="F2011" s="6">
        <v>7667591568</v>
      </c>
      <c r="G2011" s="6">
        <v>23156697700</v>
      </c>
      <c r="H2011" s="6">
        <v>5724708285</v>
      </c>
      <c r="I2011" s="7">
        <v>25099580983</v>
      </c>
    </row>
    <row r="2012" spans="1:9" ht="12" customHeight="1" thickBot="1" x14ac:dyDescent="0.25">
      <c r="A2012" s="1" t="s">
        <v>55</v>
      </c>
      <c r="B2012" s="1" t="s">
        <v>31</v>
      </c>
      <c r="C2012" s="1" t="s">
        <v>24</v>
      </c>
      <c r="D2012" s="5">
        <v>45881</v>
      </c>
      <c r="E2012" s="6">
        <v>31034669729</v>
      </c>
      <c r="F2012" s="6">
        <v>7538784354</v>
      </c>
      <c r="G2012" s="6">
        <v>23495885375</v>
      </c>
      <c r="H2012" s="6">
        <v>5714760753</v>
      </c>
      <c r="I2012" s="7">
        <v>25319908976</v>
      </c>
    </row>
    <row r="2013" spans="1:9" ht="12" customHeight="1" thickBot="1" x14ac:dyDescent="0.25">
      <c r="A2013" s="1" t="s">
        <v>55</v>
      </c>
      <c r="B2013" s="1" t="s">
        <v>31</v>
      </c>
      <c r="C2013" s="1" t="s">
        <v>24</v>
      </c>
      <c r="D2013" s="5">
        <v>45882</v>
      </c>
      <c r="E2013" s="6">
        <v>31224020761</v>
      </c>
      <c r="F2013" s="6">
        <v>7453522152</v>
      </c>
      <c r="G2013" s="6">
        <v>23770498609</v>
      </c>
      <c r="H2013" s="6">
        <v>5711056624</v>
      </c>
      <c r="I2013" s="7">
        <v>25512964137</v>
      </c>
    </row>
    <row r="2014" spans="1:9" ht="12" customHeight="1" thickBot="1" x14ac:dyDescent="0.25">
      <c r="A2014" s="1" t="s">
        <v>55</v>
      </c>
      <c r="B2014" s="1" t="s">
        <v>31</v>
      </c>
      <c r="C2014" s="1" t="s">
        <v>24</v>
      </c>
      <c r="D2014" s="5">
        <v>45883</v>
      </c>
      <c r="E2014" s="6">
        <v>31466010555</v>
      </c>
      <c r="F2014" s="6">
        <v>7364490390</v>
      </c>
      <c r="G2014" s="6">
        <v>24101520165</v>
      </c>
      <c r="H2014" s="6">
        <v>5711056624</v>
      </c>
      <c r="I2014" s="7">
        <v>25754953931</v>
      </c>
    </row>
    <row r="2015" spans="1:9" ht="12" customHeight="1" thickBot="1" x14ac:dyDescent="0.25">
      <c r="A2015" s="1" t="s">
        <v>55</v>
      </c>
      <c r="B2015" s="1" t="s">
        <v>31</v>
      </c>
      <c r="C2015" s="1" t="s">
        <v>24</v>
      </c>
      <c r="D2015" s="5">
        <v>45884</v>
      </c>
      <c r="E2015" s="6">
        <v>31661760802</v>
      </c>
      <c r="F2015" s="6">
        <v>7305499979</v>
      </c>
      <c r="G2015" s="6">
        <v>24356260823</v>
      </c>
      <c r="H2015" s="6">
        <v>7305499979</v>
      </c>
      <c r="I2015" s="7">
        <v>24356260823</v>
      </c>
    </row>
    <row r="2016" spans="1:9" ht="12" customHeight="1" thickBot="1" x14ac:dyDescent="0.25">
      <c r="A2016" s="1" t="s">
        <v>55</v>
      </c>
      <c r="B2016" s="1" t="s">
        <v>31</v>
      </c>
      <c r="C2016" s="1" t="s">
        <v>24</v>
      </c>
      <c r="D2016" s="5">
        <v>45885</v>
      </c>
      <c r="E2016" s="6">
        <v>31825071759</v>
      </c>
      <c r="F2016" s="6">
        <v>7255898878</v>
      </c>
      <c r="G2016" s="6">
        <v>24569172881</v>
      </c>
      <c r="H2016" s="6">
        <v>7255898878</v>
      </c>
      <c r="I2016" s="7">
        <v>24569172881</v>
      </c>
    </row>
    <row r="2017" spans="1:9" ht="12" customHeight="1" thickBot="1" x14ac:dyDescent="0.25">
      <c r="A2017" s="1" t="s">
        <v>55</v>
      </c>
      <c r="B2017" s="1" t="s">
        <v>31</v>
      </c>
      <c r="C2017" s="1" t="s">
        <v>24</v>
      </c>
      <c r="D2017" s="5">
        <v>45886</v>
      </c>
      <c r="E2017" s="6">
        <v>31972534145</v>
      </c>
      <c r="F2017" s="6">
        <v>7215656052</v>
      </c>
      <c r="G2017" s="6">
        <v>24756878093</v>
      </c>
      <c r="H2017" s="6">
        <v>7215656052</v>
      </c>
      <c r="I2017" s="7">
        <v>24756878093</v>
      </c>
    </row>
    <row r="2018" spans="1:9" ht="12" customHeight="1" thickBot="1" x14ac:dyDescent="0.25">
      <c r="A2018" s="1" t="s">
        <v>55</v>
      </c>
      <c r="B2018" s="1" t="s">
        <v>31</v>
      </c>
      <c r="C2018" s="1" t="s">
        <v>24</v>
      </c>
      <c r="D2018" s="5">
        <v>45887</v>
      </c>
      <c r="E2018" s="6">
        <v>32194273469</v>
      </c>
      <c r="F2018" s="6">
        <v>7194085863</v>
      </c>
      <c r="G2018" s="6">
        <v>25000187606</v>
      </c>
      <c r="H2018" s="6">
        <v>7194085863</v>
      </c>
      <c r="I2018" s="7">
        <v>25000187606</v>
      </c>
    </row>
    <row r="2019" spans="1:9" ht="12" customHeight="1" thickBot="1" x14ac:dyDescent="0.25">
      <c r="A2019" s="1" t="s">
        <v>55</v>
      </c>
      <c r="B2019" s="1" t="s">
        <v>31</v>
      </c>
      <c r="C2019" s="1" t="s">
        <v>24</v>
      </c>
      <c r="D2019" s="5">
        <v>45888</v>
      </c>
      <c r="E2019" s="6">
        <v>32300693287</v>
      </c>
      <c r="F2019" s="6">
        <v>7142201553</v>
      </c>
      <c r="G2019" s="6">
        <v>25158491734</v>
      </c>
      <c r="H2019" s="6">
        <v>7142201553</v>
      </c>
      <c r="I2019" s="7">
        <v>25158491734</v>
      </c>
    </row>
    <row r="2020" spans="1:9" ht="12" customHeight="1" thickBot="1" x14ac:dyDescent="0.25">
      <c r="A2020" s="1" t="s">
        <v>55</v>
      </c>
      <c r="B2020" s="1" t="s">
        <v>31</v>
      </c>
      <c r="C2020" s="1" t="s">
        <v>24</v>
      </c>
      <c r="D2020" s="5">
        <v>45889</v>
      </c>
      <c r="E2020" s="6">
        <v>32462035914</v>
      </c>
      <c r="F2020" s="6">
        <v>7135074373</v>
      </c>
      <c r="G2020" s="6">
        <v>25326961541</v>
      </c>
      <c r="H2020" s="6">
        <v>7135074373</v>
      </c>
      <c r="I2020" s="7">
        <v>25326961541</v>
      </c>
    </row>
    <row r="2021" spans="1:9" ht="12" customHeight="1" thickBot="1" x14ac:dyDescent="0.25">
      <c r="A2021" s="1" t="s">
        <v>55</v>
      </c>
      <c r="B2021" s="1" t="s">
        <v>31</v>
      </c>
      <c r="C2021" s="1" t="s">
        <v>24</v>
      </c>
      <c r="D2021" s="5">
        <v>45890</v>
      </c>
      <c r="E2021" s="6">
        <v>32375911096</v>
      </c>
      <c r="F2021" s="6">
        <v>7123318891</v>
      </c>
      <c r="G2021" s="6">
        <v>25252592205</v>
      </c>
      <c r="H2021" s="6">
        <v>7123318891</v>
      </c>
      <c r="I2021" s="7">
        <v>25252592205</v>
      </c>
    </row>
    <row r="2022" spans="1:9" ht="12" customHeight="1" thickBot="1" x14ac:dyDescent="0.25">
      <c r="A2022" s="1" t="s">
        <v>55</v>
      </c>
      <c r="B2022" s="1" t="s">
        <v>31</v>
      </c>
      <c r="C2022" s="1" t="s">
        <v>24</v>
      </c>
      <c r="D2022" s="5">
        <v>45891</v>
      </c>
      <c r="E2022" s="6">
        <v>32415798556</v>
      </c>
      <c r="F2022" s="6">
        <v>7102763706</v>
      </c>
      <c r="G2022" s="6">
        <v>25313034850</v>
      </c>
      <c r="H2022" s="6">
        <v>7102763706</v>
      </c>
      <c r="I2022" s="7">
        <v>25313034850</v>
      </c>
    </row>
    <row r="2023" spans="1:9" ht="12" customHeight="1" thickBot="1" x14ac:dyDescent="0.25">
      <c r="A2023" s="1" t="s">
        <v>55</v>
      </c>
      <c r="B2023" s="1" t="s">
        <v>31</v>
      </c>
      <c r="C2023" s="1" t="s">
        <v>24</v>
      </c>
      <c r="D2023" s="5">
        <v>45892</v>
      </c>
      <c r="E2023" s="6">
        <v>32486958515</v>
      </c>
      <c r="F2023" s="6">
        <v>7089599058</v>
      </c>
      <c r="G2023" s="6">
        <v>25397359457</v>
      </c>
      <c r="H2023" s="6">
        <v>7089599058</v>
      </c>
      <c r="I2023" s="7">
        <v>25397359457</v>
      </c>
    </row>
    <row r="2024" spans="1:9" ht="12" customHeight="1" thickBot="1" x14ac:dyDescent="0.25">
      <c r="A2024" s="1" t="s">
        <v>55</v>
      </c>
      <c r="B2024" s="1" t="s">
        <v>31</v>
      </c>
      <c r="C2024" s="1" t="s">
        <v>24</v>
      </c>
      <c r="D2024" s="5">
        <v>45893</v>
      </c>
      <c r="E2024" s="6">
        <v>32624521907</v>
      </c>
      <c r="F2024" s="6">
        <v>7077838891</v>
      </c>
      <c r="G2024" s="6">
        <v>25546683016</v>
      </c>
      <c r="H2024" s="6">
        <v>7077838891</v>
      </c>
      <c r="I2024" s="7">
        <v>25546683016</v>
      </c>
    </row>
    <row r="2025" spans="1:9" ht="12" customHeight="1" thickBot="1" x14ac:dyDescent="0.25">
      <c r="A2025" s="1" t="s">
        <v>55</v>
      </c>
      <c r="B2025" s="1" t="s">
        <v>31</v>
      </c>
      <c r="C2025" s="1" t="s">
        <v>24</v>
      </c>
      <c r="D2025" s="5">
        <v>45894</v>
      </c>
      <c r="E2025" s="6">
        <v>32517133687</v>
      </c>
      <c r="F2025" s="6">
        <v>7055224640</v>
      </c>
      <c r="G2025" s="6">
        <v>25461909047</v>
      </c>
      <c r="H2025" s="6">
        <v>7055224640</v>
      </c>
      <c r="I2025" s="7">
        <v>25461909047</v>
      </c>
    </row>
    <row r="2026" spans="1:9" ht="12" customHeight="1" thickBot="1" x14ac:dyDescent="0.25">
      <c r="A2026" s="1" t="s">
        <v>55</v>
      </c>
      <c r="B2026" s="1" t="s">
        <v>31</v>
      </c>
      <c r="C2026" s="1" t="s">
        <v>24</v>
      </c>
      <c r="D2026" s="5">
        <v>45895</v>
      </c>
      <c r="E2026" s="6">
        <v>32626033125</v>
      </c>
      <c r="F2026" s="6">
        <v>7037501916</v>
      </c>
      <c r="G2026" s="6">
        <v>25588531209</v>
      </c>
      <c r="H2026" s="6">
        <v>7037501916</v>
      </c>
      <c r="I2026" s="7">
        <v>25588531209</v>
      </c>
    </row>
    <row r="2027" spans="1:9" ht="12" customHeight="1" thickBot="1" x14ac:dyDescent="0.25">
      <c r="A2027" s="1" t="s">
        <v>55</v>
      </c>
      <c r="B2027" s="1" t="s">
        <v>31</v>
      </c>
      <c r="C2027" s="1" t="s">
        <v>24</v>
      </c>
      <c r="D2027" s="5">
        <v>45896</v>
      </c>
      <c r="E2027" s="6">
        <v>32731846381</v>
      </c>
      <c r="F2027" s="6">
        <v>7033730314</v>
      </c>
      <c r="G2027" s="6">
        <v>25698116067</v>
      </c>
      <c r="H2027" s="6">
        <v>7033730314</v>
      </c>
      <c r="I2027" s="7">
        <v>25698116067</v>
      </c>
    </row>
    <row r="2028" spans="1:9" ht="12" customHeight="1" thickBot="1" x14ac:dyDescent="0.25">
      <c r="A2028" s="1" t="s">
        <v>55</v>
      </c>
      <c r="B2028" s="1" t="s">
        <v>31</v>
      </c>
      <c r="C2028" s="1" t="s">
        <v>24</v>
      </c>
      <c r="D2028" s="5">
        <v>45897</v>
      </c>
      <c r="E2028" s="6">
        <v>32762234745</v>
      </c>
      <c r="F2028" s="6">
        <v>7028271930</v>
      </c>
      <c r="G2028" s="6">
        <v>25733962815</v>
      </c>
      <c r="H2028" s="6">
        <v>7028271930</v>
      </c>
      <c r="I2028" s="7">
        <v>25733962815</v>
      </c>
    </row>
    <row r="2029" spans="1:9" ht="12" customHeight="1" thickBot="1" x14ac:dyDescent="0.25">
      <c r="A2029" s="1" t="s">
        <v>55</v>
      </c>
      <c r="B2029" s="1" t="s">
        <v>31</v>
      </c>
      <c r="C2029" s="1" t="s">
        <v>24</v>
      </c>
      <c r="D2029" s="5">
        <v>45898</v>
      </c>
      <c r="E2029" s="6">
        <v>32763532663</v>
      </c>
      <c r="F2029" s="6">
        <v>7009259710</v>
      </c>
      <c r="G2029" s="6">
        <v>25754272953</v>
      </c>
      <c r="H2029" s="6">
        <v>7009259710</v>
      </c>
      <c r="I2029" s="7">
        <v>25754272953</v>
      </c>
    </row>
    <row r="2030" spans="1:9" ht="12" customHeight="1" thickBot="1" x14ac:dyDescent="0.25">
      <c r="A2030" s="1" t="s">
        <v>55</v>
      </c>
      <c r="B2030" s="1" t="s">
        <v>31</v>
      </c>
      <c r="C2030" s="1" t="s">
        <v>24</v>
      </c>
      <c r="D2030" s="5">
        <v>45899</v>
      </c>
      <c r="E2030" s="6">
        <v>32833201108</v>
      </c>
      <c r="F2030" s="6">
        <v>7000239348</v>
      </c>
      <c r="G2030" s="6">
        <v>25832961760</v>
      </c>
      <c r="H2030" s="6">
        <v>7000239348</v>
      </c>
      <c r="I2030" s="7">
        <v>25832961760</v>
      </c>
    </row>
    <row r="2031" spans="1:9" ht="12" customHeight="1" thickBot="1" x14ac:dyDescent="0.25">
      <c r="A2031" s="1" t="s">
        <v>55</v>
      </c>
      <c r="B2031" s="1" t="s">
        <v>31</v>
      </c>
      <c r="C2031" s="1" t="s">
        <v>24</v>
      </c>
      <c r="D2031" s="5">
        <v>45900</v>
      </c>
      <c r="E2031" s="6">
        <v>32857251042</v>
      </c>
      <c r="F2031" s="6">
        <v>6987534084</v>
      </c>
      <c r="G2031" s="6">
        <v>25869716958</v>
      </c>
      <c r="H2031" s="6">
        <v>6987534084</v>
      </c>
      <c r="I2031" s="7">
        <v>25869716958</v>
      </c>
    </row>
    <row r="2032" spans="1:9" ht="12" customHeight="1" thickBot="1" x14ac:dyDescent="0.25">
      <c r="A2032" s="1" t="s">
        <v>55</v>
      </c>
      <c r="B2032" s="1" t="s">
        <v>31</v>
      </c>
      <c r="C2032" s="1" t="s">
        <v>24</v>
      </c>
      <c r="D2032" s="5">
        <v>45901</v>
      </c>
      <c r="E2032" s="6">
        <v>32899149626</v>
      </c>
      <c r="F2032" s="6">
        <v>6984127693</v>
      </c>
      <c r="G2032" s="6">
        <v>25915021933</v>
      </c>
      <c r="H2032" s="6">
        <v>6984127693</v>
      </c>
      <c r="I2032" s="7">
        <v>25915021933</v>
      </c>
    </row>
    <row r="2033" spans="1:9" ht="12" customHeight="1" thickBot="1" x14ac:dyDescent="0.25">
      <c r="A2033" s="1" t="s">
        <v>55</v>
      </c>
      <c r="B2033" s="1" t="s">
        <v>31</v>
      </c>
      <c r="C2033" s="1" t="s">
        <v>24</v>
      </c>
      <c r="D2033" s="5">
        <v>45902</v>
      </c>
      <c r="E2033" s="6">
        <v>32964227562</v>
      </c>
      <c r="F2033" s="6">
        <v>6976176651</v>
      </c>
      <c r="G2033" s="6">
        <v>25988050911</v>
      </c>
      <c r="H2033" s="6">
        <v>6976176651</v>
      </c>
      <c r="I2033" s="7">
        <v>25988050911</v>
      </c>
    </row>
    <row r="2034" spans="1:9" ht="12" customHeight="1" thickBot="1" x14ac:dyDescent="0.25">
      <c r="A2034" s="1" t="s">
        <v>55</v>
      </c>
      <c r="B2034" s="1" t="s">
        <v>31</v>
      </c>
      <c r="C2034" s="1" t="s">
        <v>24</v>
      </c>
      <c r="D2034" s="5">
        <v>45903</v>
      </c>
      <c r="E2034" s="6">
        <v>32795631700</v>
      </c>
      <c r="F2034" s="6">
        <v>6955300117</v>
      </c>
      <c r="G2034" s="6">
        <v>25840331583</v>
      </c>
      <c r="H2034" s="6">
        <v>6955300117</v>
      </c>
      <c r="I2034" s="7">
        <v>25840331583</v>
      </c>
    </row>
    <row r="2035" spans="1:9" ht="12" customHeight="1" thickBot="1" x14ac:dyDescent="0.25">
      <c r="A2035" s="1" t="s">
        <v>55</v>
      </c>
      <c r="B2035" s="1" t="s">
        <v>31</v>
      </c>
      <c r="C2035" s="1" t="s">
        <v>24</v>
      </c>
      <c r="D2035" s="5">
        <v>45904</v>
      </c>
      <c r="E2035" s="6">
        <v>32140492395</v>
      </c>
      <c r="F2035" s="6">
        <v>6931236742</v>
      </c>
      <c r="G2035" s="6">
        <v>25209255653</v>
      </c>
      <c r="H2035" s="6">
        <v>6931236742</v>
      </c>
      <c r="I2035" s="7">
        <v>25209255653</v>
      </c>
    </row>
    <row r="2036" spans="1:9" ht="12" customHeight="1" thickBot="1" x14ac:dyDescent="0.25">
      <c r="A2036" s="1" t="s">
        <v>55</v>
      </c>
      <c r="B2036" s="1" t="s">
        <v>31</v>
      </c>
      <c r="C2036" s="1" t="s">
        <v>24</v>
      </c>
      <c r="D2036" s="5">
        <v>45905</v>
      </c>
      <c r="E2036" s="6">
        <v>32494951190</v>
      </c>
      <c r="F2036" s="6">
        <v>10950460782</v>
      </c>
      <c r="G2036" s="6">
        <v>21544490408</v>
      </c>
      <c r="H2036" s="6">
        <v>6913297960</v>
      </c>
      <c r="I2036" s="7">
        <v>25581653230</v>
      </c>
    </row>
    <row r="2037" spans="1:9" ht="12" customHeight="1" thickBot="1" x14ac:dyDescent="0.25">
      <c r="A2037" s="1" t="s">
        <v>55</v>
      </c>
      <c r="B2037" s="1" t="s">
        <v>31</v>
      </c>
      <c r="C2037" s="1" t="s">
        <v>24</v>
      </c>
      <c r="D2037" s="5">
        <v>45906</v>
      </c>
      <c r="E2037" s="6">
        <v>32811866890</v>
      </c>
      <c r="F2037" s="6">
        <v>10478610409</v>
      </c>
      <c r="G2037" s="6">
        <v>22333256481</v>
      </c>
      <c r="H2037" s="6">
        <v>6900797850</v>
      </c>
      <c r="I2037" s="7">
        <v>25911069040</v>
      </c>
    </row>
    <row r="2038" spans="1:9" ht="12" customHeight="1" thickBot="1" x14ac:dyDescent="0.25">
      <c r="A2038" s="1" t="s">
        <v>55</v>
      </c>
      <c r="B2038" s="1" t="s">
        <v>31</v>
      </c>
      <c r="C2038" s="1" t="s">
        <v>24</v>
      </c>
      <c r="D2038" s="5">
        <v>45907</v>
      </c>
      <c r="E2038" s="6">
        <v>33084966407</v>
      </c>
      <c r="F2038" s="6">
        <v>10268248432</v>
      </c>
      <c r="G2038" s="6">
        <v>22816717975</v>
      </c>
      <c r="H2038" s="6">
        <v>6891811211</v>
      </c>
      <c r="I2038" s="7">
        <v>26193155196</v>
      </c>
    </row>
    <row r="2039" spans="1:9" ht="12" customHeight="1" thickBot="1" x14ac:dyDescent="0.25">
      <c r="A2039" s="1" t="s">
        <v>55</v>
      </c>
      <c r="B2039" s="1" t="s">
        <v>31</v>
      </c>
      <c r="C2039" s="1" t="s">
        <v>24</v>
      </c>
      <c r="D2039" s="5">
        <v>45908</v>
      </c>
      <c r="E2039" s="6">
        <v>33374669257</v>
      </c>
      <c r="F2039" s="6">
        <v>10009103981</v>
      </c>
      <c r="G2039" s="6">
        <v>23365565276</v>
      </c>
      <c r="H2039" s="6">
        <v>6877869083</v>
      </c>
      <c r="I2039" s="7">
        <v>26496800174</v>
      </c>
    </row>
    <row r="2040" spans="1:9" ht="12" customHeight="1" thickBot="1" x14ac:dyDescent="0.25">
      <c r="A2040" s="1" t="s">
        <v>55</v>
      </c>
      <c r="B2040" s="1" t="s">
        <v>31</v>
      </c>
      <c r="C2040" s="1" t="s">
        <v>24</v>
      </c>
      <c r="D2040" s="5">
        <v>45909</v>
      </c>
      <c r="E2040" s="6">
        <v>33601855898</v>
      </c>
      <c r="F2040" s="6">
        <v>9788990487</v>
      </c>
      <c r="G2040" s="6">
        <v>23812865411</v>
      </c>
      <c r="H2040" s="6">
        <v>6862889782</v>
      </c>
      <c r="I2040" s="7">
        <v>26738966116</v>
      </c>
    </row>
    <row r="2041" spans="1:9" ht="12" customHeight="1" thickBot="1" x14ac:dyDescent="0.25">
      <c r="A2041" s="1" t="s">
        <v>55</v>
      </c>
      <c r="B2041" s="1" t="s">
        <v>31</v>
      </c>
      <c r="C2041" s="1" t="s">
        <v>24</v>
      </c>
      <c r="D2041" s="5">
        <v>45910</v>
      </c>
      <c r="E2041" s="6">
        <v>33937195119</v>
      </c>
      <c r="F2041" s="6">
        <v>9553255350</v>
      </c>
      <c r="G2041" s="6">
        <v>24383939769</v>
      </c>
      <c r="H2041" s="6">
        <v>6856951596</v>
      </c>
      <c r="I2041" s="7">
        <v>27080243523</v>
      </c>
    </row>
    <row r="2042" spans="1:9" ht="12" customHeight="1" thickBot="1" x14ac:dyDescent="0.25">
      <c r="A2042" s="1" t="s">
        <v>55</v>
      </c>
      <c r="B2042" s="1" t="s">
        <v>31</v>
      </c>
      <c r="C2042" s="1" t="s">
        <v>24</v>
      </c>
      <c r="D2042" s="5">
        <v>45911</v>
      </c>
      <c r="E2042" s="6">
        <v>34202655223</v>
      </c>
      <c r="F2042" s="6">
        <v>9395879200</v>
      </c>
      <c r="G2042" s="6">
        <v>24806776023</v>
      </c>
      <c r="H2042" s="6">
        <v>6837552022</v>
      </c>
      <c r="I2042" s="7">
        <v>27365103201</v>
      </c>
    </row>
    <row r="2043" spans="1:9" ht="12" customHeight="1" thickBot="1" x14ac:dyDescent="0.25">
      <c r="A2043" s="1" t="s">
        <v>55</v>
      </c>
      <c r="B2043" s="1" t="s">
        <v>31</v>
      </c>
      <c r="C2043" s="1" t="s">
        <v>24</v>
      </c>
      <c r="D2043" s="5">
        <v>45912</v>
      </c>
      <c r="E2043" s="6">
        <v>34453088716</v>
      </c>
      <c r="F2043" s="6">
        <v>9287432397</v>
      </c>
      <c r="G2043" s="6">
        <v>25165656319</v>
      </c>
      <c r="H2043" s="6">
        <v>6827060288</v>
      </c>
      <c r="I2043" s="7">
        <v>27626028428</v>
      </c>
    </row>
    <row r="2044" spans="1:9" ht="12" customHeight="1" thickBot="1" x14ac:dyDescent="0.25">
      <c r="A2044" s="1" t="s">
        <v>55</v>
      </c>
      <c r="B2044" s="1" t="s">
        <v>31</v>
      </c>
      <c r="C2044" s="1" t="s">
        <v>24</v>
      </c>
      <c r="D2044" s="5">
        <v>45913</v>
      </c>
      <c r="E2044" s="6">
        <v>34680791018</v>
      </c>
      <c r="F2044" s="6">
        <v>9230398550</v>
      </c>
      <c r="G2044" s="6">
        <v>25450392468</v>
      </c>
      <c r="H2044" s="6">
        <v>6821555187</v>
      </c>
      <c r="I2044" s="7">
        <v>27859235831</v>
      </c>
    </row>
    <row r="2045" spans="1:9" ht="12" customHeight="1" thickBot="1" x14ac:dyDescent="0.25">
      <c r="A2045" s="1" t="s">
        <v>55</v>
      </c>
      <c r="B2045" s="1" t="s">
        <v>31</v>
      </c>
      <c r="C2045" s="1" t="s">
        <v>24</v>
      </c>
      <c r="D2045" s="5">
        <v>45914</v>
      </c>
      <c r="E2045" s="6">
        <v>34923023490</v>
      </c>
      <c r="F2045" s="6">
        <v>9141007250</v>
      </c>
      <c r="G2045" s="6">
        <v>25782016240</v>
      </c>
      <c r="H2045" s="6">
        <v>6812604887</v>
      </c>
      <c r="I2045" s="7">
        <v>28110418603</v>
      </c>
    </row>
    <row r="2046" spans="1:9" ht="12" customHeight="1" thickBot="1" x14ac:dyDescent="0.25">
      <c r="A2046" s="1" t="s">
        <v>55</v>
      </c>
      <c r="B2046" s="1" t="s">
        <v>31</v>
      </c>
      <c r="C2046" s="1" t="s">
        <v>24</v>
      </c>
      <c r="D2046" s="5">
        <v>45915</v>
      </c>
      <c r="E2046" s="6">
        <v>35125084181</v>
      </c>
      <c r="F2046" s="6">
        <v>9071155575</v>
      </c>
      <c r="G2046" s="6">
        <v>26053928606</v>
      </c>
      <c r="H2046" s="6">
        <v>9071155575</v>
      </c>
      <c r="I2046" s="7">
        <v>26053928606</v>
      </c>
    </row>
    <row r="2047" spans="1:9" ht="12" customHeight="1" thickBot="1" x14ac:dyDescent="0.25">
      <c r="A2047" s="1" t="s">
        <v>55</v>
      </c>
      <c r="B2047" s="1" t="s">
        <v>31</v>
      </c>
      <c r="C2047" s="1" t="s">
        <v>24</v>
      </c>
      <c r="D2047" s="5">
        <v>45916</v>
      </c>
      <c r="E2047" s="6">
        <v>35325559547</v>
      </c>
      <c r="F2047" s="6">
        <v>8994457863</v>
      </c>
      <c r="G2047" s="6">
        <v>26331101684</v>
      </c>
      <c r="H2047" s="6">
        <v>8994457863</v>
      </c>
      <c r="I2047" s="7">
        <v>26331101684</v>
      </c>
    </row>
    <row r="2048" spans="1:9" ht="12" customHeight="1" thickBot="1" x14ac:dyDescent="0.25">
      <c r="A2048" s="1" t="s">
        <v>55</v>
      </c>
      <c r="B2048" s="1" t="s">
        <v>31</v>
      </c>
      <c r="C2048" s="1" t="s">
        <v>24</v>
      </c>
      <c r="D2048" s="5">
        <v>45917</v>
      </c>
      <c r="E2048" s="6">
        <v>35493846180</v>
      </c>
      <c r="F2048" s="6">
        <v>8950267536</v>
      </c>
      <c r="G2048" s="6">
        <v>26543578644</v>
      </c>
      <c r="H2048" s="6">
        <v>8950267536</v>
      </c>
      <c r="I2048" s="7">
        <v>26543578644</v>
      </c>
    </row>
    <row r="2049" spans="1:9" ht="12" customHeight="1" thickBot="1" x14ac:dyDescent="0.25">
      <c r="A2049" s="1" t="s">
        <v>55</v>
      </c>
      <c r="B2049" s="1" t="s">
        <v>31</v>
      </c>
      <c r="C2049" s="1" t="s">
        <v>24</v>
      </c>
      <c r="D2049" s="5">
        <v>45918</v>
      </c>
      <c r="E2049" s="6">
        <v>35610928208</v>
      </c>
      <c r="F2049" s="6">
        <v>8888416537</v>
      </c>
      <c r="G2049" s="6">
        <v>26722511671</v>
      </c>
      <c r="H2049" s="6">
        <v>8888416537</v>
      </c>
      <c r="I2049" s="7">
        <v>26722511671</v>
      </c>
    </row>
    <row r="2050" spans="1:9" ht="12" customHeight="1" thickBot="1" x14ac:dyDescent="0.25">
      <c r="A2050" s="1" t="s">
        <v>55</v>
      </c>
      <c r="B2050" s="1" t="s">
        <v>31</v>
      </c>
      <c r="C2050" s="1" t="s">
        <v>24</v>
      </c>
      <c r="D2050" s="5">
        <v>45919</v>
      </c>
      <c r="E2050" s="6">
        <v>35819745548</v>
      </c>
      <c r="F2050" s="6">
        <v>8852992672</v>
      </c>
      <c r="G2050" s="6">
        <v>26966752876</v>
      </c>
      <c r="H2050" s="6">
        <v>8852992672</v>
      </c>
      <c r="I2050" s="7">
        <v>26966752876</v>
      </c>
    </row>
    <row r="2051" spans="1:9" ht="12" customHeight="1" thickBot="1" x14ac:dyDescent="0.25">
      <c r="A2051" s="1" t="s">
        <v>55</v>
      </c>
      <c r="B2051" s="1" t="s">
        <v>31</v>
      </c>
      <c r="C2051" s="1" t="s">
        <v>24</v>
      </c>
      <c r="D2051" s="5">
        <v>45920</v>
      </c>
      <c r="E2051" s="6">
        <v>35988142962</v>
      </c>
      <c r="F2051" s="6">
        <v>8827773689</v>
      </c>
      <c r="G2051" s="6">
        <v>27160369273</v>
      </c>
      <c r="H2051" s="6">
        <v>8827773689</v>
      </c>
      <c r="I2051" s="7">
        <v>27160369273</v>
      </c>
    </row>
    <row r="2052" spans="1:9" ht="12" customHeight="1" thickBot="1" x14ac:dyDescent="0.25">
      <c r="A2052" s="1" t="s">
        <v>55</v>
      </c>
      <c r="B2052" s="1" t="s">
        <v>31</v>
      </c>
      <c r="C2052" s="1" t="s">
        <v>24</v>
      </c>
      <c r="D2052" s="5">
        <v>45921</v>
      </c>
      <c r="E2052" s="6">
        <v>36005976903</v>
      </c>
      <c r="F2052" s="6">
        <v>8793650172</v>
      </c>
      <c r="G2052" s="6">
        <v>27212326731</v>
      </c>
      <c r="H2052" s="6">
        <v>8793650172</v>
      </c>
      <c r="I2052" s="7">
        <v>27212326731</v>
      </c>
    </row>
    <row r="2053" spans="1:9" ht="12" customHeight="1" thickBot="1" x14ac:dyDescent="0.25">
      <c r="A2053" s="1" t="s">
        <v>55</v>
      </c>
      <c r="B2053" s="1" t="s">
        <v>31</v>
      </c>
      <c r="C2053" s="1" t="s">
        <v>24</v>
      </c>
      <c r="D2053" s="5">
        <v>45922</v>
      </c>
      <c r="E2053" s="6">
        <v>36039547117</v>
      </c>
      <c r="F2053" s="6">
        <v>8768929327</v>
      </c>
      <c r="G2053" s="6">
        <v>27270617790</v>
      </c>
      <c r="H2053" s="6">
        <v>8768929327</v>
      </c>
      <c r="I2053" s="7">
        <v>27270617790</v>
      </c>
    </row>
    <row r="2054" spans="1:9" ht="12" customHeight="1" thickBot="1" x14ac:dyDescent="0.25">
      <c r="A2054" s="1" t="s">
        <v>55</v>
      </c>
      <c r="B2054" s="1" t="s">
        <v>31</v>
      </c>
      <c r="C2054" s="1" t="s">
        <v>24</v>
      </c>
      <c r="D2054" s="5">
        <v>45923</v>
      </c>
      <c r="E2054" s="6">
        <v>36112416403</v>
      </c>
      <c r="F2054" s="6">
        <v>8736842031</v>
      </c>
      <c r="G2054" s="6">
        <v>27375574372</v>
      </c>
      <c r="H2054" s="6">
        <v>8736842031</v>
      </c>
      <c r="I2054" s="7">
        <v>27375574372</v>
      </c>
    </row>
    <row r="2055" spans="1:9" ht="12" customHeight="1" thickBot="1" x14ac:dyDescent="0.25">
      <c r="A2055" s="1" t="s">
        <v>55</v>
      </c>
      <c r="B2055" s="1" t="s">
        <v>31</v>
      </c>
      <c r="C2055" s="1" t="s">
        <v>24</v>
      </c>
      <c r="D2055" s="5">
        <v>45924</v>
      </c>
      <c r="E2055" s="6">
        <v>36211155937</v>
      </c>
      <c r="F2055" s="6">
        <v>8704404563</v>
      </c>
      <c r="G2055" s="6">
        <v>27506751374</v>
      </c>
      <c r="H2055" s="6">
        <v>8704404563</v>
      </c>
      <c r="I2055" s="7">
        <v>27506751374</v>
      </c>
    </row>
    <row r="2056" spans="1:9" ht="12" customHeight="1" thickBot="1" x14ac:dyDescent="0.25">
      <c r="A2056" s="1" t="s">
        <v>55</v>
      </c>
      <c r="B2056" s="1" t="s">
        <v>31</v>
      </c>
      <c r="C2056" s="1" t="s">
        <v>24</v>
      </c>
      <c r="D2056" s="5">
        <v>45925</v>
      </c>
      <c r="E2056" s="6">
        <v>36224855894</v>
      </c>
      <c r="F2056" s="6">
        <v>8676074073</v>
      </c>
      <c r="G2056" s="6">
        <v>27548781821</v>
      </c>
      <c r="H2056" s="6">
        <v>8676074073</v>
      </c>
      <c r="I2056" s="7">
        <v>27548781821</v>
      </c>
    </row>
    <row r="2057" spans="1:9" ht="12" customHeight="1" thickBot="1" x14ac:dyDescent="0.25">
      <c r="A2057" s="1" t="s">
        <v>55</v>
      </c>
      <c r="B2057" s="1" t="s">
        <v>31</v>
      </c>
      <c r="C2057" s="1" t="s">
        <v>24</v>
      </c>
      <c r="D2057" s="5">
        <v>45926</v>
      </c>
      <c r="E2057" s="6">
        <v>36301815489</v>
      </c>
      <c r="F2057" s="6">
        <v>8655286761</v>
      </c>
      <c r="G2057" s="6">
        <v>27646528728</v>
      </c>
      <c r="H2057" s="6">
        <v>8655286761</v>
      </c>
      <c r="I2057" s="7">
        <v>27646528728</v>
      </c>
    </row>
    <row r="2058" spans="1:9" ht="12" customHeight="1" thickBot="1" x14ac:dyDescent="0.25">
      <c r="A2058" s="1" t="s">
        <v>55</v>
      </c>
      <c r="B2058" s="1" t="s">
        <v>31</v>
      </c>
      <c r="C2058" s="1" t="s">
        <v>24</v>
      </c>
      <c r="D2058" s="5">
        <v>45927</v>
      </c>
      <c r="E2058" s="6">
        <v>36469712010</v>
      </c>
      <c r="F2058" s="6">
        <v>8639555128</v>
      </c>
      <c r="G2058" s="6">
        <v>27830156882</v>
      </c>
      <c r="H2058" s="6">
        <v>8639555128</v>
      </c>
      <c r="I2058" s="7">
        <v>27830156882</v>
      </c>
    </row>
    <row r="2059" spans="1:9" ht="12" customHeight="1" thickBot="1" x14ac:dyDescent="0.25">
      <c r="A2059" s="1" t="s">
        <v>55</v>
      </c>
      <c r="B2059" s="1" t="s">
        <v>31</v>
      </c>
      <c r="C2059" s="1" t="s">
        <v>24</v>
      </c>
      <c r="D2059" s="5">
        <v>45928</v>
      </c>
      <c r="E2059" s="6">
        <v>36610420293</v>
      </c>
      <c r="F2059" s="6">
        <v>8629706691</v>
      </c>
      <c r="G2059" s="6">
        <v>27980713602</v>
      </c>
      <c r="H2059" s="6">
        <v>8629706691</v>
      </c>
      <c r="I2059" s="7">
        <v>27980713602</v>
      </c>
    </row>
    <row r="2060" spans="1:9" ht="12" customHeight="1" thickBot="1" x14ac:dyDescent="0.25">
      <c r="A2060" s="1" t="s">
        <v>55</v>
      </c>
      <c r="B2060" s="1" t="s">
        <v>31</v>
      </c>
      <c r="C2060" s="1" t="s">
        <v>24</v>
      </c>
      <c r="D2060" s="5">
        <v>45929</v>
      </c>
      <c r="E2060" s="6">
        <v>36643370887</v>
      </c>
      <c r="F2060" s="6">
        <v>8615806298</v>
      </c>
      <c r="G2060" s="6">
        <v>28027564589</v>
      </c>
      <c r="H2060" s="6">
        <v>8615806298</v>
      </c>
      <c r="I2060" s="7">
        <v>28027564589</v>
      </c>
    </row>
    <row r="2061" spans="1:9" ht="12" customHeight="1" thickBot="1" x14ac:dyDescent="0.25">
      <c r="A2061" s="1" t="s">
        <v>55</v>
      </c>
      <c r="B2061" s="1" t="s">
        <v>31</v>
      </c>
      <c r="C2061" s="1" t="s">
        <v>24</v>
      </c>
      <c r="D2061" s="5">
        <v>45930</v>
      </c>
      <c r="E2061" s="6">
        <v>36526402954</v>
      </c>
      <c r="F2061" s="6">
        <v>8600067993</v>
      </c>
      <c r="G2061" s="6">
        <v>27926334961</v>
      </c>
      <c r="H2061" s="6">
        <v>8600067993</v>
      </c>
      <c r="I2061" s="7">
        <v>27926334961</v>
      </c>
    </row>
    <row r="2062" spans="1:9" ht="12" customHeight="1" thickBot="1" x14ac:dyDescent="0.25">
      <c r="A2062" s="1" t="s">
        <v>56</v>
      </c>
      <c r="B2062" s="1" t="s">
        <v>12</v>
      </c>
      <c r="C2062" s="1" t="s">
        <v>25</v>
      </c>
      <c r="D2062" s="5">
        <v>45839</v>
      </c>
      <c r="E2062" s="6">
        <v>704239123</v>
      </c>
      <c r="F2062" s="6">
        <v>0</v>
      </c>
      <c r="G2062" s="6">
        <v>704239123</v>
      </c>
      <c r="H2062" s="6">
        <v>0</v>
      </c>
      <c r="I2062" s="7">
        <v>704239123</v>
      </c>
    </row>
    <row r="2063" spans="1:9" ht="12" customHeight="1" thickBot="1" x14ac:dyDescent="0.25">
      <c r="A2063" s="1" t="s">
        <v>57</v>
      </c>
      <c r="B2063" s="1" t="s">
        <v>37</v>
      </c>
      <c r="C2063" s="1" t="s">
        <v>58</v>
      </c>
      <c r="D2063" s="5">
        <v>45839</v>
      </c>
      <c r="E2063" s="6">
        <v>123493019</v>
      </c>
      <c r="F2063" s="6">
        <v>123493019</v>
      </c>
      <c r="G2063" s="6">
        <v>0</v>
      </c>
      <c r="H2063" s="6">
        <v>123493019</v>
      </c>
      <c r="I2063" s="7">
        <v>0</v>
      </c>
    </row>
    <row r="2064" spans="1:9" ht="12" customHeight="1" thickBot="1" x14ac:dyDescent="0.25">
      <c r="A2064" s="1" t="s">
        <v>57</v>
      </c>
      <c r="B2064" s="1" t="s">
        <v>37</v>
      </c>
      <c r="C2064" s="1" t="s">
        <v>58</v>
      </c>
      <c r="D2064" s="5">
        <v>45840</v>
      </c>
      <c r="E2064" s="6">
        <v>123493019</v>
      </c>
      <c r="F2064" s="6">
        <v>123493019</v>
      </c>
      <c r="G2064" s="6">
        <v>0</v>
      </c>
      <c r="H2064" s="6">
        <v>123493019</v>
      </c>
      <c r="I2064" s="7">
        <v>0</v>
      </c>
    </row>
    <row r="2065" spans="1:9" ht="12" customHeight="1" thickBot="1" x14ac:dyDescent="0.25">
      <c r="A2065" s="1" t="s">
        <v>57</v>
      </c>
      <c r="B2065" s="1" t="s">
        <v>37</v>
      </c>
      <c r="C2065" s="1" t="s">
        <v>58</v>
      </c>
      <c r="D2065" s="5">
        <v>45841</v>
      </c>
      <c r="E2065" s="6">
        <v>123493019</v>
      </c>
      <c r="F2065" s="6">
        <v>123493019</v>
      </c>
      <c r="G2065" s="6">
        <v>0</v>
      </c>
      <c r="H2065" s="6">
        <v>123493019</v>
      </c>
      <c r="I2065" s="7">
        <v>0</v>
      </c>
    </row>
    <row r="2066" spans="1:9" ht="12" customHeight="1" thickBot="1" x14ac:dyDescent="0.25">
      <c r="A2066" s="1" t="s">
        <v>57</v>
      </c>
      <c r="B2066" s="1" t="s">
        <v>37</v>
      </c>
      <c r="C2066" s="1" t="s">
        <v>58</v>
      </c>
      <c r="D2066" s="5">
        <v>45842</v>
      </c>
      <c r="E2066" s="6">
        <v>123493019</v>
      </c>
      <c r="F2066" s="6">
        <v>123493019</v>
      </c>
      <c r="G2066" s="6">
        <v>0</v>
      </c>
      <c r="H2066" s="6">
        <v>123493019</v>
      </c>
      <c r="I2066" s="7">
        <v>0</v>
      </c>
    </row>
    <row r="2067" spans="1:9" ht="12" customHeight="1" thickBot="1" x14ac:dyDescent="0.25">
      <c r="A2067" s="1" t="s">
        <v>57</v>
      </c>
      <c r="B2067" s="1" t="s">
        <v>37</v>
      </c>
      <c r="C2067" s="1" t="s">
        <v>58</v>
      </c>
      <c r="D2067" s="5">
        <v>45843</v>
      </c>
      <c r="E2067" s="6">
        <v>123493019</v>
      </c>
      <c r="F2067" s="6">
        <v>123493019</v>
      </c>
      <c r="G2067" s="6">
        <v>0</v>
      </c>
      <c r="H2067" s="6">
        <v>123493019</v>
      </c>
      <c r="I2067" s="7">
        <v>0</v>
      </c>
    </row>
    <row r="2068" spans="1:9" ht="12" customHeight="1" thickBot="1" x14ac:dyDescent="0.25">
      <c r="A2068" s="1" t="s">
        <v>57</v>
      </c>
      <c r="B2068" s="1" t="s">
        <v>37</v>
      </c>
      <c r="C2068" s="1" t="s">
        <v>58</v>
      </c>
      <c r="D2068" s="5">
        <v>45844</v>
      </c>
      <c r="E2068" s="6">
        <v>123493019</v>
      </c>
      <c r="F2068" s="6">
        <v>123493019</v>
      </c>
      <c r="G2068" s="6">
        <v>0</v>
      </c>
      <c r="H2068" s="6">
        <v>123493019</v>
      </c>
      <c r="I2068" s="7">
        <v>0</v>
      </c>
    </row>
    <row r="2069" spans="1:9" ht="12" customHeight="1" thickBot="1" x14ac:dyDescent="0.25">
      <c r="A2069" s="1" t="s">
        <v>57</v>
      </c>
      <c r="B2069" s="1" t="s">
        <v>37</v>
      </c>
      <c r="C2069" s="1" t="s">
        <v>58</v>
      </c>
      <c r="D2069" s="5">
        <v>45845</v>
      </c>
      <c r="E2069" s="6">
        <v>123493019</v>
      </c>
      <c r="F2069" s="6">
        <v>123493019</v>
      </c>
      <c r="G2069" s="6">
        <v>0</v>
      </c>
      <c r="H2069" s="6">
        <v>123493019</v>
      </c>
      <c r="I2069" s="7">
        <v>0</v>
      </c>
    </row>
    <row r="2070" spans="1:9" ht="12" customHeight="1" thickBot="1" x14ac:dyDescent="0.25">
      <c r="A2070" s="1" t="s">
        <v>57</v>
      </c>
      <c r="B2070" s="1" t="s">
        <v>37</v>
      </c>
      <c r="C2070" s="1" t="s">
        <v>58</v>
      </c>
      <c r="D2070" s="5">
        <v>45846</v>
      </c>
      <c r="E2070" s="6">
        <v>123493019</v>
      </c>
      <c r="F2070" s="6">
        <v>123493019</v>
      </c>
      <c r="G2070" s="6">
        <v>0</v>
      </c>
      <c r="H2070" s="6">
        <v>123493019</v>
      </c>
      <c r="I2070" s="7">
        <v>0</v>
      </c>
    </row>
    <row r="2071" spans="1:9" ht="12" customHeight="1" thickBot="1" x14ac:dyDescent="0.25">
      <c r="A2071" s="1" t="s">
        <v>57</v>
      </c>
      <c r="B2071" s="1" t="s">
        <v>37</v>
      </c>
      <c r="C2071" s="1" t="s">
        <v>58</v>
      </c>
      <c r="D2071" s="5">
        <v>45847</v>
      </c>
      <c r="E2071" s="6">
        <v>123493019</v>
      </c>
      <c r="F2071" s="6">
        <v>123493019</v>
      </c>
      <c r="G2071" s="6">
        <v>0</v>
      </c>
      <c r="H2071" s="6">
        <v>123493019</v>
      </c>
      <c r="I2071" s="7">
        <v>0</v>
      </c>
    </row>
    <row r="2072" spans="1:9" ht="12" customHeight="1" thickBot="1" x14ac:dyDescent="0.25">
      <c r="A2072" s="1" t="s">
        <v>57</v>
      </c>
      <c r="B2072" s="1" t="s">
        <v>37</v>
      </c>
      <c r="C2072" s="1" t="s">
        <v>58</v>
      </c>
      <c r="D2072" s="5">
        <v>45848</v>
      </c>
      <c r="E2072" s="6">
        <v>123493019</v>
      </c>
      <c r="F2072" s="6">
        <v>123493019</v>
      </c>
      <c r="G2072" s="6">
        <v>0</v>
      </c>
      <c r="H2072" s="6">
        <v>123493019</v>
      </c>
      <c r="I2072" s="7">
        <v>0</v>
      </c>
    </row>
    <row r="2073" spans="1:9" ht="12" customHeight="1" thickBot="1" x14ac:dyDescent="0.25">
      <c r="A2073" s="1" t="s">
        <v>57</v>
      </c>
      <c r="B2073" s="1" t="s">
        <v>37</v>
      </c>
      <c r="C2073" s="1" t="s">
        <v>58</v>
      </c>
      <c r="D2073" s="5">
        <v>45849</v>
      </c>
      <c r="E2073" s="6">
        <v>123493019</v>
      </c>
      <c r="F2073" s="6">
        <v>123493019</v>
      </c>
      <c r="G2073" s="6">
        <v>0</v>
      </c>
      <c r="H2073" s="6">
        <v>123493019</v>
      </c>
      <c r="I2073" s="7">
        <v>0</v>
      </c>
    </row>
    <row r="2074" spans="1:9" ht="12" customHeight="1" thickBot="1" x14ac:dyDescent="0.25">
      <c r="A2074" s="1" t="s">
        <v>57</v>
      </c>
      <c r="B2074" s="1" t="s">
        <v>37</v>
      </c>
      <c r="C2074" s="1" t="s">
        <v>58</v>
      </c>
      <c r="D2074" s="5">
        <v>45850</v>
      </c>
      <c r="E2074" s="6">
        <v>123493019</v>
      </c>
      <c r="F2074" s="6">
        <v>123493019</v>
      </c>
      <c r="G2074" s="6">
        <v>0</v>
      </c>
      <c r="H2074" s="6">
        <v>123493019</v>
      </c>
      <c r="I2074" s="7">
        <v>0</v>
      </c>
    </row>
    <row r="2075" spans="1:9" ht="12" customHeight="1" thickBot="1" x14ac:dyDescent="0.25">
      <c r="A2075" s="1" t="s">
        <v>57</v>
      </c>
      <c r="B2075" s="1" t="s">
        <v>37</v>
      </c>
      <c r="C2075" s="1" t="s">
        <v>58</v>
      </c>
      <c r="D2075" s="5">
        <v>45851</v>
      </c>
      <c r="E2075" s="6">
        <v>123493019</v>
      </c>
      <c r="F2075" s="6">
        <v>123493019</v>
      </c>
      <c r="G2075" s="6">
        <v>0</v>
      </c>
      <c r="H2075" s="6">
        <v>123493019</v>
      </c>
      <c r="I2075" s="7">
        <v>0</v>
      </c>
    </row>
    <row r="2076" spans="1:9" ht="12" customHeight="1" thickBot="1" x14ac:dyDescent="0.25">
      <c r="A2076" s="1" t="s">
        <v>57</v>
      </c>
      <c r="B2076" s="1" t="s">
        <v>37</v>
      </c>
      <c r="C2076" s="1" t="s">
        <v>58</v>
      </c>
      <c r="D2076" s="5">
        <v>45852</v>
      </c>
      <c r="E2076" s="6">
        <v>123493019</v>
      </c>
      <c r="F2076" s="6">
        <v>123493019</v>
      </c>
      <c r="G2076" s="6">
        <v>0</v>
      </c>
      <c r="H2076" s="6">
        <v>123493019</v>
      </c>
      <c r="I2076" s="7">
        <v>0</v>
      </c>
    </row>
    <row r="2077" spans="1:9" ht="12" customHeight="1" thickBot="1" x14ac:dyDescent="0.25">
      <c r="A2077" s="1" t="s">
        <v>57</v>
      </c>
      <c r="B2077" s="1" t="s">
        <v>37</v>
      </c>
      <c r="C2077" s="1" t="s">
        <v>58</v>
      </c>
      <c r="D2077" s="5">
        <v>45853</v>
      </c>
      <c r="E2077" s="6">
        <v>123493019</v>
      </c>
      <c r="F2077" s="6">
        <v>123493019</v>
      </c>
      <c r="G2077" s="6">
        <v>0</v>
      </c>
      <c r="H2077" s="6">
        <v>123493019</v>
      </c>
      <c r="I2077" s="7">
        <v>0</v>
      </c>
    </row>
    <row r="2078" spans="1:9" ht="12" customHeight="1" thickBot="1" x14ac:dyDescent="0.25">
      <c r="A2078" s="1" t="s">
        <v>57</v>
      </c>
      <c r="B2078" s="1" t="s">
        <v>37</v>
      </c>
      <c r="C2078" s="1" t="s">
        <v>58</v>
      </c>
      <c r="D2078" s="5">
        <v>45854</v>
      </c>
      <c r="E2078" s="6">
        <v>123493019</v>
      </c>
      <c r="F2078" s="6">
        <v>123493019</v>
      </c>
      <c r="G2078" s="6">
        <v>0</v>
      </c>
      <c r="H2078" s="6">
        <v>123493019</v>
      </c>
      <c r="I2078" s="7">
        <v>0</v>
      </c>
    </row>
    <row r="2079" spans="1:9" ht="12" customHeight="1" thickBot="1" x14ac:dyDescent="0.25">
      <c r="A2079" s="1" t="s">
        <v>57</v>
      </c>
      <c r="B2079" s="1" t="s">
        <v>37</v>
      </c>
      <c r="C2079" s="1" t="s">
        <v>58</v>
      </c>
      <c r="D2079" s="5">
        <v>45855</v>
      </c>
      <c r="E2079" s="6">
        <v>123493019</v>
      </c>
      <c r="F2079" s="6">
        <v>123493019</v>
      </c>
      <c r="G2079" s="6">
        <v>0</v>
      </c>
      <c r="H2079" s="6">
        <v>123493019</v>
      </c>
      <c r="I2079" s="7">
        <v>0</v>
      </c>
    </row>
    <row r="2080" spans="1:9" ht="12" customHeight="1" thickBot="1" x14ac:dyDescent="0.25">
      <c r="A2080" s="1" t="s">
        <v>57</v>
      </c>
      <c r="B2080" s="1" t="s">
        <v>37</v>
      </c>
      <c r="C2080" s="1" t="s">
        <v>58</v>
      </c>
      <c r="D2080" s="5">
        <v>45856</v>
      </c>
      <c r="E2080" s="6">
        <v>123493019</v>
      </c>
      <c r="F2080" s="6">
        <v>123493019</v>
      </c>
      <c r="G2080" s="6">
        <v>0</v>
      </c>
      <c r="H2080" s="6">
        <v>123493019</v>
      </c>
      <c r="I2080" s="7">
        <v>0</v>
      </c>
    </row>
    <row r="2081" spans="1:9" ht="12" customHeight="1" thickBot="1" x14ac:dyDescent="0.25">
      <c r="A2081" s="1" t="s">
        <v>57</v>
      </c>
      <c r="B2081" s="1" t="s">
        <v>37</v>
      </c>
      <c r="C2081" s="1" t="s">
        <v>58</v>
      </c>
      <c r="D2081" s="5">
        <v>45857</v>
      </c>
      <c r="E2081" s="6">
        <v>123493019</v>
      </c>
      <c r="F2081" s="6">
        <v>123493019</v>
      </c>
      <c r="G2081" s="6">
        <v>0</v>
      </c>
      <c r="H2081" s="6">
        <v>123493019</v>
      </c>
      <c r="I2081" s="7">
        <v>0</v>
      </c>
    </row>
    <row r="2082" spans="1:9" ht="12" customHeight="1" thickBot="1" x14ac:dyDescent="0.25">
      <c r="A2082" s="1" t="s">
        <v>57</v>
      </c>
      <c r="B2082" s="1" t="s">
        <v>37</v>
      </c>
      <c r="C2082" s="1" t="s">
        <v>58</v>
      </c>
      <c r="D2082" s="5">
        <v>45858</v>
      </c>
      <c r="E2082" s="6">
        <v>123493019</v>
      </c>
      <c r="F2082" s="6">
        <v>123493019</v>
      </c>
      <c r="G2082" s="6">
        <v>0</v>
      </c>
      <c r="H2082" s="6">
        <v>123493019</v>
      </c>
      <c r="I2082" s="7">
        <v>0</v>
      </c>
    </row>
    <row r="2083" spans="1:9" ht="12" customHeight="1" thickBot="1" x14ac:dyDescent="0.25">
      <c r="A2083" s="1" t="s">
        <v>57</v>
      </c>
      <c r="B2083" s="1" t="s">
        <v>37</v>
      </c>
      <c r="C2083" s="1" t="s">
        <v>58</v>
      </c>
      <c r="D2083" s="5">
        <v>45859</v>
      </c>
      <c r="E2083" s="6">
        <v>123493019</v>
      </c>
      <c r="F2083" s="6">
        <v>123493019</v>
      </c>
      <c r="G2083" s="6">
        <v>0</v>
      </c>
      <c r="H2083" s="6">
        <v>123493019</v>
      </c>
      <c r="I2083" s="7">
        <v>0</v>
      </c>
    </row>
    <row r="2084" spans="1:9" ht="12" customHeight="1" thickBot="1" x14ac:dyDescent="0.25">
      <c r="A2084" s="1" t="s">
        <v>57</v>
      </c>
      <c r="B2084" s="1" t="s">
        <v>37</v>
      </c>
      <c r="C2084" s="1" t="s">
        <v>58</v>
      </c>
      <c r="D2084" s="5">
        <v>45860</v>
      </c>
      <c r="E2084" s="6">
        <v>123493019</v>
      </c>
      <c r="F2084" s="6">
        <v>123493019</v>
      </c>
      <c r="G2084" s="6">
        <v>0</v>
      </c>
      <c r="H2084" s="6">
        <v>123493019</v>
      </c>
      <c r="I2084" s="7">
        <v>0</v>
      </c>
    </row>
    <row r="2085" spans="1:9" ht="12" customHeight="1" thickBot="1" x14ac:dyDescent="0.25">
      <c r="A2085" s="1" t="s">
        <v>57</v>
      </c>
      <c r="B2085" s="1" t="s">
        <v>37</v>
      </c>
      <c r="C2085" s="1" t="s">
        <v>58</v>
      </c>
      <c r="D2085" s="5">
        <v>45861</v>
      </c>
      <c r="E2085" s="6">
        <v>123493019</v>
      </c>
      <c r="F2085" s="6">
        <v>123493019</v>
      </c>
      <c r="G2085" s="6">
        <v>0</v>
      </c>
      <c r="H2085" s="6">
        <v>123493019</v>
      </c>
      <c r="I2085" s="7">
        <v>0</v>
      </c>
    </row>
    <row r="2086" spans="1:9" ht="12" customHeight="1" thickBot="1" x14ac:dyDescent="0.25">
      <c r="A2086" s="1" t="s">
        <v>57</v>
      </c>
      <c r="B2086" s="1" t="s">
        <v>37</v>
      </c>
      <c r="C2086" s="1" t="s">
        <v>58</v>
      </c>
      <c r="D2086" s="5">
        <v>45862</v>
      </c>
      <c r="E2086" s="6">
        <v>123493019</v>
      </c>
      <c r="F2086" s="6">
        <v>123493019</v>
      </c>
      <c r="G2086" s="6">
        <v>0</v>
      </c>
      <c r="H2086" s="6">
        <v>123493019</v>
      </c>
      <c r="I2086" s="7">
        <v>0</v>
      </c>
    </row>
    <row r="2087" spans="1:9" ht="12" customHeight="1" thickBot="1" x14ac:dyDescent="0.25">
      <c r="A2087" s="1" t="s">
        <v>57</v>
      </c>
      <c r="B2087" s="1" t="s">
        <v>37</v>
      </c>
      <c r="C2087" s="1" t="s">
        <v>58</v>
      </c>
      <c r="D2087" s="5">
        <v>45863</v>
      </c>
      <c r="E2087" s="6">
        <v>123493019</v>
      </c>
      <c r="F2087" s="6">
        <v>123493019</v>
      </c>
      <c r="G2087" s="6">
        <v>0</v>
      </c>
      <c r="H2087" s="6">
        <v>123493019</v>
      </c>
      <c r="I2087" s="7">
        <v>0</v>
      </c>
    </row>
    <row r="2088" spans="1:9" ht="12" customHeight="1" thickBot="1" x14ac:dyDescent="0.25">
      <c r="A2088" s="1" t="s">
        <v>57</v>
      </c>
      <c r="B2088" s="1" t="s">
        <v>37</v>
      </c>
      <c r="C2088" s="1" t="s">
        <v>58</v>
      </c>
      <c r="D2088" s="5">
        <v>45864</v>
      </c>
      <c r="E2088" s="6">
        <v>123493019</v>
      </c>
      <c r="F2088" s="6">
        <v>123493019</v>
      </c>
      <c r="G2088" s="6">
        <v>0</v>
      </c>
      <c r="H2088" s="6">
        <v>123493019</v>
      </c>
      <c r="I2088" s="7">
        <v>0</v>
      </c>
    </row>
    <row r="2089" spans="1:9" ht="12" customHeight="1" thickBot="1" x14ac:dyDescent="0.25">
      <c r="A2089" s="1" t="s">
        <v>57</v>
      </c>
      <c r="B2089" s="1" t="s">
        <v>37</v>
      </c>
      <c r="C2089" s="1" t="s">
        <v>58</v>
      </c>
      <c r="D2089" s="5">
        <v>45865</v>
      </c>
      <c r="E2089" s="6">
        <v>123493019</v>
      </c>
      <c r="F2089" s="6">
        <v>123493019</v>
      </c>
      <c r="G2089" s="6">
        <v>0</v>
      </c>
      <c r="H2089" s="6">
        <v>123493019</v>
      </c>
      <c r="I2089" s="7">
        <v>0</v>
      </c>
    </row>
    <row r="2090" spans="1:9" ht="12" customHeight="1" thickBot="1" x14ac:dyDescent="0.25">
      <c r="A2090" s="1" t="s">
        <v>57</v>
      </c>
      <c r="B2090" s="1" t="s">
        <v>37</v>
      </c>
      <c r="C2090" s="1" t="s">
        <v>58</v>
      </c>
      <c r="D2090" s="5">
        <v>45866</v>
      </c>
      <c r="E2090" s="6">
        <v>123493019</v>
      </c>
      <c r="F2090" s="6">
        <v>123493019</v>
      </c>
      <c r="G2090" s="6">
        <v>0</v>
      </c>
      <c r="H2090" s="6">
        <v>123493019</v>
      </c>
      <c r="I2090" s="7">
        <v>0</v>
      </c>
    </row>
    <row r="2091" spans="1:9" ht="12" customHeight="1" thickBot="1" x14ac:dyDescent="0.25">
      <c r="A2091" s="1" t="s">
        <v>57</v>
      </c>
      <c r="B2091" s="1" t="s">
        <v>37</v>
      </c>
      <c r="C2091" s="1" t="s">
        <v>58</v>
      </c>
      <c r="D2091" s="5">
        <v>45867</v>
      </c>
      <c r="E2091" s="6">
        <v>123493019</v>
      </c>
      <c r="F2091" s="6">
        <v>123493019</v>
      </c>
      <c r="G2091" s="6">
        <v>0</v>
      </c>
      <c r="H2091" s="6">
        <v>123493019</v>
      </c>
      <c r="I2091" s="7">
        <v>0</v>
      </c>
    </row>
    <row r="2092" spans="1:9" ht="12" customHeight="1" thickBot="1" x14ac:dyDescent="0.25">
      <c r="A2092" s="1" t="s">
        <v>57</v>
      </c>
      <c r="B2092" s="1" t="s">
        <v>37</v>
      </c>
      <c r="C2092" s="1" t="s">
        <v>58</v>
      </c>
      <c r="D2092" s="5">
        <v>45868</v>
      </c>
      <c r="E2092" s="6">
        <v>123493019</v>
      </c>
      <c r="F2092" s="6">
        <v>123493019</v>
      </c>
      <c r="G2092" s="6">
        <v>0</v>
      </c>
      <c r="H2092" s="6">
        <v>123493019</v>
      </c>
      <c r="I2092" s="7">
        <v>0</v>
      </c>
    </row>
    <row r="2093" spans="1:9" ht="12" customHeight="1" thickBot="1" x14ac:dyDescent="0.25">
      <c r="A2093" s="1" t="s">
        <v>57</v>
      </c>
      <c r="B2093" s="1" t="s">
        <v>37</v>
      </c>
      <c r="C2093" s="1" t="s">
        <v>58</v>
      </c>
      <c r="D2093" s="5">
        <v>45869</v>
      </c>
      <c r="E2093" s="6">
        <v>123493019</v>
      </c>
      <c r="F2093" s="6">
        <v>123493019</v>
      </c>
      <c r="G2093" s="6">
        <v>0</v>
      </c>
      <c r="H2093" s="6">
        <v>123493019</v>
      </c>
      <c r="I2093" s="7">
        <v>0</v>
      </c>
    </row>
    <row r="2094" spans="1:9" ht="12" customHeight="1" thickBot="1" x14ac:dyDescent="0.25">
      <c r="A2094" s="1" t="s">
        <v>57</v>
      </c>
      <c r="B2094" s="1" t="s">
        <v>37</v>
      </c>
      <c r="C2094" s="1" t="s">
        <v>58</v>
      </c>
      <c r="D2094" s="5">
        <v>45870</v>
      </c>
      <c r="E2094" s="6">
        <v>123493019</v>
      </c>
      <c r="F2094" s="6">
        <v>123493019</v>
      </c>
      <c r="G2094" s="6">
        <v>0</v>
      </c>
      <c r="H2094" s="6">
        <v>123493019</v>
      </c>
      <c r="I2094" s="7">
        <v>0</v>
      </c>
    </row>
    <row r="2095" spans="1:9" ht="12" customHeight="1" thickBot="1" x14ac:dyDescent="0.25">
      <c r="A2095" s="1" t="s">
        <v>57</v>
      </c>
      <c r="B2095" s="1" t="s">
        <v>37</v>
      </c>
      <c r="C2095" s="1" t="s">
        <v>58</v>
      </c>
      <c r="D2095" s="5">
        <v>45871</v>
      </c>
      <c r="E2095" s="6">
        <v>123493019</v>
      </c>
      <c r="F2095" s="6">
        <v>123493019</v>
      </c>
      <c r="G2095" s="6">
        <v>0</v>
      </c>
      <c r="H2095" s="6">
        <v>123493019</v>
      </c>
      <c r="I2095" s="7">
        <v>0</v>
      </c>
    </row>
    <row r="2096" spans="1:9" ht="12" customHeight="1" thickBot="1" x14ac:dyDescent="0.25">
      <c r="A2096" s="1" t="s">
        <v>57</v>
      </c>
      <c r="B2096" s="1" t="s">
        <v>37</v>
      </c>
      <c r="C2096" s="1" t="s">
        <v>58</v>
      </c>
      <c r="D2096" s="5">
        <v>45872</v>
      </c>
      <c r="E2096" s="6">
        <v>123493019</v>
      </c>
      <c r="F2096" s="6">
        <v>123493019</v>
      </c>
      <c r="G2096" s="6">
        <v>0</v>
      </c>
      <c r="H2096" s="6">
        <v>123493019</v>
      </c>
      <c r="I2096" s="7">
        <v>0</v>
      </c>
    </row>
    <row r="2097" spans="1:9" ht="12" customHeight="1" thickBot="1" x14ac:dyDescent="0.25">
      <c r="A2097" s="1" t="s">
        <v>57</v>
      </c>
      <c r="B2097" s="1" t="s">
        <v>37</v>
      </c>
      <c r="C2097" s="1" t="s">
        <v>58</v>
      </c>
      <c r="D2097" s="5">
        <v>45873</v>
      </c>
      <c r="E2097" s="6">
        <v>123493019</v>
      </c>
      <c r="F2097" s="6">
        <v>123493019</v>
      </c>
      <c r="G2097" s="6">
        <v>0</v>
      </c>
      <c r="H2097" s="6">
        <v>123493019</v>
      </c>
      <c r="I2097" s="7">
        <v>0</v>
      </c>
    </row>
    <row r="2098" spans="1:9" ht="12" customHeight="1" thickBot="1" x14ac:dyDescent="0.25">
      <c r="A2098" s="1" t="s">
        <v>57</v>
      </c>
      <c r="B2098" s="1" t="s">
        <v>37</v>
      </c>
      <c r="C2098" s="1" t="s">
        <v>58</v>
      </c>
      <c r="D2098" s="5">
        <v>45874</v>
      </c>
      <c r="E2098" s="6">
        <v>123493019</v>
      </c>
      <c r="F2098" s="6">
        <v>123493019</v>
      </c>
      <c r="G2098" s="6">
        <v>0</v>
      </c>
      <c r="H2098" s="6">
        <v>123493019</v>
      </c>
      <c r="I2098" s="7">
        <v>0</v>
      </c>
    </row>
    <row r="2099" spans="1:9" ht="12" customHeight="1" thickBot="1" x14ac:dyDescent="0.25">
      <c r="A2099" s="1" t="s">
        <v>57</v>
      </c>
      <c r="B2099" s="1" t="s">
        <v>37</v>
      </c>
      <c r="C2099" s="1" t="s">
        <v>58</v>
      </c>
      <c r="D2099" s="5">
        <v>45875</v>
      </c>
      <c r="E2099" s="6">
        <v>123493019</v>
      </c>
      <c r="F2099" s="6">
        <v>123493019</v>
      </c>
      <c r="G2099" s="6">
        <v>0</v>
      </c>
      <c r="H2099" s="6">
        <v>123493019</v>
      </c>
      <c r="I2099" s="7">
        <v>0</v>
      </c>
    </row>
    <row r="2100" spans="1:9" ht="12" customHeight="1" thickBot="1" x14ac:dyDescent="0.25">
      <c r="A2100" s="1" t="s">
        <v>57</v>
      </c>
      <c r="B2100" s="1" t="s">
        <v>37</v>
      </c>
      <c r="C2100" s="1" t="s">
        <v>58</v>
      </c>
      <c r="D2100" s="5">
        <v>45876</v>
      </c>
      <c r="E2100" s="6">
        <v>123493019</v>
      </c>
      <c r="F2100" s="6">
        <v>123493019</v>
      </c>
      <c r="G2100" s="6">
        <v>0</v>
      </c>
      <c r="H2100" s="6">
        <v>123493019</v>
      </c>
      <c r="I2100" s="7">
        <v>0</v>
      </c>
    </row>
    <row r="2101" spans="1:9" ht="12" customHeight="1" thickBot="1" x14ac:dyDescent="0.25">
      <c r="A2101" s="1" t="s">
        <v>57</v>
      </c>
      <c r="B2101" s="1" t="s">
        <v>37</v>
      </c>
      <c r="C2101" s="1" t="s">
        <v>58</v>
      </c>
      <c r="D2101" s="5">
        <v>45877</v>
      </c>
      <c r="E2101" s="6">
        <v>123493019</v>
      </c>
      <c r="F2101" s="6">
        <v>123493019</v>
      </c>
      <c r="G2101" s="6">
        <v>0</v>
      </c>
      <c r="H2101" s="6">
        <v>123493019</v>
      </c>
      <c r="I2101" s="7">
        <v>0</v>
      </c>
    </row>
    <row r="2102" spans="1:9" ht="12" customHeight="1" thickBot="1" x14ac:dyDescent="0.25">
      <c r="A2102" s="1" t="s">
        <v>57</v>
      </c>
      <c r="B2102" s="1" t="s">
        <v>37</v>
      </c>
      <c r="C2102" s="1" t="s">
        <v>58</v>
      </c>
      <c r="D2102" s="5">
        <v>45878</v>
      </c>
      <c r="E2102" s="6">
        <v>123493019</v>
      </c>
      <c r="F2102" s="6">
        <v>123493019</v>
      </c>
      <c r="G2102" s="6">
        <v>0</v>
      </c>
      <c r="H2102" s="6">
        <v>123493019</v>
      </c>
      <c r="I2102" s="7">
        <v>0</v>
      </c>
    </row>
    <row r="2103" spans="1:9" ht="12" customHeight="1" thickBot="1" x14ac:dyDescent="0.25">
      <c r="A2103" s="1" t="s">
        <v>57</v>
      </c>
      <c r="B2103" s="1" t="s">
        <v>37</v>
      </c>
      <c r="C2103" s="1" t="s">
        <v>58</v>
      </c>
      <c r="D2103" s="5">
        <v>45879</v>
      </c>
      <c r="E2103" s="6">
        <v>123493019</v>
      </c>
      <c r="F2103" s="6">
        <v>123493019</v>
      </c>
      <c r="G2103" s="6">
        <v>0</v>
      </c>
      <c r="H2103" s="6">
        <v>123493019</v>
      </c>
      <c r="I2103" s="7">
        <v>0</v>
      </c>
    </row>
    <row r="2104" spans="1:9" ht="12" customHeight="1" thickBot="1" x14ac:dyDescent="0.25">
      <c r="A2104" s="1" t="s">
        <v>57</v>
      </c>
      <c r="B2104" s="1" t="s">
        <v>37</v>
      </c>
      <c r="C2104" s="1" t="s">
        <v>58</v>
      </c>
      <c r="D2104" s="5">
        <v>45880</v>
      </c>
      <c r="E2104" s="6">
        <v>123493019</v>
      </c>
      <c r="F2104" s="6">
        <v>123493019</v>
      </c>
      <c r="G2104" s="6">
        <v>0</v>
      </c>
      <c r="H2104" s="6">
        <v>123493019</v>
      </c>
      <c r="I2104" s="7">
        <v>0</v>
      </c>
    </row>
    <row r="2105" spans="1:9" ht="12" customHeight="1" thickBot="1" x14ac:dyDescent="0.25">
      <c r="A2105" s="1" t="s">
        <v>57</v>
      </c>
      <c r="B2105" s="1" t="s">
        <v>37</v>
      </c>
      <c r="C2105" s="1" t="s">
        <v>58</v>
      </c>
      <c r="D2105" s="5">
        <v>45881</v>
      </c>
      <c r="E2105" s="6">
        <v>123493019</v>
      </c>
      <c r="F2105" s="6">
        <v>123493019</v>
      </c>
      <c r="G2105" s="6">
        <v>0</v>
      </c>
      <c r="H2105" s="6">
        <v>123493019</v>
      </c>
      <c r="I2105" s="7">
        <v>0</v>
      </c>
    </row>
    <row r="2106" spans="1:9" ht="12" customHeight="1" thickBot="1" x14ac:dyDescent="0.25">
      <c r="A2106" s="1" t="s">
        <v>57</v>
      </c>
      <c r="B2106" s="1" t="s">
        <v>37</v>
      </c>
      <c r="C2106" s="1" t="s">
        <v>58</v>
      </c>
      <c r="D2106" s="5">
        <v>45882</v>
      </c>
      <c r="E2106" s="6">
        <v>123493019</v>
      </c>
      <c r="F2106" s="6">
        <v>123493019</v>
      </c>
      <c r="G2106" s="6">
        <v>0</v>
      </c>
      <c r="H2106" s="6">
        <v>123493019</v>
      </c>
      <c r="I2106" s="7">
        <v>0</v>
      </c>
    </row>
    <row r="2107" spans="1:9" ht="12" customHeight="1" thickBot="1" x14ac:dyDescent="0.25">
      <c r="A2107" s="1" t="s">
        <v>57</v>
      </c>
      <c r="B2107" s="1" t="s">
        <v>37</v>
      </c>
      <c r="C2107" s="1" t="s">
        <v>58</v>
      </c>
      <c r="D2107" s="5">
        <v>45883</v>
      </c>
      <c r="E2107" s="6">
        <v>123493019</v>
      </c>
      <c r="F2107" s="6">
        <v>123493019</v>
      </c>
      <c r="G2107" s="6">
        <v>0</v>
      </c>
      <c r="H2107" s="6">
        <v>123493019</v>
      </c>
      <c r="I2107" s="7">
        <v>0</v>
      </c>
    </row>
    <row r="2108" spans="1:9" ht="12" customHeight="1" thickBot="1" x14ac:dyDescent="0.25">
      <c r="A2108" s="1" t="s">
        <v>57</v>
      </c>
      <c r="B2108" s="1" t="s">
        <v>37</v>
      </c>
      <c r="C2108" s="1" t="s">
        <v>58</v>
      </c>
      <c r="D2108" s="5">
        <v>45884</v>
      </c>
      <c r="E2108" s="6">
        <v>123493019</v>
      </c>
      <c r="F2108" s="6">
        <v>123493019</v>
      </c>
      <c r="G2108" s="6">
        <v>0</v>
      </c>
      <c r="H2108" s="6">
        <v>123493019</v>
      </c>
      <c r="I2108" s="7">
        <v>0</v>
      </c>
    </row>
    <row r="2109" spans="1:9" ht="12" customHeight="1" thickBot="1" x14ac:dyDescent="0.25">
      <c r="A2109" s="1" t="s">
        <v>57</v>
      </c>
      <c r="B2109" s="1" t="s">
        <v>37</v>
      </c>
      <c r="C2109" s="1" t="s">
        <v>58</v>
      </c>
      <c r="D2109" s="5">
        <v>45885</v>
      </c>
      <c r="E2109" s="6">
        <v>123493019</v>
      </c>
      <c r="F2109" s="6">
        <v>123493019</v>
      </c>
      <c r="G2109" s="6">
        <v>0</v>
      </c>
      <c r="H2109" s="6">
        <v>123493019</v>
      </c>
      <c r="I2109" s="7">
        <v>0</v>
      </c>
    </row>
    <row r="2110" spans="1:9" ht="12" customHeight="1" thickBot="1" x14ac:dyDescent="0.25">
      <c r="A2110" s="1" t="s">
        <v>57</v>
      </c>
      <c r="B2110" s="1" t="s">
        <v>37</v>
      </c>
      <c r="C2110" s="1" t="s">
        <v>58</v>
      </c>
      <c r="D2110" s="5">
        <v>45886</v>
      </c>
      <c r="E2110" s="6">
        <v>123493019</v>
      </c>
      <c r="F2110" s="6">
        <v>123493019</v>
      </c>
      <c r="G2110" s="6">
        <v>0</v>
      </c>
      <c r="H2110" s="6">
        <v>123493019</v>
      </c>
      <c r="I2110" s="7">
        <v>0</v>
      </c>
    </row>
    <row r="2111" spans="1:9" ht="12" customHeight="1" thickBot="1" x14ac:dyDescent="0.25">
      <c r="A2111" s="1" t="s">
        <v>57</v>
      </c>
      <c r="B2111" s="1" t="s">
        <v>37</v>
      </c>
      <c r="C2111" s="1" t="s">
        <v>58</v>
      </c>
      <c r="D2111" s="5">
        <v>45887</v>
      </c>
      <c r="E2111" s="6">
        <v>123493019</v>
      </c>
      <c r="F2111" s="6">
        <v>123493019</v>
      </c>
      <c r="G2111" s="6">
        <v>0</v>
      </c>
      <c r="H2111" s="6">
        <v>123493019</v>
      </c>
      <c r="I2111" s="7">
        <v>0</v>
      </c>
    </row>
    <row r="2112" spans="1:9" ht="12" customHeight="1" thickBot="1" x14ac:dyDescent="0.25">
      <c r="A2112" s="1" t="s">
        <v>57</v>
      </c>
      <c r="B2112" s="1" t="s">
        <v>37</v>
      </c>
      <c r="C2112" s="1" t="s">
        <v>58</v>
      </c>
      <c r="D2112" s="5">
        <v>45888</v>
      </c>
      <c r="E2112" s="6">
        <v>123493019</v>
      </c>
      <c r="F2112" s="6">
        <v>123493019</v>
      </c>
      <c r="G2112" s="6">
        <v>0</v>
      </c>
      <c r="H2112" s="6">
        <v>123493019</v>
      </c>
      <c r="I2112" s="7">
        <v>0</v>
      </c>
    </row>
    <row r="2113" spans="1:9" ht="12" customHeight="1" thickBot="1" x14ac:dyDescent="0.25">
      <c r="A2113" s="1" t="s">
        <v>57</v>
      </c>
      <c r="B2113" s="1" t="s">
        <v>37</v>
      </c>
      <c r="C2113" s="1" t="s">
        <v>58</v>
      </c>
      <c r="D2113" s="5">
        <v>45889</v>
      </c>
      <c r="E2113" s="6">
        <v>123493019</v>
      </c>
      <c r="F2113" s="6">
        <v>123493019</v>
      </c>
      <c r="G2113" s="6">
        <v>0</v>
      </c>
      <c r="H2113" s="6">
        <v>123493019</v>
      </c>
      <c r="I2113" s="7">
        <v>0</v>
      </c>
    </row>
    <row r="2114" spans="1:9" ht="12" customHeight="1" thickBot="1" x14ac:dyDescent="0.25">
      <c r="A2114" s="1" t="s">
        <v>57</v>
      </c>
      <c r="B2114" s="1" t="s">
        <v>37</v>
      </c>
      <c r="C2114" s="1" t="s">
        <v>58</v>
      </c>
      <c r="D2114" s="5">
        <v>45890</v>
      </c>
      <c r="E2114" s="6">
        <v>123493019</v>
      </c>
      <c r="F2114" s="6">
        <v>123493019</v>
      </c>
      <c r="G2114" s="6">
        <v>0</v>
      </c>
      <c r="H2114" s="6">
        <v>123493019</v>
      </c>
      <c r="I2114" s="7">
        <v>0</v>
      </c>
    </row>
    <row r="2115" spans="1:9" ht="12" customHeight="1" thickBot="1" x14ac:dyDescent="0.25">
      <c r="A2115" s="1" t="s">
        <v>57</v>
      </c>
      <c r="B2115" s="1" t="s">
        <v>37</v>
      </c>
      <c r="C2115" s="1" t="s">
        <v>58</v>
      </c>
      <c r="D2115" s="5">
        <v>45891</v>
      </c>
      <c r="E2115" s="6">
        <v>123493019</v>
      </c>
      <c r="F2115" s="6">
        <v>123493019</v>
      </c>
      <c r="G2115" s="6">
        <v>0</v>
      </c>
      <c r="H2115" s="6">
        <v>123493019</v>
      </c>
      <c r="I2115" s="7">
        <v>0</v>
      </c>
    </row>
    <row r="2116" spans="1:9" ht="12" customHeight="1" thickBot="1" x14ac:dyDescent="0.25">
      <c r="A2116" s="1" t="s">
        <v>57</v>
      </c>
      <c r="B2116" s="1" t="s">
        <v>37</v>
      </c>
      <c r="C2116" s="1" t="s">
        <v>58</v>
      </c>
      <c r="D2116" s="5">
        <v>45892</v>
      </c>
      <c r="E2116" s="6">
        <v>123493019</v>
      </c>
      <c r="F2116" s="6">
        <v>123493019</v>
      </c>
      <c r="G2116" s="6">
        <v>0</v>
      </c>
      <c r="H2116" s="6">
        <v>123493019</v>
      </c>
      <c r="I2116" s="7">
        <v>0</v>
      </c>
    </row>
    <row r="2117" spans="1:9" ht="12" customHeight="1" thickBot="1" x14ac:dyDescent="0.25">
      <c r="A2117" s="1" t="s">
        <v>57</v>
      </c>
      <c r="B2117" s="1" t="s">
        <v>37</v>
      </c>
      <c r="C2117" s="1" t="s">
        <v>58</v>
      </c>
      <c r="D2117" s="5">
        <v>45893</v>
      </c>
      <c r="E2117" s="6">
        <v>123493019</v>
      </c>
      <c r="F2117" s="6">
        <v>123493019</v>
      </c>
      <c r="G2117" s="6">
        <v>0</v>
      </c>
      <c r="H2117" s="6">
        <v>123493019</v>
      </c>
      <c r="I2117" s="7">
        <v>0</v>
      </c>
    </row>
    <row r="2118" spans="1:9" ht="12" customHeight="1" thickBot="1" x14ac:dyDescent="0.25">
      <c r="A2118" s="1" t="s">
        <v>57</v>
      </c>
      <c r="B2118" s="1" t="s">
        <v>37</v>
      </c>
      <c r="C2118" s="1" t="s">
        <v>58</v>
      </c>
      <c r="D2118" s="5">
        <v>45894</v>
      </c>
      <c r="E2118" s="6">
        <v>123493019</v>
      </c>
      <c r="F2118" s="6">
        <v>123493019</v>
      </c>
      <c r="G2118" s="6">
        <v>0</v>
      </c>
      <c r="H2118" s="6">
        <v>123493019</v>
      </c>
      <c r="I2118" s="7">
        <v>0</v>
      </c>
    </row>
    <row r="2119" spans="1:9" ht="12" customHeight="1" thickBot="1" x14ac:dyDescent="0.25">
      <c r="A2119" s="1" t="s">
        <v>57</v>
      </c>
      <c r="B2119" s="1" t="s">
        <v>37</v>
      </c>
      <c r="C2119" s="1" t="s">
        <v>58</v>
      </c>
      <c r="D2119" s="5">
        <v>45895</v>
      </c>
      <c r="E2119" s="6">
        <v>123493019</v>
      </c>
      <c r="F2119" s="6">
        <v>123493019</v>
      </c>
      <c r="G2119" s="6">
        <v>0</v>
      </c>
      <c r="H2119" s="6">
        <v>123493019</v>
      </c>
      <c r="I2119" s="7">
        <v>0</v>
      </c>
    </row>
    <row r="2120" spans="1:9" ht="12" customHeight="1" thickBot="1" x14ac:dyDescent="0.25">
      <c r="A2120" s="1" t="s">
        <v>57</v>
      </c>
      <c r="B2120" s="1" t="s">
        <v>37</v>
      </c>
      <c r="C2120" s="1" t="s">
        <v>58</v>
      </c>
      <c r="D2120" s="5">
        <v>45896</v>
      </c>
      <c r="E2120" s="6">
        <v>123493019</v>
      </c>
      <c r="F2120" s="6">
        <v>123493019</v>
      </c>
      <c r="G2120" s="6">
        <v>0</v>
      </c>
      <c r="H2120" s="6">
        <v>123493019</v>
      </c>
      <c r="I2120" s="7">
        <v>0</v>
      </c>
    </row>
    <row r="2121" spans="1:9" ht="12" customHeight="1" thickBot="1" x14ac:dyDescent="0.25">
      <c r="A2121" s="1" t="s">
        <v>57</v>
      </c>
      <c r="B2121" s="1" t="s">
        <v>37</v>
      </c>
      <c r="C2121" s="1" t="s">
        <v>58</v>
      </c>
      <c r="D2121" s="5">
        <v>45897</v>
      </c>
      <c r="E2121" s="6">
        <v>123493019</v>
      </c>
      <c r="F2121" s="6">
        <v>123493019</v>
      </c>
      <c r="G2121" s="6">
        <v>0</v>
      </c>
      <c r="H2121" s="6">
        <v>123493019</v>
      </c>
      <c r="I2121" s="7">
        <v>0</v>
      </c>
    </row>
    <row r="2122" spans="1:9" ht="12" customHeight="1" thickBot="1" x14ac:dyDescent="0.25">
      <c r="A2122" s="1" t="s">
        <v>57</v>
      </c>
      <c r="B2122" s="1" t="s">
        <v>37</v>
      </c>
      <c r="C2122" s="1" t="s">
        <v>58</v>
      </c>
      <c r="D2122" s="5">
        <v>45898</v>
      </c>
      <c r="E2122" s="6">
        <v>123493019</v>
      </c>
      <c r="F2122" s="6">
        <v>123493019</v>
      </c>
      <c r="G2122" s="6">
        <v>0</v>
      </c>
      <c r="H2122" s="6">
        <v>123493019</v>
      </c>
      <c r="I2122" s="7">
        <v>0</v>
      </c>
    </row>
    <row r="2123" spans="1:9" ht="12" customHeight="1" thickBot="1" x14ac:dyDescent="0.25">
      <c r="A2123" s="1" t="s">
        <v>57</v>
      </c>
      <c r="B2123" s="1" t="s">
        <v>37</v>
      </c>
      <c r="C2123" s="1" t="s">
        <v>58</v>
      </c>
      <c r="D2123" s="5">
        <v>45899</v>
      </c>
      <c r="E2123" s="6">
        <v>123493019</v>
      </c>
      <c r="F2123" s="6">
        <v>123493019</v>
      </c>
      <c r="G2123" s="6">
        <v>0</v>
      </c>
      <c r="H2123" s="6">
        <v>123493019</v>
      </c>
      <c r="I2123" s="7">
        <v>0</v>
      </c>
    </row>
    <row r="2124" spans="1:9" ht="12" customHeight="1" thickBot="1" x14ac:dyDescent="0.25">
      <c r="A2124" s="1" t="s">
        <v>57</v>
      </c>
      <c r="B2124" s="1" t="s">
        <v>37</v>
      </c>
      <c r="C2124" s="1" t="s">
        <v>58</v>
      </c>
      <c r="D2124" s="5">
        <v>45900</v>
      </c>
      <c r="E2124" s="6">
        <v>123493019</v>
      </c>
      <c r="F2124" s="6">
        <v>123493019</v>
      </c>
      <c r="G2124" s="6">
        <v>0</v>
      </c>
      <c r="H2124" s="6">
        <v>123493019</v>
      </c>
      <c r="I2124" s="7">
        <v>0</v>
      </c>
    </row>
    <row r="2125" spans="1:9" ht="12" customHeight="1" thickBot="1" x14ac:dyDescent="0.25">
      <c r="A2125" s="1" t="s">
        <v>57</v>
      </c>
      <c r="B2125" s="1" t="s">
        <v>37</v>
      </c>
      <c r="C2125" s="1" t="s">
        <v>58</v>
      </c>
      <c r="D2125" s="5">
        <v>45901</v>
      </c>
      <c r="E2125" s="6">
        <v>123493019</v>
      </c>
      <c r="F2125" s="6">
        <v>123493019</v>
      </c>
      <c r="G2125" s="6">
        <v>0</v>
      </c>
      <c r="H2125" s="6">
        <v>123493019</v>
      </c>
      <c r="I2125" s="7">
        <v>0</v>
      </c>
    </row>
    <row r="2126" spans="1:9" ht="12" customHeight="1" thickBot="1" x14ac:dyDescent="0.25">
      <c r="A2126" s="1" t="s">
        <v>57</v>
      </c>
      <c r="B2126" s="1" t="s">
        <v>37</v>
      </c>
      <c r="C2126" s="1" t="s">
        <v>58</v>
      </c>
      <c r="D2126" s="5">
        <v>45902</v>
      </c>
      <c r="E2126" s="6">
        <v>123493019</v>
      </c>
      <c r="F2126" s="6">
        <v>123493019</v>
      </c>
      <c r="G2126" s="6">
        <v>0</v>
      </c>
      <c r="H2126" s="6">
        <v>123493019</v>
      </c>
      <c r="I2126" s="7">
        <v>0</v>
      </c>
    </row>
    <row r="2127" spans="1:9" ht="12" customHeight="1" thickBot="1" x14ac:dyDescent="0.25">
      <c r="A2127" s="1" t="s">
        <v>57</v>
      </c>
      <c r="B2127" s="1" t="s">
        <v>37</v>
      </c>
      <c r="C2127" s="1" t="s">
        <v>58</v>
      </c>
      <c r="D2127" s="5">
        <v>45903</v>
      </c>
      <c r="E2127" s="6">
        <v>123493019</v>
      </c>
      <c r="F2127" s="6">
        <v>123493019</v>
      </c>
      <c r="G2127" s="6">
        <v>0</v>
      </c>
      <c r="H2127" s="6">
        <v>123493019</v>
      </c>
      <c r="I2127" s="7">
        <v>0</v>
      </c>
    </row>
    <row r="2128" spans="1:9" ht="12" customHeight="1" thickBot="1" x14ac:dyDescent="0.25">
      <c r="A2128" s="1" t="s">
        <v>57</v>
      </c>
      <c r="B2128" s="1" t="s">
        <v>37</v>
      </c>
      <c r="C2128" s="1" t="s">
        <v>58</v>
      </c>
      <c r="D2128" s="5">
        <v>45904</v>
      </c>
      <c r="E2128" s="6">
        <v>123493019</v>
      </c>
      <c r="F2128" s="6">
        <v>123493019</v>
      </c>
      <c r="G2128" s="6">
        <v>0</v>
      </c>
      <c r="H2128" s="6">
        <v>123493019</v>
      </c>
      <c r="I2128" s="7">
        <v>0</v>
      </c>
    </row>
    <row r="2129" spans="1:9" ht="12" customHeight="1" thickBot="1" x14ac:dyDescent="0.25">
      <c r="A2129" s="1" t="s">
        <v>57</v>
      </c>
      <c r="B2129" s="1" t="s">
        <v>37</v>
      </c>
      <c r="C2129" s="1" t="s">
        <v>58</v>
      </c>
      <c r="D2129" s="5">
        <v>45905</v>
      </c>
      <c r="E2129" s="6">
        <v>123493019</v>
      </c>
      <c r="F2129" s="6">
        <v>123493019</v>
      </c>
      <c r="G2129" s="6">
        <v>0</v>
      </c>
      <c r="H2129" s="6">
        <v>123493019</v>
      </c>
      <c r="I2129" s="7">
        <v>0</v>
      </c>
    </row>
    <row r="2130" spans="1:9" ht="12" customHeight="1" thickBot="1" x14ac:dyDescent="0.25">
      <c r="A2130" s="1" t="s">
        <v>57</v>
      </c>
      <c r="B2130" s="1" t="s">
        <v>37</v>
      </c>
      <c r="C2130" s="1" t="s">
        <v>58</v>
      </c>
      <c r="D2130" s="5">
        <v>45906</v>
      </c>
      <c r="E2130" s="6">
        <v>123493019</v>
      </c>
      <c r="F2130" s="6">
        <v>123493019</v>
      </c>
      <c r="G2130" s="6">
        <v>0</v>
      </c>
      <c r="H2130" s="6">
        <v>123493019</v>
      </c>
      <c r="I2130" s="7">
        <v>0</v>
      </c>
    </row>
    <row r="2131" spans="1:9" ht="12" customHeight="1" thickBot="1" x14ac:dyDescent="0.25">
      <c r="A2131" s="1" t="s">
        <v>57</v>
      </c>
      <c r="B2131" s="1" t="s">
        <v>37</v>
      </c>
      <c r="C2131" s="1" t="s">
        <v>58</v>
      </c>
      <c r="D2131" s="5">
        <v>45907</v>
      </c>
      <c r="E2131" s="6">
        <v>123493019</v>
      </c>
      <c r="F2131" s="6">
        <v>123493019</v>
      </c>
      <c r="G2131" s="6">
        <v>0</v>
      </c>
      <c r="H2131" s="6">
        <v>123493019</v>
      </c>
      <c r="I2131" s="7">
        <v>0</v>
      </c>
    </row>
    <row r="2132" spans="1:9" ht="12" customHeight="1" thickBot="1" x14ac:dyDescent="0.25">
      <c r="A2132" s="1" t="s">
        <v>57</v>
      </c>
      <c r="B2132" s="1" t="s">
        <v>37</v>
      </c>
      <c r="C2132" s="1" t="s">
        <v>58</v>
      </c>
      <c r="D2132" s="5">
        <v>45908</v>
      </c>
      <c r="E2132" s="6">
        <v>123493019</v>
      </c>
      <c r="F2132" s="6">
        <v>123493019</v>
      </c>
      <c r="G2132" s="6">
        <v>0</v>
      </c>
      <c r="H2132" s="6">
        <v>123493019</v>
      </c>
      <c r="I2132" s="7">
        <v>0</v>
      </c>
    </row>
    <row r="2133" spans="1:9" ht="12" customHeight="1" thickBot="1" x14ac:dyDescent="0.25">
      <c r="A2133" s="1" t="s">
        <v>57</v>
      </c>
      <c r="B2133" s="1" t="s">
        <v>37</v>
      </c>
      <c r="C2133" s="1" t="s">
        <v>58</v>
      </c>
      <c r="D2133" s="5">
        <v>45909</v>
      </c>
      <c r="E2133" s="6">
        <v>123493019</v>
      </c>
      <c r="F2133" s="6">
        <v>123493019</v>
      </c>
      <c r="G2133" s="6">
        <v>0</v>
      </c>
      <c r="H2133" s="6">
        <v>123493019</v>
      </c>
      <c r="I2133" s="7">
        <v>0</v>
      </c>
    </row>
    <row r="2134" spans="1:9" ht="12" customHeight="1" thickBot="1" x14ac:dyDescent="0.25">
      <c r="A2134" s="1" t="s">
        <v>57</v>
      </c>
      <c r="B2134" s="1" t="s">
        <v>37</v>
      </c>
      <c r="C2134" s="1" t="s">
        <v>58</v>
      </c>
      <c r="D2134" s="5">
        <v>45910</v>
      </c>
      <c r="E2134" s="6">
        <v>123493019</v>
      </c>
      <c r="F2134" s="6">
        <v>123493019</v>
      </c>
      <c r="G2134" s="6">
        <v>0</v>
      </c>
      <c r="H2134" s="6">
        <v>123493019</v>
      </c>
      <c r="I2134" s="7">
        <v>0</v>
      </c>
    </row>
    <row r="2135" spans="1:9" ht="12" customHeight="1" thickBot="1" x14ac:dyDescent="0.25">
      <c r="A2135" s="1" t="s">
        <v>57</v>
      </c>
      <c r="B2135" s="1" t="s">
        <v>37</v>
      </c>
      <c r="C2135" s="1" t="s">
        <v>58</v>
      </c>
      <c r="D2135" s="5">
        <v>45911</v>
      </c>
      <c r="E2135" s="6">
        <v>123493019</v>
      </c>
      <c r="F2135" s="6">
        <v>123493019</v>
      </c>
      <c r="G2135" s="6">
        <v>0</v>
      </c>
      <c r="H2135" s="6">
        <v>123493019</v>
      </c>
      <c r="I2135" s="7">
        <v>0</v>
      </c>
    </row>
    <row r="2136" spans="1:9" ht="12" customHeight="1" thickBot="1" x14ac:dyDescent="0.25">
      <c r="A2136" s="1" t="s">
        <v>57</v>
      </c>
      <c r="B2136" s="1" t="s">
        <v>37</v>
      </c>
      <c r="C2136" s="1" t="s">
        <v>58</v>
      </c>
      <c r="D2136" s="5">
        <v>45912</v>
      </c>
      <c r="E2136" s="6">
        <v>123493019</v>
      </c>
      <c r="F2136" s="6">
        <v>123493019</v>
      </c>
      <c r="G2136" s="6">
        <v>0</v>
      </c>
      <c r="H2136" s="6">
        <v>123493019</v>
      </c>
      <c r="I2136" s="7">
        <v>0</v>
      </c>
    </row>
    <row r="2137" spans="1:9" ht="12" customHeight="1" thickBot="1" x14ac:dyDescent="0.25">
      <c r="A2137" s="1" t="s">
        <v>57</v>
      </c>
      <c r="B2137" s="1" t="s">
        <v>37</v>
      </c>
      <c r="C2137" s="1" t="s">
        <v>58</v>
      </c>
      <c r="D2137" s="5">
        <v>45913</v>
      </c>
      <c r="E2137" s="6">
        <v>123493019</v>
      </c>
      <c r="F2137" s="6">
        <v>123493019</v>
      </c>
      <c r="G2137" s="6">
        <v>0</v>
      </c>
      <c r="H2137" s="6">
        <v>123493019</v>
      </c>
      <c r="I2137" s="7">
        <v>0</v>
      </c>
    </row>
    <row r="2138" spans="1:9" ht="12" customHeight="1" thickBot="1" x14ac:dyDescent="0.25">
      <c r="A2138" s="1" t="s">
        <v>57</v>
      </c>
      <c r="B2138" s="1" t="s">
        <v>37</v>
      </c>
      <c r="C2138" s="1" t="s">
        <v>58</v>
      </c>
      <c r="D2138" s="5">
        <v>45914</v>
      </c>
      <c r="E2138" s="6">
        <v>123493019</v>
      </c>
      <c r="F2138" s="6">
        <v>123493019</v>
      </c>
      <c r="G2138" s="6">
        <v>0</v>
      </c>
      <c r="H2138" s="6">
        <v>123493019</v>
      </c>
      <c r="I2138" s="7">
        <v>0</v>
      </c>
    </row>
    <row r="2139" spans="1:9" ht="12" customHeight="1" thickBot="1" x14ac:dyDescent="0.25">
      <c r="A2139" s="1" t="s">
        <v>57</v>
      </c>
      <c r="B2139" s="1" t="s">
        <v>37</v>
      </c>
      <c r="C2139" s="1" t="s">
        <v>58</v>
      </c>
      <c r="D2139" s="5">
        <v>45915</v>
      </c>
      <c r="E2139" s="6">
        <v>123493019</v>
      </c>
      <c r="F2139" s="6">
        <v>123493019</v>
      </c>
      <c r="G2139" s="6">
        <v>0</v>
      </c>
      <c r="H2139" s="6">
        <v>123493019</v>
      </c>
      <c r="I2139" s="7">
        <v>0</v>
      </c>
    </row>
    <row r="2140" spans="1:9" ht="12" customHeight="1" thickBot="1" x14ac:dyDescent="0.25">
      <c r="A2140" s="1" t="s">
        <v>57</v>
      </c>
      <c r="B2140" s="1" t="s">
        <v>37</v>
      </c>
      <c r="C2140" s="1" t="s">
        <v>58</v>
      </c>
      <c r="D2140" s="5">
        <v>45916</v>
      </c>
      <c r="E2140" s="6">
        <v>123493019</v>
      </c>
      <c r="F2140" s="6">
        <v>123493019</v>
      </c>
      <c r="G2140" s="6">
        <v>0</v>
      </c>
      <c r="H2140" s="6">
        <v>123493019</v>
      </c>
      <c r="I2140" s="7">
        <v>0</v>
      </c>
    </row>
    <row r="2141" spans="1:9" ht="12" customHeight="1" thickBot="1" x14ac:dyDescent="0.25">
      <c r="A2141" s="1" t="s">
        <v>57</v>
      </c>
      <c r="B2141" s="1" t="s">
        <v>37</v>
      </c>
      <c r="C2141" s="1" t="s">
        <v>58</v>
      </c>
      <c r="D2141" s="5">
        <v>45917</v>
      </c>
      <c r="E2141" s="6">
        <v>123493019</v>
      </c>
      <c r="F2141" s="6">
        <v>123493019</v>
      </c>
      <c r="G2141" s="6">
        <v>0</v>
      </c>
      <c r="H2141" s="6">
        <v>123493019</v>
      </c>
      <c r="I2141" s="7">
        <v>0</v>
      </c>
    </row>
    <row r="2142" spans="1:9" ht="12" customHeight="1" thickBot="1" x14ac:dyDescent="0.25">
      <c r="A2142" s="1" t="s">
        <v>57</v>
      </c>
      <c r="B2142" s="1" t="s">
        <v>37</v>
      </c>
      <c r="C2142" s="1" t="s">
        <v>58</v>
      </c>
      <c r="D2142" s="5">
        <v>45918</v>
      </c>
      <c r="E2142" s="6">
        <v>123493019</v>
      </c>
      <c r="F2142" s="6">
        <v>123493019</v>
      </c>
      <c r="G2142" s="6">
        <v>0</v>
      </c>
      <c r="H2142" s="6">
        <v>123493019</v>
      </c>
      <c r="I2142" s="7">
        <v>0</v>
      </c>
    </row>
    <row r="2143" spans="1:9" ht="12" customHeight="1" thickBot="1" x14ac:dyDescent="0.25">
      <c r="A2143" s="1" t="s">
        <v>57</v>
      </c>
      <c r="B2143" s="1" t="s">
        <v>37</v>
      </c>
      <c r="C2143" s="1" t="s">
        <v>58</v>
      </c>
      <c r="D2143" s="5">
        <v>45919</v>
      </c>
      <c r="E2143" s="6">
        <v>123493019</v>
      </c>
      <c r="F2143" s="6">
        <v>123493019</v>
      </c>
      <c r="G2143" s="6">
        <v>0</v>
      </c>
      <c r="H2143" s="6">
        <v>123493019</v>
      </c>
      <c r="I2143" s="7">
        <v>0</v>
      </c>
    </row>
    <row r="2144" spans="1:9" ht="12" customHeight="1" thickBot="1" x14ac:dyDescent="0.25">
      <c r="A2144" s="1" t="s">
        <v>57</v>
      </c>
      <c r="B2144" s="1" t="s">
        <v>37</v>
      </c>
      <c r="C2144" s="1" t="s">
        <v>58</v>
      </c>
      <c r="D2144" s="5">
        <v>45920</v>
      </c>
      <c r="E2144" s="6">
        <v>123493019</v>
      </c>
      <c r="F2144" s="6">
        <v>123493019</v>
      </c>
      <c r="G2144" s="6">
        <v>0</v>
      </c>
      <c r="H2144" s="6">
        <v>123493019</v>
      </c>
      <c r="I2144" s="7">
        <v>0</v>
      </c>
    </row>
    <row r="2145" spans="1:9" ht="12" customHeight="1" thickBot="1" x14ac:dyDescent="0.25">
      <c r="A2145" s="1" t="s">
        <v>57</v>
      </c>
      <c r="B2145" s="1" t="s">
        <v>37</v>
      </c>
      <c r="C2145" s="1" t="s">
        <v>58</v>
      </c>
      <c r="D2145" s="5">
        <v>45921</v>
      </c>
      <c r="E2145" s="6">
        <v>123493019</v>
      </c>
      <c r="F2145" s="6">
        <v>123493019</v>
      </c>
      <c r="G2145" s="6">
        <v>0</v>
      </c>
      <c r="H2145" s="6">
        <v>123493019</v>
      </c>
      <c r="I2145" s="7">
        <v>0</v>
      </c>
    </row>
    <row r="2146" spans="1:9" ht="12" customHeight="1" thickBot="1" x14ac:dyDescent="0.25">
      <c r="A2146" s="1" t="s">
        <v>57</v>
      </c>
      <c r="B2146" s="1" t="s">
        <v>37</v>
      </c>
      <c r="C2146" s="1" t="s">
        <v>58</v>
      </c>
      <c r="D2146" s="5">
        <v>45922</v>
      </c>
      <c r="E2146" s="6">
        <v>123493019</v>
      </c>
      <c r="F2146" s="6">
        <v>123493019</v>
      </c>
      <c r="G2146" s="6">
        <v>0</v>
      </c>
      <c r="H2146" s="6">
        <v>123493019</v>
      </c>
      <c r="I2146" s="7">
        <v>0</v>
      </c>
    </row>
    <row r="2147" spans="1:9" ht="12" customHeight="1" thickBot="1" x14ac:dyDescent="0.25">
      <c r="A2147" s="1" t="s">
        <v>57</v>
      </c>
      <c r="B2147" s="1" t="s">
        <v>37</v>
      </c>
      <c r="C2147" s="1" t="s">
        <v>58</v>
      </c>
      <c r="D2147" s="5">
        <v>45923</v>
      </c>
      <c r="E2147" s="6">
        <v>123493019</v>
      </c>
      <c r="F2147" s="6">
        <v>123493019</v>
      </c>
      <c r="G2147" s="6">
        <v>0</v>
      </c>
      <c r="H2147" s="6">
        <v>123493019</v>
      </c>
      <c r="I2147" s="7">
        <v>0</v>
      </c>
    </row>
    <row r="2148" spans="1:9" ht="12" customHeight="1" thickBot="1" x14ac:dyDescent="0.25">
      <c r="A2148" s="1" t="s">
        <v>57</v>
      </c>
      <c r="B2148" s="1" t="s">
        <v>37</v>
      </c>
      <c r="C2148" s="1" t="s">
        <v>58</v>
      </c>
      <c r="D2148" s="5">
        <v>45924</v>
      </c>
      <c r="E2148" s="6">
        <v>123493019</v>
      </c>
      <c r="F2148" s="6">
        <v>123493019</v>
      </c>
      <c r="G2148" s="6">
        <v>0</v>
      </c>
      <c r="H2148" s="6">
        <v>123493019</v>
      </c>
      <c r="I2148" s="7">
        <v>0</v>
      </c>
    </row>
    <row r="2149" spans="1:9" ht="12" customHeight="1" thickBot="1" x14ac:dyDescent="0.25">
      <c r="A2149" s="1" t="s">
        <v>57</v>
      </c>
      <c r="B2149" s="1" t="s">
        <v>37</v>
      </c>
      <c r="C2149" s="1" t="s">
        <v>58</v>
      </c>
      <c r="D2149" s="5">
        <v>45925</v>
      </c>
      <c r="E2149" s="6">
        <v>123493019</v>
      </c>
      <c r="F2149" s="6">
        <v>123493019</v>
      </c>
      <c r="G2149" s="6">
        <v>0</v>
      </c>
      <c r="H2149" s="6">
        <v>123493019</v>
      </c>
      <c r="I2149" s="7">
        <v>0</v>
      </c>
    </row>
    <row r="2150" spans="1:9" ht="12" customHeight="1" thickBot="1" x14ac:dyDescent="0.25">
      <c r="A2150" s="1" t="s">
        <v>57</v>
      </c>
      <c r="B2150" s="1" t="s">
        <v>37</v>
      </c>
      <c r="C2150" s="1" t="s">
        <v>58</v>
      </c>
      <c r="D2150" s="5">
        <v>45926</v>
      </c>
      <c r="E2150" s="6">
        <v>123493019</v>
      </c>
      <c r="F2150" s="6">
        <v>123493019</v>
      </c>
      <c r="G2150" s="6">
        <v>0</v>
      </c>
      <c r="H2150" s="6">
        <v>123493019</v>
      </c>
      <c r="I2150" s="7">
        <v>0</v>
      </c>
    </row>
    <row r="2151" spans="1:9" ht="12" customHeight="1" thickBot="1" x14ac:dyDescent="0.25">
      <c r="A2151" s="1" t="s">
        <v>57</v>
      </c>
      <c r="B2151" s="1" t="s">
        <v>37</v>
      </c>
      <c r="C2151" s="1" t="s">
        <v>58</v>
      </c>
      <c r="D2151" s="5">
        <v>45927</v>
      </c>
      <c r="E2151" s="6">
        <v>123493019</v>
      </c>
      <c r="F2151" s="6">
        <v>123493019</v>
      </c>
      <c r="G2151" s="6">
        <v>0</v>
      </c>
      <c r="H2151" s="6">
        <v>123493019</v>
      </c>
      <c r="I2151" s="7">
        <v>0</v>
      </c>
    </row>
    <row r="2152" spans="1:9" ht="12" customHeight="1" thickBot="1" x14ac:dyDescent="0.25">
      <c r="A2152" s="1" t="s">
        <v>57</v>
      </c>
      <c r="B2152" s="1" t="s">
        <v>37</v>
      </c>
      <c r="C2152" s="1" t="s">
        <v>58</v>
      </c>
      <c r="D2152" s="5">
        <v>45928</v>
      </c>
      <c r="E2152" s="6">
        <v>123493019</v>
      </c>
      <c r="F2152" s="6">
        <v>123493019</v>
      </c>
      <c r="G2152" s="6">
        <v>0</v>
      </c>
      <c r="H2152" s="6">
        <v>123493019</v>
      </c>
      <c r="I2152" s="7">
        <v>0</v>
      </c>
    </row>
    <row r="2153" spans="1:9" ht="12" customHeight="1" thickBot="1" x14ac:dyDescent="0.25">
      <c r="A2153" s="1" t="s">
        <v>57</v>
      </c>
      <c r="B2153" s="1" t="s">
        <v>37</v>
      </c>
      <c r="C2153" s="1" t="s">
        <v>58</v>
      </c>
      <c r="D2153" s="5">
        <v>45929</v>
      </c>
      <c r="E2153" s="6">
        <v>123493019</v>
      </c>
      <c r="F2153" s="6">
        <v>123493019</v>
      </c>
      <c r="G2153" s="6">
        <v>0</v>
      </c>
      <c r="H2153" s="6">
        <v>123493019</v>
      </c>
      <c r="I2153" s="7">
        <v>0</v>
      </c>
    </row>
    <row r="2154" spans="1:9" ht="12" customHeight="1" thickBot="1" x14ac:dyDescent="0.25">
      <c r="A2154" s="1" t="s">
        <v>57</v>
      </c>
      <c r="B2154" s="1" t="s">
        <v>37</v>
      </c>
      <c r="C2154" s="1" t="s">
        <v>58</v>
      </c>
      <c r="D2154" s="5">
        <v>45930</v>
      </c>
      <c r="E2154" s="6">
        <v>123493019</v>
      </c>
      <c r="F2154" s="6">
        <v>123493019</v>
      </c>
      <c r="G2154" s="6">
        <v>0</v>
      </c>
      <c r="H2154" s="6">
        <v>123493019</v>
      </c>
      <c r="I2154" s="7">
        <v>0</v>
      </c>
    </row>
    <row r="2155" spans="1:9" ht="12" customHeight="1" thickBot="1" x14ac:dyDescent="0.25">
      <c r="A2155" s="1" t="s">
        <v>59</v>
      </c>
      <c r="B2155" s="1" t="s">
        <v>12</v>
      </c>
      <c r="C2155" s="1" t="s">
        <v>26</v>
      </c>
      <c r="D2155" s="5">
        <v>45839</v>
      </c>
      <c r="E2155" s="6">
        <v>72189111548</v>
      </c>
      <c r="F2155" s="6">
        <v>1125899307</v>
      </c>
      <c r="G2155" s="6">
        <v>71063212241</v>
      </c>
      <c r="H2155" s="6">
        <v>416295807</v>
      </c>
      <c r="I2155" s="7">
        <v>71772815741</v>
      </c>
    </row>
    <row r="2156" spans="1:9" ht="12" customHeight="1" thickBot="1" x14ac:dyDescent="0.25">
      <c r="A2156" s="1" t="s">
        <v>59</v>
      </c>
      <c r="B2156" s="1" t="s">
        <v>12</v>
      </c>
      <c r="C2156" s="1" t="s">
        <v>26</v>
      </c>
      <c r="D2156" s="5">
        <v>45840</v>
      </c>
      <c r="E2156" s="6">
        <v>75884506378</v>
      </c>
      <c r="F2156" s="6">
        <v>1148825895</v>
      </c>
      <c r="G2156" s="6">
        <v>74735680483</v>
      </c>
      <c r="H2156" s="6">
        <v>456211614</v>
      </c>
      <c r="I2156" s="7">
        <v>75428294764</v>
      </c>
    </row>
    <row r="2157" spans="1:9" ht="12" customHeight="1" thickBot="1" x14ac:dyDescent="0.25">
      <c r="A2157" s="1" t="s">
        <v>59</v>
      </c>
      <c r="B2157" s="1" t="s">
        <v>12</v>
      </c>
      <c r="C2157" s="1" t="s">
        <v>26</v>
      </c>
      <c r="D2157" s="5">
        <v>45841</v>
      </c>
      <c r="E2157" s="6">
        <v>79277781376</v>
      </c>
      <c r="F2157" s="6">
        <v>1262991302</v>
      </c>
      <c r="G2157" s="6">
        <v>78014790074</v>
      </c>
      <c r="H2157" s="6">
        <v>453211614</v>
      </c>
      <c r="I2157" s="7">
        <v>78824569762</v>
      </c>
    </row>
    <row r="2158" spans="1:9" ht="12" customHeight="1" thickBot="1" x14ac:dyDescent="0.25">
      <c r="A2158" s="1" t="s">
        <v>59</v>
      </c>
      <c r="B2158" s="1" t="s">
        <v>12</v>
      </c>
      <c r="C2158" s="1" t="s">
        <v>26</v>
      </c>
      <c r="D2158" s="5">
        <v>45842</v>
      </c>
      <c r="E2158" s="6">
        <v>84568524000</v>
      </c>
      <c r="F2158" s="6">
        <v>1514158278</v>
      </c>
      <c r="G2158" s="6">
        <v>83054365722</v>
      </c>
      <c r="H2158" s="6">
        <v>635220087</v>
      </c>
      <c r="I2158" s="7">
        <v>83933303913</v>
      </c>
    </row>
    <row r="2159" spans="1:9" ht="12" customHeight="1" thickBot="1" x14ac:dyDescent="0.25">
      <c r="A2159" s="1" t="s">
        <v>59</v>
      </c>
      <c r="B2159" s="1" t="s">
        <v>12</v>
      </c>
      <c r="C2159" s="1" t="s">
        <v>26</v>
      </c>
      <c r="D2159" s="5">
        <v>45843</v>
      </c>
      <c r="E2159" s="6">
        <v>88840800422</v>
      </c>
      <c r="F2159" s="6">
        <v>1635154096</v>
      </c>
      <c r="G2159" s="6">
        <v>87205646326</v>
      </c>
      <c r="H2159" s="6">
        <v>688093423</v>
      </c>
      <c r="I2159" s="7">
        <v>88152706999</v>
      </c>
    </row>
    <row r="2160" spans="1:9" ht="12" customHeight="1" thickBot="1" x14ac:dyDescent="0.25">
      <c r="A2160" s="1" t="s">
        <v>59</v>
      </c>
      <c r="B2160" s="1" t="s">
        <v>12</v>
      </c>
      <c r="C2160" s="1" t="s">
        <v>26</v>
      </c>
      <c r="D2160" s="5">
        <v>45844</v>
      </c>
      <c r="E2160" s="6">
        <v>91622426991</v>
      </c>
      <c r="F2160" s="6">
        <v>1824443416</v>
      </c>
      <c r="G2160" s="6">
        <v>89797983575</v>
      </c>
      <c r="H2160" s="6">
        <v>719093423</v>
      </c>
      <c r="I2160" s="7">
        <v>90903333568</v>
      </c>
    </row>
    <row r="2161" spans="1:9" ht="12" customHeight="1" thickBot="1" x14ac:dyDescent="0.25">
      <c r="A2161" s="1" t="s">
        <v>59</v>
      </c>
      <c r="B2161" s="1" t="s">
        <v>12</v>
      </c>
      <c r="C2161" s="1" t="s">
        <v>26</v>
      </c>
      <c r="D2161" s="5">
        <v>45845</v>
      </c>
      <c r="E2161" s="6">
        <v>94948656220</v>
      </c>
      <c r="F2161" s="6">
        <v>1609483416</v>
      </c>
      <c r="G2161" s="6">
        <v>93339172804</v>
      </c>
      <c r="H2161" s="6">
        <v>751093416</v>
      </c>
      <c r="I2161" s="7">
        <v>94197562804</v>
      </c>
    </row>
    <row r="2162" spans="1:9" ht="12" customHeight="1" thickBot="1" x14ac:dyDescent="0.25">
      <c r="A2162" s="1" t="s">
        <v>59</v>
      </c>
      <c r="B2162" s="1" t="s">
        <v>12</v>
      </c>
      <c r="C2162" s="1" t="s">
        <v>26</v>
      </c>
      <c r="D2162" s="5">
        <v>45846</v>
      </c>
      <c r="E2162" s="6">
        <v>98245520300</v>
      </c>
      <c r="F2162" s="6">
        <v>1787389157</v>
      </c>
      <c r="G2162" s="6">
        <v>96458131143</v>
      </c>
      <c r="H2162" s="6">
        <v>799764865</v>
      </c>
      <c r="I2162" s="7">
        <v>97445755435</v>
      </c>
    </row>
    <row r="2163" spans="1:9" ht="12" customHeight="1" thickBot="1" x14ac:dyDescent="0.25">
      <c r="A2163" s="1" t="s">
        <v>59</v>
      </c>
      <c r="B2163" s="1" t="s">
        <v>12</v>
      </c>
      <c r="C2163" s="1" t="s">
        <v>26</v>
      </c>
      <c r="D2163" s="5">
        <v>45847</v>
      </c>
      <c r="E2163" s="6">
        <v>102468289722</v>
      </c>
      <c r="F2163" s="6">
        <v>1769002053</v>
      </c>
      <c r="G2163" s="6">
        <v>100699287669</v>
      </c>
      <c r="H2163" s="6">
        <v>893464865</v>
      </c>
      <c r="I2163" s="7">
        <v>101574824857</v>
      </c>
    </row>
    <row r="2164" spans="1:9" ht="12" customHeight="1" thickBot="1" x14ac:dyDescent="0.25">
      <c r="A2164" s="1" t="s">
        <v>59</v>
      </c>
      <c r="B2164" s="1" t="s">
        <v>12</v>
      </c>
      <c r="C2164" s="1" t="s">
        <v>26</v>
      </c>
      <c r="D2164" s="5">
        <v>45848</v>
      </c>
      <c r="E2164" s="6">
        <v>106921901288</v>
      </c>
      <c r="F2164" s="6">
        <v>1628906215</v>
      </c>
      <c r="G2164" s="6">
        <v>105292995073</v>
      </c>
      <c r="H2164" s="6">
        <v>884726427</v>
      </c>
      <c r="I2164" s="7">
        <v>106037174861</v>
      </c>
    </row>
    <row r="2165" spans="1:9" ht="12" customHeight="1" thickBot="1" x14ac:dyDescent="0.25">
      <c r="A2165" s="1" t="s">
        <v>59</v>
      </c>
      <c r="B2165" s="1" t="s">
        <v>12</v>
      </c>
      <c r="C2165" s="1" t="s">
        <v>26</v>
      </c>
      <c r="D2165" s="5">
        <v>45849</v>
      </c>
      <c r="E2165" s="6">
        <v>110817995788</v>
      </c>
      <c r="F2165" s="6">
        <v>1643453226</v>
      </c>
      <c r="G2165" s="6">
        <v>109174542562</v>
      </c>
      <c r="H2165" s="6">
        <v>884726427</v>
      </c>
      <c r="I2165" s="7">
        <v>109933269361</v>
      </c>
    </row>
    <row r="2166" spans="1:9" ht="12" customHeight="1" thickBot="1" x14ac:dyDescent="0.25">
      <c r="A2166" s="1" t="s">
        <v>59</v>
      </c>
      <c r="B2166" s="1" t="s">
        <v>12</v>
      </c>
      <c r="C2166" s="1" t="s">
        <v>26</v>
      </c>
      <c r="D2166" s="5">
        <v>45850</v>
      </c>
      <c r="E2166" s="6">
        <v>113885135897</v>
      </c>
      <c r="F2166" s="6">
        <v>1781699835</v>
      </c>
      <c r="G2166" s="6">
        <v>112103436062</v>
      </c>
      <c r="H2166" s="6">
        <v>896022391</v>
      </c>
      <c r="I2166" s="7">
        <v>112989113506</v>
      </c>
    </row>
    <row r="2167" spans="1:9" ht="12" customHeight="1" thickBot="1" x14ac:dyDescent="0.25">
      <c r="A2167" s="1" t="s">
        <v>59</v>
      </c>
      <c r="B2167" s="1" t="s">
        <v>12</v>
      </c>
      <c r="C2167" s="1" t="s">
        <v>26</v>
      </c>
      <c r="D2167" s="5">
        <v>45851</v>
      </c>
      <c r="E2167" s="6">
        <v>117130655877</v>
      </c>
      <c r="F2167" s="6">
        <v>1901793007</v>
      </c>
      <c r="G2167" s="6">
        <v>115228862870</v>
      </c>
      <c r="H2167" s="6">
        <v>963022391</v>
      </c>
      <c r="I2167" s="7">
        <v>116167633486</v>
      </c>
    </row>
    <row r="2168" spans="1:9" ht="12" customHeight="1" thickBot="1" x14ac:dyDescent="0.25">
      <c r="A2168" s="1" t="s">
        <v>59</v>
      </c>
      <c r="B2168" s="1" t="s">
        <v>12</v>
      </c>
      <c r="C2168" s="1" t="s">
        <v>26</v>
      </c>
      <c r="D2168" s="5">
        <v>45852</v>
      </c>
      <c r="E2168" s="6">
        <v>121028890999</v>
      </c>
      <c r="F2168" s="6">
        <v>1767423537</v>
      </c>
      <c r="G2168" s="6">
        <v>119261467462</v>
      </c>
      <c r="H2168" s="6">
        <v>1053022391</v>
      </c>
      <c r="I2168" s="7">
        <v>119975868608</v>
      </c>
    </row>
    <row r="2169" spans="1:9" ht="12" customHeight="1" thickBot="1" x14ac:dyDescent="0.25">
      <c r="A2169" s="1" t="s">
        <v>59</v>
      </c>
      <c r="B2169" s="1" t="s">
        <v>12</v>
      </c>
      <c r="C2169" s="1" t="s">
        <v>26</v>
      </c>
      <c r="D2169" s="5">
        <v>45853</v>
      </c>
      <c r="E2169" s="6">
        <v>123313711809</v>
      </c>
      <c r="F2169" s="6">
        <v>1951877284</v>
      </c>
      <c r="G2169" s="6">
        <v>121361834525</v>
      </c>
      <c r="H2169" s="6">
        <v>1090360302</v>
      </c>
      <c r="I2169" s="7">
        <v>122223351507</v>
      </c>
    </row>
    <row r="2170" spans="1:9" ht="12" customHeight="1" thickBot="1" x14ac:dyDescent="0.25">
      <c r="A2170" s="1" t="s">
        <v>59</v>
      </c>
      <c r="B2170" s="1" t="s">
        <v>12</v>
      </c>
      <c r="C2170" s="1" t="s">
        <v>26</v>
      </c>
      <c r="D2170" s="5">
        <v>45854</v>
      </c>
      <c r="E2170" s="6">
        <v>125911491658</v>
      </c>
      <c r="F2170" s="6">
        <v>1938048540</v>
      </c>
      <c r="G2170" s="6">
        <v>123973443118</v>
      </c>
      <c r="H2170" s="6">
        <v>1147585001</v>
      </c>
      <c r="I2170" s="7">
        <v>124763906657</v>
      </c>
    </row>
    <row r="2171" spans="1:9" ht="12" customHeight="1" thickBot="1" x14ac:dyDescent="0.25">
      <c r="A2171" s="1" t="s">
        <v>59</v>
      </c>
      <c r="B2171" s="1" t="s">
        <v>12</v>
      </c>
      <c r="C2171" s="1" t="s">
        <v>26</v>
      </c>
      <c r="D2171" s="5">
        <v>45855</v>
      </c>
      <c r="E2171" s="6">
        <v>128085003816</v>
      </c>
      <c r="F2171" s="6">
        <v>1900438633</v>
      </c>
      <c r="G2171" s="6">
        <v>126184565183</v>
      </c>
      <c r="H2171" s="6">
        <v>1120322919</v>
      </c>
      <c r="I2171" s="7">
        <v>126964680897</v>
      </c>
    </row>
    <row r="2172" spans="1:9" ht="12" customHeight="1" thickBot="1" x14ac:dyDescent="0.25">
      <c r="A2172" s="1" t="s">
        <v>59</v>
      </c>
      <c r="B2172" s="1" t="s">
        <v>12</v>
      </c>
      <c r="C2172" s="1" t="s">
        <v>26</v>
      </c>
      <c r="D2172" s="5">
        <v>45856</v>
      </c>
      <c r="E2172" s="6">
        <v>130164878993</v>
      </c>
      <c r="F2172" s="6">
        <v>2067914966</v>
      </c>
      <c r="G2172" s="6">
        <v>128096964027</v>
      </c>
      <c r="H2172" s="6">
        <v>1152674446</v>
      </c>
      <c r="I2172" s="7">
        <v>129012204547</v>
      </c>
    </row>
    <row r="2173" spans="1:9" ht="12" customHeight="1" thickBot="1" x14ac:dyDescent="0.25">
      <c r="A2173" s="1" t="s">
        <v>59</v>
      </c>
      <c r="B2173" s="1" t="s">
        <v>12</v>
      </c>
      <c r="C2173" s="1" t="s">
        <v>26</v>
      </c>
      <c r="D2173" s="5">
        <v>45857</v>
      </c>
      <c r="E2173" s="6">
        <v>131540986180</v>
      </c>
      <c r="F2173" s="6">
        <v>2277101002</v>
      </c>
      <c r="G2173" s="6">
        <v>129263885178</v>
      </c>
      <c r="H2173" s="6">
        <v>1219339380</v>
      </c>
      <c r="I2173" s="7">
        <v>130321646800</v>
      </c>
    </row>
    <row r="2174" spans="1:9" ht="12" customHeight="1" thickBot="1" x14ac:dyDescent="0.25">
      <c r="A2174" s="1" t="s">
        <v>59</v>
      </c>
      <c r="B2174" s="1" t="s">
        <v>12</v>
      </c>
      <c r="C2174" s="1" t="s">
        <v>26</v>
      </c>
      <c r="D2174" s="5">
        <v>45858</v>
      </c>
      <c r="E2174" s="6">
        <v>132822722275</v>
      </c>
      <c r="F2174" s="6">
        <v>2511464892</v>
      </c>
      <c r="G2174" s="6">
        <v>130311257383</v>
      </c>
      <c r="H2174" s="6">
        <v>1247472176</v>
      </c>
      <c r="I2174" s="7">
        <v>131575250099</v>
      </c>
    </row>
    <row r="2175" spans="1:9" ht="12" customHeight="1" thickBot="1" x14ac:dyDescent="0.25">
      <c r="A2175" s="1" t="s">
        <v>59</v>
      </c>
      <c r="B2175" s="1" t="s">
        <v>12</v>
      </c>
      <c r="C2175" s="1" t="s">
        <v>26</v>
      </c>
      <c r="D2175" s="5">
        <v>45859</v>
      </c>
      <c r="E2175" s="6">
        <v>134640257587</v>
      </c>
      <c r="F2175" s="6">
        <v>2320832793</v>
      </c>
      <c r="G2175" s="6">
        <v>132319424794</v>
      </c>
      <c r="H2175" s="6">
        <v>1256987751</v>
      </c>
      <c r="I2175" s="7">
        <v>133383269836</v>
      </c>
    </row>
    <row r="2176" spans="1:9" ht="12" customHeight="1" thickBot="1" x14ac:dyDescent="0.25">
      <c r="A2176" s="1" t="s">
        <v>59</v>
      </c>
      <c r="B2176" s="1" t="s">
        <v>12</v>
      </c>
      <c r="C2176" s="1" t="s">
        <v>26</v>
      </c>
      <c r="D2176" s="5">
        <v>45860</v>
      </c>
      <c r="E2176" s="6">
        <v>135862338997</v>
      </c>
      <c r="F2176" s="6">
        <v>2794405420</v>
      </c>
      <c r="G2176" s="6">
        <v>133067933577</v>
      </c>
      <c r="H2176" s="6">
        <v>1273739028</v>
      </c>
      <c r="I2176" s="7">
        <v>134588599969</v>
      </c>
    </row>
    <row r="2177" spans="1:9" ht="12" customHeight="1" thickBot="1" x14ac:dyDescent="0.25">
      <c r="A2177" s="1" t="s">
        <v>59</v>
      </c>
      <c r="B2177" s="1" t="s">
        <v>12</v>
      </c>
      <c r="C2177" s="1" t="s">
        <v>26</v>
      </c>
      <c r="D2177" s="5">
        <v>45861</v>
      </c>
      <c r="E2177" s="6">
        <v>137030728244</v>
      </c>
      <c r="F2177" s="6">
        <v>2798194260</v>
      </c>
      <c r="G2177" s="6">
        <v>134232533984</v>
      </c>
      <c r="H2177" s="6">
        <v>1358213971</v>
      </c>
      <c r="I2177" s="7">
        <v>135672514273</v>
      </c>
    </row>
    <row r="2178" spans="1:9" ht="12" customHeight="1" thickBot="1" x14ac:dyDescent="0.25">
      <c r="A2178" s="1" t="s">
        <v>59</v>
      </c>
      <c r="B2178" s="1" t="s">
        <v>12</v>
      </c>
      <c r="C2178" s="1" t="s">
        <v>26</v>
      </c>
      <c r="D2178" s="5">
        <v>45862</v>
      </c>
      <c r="E2178" s="6">
        <v>138401921082</v>
      </c>
      <c r="F2178" s="6">
        <v>2976543164</v>
      </c>
      <c r="G2178" s="6">
        <v>135425377918</v>
      </c>
      <c r="H2178" s="6">
        <v>1350807527</v>
      </c>
      <c r="I2178" s="7">
        <v>137051113555</v>
      </c>
    </row>
    <row r="2179" spans="1:9" ht="12" customHeight="1" thickBot="1" x14ac:dyDescent="0.25">
      <c r="A2179" s="1" t="s">
        <v>59</v>
      </c>
      <c r="B2179" s="1" t="s">
        <v>12</v>
      </c>
      <c r="C2179" s="1" t="s">
        <v>26</v>
      </c>
      <c r="D2179" s="5">
        <v>45863</v>
      </c>
      <c r="E2179" s="6">
        <v>139682652297</v>
      </c>
      <c r="F2179" s="6">
        <v>2965374023</v>
      </c>
      <c r="G2179" s="6">
        <v>136717278274</v>
      </c>
      <c r="H2179" s="6">
        <v>1462463278</v>
      </c>
      <c r="I2179" s="7">
        <v>138220189019</v>
      </c>
    </row>
    <row r="2180" spans="1:9" ht="12" customHeight="1" thickBot="1" x14ac:dyDescent="0.25">
      <c r="A2180" s="1" t="s">
        <v>59</v>
      </c>
      <c r="B2180" s="1" t="s">
        <v>12</v>
      </c>
      <c r="C2180" s="1" t="s">
        <v>26</v>
      </c>
      <c r="D2180" s="5">
        <v>45864</v>
      </c>
      <c r="E2180" s="6">
        <v>141520981674</v>
      </c>
      <c r="F2180" s="6">
        <v>2910444860</v>
      </c>
      <c r="G2180" s="6">
        <v>138610536814</v>
      </c>
      <c r="H2180" s="6">
        <v>1449244104</v>
      </c>
      <c r="I2180" s="7">
        <v>140071737570</v>
      </c>
    </row>
    <row r="2181" spans="1:9" ht="12" customHeight="1" thickBot="1" x14ac:dyDescent="0.25">
      <c r="A2181" s="1" t="s">
        <v>59</v>
      </c>
      <c r="B2181" s="1" t="s">
        <v>12</v>
      </c>
      <c r="C2181" s="1" t="s">
        <v>26</v>
      </c>
      <c r="D2181" s="5">
        <v>45865</v>
      </c>
      <c r="E2181" s="6">
        <v>143061906508</v>
      </c>
      <c r="F2181" s="6">
        <v>3003619693</v>
      </c>
      <c r="G2181" s="6">
        <v>140058286815</v>
      </c>
      <c r="H2181" s="6">
        <v>1476806511</v>
      </c>
      <c r="I2181" s="7">
        <v>141585099997</v>
      </c>
    </row>
    <row r="2182" spans="1:9" ht="12" customHeight="1" thickBot="1" x14ac:dyDescent="0.25">
      <c r="A2182" s="1" t="s">
        <v>59</v>
      </c>
      <c r="B2182" s="1" t="s">
        <v>12</v>
      </c>
      <c r="C2182" s="1" t="s">
        <v>26</v>
      </c>
      <c r="D2182" s="5">
        <v>45866</v>
      </c>
      <c r="E2182" s="6">
        <v>143378760772</v>
      </c>
      <c r="F2182" s="6">
        <v>2883141841</v>
      </c>
      <c r="G2182" s="6">
        <v>140495618931</v>
      </c>
      <c r="H2182" s="6">
        <v>1605653536</v>
      </c>
      <c r="I2182" s="7">
        <v>141773107236</v>
      </c>
    </row>
    <row r="2183" spans="1:9" ht="12" customHeight="1" thickBot="1" x14ac:dyDescent="0.25">
      <c r="A2183" s="1" t="s">
        <v>59</v>
      </c>
      <c r="B2183" s="1" t="s">
        <v>12</v>
      </c>
      <c r="C2183" s="1" t="s">
        <v>26</v>
      </c>
      <c r="D2183" s="5">
        <v>45867</v>
      </c>
      <c r="E2183" s="6">
        <v>145067547059</v>
      </c>
      <c r="F2183" s="6">
        <v>3732607072</v>
      </c>
      <c r="G2183" s="6">
        <v>141334939987</v>
      </c>
      <c r="H2183" s="6">
        <v>1721269802</v>
      </c>
      <c r="I2183" s="7">
        <v>143346277257</v>
      </c>
    </row>
    <row r="2184" spans="1:9" ht="12" customHeight="1" thickBot="1" x14ac:dyDescent="0.25">
      <c r="A2184" s="1" t="s">
        <v>59</v>
      </c>
      <c r="B2184" s="1" t="s">
        <v>12</v>
      </c>
      <c r="C2184" s="1" t="s">
        <v>26</v>
      </c>
      <c r="D2184" s="5">
        <v>45868</v>
      </c>
      <c r="E2184" s="6">
        <v>145954294191</v>
      </c>
      <c r="F2184" s="6">
        <v>3298670798</v>
      </c>
      <c r="G2184" s="6">
        <v>142655623393</v>
      </c>
      <c r="H2184" s="6">
        <v>1792430055</v>
      </c>
      <c r="I2184" s="7">
        <v>144161864136</v>
      </c>
    </row>
    <row r="2185" spans="1:9" ht="12" customHeight="1" thickBot="1" x14ac:dyDescent="0.25">
      <c r="A2185" s="1" t="s">
        <v>59</v>
      </c>
      <c r="B2185" s="1" t="s">
        <v>12</v>
      </c>
      <c r="C2185" s="1" t="s">
        <v>26</v>
      </c>
      <c r="D2185" s="5">
        <v>45869</v>
      </c>
      <c r="E2185" s="6">
        <v>147333061236</v>
      </c>
      <c r="F2185" s="6">
        <v>3015929010</v>
      </c>
      <c r="G2185" s="6">
        <v>144317132226</v>
      </c>
      <c r="H2185" s="6">
        <v>1771383916</v>
      </c>
      <c r="I2185" s="7">
        <v>145561677320</v>
      </c>
    </row>
    <row r="2186" spans="1:9" ht="12" customHeight="1" thickBot="1" x14ac:dyDescent="0.25">
      <c r="A2186" s="1" t="s">
        <v>59</v>
      </c>
      <c r="B2186" s="1" t="s">
        <v>12</v>
      </c>
      <c r="C2186" s="1" t="s">
        <v>26</v>
      </c>
      <c r="D2186" s="5">
        <v>45870</v>
      </c>
      <c r="E2186" s="6">
        <v>151271794245</v>
      </c>
      <c r="F2186" s="6">
        <v>2860638408</v>
      </c>
      <c r="G2186" s="6">
        <v>148411155837</v>
      </c>
      <c r="H2186" s="6">
        <v>1955753625</v>
      </c>
      <c r="I2186" s="7">
        <v>149316040620</v>
      </c>
    </row>
    <row r="2187" spans="1:9" ht="12" customHeight="1" thickBot="1" x14ac:dyDescent="0.25">
      <c r="A2187" s="1" t="s">
        <v>59</v>
      </c>
      <c r="B2187" s="1" t="s">
        <v>12</v>
      </c>
      <c r="C2187" s="1" t="s">
        <v>26</v>
      </c>
      <c r="D2187" s="5">
        <v>45871</v>
      </c>
      <c r="E2187" s="6">
        <v>156143054978</v>
      </c>
      <c r="F2187" s="6">
        <v>3280316016</v>
      </c>
      <c r="G2187" s="6">
        <v>152862738962</v>
      </c>
      <c r="H2187" s="6">
        <v>2051456325</v>
      </c>
      <c r="I2187" s="7">
        <v>154091598653</v>
      </c>
    </row>
    <row r="2188" spans="1:9" ht="12" customHeight="1" thickBot="1" x14ac:dyDescent="0.25">
      <c r="A2188" s="1" t="s">
        <v>59</v>
      </c>
      <c r="B2188" s="1" t="s">
        <v>12</v>
      </c>
      <c r="C2188" s="1" t="s">
        <v>26</v>
      </c>
      <c r="D2188" s="5">
        <v>45872</v>
      </c>
      <c r="E2188" s="6">
        <v>161351979168</v>
      </c>
      <c r="F2188" s="6">
        <v>4121838198</v>
      </c>
      <c r="G2188" s="6">
        <v>157230140970</v>
      </c>
      <c r="H2188" s="6">
        <v>2106620353</v>
      </c>
      <c r="I2188" s="7">
        <v>159245358815</v>
      </c>
    </row>
    <row r="2189" spans="1:9" ht="12" customHeight="1" thickBot="1" x14ac:dyDescent="0.25">
      <c r="A2189" s="1" t="s">
        <v>59</v>
      </c>
      <c r="B2189" s="1" t="s">
        <v>12</v>
      </c>
      <c r="C2189" s="1" t="s">
        <v>26</v>
      </c>
      <c r="D2189" s="5">
        <v>45873</v>
      </c>
      <c r="E2189" s="6">
        <v>166529696678</v>
      </c>
      <c r="F2189" s="6">
        <v>3681124204</v>
      </c>
      <c r="G2189" s="6">
        <v>162848572474</v>
      </c>
      <c r="H2189" s="6">
        <v>2165446910</v>
      </c>
      <c r="I2189" s="7">
        <v>164364249768</v>
      </c>
    </row>
    <row r="2190" spans="1:9" ht="12" customHeight="1" thickBot="1" x14ac:dyDescent="0.25">
      <c r="A2190" s="1" t="s">
        <v>59</v>
      </c>
      <c r="B2190" s="1" t="s">
        <v>12</v>
      </c>
      <c r="C2190" s="1" t="s">
        <v>26</v>
      </c>
      <c r="D2190" s="5">
        <v>45874</v>
      </c>
      <c r="E2190" s="6">
        <v>172271221751</v>
      </c>
      <c r="F2190" s="6">
        <v>5364223539</v>
      </c>
      <c r="G2190" s="6">
        <v>166906998212</v>
      </c>
      <c r="H2190" s="6">
        <v>2206043825</v>
      </c>
      <c r="I2190" s="7">
        <v>170065177926</v>
      </c>
    </row>
    <row r="2191" spans="1:9" ht="12" customHeight="1" thickBot="1" x14ac:dyDescent="0.25">
      <c r="A2191" s="1" t="s">
        <v>59</v>
      </c>
      <c r="B2191" s="1" t="s">
        <v>12</v>
      </c>
      <c r="C2191" s="1" t="s">
        <v>26</v>
      </c>
      <c r="D2191" s="5">
        <v>45875</v>
      </c>
      <c r="E2191" s="6">
        <v>176744141575</v>
      </c>
      <c r="F2191" s="6">
        <v>5281220987</v>
      </c>
      <c r="G2191" s="6">
        <v>171462920588</v>
      </c>
      <c r="H2191" s="6">
        <v>2332015067</v>
      </c>
      <c r="I2191" s="7">
        <v>174412126508</v>
      </c>
    </row>
    <row r="2192" spans="1:9" ht="12" customHeight="1" thickBot="1" x14ac:dyDescent="0.25">
      <c r="A2192" s="1" t="s">
        <v>59</v>
      </c>
      <c r="B2192" s="1" t="s">
        <v>12</v>
      </c>
      <c r="C2192" s="1" t="s">
        <v>26</v>
      </c>
      <c r="D2192" s="5">
        <v>45876</v>
      </c>
      <c r="E2192" s="6">
        <v>181653186929</v>
      </c>
      <c r="F2192" s="6">
        <v>4798570348</v>
      </c>
      <c r="G2192" s="6">
        <v>176854616581</v>
      </c>
      <c r="H2192" s="6">
        <v>2281737975</v>
      </c>
      <c r="I2192" s="7">
        <v>179371448954</v>
      </c>
    </row>
    <row r="2193" spans="1:9" ht="12" customHeight="1" thickBot="1" x14ac:dyDescent="0.25">
      <c r="A2193" s="1" t="s">
        <v>59</v>
      </c>
      <c r="B2193" s="1" t="s">
        <v>12</v>
      </c>
      <c r="C2193" s="1" t="s">
        <v>26</v>
      </c>
      <c r="D2193" s="5">
        <v>45877</v>
      </c>
      <c r="E2193" s="6">
        <v>184189764174</v>
      </c>
      <c r="F2193" s="6">
        <v>4790603988</v>
      </c>
      <c r="G2193" s="6">
        <v>179399160186</v>
      </c>
      <c r="H2193" s="6">
        <v>2591725418</v>
      </c>
      <c r="I2193" s="7">
        <v>181598038756</v>
      </c>
    </row>
    <row r="2194" spans="1:9" ht="12" customHeight="1" thickBot="1" x14ac:dyDescent="0.25">
      <c r="A2194" s="1" t="s">
        <v>59</v>
      </c>
      <c r="B2194" s="1" t="s">
        <v>12</v>
      </c>
      <c r="C2194" s="1" t="s">
        <v>26</v>
      </c>
      <c r="D2194" s="5">
        <v>45878</v>
      </c>
      <c r="E2194" s="6">
        <v>183937753372</v>
      </c>
      <c r="F2194" s="6">
        <v>4826123232</v>
      </c>
      <c r="G2194" s="6">
        <v>179111630140</v>
      </c>
      <c r="H2194" s="6">
        <v>2535038640</v>
      </c>
      <c r="I2194" s="7">
        <v>181402714732</v>
      </c>
    </row>
    <row r="2195" spans="1:9" ht="12" customHeight="1" thickBot="1" x14ac:dyDescent="0.25">
      <c r="A2195" s="1" t="s">
        <v>59</v>
      </c>
      <c r="B2195" s="1" t="s">
        <v>12</v>
      </c>
      <c r="C2195" s="1" t="s">
        <v>26</v>
      </c>
      <c r="D2195" s="5">
        <v>45879</v>
      </c>
      <c r="E2195" s="6">
        <v>184007335105</v>
      </c>
      <c r="F2195" s="6">
        <v>5109265757</v>
      </c>
      <c r="G2195" s="6">
        <v>178898069348</v>
      </c>
      <c r="H2195" s="6">
        <v>2534735254</v>
      </c>
      <c r="I2195" s="7">
        <v>181472599851</v>
      </c>
    </row>
    <row r="2196" spans="1:9" ht="12" customHeight="1" thickBot="1" x14ac:dyDescent="0.25">
      <c r="A2196" s="1" t="s">
        <v>59</v>
      </c>
      <c r="B2196" s="1" t="s">
        <v>12</v>
      </c>
      <c r="C2196" s="1" t="s">
        <v>26</v>
      </c>
      <c r="D2196" s="5">
        <v>45880</v>
      </c>
      <c r="E2196" s="6">
        <v>183273662891</v>
      </c>
      <c r="F2196" s="6">
        <v>4772508495</v>
      </c>
      <c r="G2196" s="6">
        <v>178501154396</v>
      </c>
      <c r="H2196" s="6">
        <v>2500197578</v>
      </c>
      <c r="I2196" s="7">
        <v>180773465313</v>
      </c>
    </row>
    <row r="2197" spans="1:9" ht="12" customHeight="1" thickBot="1" x14ac:dyDescent="0.25">
      <c r="A2197" s="1" t="s">
        <v>59</v>
      </c>
      <c r="B2197" s="1" t="s">
        <v>12</v>
      </c>
      <c r="C2197" s="1" t="s">
        <v>26</v>
      </c>
      <c r="D2197" s="5">
        <v>45881</v>
      </c>
      <c r="E2197" s="6">
        <v>182933731160</v>
      </c>
      <c r="F2197" s="6">
        <v>5427864341</v>
      </c>
      <c r="G2197" s="6">
        <v>177505866819</v>
      </c>
      <c r="H2197" s="6">
        <v>2646225494</v>
      </c>
      <c r="I2197" s="7">
        <v>180287505666</v>
      </c>
    </row>
    <row r="2198" spans="1:9" ht="12" customHeight="1" thickBot="1" x14ac:dyDescent="0.25">
      <c r="A2198" s="1" t="s">
        <v>59</v>
      </c>
      <c r="B2198" s="1" t="s">
        <v>12</v>
      </c>
      <c r="C2198" s="1" t="s">
        <v>26</v>
      </c>
      <c r="D2198" s="5">
        <v>45882</v>
      </c>
      <c r="E2198" s="6">
        <v>182483019896</v>
      </c>
      <c r="F2198" s="6">
        <v>5506348122</v>
      </c>
      <c r="G2198" s="6">
        <v>176976671774</v>
      </c>
      <c r="H2198" s="6">
        <v>2849744823</v>
      </c>
      <c r="I2198" s="7">
        <v>179633275073</v>
      </c>
    </row>
    <row r="2199" spans="1:9" ht="12" customHeight="1" thickBot="1" x14ac:dyDescent="0.25">
      <c r="A2199" s="1" t="s">
        <v>59</v>
      </c>
      <c r="B2199" s="1" t="s">
        <v>12</v>
      </c>
      <c r="C2199" s="1" t="s">
        <v>26</v>
      </c>
      <c r="D2199" s="5">
        <v>45883</v>
      </c>
      <c r="E2199" s="6">
        <v>181788497691</v>
      </c>
      <c r="F2199" s="6">
        <v>5519667880</v>
      </c>
      <c r="G2199" s="6">
        <v>176268829811</v>
      </c>
      <c r="H2199" s="6">
        <v>2838213549</v>
      </c>
      <c r="I2199" s="7">
        <v>178950284142</v>
      </c>
    </row>
    <row r="2200" spans="1:9" ht="12" customHeight="1" thickBot="1" x14ac:dyDescent="0.25">
      <c r="A2200" s="1" t="s">
        <v>59</v>
      </c>
      <c r="B2200" s="1" t="s">
        <v>12</v>
      </c>
      <c r="C2200" s="1" t="s">
        <v>26</v>
      </c>
      <c r="D2200" s="5">
        <v>45884</v>
      </c>
      <c r="E2200" s="6">
        <v>183469635160</v>
      </c>
      <c r="F2200" s="6">
        <v>5330051920</v>
      </c>
      <c r="G2200" s="6">
        <v>178139583240</v>
      </c>
      <c r="H2200" s="6">
        <v>3335739304</v>
      </c>
      <c r="I2200" s="7">
        <v>180133895856</v>
      </c>
    </row>
    <row r="2201" spans="1:9" ht="12" customHeight="1" thickBot="1" x14ac:dyDescent="0.25">
      <c r="A2201" s="1" t="s">
        <v>59</v>
      </c>
      <c r="B2201" s="1" t="s">
        <v>12</v>
      </c>
      <c r="C2201" s="1" t="s">
        <v>26</v>
      </c>
      <c r="D2201" s="5">
        <v>45885</v>
      </c>
      <c r="E2201" s="6">
        <v>186874774027</v>
      </c>
      <c r="F2201" s="6">
        <v>5467268472</v>
      </c>
      <c r="G2201" s="6">
        <v>181407505555</v>
      </c>
      <c r="H2201" s="6">
        <v>3414734421</v>
      </c>
      <c r="I2201" s="7">
        <v>183460039606</v>
      </c>
    </row>
    <row r="2202" spans="1:9" ht="12" customHeight="1" thickBot="1" x14ac:dyDescent="0.25">
      <c r="A2202" s="1" t="s">
        <v>59</v>
      </c>
      <c r="B2202" s="1" t="s">
        <v>12</v>
      </c>
      <c r="C2202" s="1" t="s">
        <v>26</v>
      </c>
      <c r="D2202" s="5">
        <v>45886</v>
      </c>
      <c r="E2202" s="6">
        <v>190851506335</v>
      </c>
      <c r="F2202" s="6">
        <v>5798637279</v>
      </c>
      <c r="G2202" s="6">
        <v>185052869056</v>
      </c>
      <c r="H2202" s="6">
        <v>3538480604</v>
      </c>
      <c r="I2202" s="7">
        <v>187313025731</v>
      </c>
    </row>
    <row r="2203" spans="1:9" ht="12" customHeight="1" thickBot="1" x14ac:dyDescent="0.25">
      <c r="A2203" s="1" t="s">
        <v>59</v>
      </c>
      <c r="B2203" s="1" t="s">
        <v>12</v>
      </c>
      <c r="C2203" s="1" t="s">
        <v>26</v>
      </c>
      <c r="D2203" s="5">
        <v>45887</v>
      </c>
      <c r="E2203" s="6">
        <v>193374330849</v>
      </c>
      <c r="F2203" s="6">
        <v>5594890171</v>
      </c>
      <c r="G2203" s="6">
        <v>187779440678</v>
      </c>
      <c r="H2203" s="6">
        <v>3665868184</v>
      </c>
      <c r="I2203" s="7">
        <v>189708462665</v>
      </c>
    </row>
    <row r="2204" spans="1:9" ht="12" customHeight="1" thickBot="1" x14ac:dyDescent="0.25">
      <c r="A2204" s="1" t="s">
        <v>59</v>
      </c>
      <c r="B2204" s="1" t="s">
        <v>12</v>
      </c>
      <c r="C2204" s="1" t="s">
        <v>26</v>
      </c>
      <c r="D2204" s="5">
        <v>45888</v>
      </c>
      <c r="E2204" s="6">
        <v>195248681146</v>
      </c>
      <c r="F2204" s="6">
        <v>6283740843</v>
      </c>
      <c r="G2204" s="6">
        <v>188964940303</v>
      </c>
      <c r="H2204" s="6">
        <v>3692997022</v>
      </c>
      <c r="I2204" s="7">
        <v>191555684124</v>
      </c>
    </row>
    <row r="2205" spans="1:9" ht="12" customHeight="1" thickBot="1" x14ac:dyDescent="0.25">
      <c r="A2205" s="1" t="s">
        <v>59</v>
      </c>
      <c r="B2205" s="1" t="s">
        <v>12</v>
      </c>
      <c r="C2205" s="1" t="s">
        <v>26</v>
      </c>
      <c r="D2205" s="5">
        <v>45889</v>
      </c>
      <c r="E2205" s="6">
        <v>197209547936</v>
      </c>
      <c r="F2205" s="6">
        <v>6265301688</v>
      </c>
      <c r="G2205" s="6">
        <v>190944246248</v>
      </c>
      <c r="H2205" s="6">
        <v>3897959089</v>
      </c>
      <c r="I2205" s="7">
        <v>193311588847</v>
      </c>
    </row>
    <row r="2206" spans="1:9" ht="12" customHeight="1" thickBot="1" x14ac:dyDescent="0.25">
      <c r="A2206" s="1" t="s">
        <v>59</v>
      </c>
      <c r="B2206" s="1" t="s">
        <v>12</v>
      </c>
      <c r="C2206" s="1" t="s">
        <v>26</v>
      </c>
      <c r="D2206" s="5">
        <v>45890</v>
      </c>
      <c r="E2206" s="6">
        <v>198812493377</v>
      </c>
      <c r="F2206" s="6">
        <v>6428889082</v>
      </c>
      <c r="G2206" s="6">
        <v>192383604295</v>
      </c>
      <c r="H2206" s="6">
        <v>3878699089</v>
      </c>
      <c r="I2206" s="7">
        <v>194933794288</v>
      </c>
    </row>
    <row r="2207" spans="1:9" ht="12" customHeight="1" thickBot="1" x14ac:dyDescent="0.25">
      <c r="A2207" s="1" t="s">
        <v>59</v>
      </c>
      <c r="B2207" s="1" t="s">
        <v>12</v>
      </c>
      <c r="C2207" s="1" t="s">
        <v>26</v>
      </c>
      <c r="D2207" s="5">
        <v>45891</v>
      </c>
      <c r="E2207" s="6">
        <v>199948966373</v>
      </c>
      <c r="F2207" s="6">
        <v>6623994320</v>
      </c>
      <c r="G2207" s="6">
        <v>193324972053</v>
      </c>
      <c r="H2207" s="6">
        <v>4141217956</v>
      </c>
      <c r="I2207" s="7">
        <v>195807748417</v>
      </c>
    </row>
    <row r="2208" spans="1:9" ht="12" customHeight="1" thickBot="1" x14ac:dyDescent="0.25">
      <c r="A2208" s="1" t="s">
        <v>59</v>
      </c>
      <c r="B2208" s="1" t="s">
        <v>12</v>
      </c>
      <c r="C2208" s="1" t="s">
        <v>26</v>
      </c>
      <c r="D2208" s="5">
        <v>45892</v>
      </c>
      <c r="E2208" s="6">
        <v>201176809814</v>
      </c>
      <c r="F2208" s="6">
        <v>6727120233</v>
      </c>
      <c r="G2208" s="6">
        <v>194449689581</v>
      </c>
      <c r="H2208" s="6">
        <v>4179111232</v>
      </c>
      <c r="I2208" s="7">
        <v>196997698582</v>
      </c>
    </row>
    <row r="2209" spans="1:9" ht="12" customHeight="1" thickBot="1" x14ac:dyDescent="0.25">
      <c r="A2209" s="1" t="s">
        <v>59</v>
      </c>
      <c r="B2209" s="1" t="s">
        <v>12</v>
      </c>
      <c r="C2209" s="1" t="s">
        <v>26</v>
      </c>
      <c r="D2209" s="5">
        <v>45893</v>
      </c>
      <c r="E2209" s="6">
        <v>202240502319</v>
      </c>
      <c r="F2209" s="6">
        <v>6839330915</v>
      </c>
      <c r="G2209" s="6">
        <v>195401171404</v>
      </c>
      <c r="H2209" s="6">
        <v>4304184129</v>
      </c>
      <c r="I2209" s="7">
        <v>197936318190</v>
      </c>
    </row>
    <row r="2210" spans="1:9" ht="12" customHeight="1" thickBot="1" x14ac:dyDescent="0.25">
      <c r="A2210" s="1" t="s">
        <v>59</v>
      </c>
      <c r="B2210" s="1" t="s">
        <v>12</v>
      </c>
      <c r="C2210" s="1" t="s">
        <v>26</v>
      </c>
      <c r="D2210" s="5">
        <v>45894</v>
      </c>
      <c r="E2210" s="6">
        <v>203546196119</v>
      </c>
      <c r="F2210" s="6">
        <v>6567741360</v>
      </c>
      <c r="G2210" s="6">
        <v>196978454759</v>
      </c>
      <c r="H2210" s="6">
        <v>4514411968</v>
      </c>
      <c r="I2210" s="7">
        <v>199031784151</v>
      </c>
    </row>
    <row r="2211" spans="1:9" ht="12" customHeight="1" thickBot="1" x14ac:dyDescent="0.25">
      <c r="A2211" s="1" t="s">
        <v>59</v>
      </c>
      <c r="B2211" s="1" t="s">
        <v>12</v>
      </c>
      <c r="C2211" s="1" t="s">
        <v>26</v>
      </c>
      <c r="D2211" s="5">
        <v>45895</v>
      </c>
      <c r="E2211" s="6">
        <v>204933482296</v>
      </c>
      <c r="F2211" s="6">
        <v>7140170216</v>
      </c>
      <c r="G2211" s="6">
        <v>197793312080</v>
      </c>
      <c r="H2211" s="6">
        <v>4654328459</v>
      </c>
      <c r="I2211" s="7">
        <v>200279153837</v>
      </c>
    </row>
    <row r="2212" spans="1:9" ht="12" customHeight="1" thickBot="1" x14ac:dyDescent="0.25">
      <c r="A2212" s="1" t="s">
        <v>59</v>
      </c>
      <c r="B2212" s="1" t="s">
        <v>12</v>
      </c>
      <c r="C2212" s="1" t="s">
        <v>26</v>
      </c>
      <c r="D2212" s="5">
        <v>45896</v>
      </c>
      <c r="E2212" s="6">
        <v>206089736233</v>
      </c>
      <c r="F2212" s="6">
        <v>7233638603</v>
      </c>
      <c r="G2212" s="6">
        <v>198856097630</v>
      </c>
      <c r="H2212" s="6">
        <v>4834499389</v>
      </c>
      <c r="I2212" s="7">
        <v>201255236844</v>
      </c>
    </row>
    <row r="2213" spans="1:9" ht="12" customHeight="1" thickBot="1" x14ac:dyDescent="0.25">
      <c r="A2213" s="1" t="s">
        <v>59</v>
      </c>
      <c r="B2213" s="1" t="s">
        <v>12</v>
      </c>
      <c r="C2213" s="1" t="s">
        <v>26</v>
      </c>
      <c r="D2213" s="5">
        <v>45897</v>
      </c>
      <c r="E2213" s="6">
        <v>206628156588</v>
      </c>
      <c r="F2213" s="6">
        <v>7149012510</v>
      </c>
      <c r="G2213" s="6">
        <v>199479144078</v>
      </c>
      <c r="H2213" s="6">
        <v>4718091087</v>
      </c>
      <c r="I2213" s="7">
        <v>201910065501</v>
      </c>
    </row>
    <row r="2214" spans="1:9" ht="12" customHeight="1" thickBot="1" x14ac:dyDescent="0.25">
      <c r="A2214" s="1" t="s">
        <v>59</v>
      </c>
      <c r="B2214" s="1" t="s">
        <v>12</v>
      </c>
      <c r="C2214" s="1" t="s">
        <v>26</v>
      </c>
      <c r="D2214" s="5">
        <v>45898</v>
      </c>
      <c r="E2214" s="6">
        <v>207363138271</v>
      </c>
      <c r="F2214" s="6">
        <v>8003937483</v>
      </c>
      <c r="G2214" s="6">
        <v>199359200788</v>
      </c>
      <c r="H2214" s="6">
        <v>5022625425</v>
      </c>
      <c r="I2214" s="7">
        <v>202340512846</v>
      </c>
    </row>
    <row r="2215" spans="1:9" ht="12" customHeight="1" thickBot="1" x14ac:dyDescent="0.25">
      <c r="A2215" s="1" t="s">
        <v>59</v>
      </c>
      <c r="B2215" s="1" t="s">
        <v>12</v>
      </c>
      <c r="C2215" s="1" t="s">
        <v>26</v>
      </c>
      <c r="D2215" s="5">
        <v>45899</v>
      </c>
      <c r="E2215" s="6">
        <v>209090089016</v>
      </c>
      <c r="F2215" s="6">
        <v>7597903065</v>
      </c>
      <c r="G2215" s="6">
        <v>201492185951</v>
      </c>
      <c r="H2215" s="6">
        <v>5089380828</v>
      </c>
      <c r="I2215" s="7">
        <v>204000708188</v>
      </c>
    </row>
    <row r="2216" spans="1:9" ht="12" customHeight="1" thickBot="1" x14ac:dyDescent="0.25">
      <c r="A2216" s="1" t="s">
        <v>59</v>
      </c>
      <c r="B2216" s="1" t="s">
        <v>12</v>
      </c>
      <c r="C2216" s="1" t="s">
        <v>26</v>
      </c>
      <c r="D2216" s="5">
        <v>45900</v>
      </c>
      <c r="E2216" s="6">
        <v>210389493640</v>
      </c>
      <c r="F2216" s="6">
        <v>7266864252</v>
      </c>
      <c r="G2216" s="6">
        <v>203122629388</v>
      </c>
      <c r="H2216" s="6">
        <v>5228540265</v>
      </c>
      <c r="I2216" s="7">
        <v>205160953375</v>
      </c>
    </row>
    <row r="2217" spans="1:9" ht="12" customHeight="1" thickBot="1" x14ac:dyDescent="0.25">
      <c r="A2217" s="1" t="s">
        <v>59</v>
      </c>
      <c r="B2217" s="1" t="s">
        <v>12</v>
      </c>
      <c r="C2217" s="1" t="s">
        <v>26</v>
      </c>
      <c r="D2217" s="5">
        <v>45901</v>
      </c>
      <c r="E2217" s="6">
        <v>213724726819</v>
      </c>
      <c r="F2217" s="6">
        <v>7213868138</v>
      </c>
      <c r="G2217" s="6">
        <v>206510858681</v>
      </c>
      <c r="H2217" s="6">
        <v>5390424886</v>
      </c>
      <c r="I2217" s="7">
        <v>208334301933</v>
      </c>
    </row>
    <row r="2218" spans="1:9" ht="12" customHeight="1" thickBot="1" x14ac:dyDescent="0.25">
      <c r="A2218" s="1" t="s">
        <v>59</v>
      </c>
      <c r="B2218" s="1" t="s">
        <v>12</v>
      </c>
      <c r="C2218" s="1" t="s">
        <v>26</v>
      </c>
      <c r="D2218" s="5">
        <v>45902</v>
      </c>
      <c r="E2218" s="6">
        <v>217595850550</v>
      </c>
      <c r="F2218" s="6">
        <v>7103497566</v>
      </c>
      <c r="G2218" s="6">
        <v>210492352984</v>
      </c>
      <c r="H2218" s="6">
        <v>5485876873</v>
      </c>
      <c r="I2218" s="7">
        <v>212109973677</v>
      </c>
    </row>
    <row r="2219" spans="1:9" ht="12" customHeight="1" thickBot="1" x14ac:dyDescent="0.25">
      <c r="A2219" s="1" t="s">
        <v>59</v>
      </c>
      <c r="B2219" s="1" t="s">
        <v>12</v>
      </c>
      <c r="C2219" s="1" t="s">
        <v>26</v>
      </c>
      <c r="D2219" s="5">
        <v>45903</v>
      </c>
      <c r="E2219" s="6">
        <v>219691366909</v>
      </c>
      <c r="F2219" s="6">
        <v>6891739806</v>
      </c>
      <c r="G2219" s="6">
        <v>212799627103</v>
      </c>
      <c r="H2219" s="6">
        <v>5605915218</v>
      </c>
      <c r="I2219" s="7">
        <v>214085451691</v>
      </c>
    </row>
    <row r="2220" spans="1:9" ht="12" customHeight="1" thickBot="1" x14ac:dyDescent="0.25">
      <c r="A2220" s="1" t="s">
        <v>59</v>
      </c>
      <c r="B2220" s="1" t="s">
        <v>12</v>
      </c>
      <c r="C2220" s="1" t="s">
        <v>26</v>
      </c>
      <c r="D2220" s="5">
        <v>45904</v>
      </c>
      <c r="E2220" s="6">
        <v>221840910162</v>
      </c>
      <c r="F2220" s="6">
        <v>11368104541</v>
      </c>
      <c r="G2220" s="6">
        <v>210472805621</v>
      </c>
      <c r="H2220" s="6">
        <v>5578076858</v>
      </c>
      <c r="I2220" s="7">
        <v>216262833304</v>
      </c>
    </row>
    <row r="2221" spans="1:9" ht="12" customHeight="1" thickBot="1" x14ac:dyDescent="0.25">
      <c r="A2221" s="1" t="s">
        <v>59</v>
      </c>
      <c r="B2221" s="1" t="s">
        <v>12</v>
      </c>
      <c r="C2221" s="1" t="s">
        <v>26</v>
      </c>
      <c r="D2221" s="5">
        <v>45905</v>
      </c>
      <c r="E2221" s="6">
        <v>224056113383</v>
      </c>
      <c r="F2221" s="6">
        <v>11840560388</v>
      </c>
      <c r="G2221" s="6">
        <v>212215552995</v>
      </c>
      <c r="H2221" s="6">
        <v>5813526543</v>
      </c>
      <c r="I2221" s="7">
        <v>218242586840</v>
      </c>
    </row>
    <row r="2222" spans="1:9" ht="12" customHeight="1" thickBot="1" x14ac:dyDescent="0.25">
      <c r="A2222" s="1" t="s">
        <v>59</v>
      </c>
      <c r="B2222" s="1" t="s">
        <v>12</v>
      </c>
      <c r="C2222" s="1" t="s">
        <v>26</v>
      </c>
      <c r="D2222" s="5">
        <v>45906</v>
      </c>
      <c r="E2222" s="6">
        <v>225560445730</v>
      </c>
      <c r="F2222" s="6">
        <v>11144966973</v>
      </c>
      <c r="G2222" s="6">
        <v>214415478757</v>
      </c>
      <c r="H2222" s="6">
        <v>5903331752</v>
      </c>
      <c r="I2222" s="7">
        <v>219657113978</v>
      </c>
    </row>
    <row r="2223" spans="1:9" ht="12" customHeight="1" thickBot="1" x14ac:dyDescent="0.25">
      <c r="A2223" s="1" t="s">
        <v>59</v>
      </c>
      <c r="B2223" s="1" t="s">
        <v>12</v>
      </c>
      <c r="C2223" s="1" t="s">
        <v>26</v>
      </c>
      <c r="D2223" s="5">
        <v>45907</v>
      </c>
      <c r="E2223" s="6">
        <v>227853202267</v>
      </c>
      <c r="F2223" s="6">
        <v>11197664411</v>
      </c>
      <c r="G2223" s="6">
        <v>216655537856</v>
      </c>
      <c r="H2223" s="6">
        <v>6086191646</v>
      </c>
      <c r="I2223" s="7">
        <v>221767010621</v>
      </c>
    </row>
    <row r="2224" spans="1:9" ht="12" customHeight="1" thickBot="1" x14ac:dyDescent="0.25">
      <c r="A2224" s="1" t="s">
        <v>59</v>
      </c>
      <c r="B2224" s="1" t="s">
        <v>12</v>
      </c>
      <c r="C2224" s="1" t="s">
        <v>26</v>
      </c>
      <c r="D2224" s="5">
        <v>45908</v>
      </c>
      <c r="E2224" s="6">
        <v>229492807771</v>
      </c>
      <c r="F2224" s="6">
        <v>9855058493</v>
      </c>
      <c r="G2224" s="6">
        <v>219637749278</v>
      </c>
      <c r="H2224" s="6">
        <v>6380358439</v>
      </c>
      <c r="I2224" s="7">
        <v>223112449332</v>
      </c>
    </row>
    <row r="2225" spans="1:9" ht="12" customHeight="1" thickBot="1" x14ac:dyDescent="0.25">
      <c r="A2225" s="1" t="s">
        <v>59</v>
      </c>
      <c r="B2225" s="1" t="s">
        <v>12</v>
      </c>
      <c r="C2225" s="1" t="s">
        <v>26</v>
      </c>
      <c r="D2225" s="5">
        <v>45909</v>
      </c>
      <c r="E2225" s="6">
        <v>231755339064</v>
      </c>
      <c r="F2225" s="6">
        <v>11022066118</v>
      </c>
      <c r="G2225" s="6">
        <v>220733272946</v>
      </c>
      <c r="H2225" s="6">
        <v>6361098439</v>
      </c>
      <c r="I2225" s="7">
        <v>225394240625</v>
      </c>
    </row>
    <row r="2226" spans="1:9" ht="12" customHeight="1" thickBot="1" x14ac:dyDescent="0.25">
      <c r="A2226" s="1" t="s">
        <v>59</v>
      </c>
      <c r="B2226" s="1" t="s">
        <v>12</v>
      </c>
      <c r="C2226" s="1" t="s">
        <v>26</v>
      </c>
      <c r="D2226" s="5">
        <v>45910</v>
      </c>
      <c r="E2226" s="6">
        <v>233829681293</v>
      </c>
      <c r="F2226" s="6">
        <v>9987791906</v>
      </c>
      <c r="G2226" s="6">
        <v>223841889387</v>
      </c>
      <c r="H2226" s="6">
        <v>6239809179</v>
      </c>
      <c r="I2226" s="7">
        <v>227589872114</v>
      </c>
    </row>
    <row r="2227" spans="1:9" ht="12" customHeight="1" thickBot="1" x14ac:dyDescent="0.25">
      <c r="A2227" s="1" t="s">
        <v>59</v>
      </c>
      <c r="B2227" s="1" t="s">
        <v>12</v>
      </c>
      <c r="C2227" s="1" t="s">
        <v>26</v>
      </c>
      <c r="D2227" s="5">
        <v>45911</v>
      </c>
      <c r="E2227" s="6">
        <v>235732481754</v>
      </c>
      <c r="F2227" s="6">
        <v>10016969272</v>
      </c>
      <c r="G2227" s="6">
        <v>225715512482</v>
      </c>
      <c r="H2227" s="6">
        <v>6191585517</v>
      </c>
      <c r="I2227" s="7">
        <v>229540896237</v>
      </c>
    </row>
    <row r="2228" spans="1:9" ht="12" customHeight="1" thickBot="1" x14ac:dyDescent="0.25">
      <c r="A2228" s="1" t="s">
        <v>59</v>
      </c>
      <c r="B2228" s="1" t="s">
        <v>12</v>
      </c>
      <c r="C2228" s="1" t="s">
        <v>26</v>
      </c>
      <c r="D2228" s="5">
        <v>45912</v>
      </c>
      <c r="E2228" s="6">
        <v>237781779549</v>
      </c>
      <c r="F2228" s="6">
        <v>9932430596</v>
      </c>
      <c r="G2228" s="6">
        <v>227849348953</v>
      </c>
      <c r="H2228" s="6">
        <v>6167962334</v>
      </c>
      <c r="I2228" s="7">
        <v>231613817215</v>
      </c>
    </row>
    <row r="2229" spans="1:9" ht="12" customHeight="1" thickBot="1" x14ac:dyDescent="0.25">
      <c r="A2229" s="1" t="s">
        <v>59</v>
      </c>
      <c r="B2229" s="1" t="s">
        <v>12</v>
      </c>
      <c r="C2229" s="1" t="s">
        <v>26</v>
      </c>
      <c r="D2229" s="5">
        <v>45913</v>
      </c>
      <c r="E2229" s="6">
        <v>239093218585</v>
      </c>
      <c r="F2229" s="6">
        <v>10040578615</v>
      </c>
      <c r="G2229" s="6">
        <v>229052639970</v>
      </c>
      <c r="H2229" s="6">
        <v>6165405397</v>
      </c>
      <c r="I2229" s="7">
        <v>232927813188</v>
      </c>
    </row>
    <row r="2230" spans="1:9" ht="12" customHeight="1" thickBot="1" x14ac:dyDescent="0.25">
      <c r="A2230" s="1" t="s">
        <v>59</v>
      </c>
      <c r="B2230" s="1" t="s">
        <v>12</v>
      </c>
      <c r="C2230" s="1" t="s">
        <v>26</v>
      </c>
      <c r="D2230" s="5">
        <v>45914</v>
      </c>
      <c r="E2230" s="6">
        <v>240747091157</v>
      </c>
      <c r="F2230" s="6">
        <v>10370595584</v>
      </c>
      <c r="G2230" s="6">
        <v>230376495573</v>
      </c>
      <c r="H2230" s="6">
        <v>7025732808</v>
      </c>
      <c r="I2230" s="7">
        <v>233721358349</v>
      </c>
    </row>
    <row r="2231" spans="1:9" ht="12" customHeight="1" thickBot="1" x14ac:dyDescent="0.25">
      <c r="A2231" s="1" t="s">
        <v>59</v>
      </c>
      <c r="B2231" s="1" t="s">
        <v>12</v>
      </c>
      <c r="C2231" s="1" t="s">
        <v>26</v>
      </c>
      <c r="D2231" s="5">
        <v>45915</v>
      </c>
      <c r="E2231" s="6">
        <v>242128179227</v>
      </c>
      <c r="F2231" s="6">
        <v>9683126321</v>
      </c>
      <c r="G2231" s="6">
        <v>232445052906</v>
      </c>
      <c r="H2231" s="6">
        <v>7430822342</v>
      </c>
      <c r="I2231" s="7">
        <v>234697356885</v>
      </c>
    </row>
    <row r="2232" spans="1:9" ht="12" customHeight="1" thickBot="1" x14ac:dyDescent="0.25">
      <c r="A2232" s="1" t="s">
        <v>59</v>
      </c>
      <c r="B2232" s="1" t="s">
        <v>12</v>
      </c>
      <c r="C2232" s="1" t="s">
        <v>26</v>
      </c>
      <c r="D2232" s="5">
        <v>45916</v>
      </c>
      <c r="E2232" s="6">
        <v>243701052017</v>
      </c>
      <c r="F2232" s="6">
        <v>10513287694</v>
      </c>
      <c r="G2232" s="6">
        <v>233187764323</v>
      </c>
      <c r="H2232" s="6">
        <v>7626766103</v>
      </c>
      <c r="I2232" s="7">
        <v>236074285914</v>
      </c>
    </row>
    <row r="2233" spans="1:9" ht="12" customHeight="1" thickBot="1" x14ac:dyDescent="0.25">
      <c r="A2233" s="1" t="s">
        <v>59</v>
      </c>
      <c r="B2233" s="1" t="s">
        <v>12</v>
      </c>
      <c r="C2233" s="1" t="s">
        <v>26</v>
      </c>
      <c r="D2233" s="5">
        <v>45917</v>
      </c>
      <c r="E2233" s="6">
        <v>244797327175</v>
      </c>
      <c r="F2233" s="6">
        <v>10770030562</v>
      </c>
      <c r="G2233" s="6">
        <v>234027296613</v>
      </c>
      <c r="H2233" s="6">
        <v>7749456715</v>
      </c>
      <c r="I2233" s="7">
        <v>237047870460</v>
      </c>
    </row>
    <row r="2234" spans="1:9" ht="12" customHeight="1" thickBot="1" x14ac:dyDescent="0.25">
      <c r="A2234" s="1" t="s">
        <v>59</v>
      </c>
      <c r="B2234" s="1" t="s">
        <v>12</v>
      </c>
      <c r="C2234" s="1" t="s">
        <v>26</v>
      </c>
      <c r="D2234" s="5">
        <v>45918</v>
      </c>
      <c r="E2234" s="6">
        <v>245868156963</v>
      </c>
      <c r="F2234" s="6">
        <v>10840796816</v>
      </c>
      <c r="G2234" s="6">
        <v>235027360147</v>
      </c>
      <c r="H2234" s="6">
        <v>7601369399</v>
      </c>
      <c r="I2234" s="7">
        <v>238266787564</v>
      </c>
    </row>
    <row r="2235" spans="1:9" ht="12" customHeight="1" thickBot="1" x14ac:dyDescent="0.25">
      <c r="A2235" s="1" t="s">
        <v>59</v>
      </c>
      <c r="B2235" s="1" t="s">
        <v>12</v>
      </c>
      <c r="C2235" s="1" t="s">
        <v>26</v>
      </c>
      <c r="D2235" s="5">
        <v>45919</v>
      </c>
      <c r="E2235" s="6">
        <v>247871189861</v>
      </c>
      <c r="F2235" s="6">
        <v>10945557867</v>
      </c>
      <c r="G2235" s="6">
        <v>236925631994</v>
      </c>
      <c r="H2235" s="6">
        <v>8072175663</v>
      </c>
      <c r="I2235" s="7">
        <v>239799014198</v>
      </c>
    </row>
    <row r="2236" spans="1:9" ht="12" customHeight="1" thickBot="1" x14ac:dyDescent="0.25">
      <c r="A2236" s="1" t="s">
        <v>59</v>
      </c>
      <c r="B2236" s="1" t="s">
        <v>12</v>
      </c>
      <c r="C2236" s="1" t="s">
        <v>26</v>
      </c>
      <c r="D2236" s="5">
        <v>45920</v>
      </c>
      <c r="E2236" s="6">
        <v>249050108544</v>
      </c>
      <c r="F2236" s="6">
        <v>11408272793</v>
      </c>
      <c r="G2236" s="6">
        <v>237641835751</v>
      </c>
      <c r="H2236" s="6">
        <v>8195944032</v>
      </c>
      <c r="I2236" s="7">
        <v>240854164512</v>
      </c>
    </row>
    <row r="2237" spans="1:9" ht="12" customHeight="1" thickBot="1" x14ac:dyDescent="0.25">
      <c r="A2237" s="1" t="s">
        <v>59</v>
      </c>
      <c r="B2237" s="1" t="s">
        <v>12</v>
      </c>
      <c r="C2237" s="1" t="s">
        <v>26</v>
      </c>
      <c r="D2237" s="5">
        <v>45921</v>
      </c>
      <c r="E2237" s="6">
        <v>250700418628</v>
      </c>
      <c r="F2237" s="6">
        <v>11510187965</v>
      </c>
      <c r="G2237" s="6">
        <v>239190230663</v>
      </c>
      <c r="H2237" s="6">
        <v>8302215672</v>
      </c>
      <c r="I2237" s="7">
        <v>242398202956</v>
      </c>
    </row>
    <row r="2238" spans="1:9" ht="12" customHeight="1" thickBot="1" x14ac:dyDescent="0.25">
      <c r="A2238" s="1" t="s">
        <v>59</v>
      </c>
      <c r="B2238" s="1" t="s">
        <v>12</v>
      </c>
      <c r="C2238" s="1" t="s">
        <v>26</v>
      </c>
      <c r="D2238" s="5">
        <v>45922</v>
      </c>
      <c r="E2238" s="6">
        <v>252352122421</v>
      </c>
      <c r="F2238" s="6">
        <v>11160469669</v>
      </c>
      <c r="G2238" s="6">
        <v>241191652752</v>
      </c>
      <c r="H2238" s="6">
        <v>8480981184</v>
      </c>
      <c r="I2238" s="7">
        <v>243871141237</v>
      </c>
    </row>
    <row r="2239" spans="1:9" ht="12" customHeight="1" thickBot="1" x14ac:dyDescent="0.25">
      <c r="A2239" s="1" t="s">
        <v>59</v>
      </c>
      <c r="B2239" s="1" t="s">
        <v>12</v>
      </c>
      <c r="C2239" s="1" t="s">
        <v>26</v>
      </c>
      <c r="D2239" s="5">
        <v>45923</v>
      </c>
      <c r="E2239" s="6">
        <v>254183876299</v>
      </c>
      <c r="F2239" s="6">
        <v>11916220330</v>
      </c>
      <c r="G2239" s="6">
        <v>242267655969</v>
      </c>
      <c r="H2239" s="6">
        <v>8608136800</v>
      </c>
      <c r="I2239" s="7">
        <v>245575739499</v>
      </c>
    </row>
    <row r="2240" spans="1:9" ht="12" customHeight="1" thickBot="1" x14ac:dyDescent="0.25">
      <c r="A2240" s="1" t="s">
        <v>59</v>
      </c>
      <c r="B2240" s="1" t="s">
        <v>12</v>
      </c>
      <c r="C2240" s="1" t="s">
        <v>26</v>
      </c>
      <c r="D2240" s="5">
        <v>45924</v>
      </c>
      <c r="E2240" s="6">
        <v>255983716097</v>
      </c>
      <c r="F2240" s="6">
        <v>11999689922</v>
      </c>
      <c r="G2240" s="6">
        <v>243984026175</v>
      </c>
      <c r="H2240" s="6">
        <v>8706176814</v>
      </c>
      <c r="I2240" s="7">
        <v>247277539283</v>
      </c>
    </row>
    <row r="2241" spans="1:9" ht="12" customHeight="1" thickBot="1" x14ac:dyDescent="0.25">
      <c r="A2241" s="1" t="s">
        <v>59</v>
      </c>
      <c r="B2241" s="1" t="s">
        <v>12</v>
      </c>
      <c r="C2241" s="1" t="s">
        <v>26</v>
      </c>
      <c r="D2241" s="5">
        <v>45925</v>
      </c>
      <c r="E2241" s="6">
        <v>257892642876</v>
      </c>
      <c r="F2241" s="6">
        <v>11966311803</v>
      </c>
      <c r="G2241" s="6">
        <v>245926331073</v>
      </c>
      <c r="H2241" s="6">
        <v>8622059286</v>
      </c>
      <c r="I2241" s="7">
        <v>249270583590</v>
      </c>
    </row>
    <row r="2242" spans="1:9" ht="12" customHeight="1" thickBot="1" x14ac:dyDescent="0.25">
      <c r="A2242" s="1" t="s">
        <v>59</v>
      </c>
      <c r="B2242" s="1" t="s">
        <v>12</v>
      </c>
      <c r="C2242" s="1" t="s">
        <v>26</v>
      </c>
      <c r="D2242" s="5">
        <v>45926</v>
      </c>
      <c r="E2242" s="6">
        <v>259605501540</v>
      </c>
      <c r="F2242" s="6">
        <v>11819562921</v>
      </c>
      <c r="G2242" s="6">
        <v>247785938619</v>
      </c>
      <c r="H2242" s="6">
        <v>8894931780</v>
      </c>
      <c r="I2242" s="7">
        <v>250710569760</v>
      </c>
    </row>
    <row r="2243" spans="1:9" ht="12" customHeight="1" thickBot="1" x14ac:dyDescent="0.25">
      <c r="A2243" s="1" t="s">
        <v>59</v>
      </c>
      <c r="B2243" s="1" t="s">
        <v>12</v>
      </c>
      <c r="C2243" s="1" t="s">
        <v>26</v>
      </c>
      <c r="D2243" s="5">
        <v>45927</v>
      </c>
      <c r="E2243" s="6">
        <v>260746050572</v>
      </c>
      <c r="F2243" s="6">
        <v>11962137351</v>
      </c>
      <c r="G2243" s="6">
        <v>248783913221</v>
      </c>
      <c r="H2243" s="6">
        <v>9045803227</v>
      </c>
      <c r="I2243" s="7">
        <v>251700247345</v>
      </c>
    </row>
    <row r="2244" spans="1:9" ht="12" customHeight="1" thickBot="1" x14ac:dyDescent="0.25">
      <c r="A2244" s="1" t="s">
        <v>59</v>
      </c>
      <c r="B2244" s="1" t="s">
        <v>12</v>
      </c>
      <c r="C2244" s="1" t="s">
        <v>26</v>
      </c>
      <c r="D2244" s="5">
        <v>45928</v>
      </c>
      <c r="E2244" s="6">
        <v>262434402856</v>
      </c>
      <c r="F2244" s="6">
        <v>12466392505</v>
      </c>
      <c r="G2244" s="6">
        <v>249968010351</v>
      </c>
      <c r="H2244" s="6">
        <v>9425079144</v>
      </c>
      <c r="I2244" s="7">
        <v>253009323712</v>
      </c>
    </row>
    <row r="2245" spans="1:9" ht="12" customHeight="1" thickBot="1" x14ac:dyDescent="0.25">
      <c r="A2245" s="1" t="s">
        <v>59</v>
      </c>
      <c r="B2245" s="1" t="s">
        <v>12</v>
      </c>
      <c r="C2245" s="1" t="s">
        <v>26</v>
      </c>
      <c r="D2245" s="5">
        <v>45929</v>
      </c>
      <c r="E2245" s="6">
        <v>263278420564</v>
      </c>
      <c r="F2245" s="6">
        <v>11935346533</v>
      </c>
      <c r="G2245" s="6">
        <v>251343074031</v>
      </c>
      <c r="H2245" s="6">
        <v>9559970229</v>
      </c>
      <c r="I2245" s="7">
        <v>253718450335</v>
      </c>
    </row>
    <row r="2246" spans="1:9" ht="12" customHeight="1" thickBot="1" x14ac:dyDescent="0.25">
      <c r="A2246" s="1" t="s">
        <v>59</v>
      </c>
      <c r="B2246" s="1" t="s">
        <v>12</v>
      </c>
      <c r="C2246" s="1" t="s">
        <v>26</v>
      </c>
      <c r="D2246" s="5">
        <v>45930</v>
      </c>
      <c r="E2246" s="6">
        <v>265187908930</v>
      </c>
      <c r="F2246" s="6">
        <v>13122834466</v>
      </c>
      <c r="G2246" s="6">
        <v>252065074464</v>
      </c>
      <c r="H2246" s="6">
        <v>9728610374</v>
      </c>
      <c r="I2246" s="7">
        <v>255459298556</v>
      </c>
    </row>
  </sheetData>
  <autoFilter ref="A1:I2246" xr:uid="{CBC504D2-DD43-4245-AE05-B3DF2E069B6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0F149-7577-4547-9C55-E816B4D308D7}">
  <sheetPr filterMode="1"/>
  <dimension ref="B1:K42"/>
  <sheetViews>
    <sheetView topLeftCell="K1" workbookViewId="0">
      <selection activeCell="N30" sqref="N30"/>
    </sheetView>
  </sheetViews>
  <sheetFormatPr baseColWidth="10" defaultColWidth="8.83203125" defaultRowHeight="16" x14ac:dyDescent="0.2"/>
  <cols>
    <col min="1" max="1" width="8.83203125" style="4"/>
    <col min="2" max="2" width="8.5" style="4" bestFit="1" customWidth="1"/>
    <col min="3" max="3" width="5.33203125" style="4" bestFit="1" customWidth="1"/>
    <col min="4" max="4" width="5.33203125" style="4" customWidth="1"/>
    <col min="5" max="5" width="26.6640625" style="4" bestFit="1" customWidth="1"/>
    <col min="6" max="6" width="20.6640625" style="27" bestFit="1" customWidth="1"/>
    <col min="7" max="7" width="17.33203125" style="27" bestFit="1" customWidth="1"/>
    <col min="8" max="8" width="8.83203125" style="4" bestFit="1" customWidth="1"/>
    <col min="9" max="9" width="6.33203125" style="4" bestFit="1" customWidth="1"/>
    <col min="10" max="16384" width="8.83203125" style="4"/>
  </cols>
  <sheetData>
    <row r="1" spans="2:11" x14ac:dyDescent="0.2">
      <c r="F1" s="27">
        <f>SUBTOTAL(9,F3:F43)</f>
        <v>16198720096480</v>
      </c>
      <c r="G1" s="27">
        <f>SUBTOTAL(9,G3:G43)</f>
        <v>3123384076.5736985</v>
      </c>
      <c r="I1" s="28">
        <f>G1/F1*365</f>
        <v>7.0378102785857183E-2</v>
      </c>
      <c r="K1" s="29">
        <v>7.0378102785857183E-2</v>
      </c>
    </row>
    <row r="2" spans="2:11" x14ac:dyDescent="0.2">
      <c r="F2" s="27">
        <f>SUM(F4:F42)</f>
        <v>348822682508025</v>
      </c>
      <c r="G2" s="27">
        <f>SUM(G4:G42)</f>
        <v>63783620900.743423</v>
      </c>
      <c r="I2" s="4">
        <f>SUM(I4:I42)</f>
        <v>1173</v>
      </c>
    </row>
    <row r="3" spans="2:11" x14ac:dyDescent="0.2">
      <c r="B3" s="4" t="s">
        <v>60</v>
      </c>
      <c r="C3" s="4" t="s">
        <v>61</v>
      </c>
      <c r="D3" s="4" t="s">
        <v>2</v>
      </c>
      <c r="E3" s="4" t="s">
        <v>62</v>
      </c>
      <c r="F3" s="27" t="s">
        <v>63</v>
      </c>
      <c r="G3" s="27" t="s">
        <v>64</v>
      </c>
      <c r="H3" s="4" t="s">
        <v>65</v>
      </c>
      <c r="I3" s="4" t="s">
        <v>66</v>
      </c>
    </row>
    <row r="4" spans="2:11" hidden="1" x14ac:dyDescent="0.2">
      <c r="B4" s="4" t="s">
        <v>67</v>
      </c>
      <c r="C4" s="4" t="s">
        <v>68</v>
      </c>
      <c r="D4" s="4" t="s">
        <v>69</v>
      </c>
      <c r="E4" s="4" t="s">
        <v>70</v>
      </c>
      <c r="F4" s="27">
        <v>175237237692</v>
      </c>
      <c r="G4" s="27">
        <v>35108053.829599991</v>
      </c>
      <c r="H4" s="4">
        <v>9</v>
      </c>
      <c r="I4" s="4">
        <v>30</v>
      </c>
    </row>
    <row r="5" spans="2:11" hidden="1" x14ac:dyDescent="0.2">
      <c r="B5" s="4" t="s">
        <v>67</v>
      </c>
      <c r="C5" s="4" t="s">
        <v>68</v>
      </c>
      <c r="D5" s="4" t="s">
        <v>20</v>
      </c>
      <c r="E5" s="4" t="s">
        <v>71</v>
      </c>
      <c r="F5" s="27">
        <v>45792086198052</v>
      </c>
      <c r="G5" s="27">
        <v>8822040089.5528088</v>
      </c>
      <c r="H5" s="4">
        <v>9</v>
      </c>
      <c r="I5" s="4">
        <v>30</v>
      </c>
    </row>
    <row r="6" spans="2:11" hidden="1" x14ac:dyDescent="0.2">
      <c r="B6" s="4" t="s">
        <v>67</v>
      </c>
      <c r="C6" s="4" t="s">
        <v>34</v>
      </c>
      <c r="D6" s="4" t="s">
        <v>20</v>
      </c>
      <c r="E6" s="4" t="s">
        <v>72</v>
      </c>
      <c r="F6" s="27">
        <v>7169005435909</v>
      </c>
      <c r="G6" s="27">
        <v>991098493.76622188</v>
      </c>
      <c r="H6" s="4">
        <v>9</v>
      </c>
      <c r="I6" s="4">
        <v>30</v>
      </c>
    </row>
    <row r="7" spans="2:11" hidden="1" x14ac:dyDescent="0.2">
      <c r="B7" s="4" t="s">
        <v>67</v>
      </c>
      <c r="C7" s="4" t="s">
        <v>37</v>
      </c>
      <c r="D7" s="4" t="s">
        <v>20</v>
      </c>
      <c r="E7" s="4" t="s">
        <v>73</v>
      </c>
      <c r="F7" s="27">
        <v>3672603510227</v>
      </c>
      <c r="G7" s="27">
        <v>546679020.90572369</v>
      </c>
      <c r="H7" s="4">
        <v>9</v>
      </c>
      <c r="I7" s="4">
        <v>30</v>
      </c>
    </row>
    <row r="8" spans="2:11" hidden="1" x14ac:dyDescent="0.2">
      <c r="B8" s="4" t="s">
        <v>67</v>
      </c>
      <c r="C8" s="4" t="s">
        <v>68</v>
      </c>
      <c r="D8" s="4" t="s">
        <v>21</v>
      </c>
      <c r="E8" s="4" t="s">
        <v>74</v>
      </c>
      <c r="F8" s="27">
        <v>7860835561894</v>
      </c>
      <c r="G8" s="27">
        <v>1521183689.232101</v>
      </c>
      <c r="H8" s="4">
        <v>9</v>
      </c>
      <c r="I8" s="4">
        <v>30</v>
      </c>
    </row>
    <row r="9" spans="2:11" hidden="1" x14ac:dyDescent="0.2">
      <c r="B9" s="4" t="s">
        <v>67</v>
      </c>
      <c r="C9" s="4" t="s">
        <v>68</v>
      </c>
      <c r="D9" s="4" t="s">
        <v>22</v>
      </c>
      <c r="E9" s="4" t="s">
        <v>75</v>
      </c>
      <c r="F9" s="27">
        <v>530282165595</v>
      </c>
      <c r="G9" s="27">
        <v>116196117.29580016</v>
      </c>
      <c r="H9" s="4">
        <v>9</v>
      </c>
      <c r="I9" s="4">
        <v>30</v>
      </c>
    </row>
    <row r="10" spans="2:11" hidden="1" x14ac:dyDescent="0.2">
      <c r="B10" s="4" t="s">
        <v>67</v>
      </c>
      <c r="C10" s="4" t="s">
        <v>68</v>
      </c>
      <c r="D10" s="4" t="s">
        <v>23</v>
      </c>
      <c r="E10" s="4" t="s">
        <v>76</v>
      </c>
      <c r="F10" s="27">
        <v>47500871433668</v>
      </c>
      <c r="G10" s="27">
        <v>9199477518.9295311</v>
      </c>
      <c r="H10" s="4">
        <v>9</v>
      </c>
      <c r="I10" s="4">
        <v>30</v>
      </c>
    </row>
    <row r="11" spans="2:11" hidden="1" x14ac:dyDescent="0.2">
      <c r="B11" s="4" t="s">
        <v>67</v>
      </c>
      <c r="C11" s="4" t="s">
        <v>37</v>
      </c>
      <c r="D11" s="4" t="s">
        <v>23</v>
      </c>
      <c r="E11" s="4" t="s">
        <v>77</v>
      </c>
      <c r="F11" s="27">
        <v>6555226346162</v>
      </c>
      <c r="G11" s="27">
        <v>1021781034.7704437</v>
      </c>
      <c r="H11" s="4">
        <v>9</v>
      </c>
      <c r="I11" s="4">
        <v>30</v>
      </c>
    </row>
    <row r="12" spans="2:11" hidden="1" x14ac:dyDescent="0.2">
      <c r="B12" s="4" t="s">
        <v>67</v>
      </c>
      <c r="C12" s="4" t="s">
        <v>37</v>
      </c>
      <c r="D12" s="4" t="s">
        <v>23</v>
      </c>
      <c r="E12" s="4" t="s">
        <v>78</v>
      </c>
      <c r="F12" s="27">
        <v>25934847005</v>
      </c>
      <c r="G12" s="27">
        <v>3828070.8097999999</v>
      </c>
      <c r="H12" s="4">
        <v>9</v>
      </c>
      <c r="I12" s="4">
        <v>30</v>
      </c>
    </row>
    <row r="13" spans="2:11" hidden="1" x14ac:dyDescent="0.2">
      <c r="B13" s="4" t="s">
        <v>67</v>
      </c>
      <c r="C13" s="4" t="s">
        <v>68</v>
      </c>
      <c r="D13" s="4" t="s">
        <v>23</v>
      </c>
      <c r="E13" s="4" t="s">
        <v>79</v>
      </c>
      <c r="F13" s="27">
        <v>234239258102</v>
      </c>
      <c r="G13" s="27">
        <v>44742343.228500105</v>
      </c>
      <c r="H13" s="4">
        <v>9</v>
      </c>
      <c r="I13" s="4">
        <v>30</v>
      </c>
    </row>
    <row r="14" spans="2:11" hidden="1" x14ac:dyDescent="0.2">
      <c r="B14" s="4" t="s">
        <v>67</v>
      </c>
      <c r="C14" s="4" t="s">
        <v>68</v>
      </c>
      <c r="D14" s="4" t="s">
        <v>24</v>
      </c>
      <c r="E14" s="4" t="s">
        <v>80</v>
      </c>
      <c r="F14" s="27">
        <v>2538375718443</v>
      </c>
      <c r="G14" s="27">
        <v>469029388.97289979</v>
      </c>
      <c r="H14" s="4">
        <v>9</v>
      </c>
      <c r="I14" s="4">
        <v>30</v>
      </c>
    </row>
    <row r="15" spans="2:11" hidden="1" x14ac:dyDescent="0.2">
      <c r="B15" s="4" t="s">
        <v>67</v>
      </c>
      <c r="C15" s="4" t="s">
        <v>68</v>
      </c>
      <c r="D15" s="4" t="s">
        <v>25</v>
      </c>
      <c r="E15" s="4" t="s">
        <v>81</v>
      </c>
      <c r="F15" s="27">
        <v>74534379401</v>
      </c>
      <c r="G15" s="27">
        <v>14917047.562100017</v>
      </c>
      <c r="H15" s="4">
        <v>9</v>
      </c>
      <c r="I15" s="4">
        <v>30</v>
      </c>
    </row>
    <row r="16" spans="2:11" x14ac:dyDescent="0.2">
      <c r="B16" s="4" t="s">
        <v>67</v>
      </c>
      <c r="C16" s="4" t="s">
        <v>68</v>
      </c>
      <c r="D16" s="4" t="s">
        <v>26</v>
      </c>
      <c r="E16" s="4" t="s">
        <v>82</v>
      </c>
      <c r="F16" s="27">
        <v>7090478078140</v>
      </c>
      <c r="G16" s="27">
        <v>1395719252.0424969</v>
      </c>
      <c r="H16" s="4">
        <v>9</v>
      </c>
      <c r="I16" s="4">
        <v>30</v>
      </c>
    </row>
    <row r="17" spans="2:9" hidden="1" x14ac:dyDescent="0.2">
      <c r="B17" s="4" t="s">
        <v>67</v>
      </c>
      <c r="C17" s="4" t="s">
        <v>68</v>
      </c>
      <c r="D17" s="4" t="s">
        <v>69</v>
      </c>
      <c r="E17" s="30" t="s">
        <v>70</v>
      </c>
      <c r="F17" s="27">
        <v>227915625750</v>
      </c>
      <c r="G17" s="27">
        <v>45244008.315300122</v>
      </c>
      <c r="H17" s="4">
        <v>8</v>
      </c>
      <c r="I17" s="4">
        <v>31</v>
      </c>
    </row>
    <row r="18" spans="2:9" hidden="1" x14ac:dyDescent="0.2">
      <c r="B18" s="4" t="s">
        <v>67</v>
      </c>
      <c r="C18" s="4" t="s">
        <v>68</v>
      </c>
      <c r="D18" s="4" t="s">
        <v>20</v>
      </c>
      <c r="E18" s="30" t="s">
        <v>71</v>
      </c>
      <c r="F18" s="27">
        <v>41280215956610</v>
      </c>
      <c r="G18" s="27">
        <v>7754036270.4407501</v>
      </c>
      <c r="H18" s="4">
        <v>8</v>
      </c>
      <c r="I18" s="4">
        <v>31</v>
      </c>
    </row>
    <row r="19" spans="2:9" hidden="1" x14ac:dyDescent="0.2">
      <c r="B19" s="4" t="s">
        <v>67</v>
      </c>
      <c r="C19" s="4" t="s">
        <v>34</v>
      </c>
      <c r="D19" s="4" t="s">
        <v>20</v>
      </c>
      <c r="E19" s="30" t="s">
        <v>72</v>
      </c>
      <c r="F19" s="27">
        <v>8075773783819</v>
      </c>
      <c r="G19" s="27">
        <v>1106962660.5554149</v>
      </c>
      <c r="H19" s="4">
        <v>8</v>
      </c>
      <c r="I19" s="4">
        <v>31</v>
      </c>
    </row>
    <row r="20" spans="2:9" hidden="1" x14ac:dyDescent="0.2">
      <c r="B20" s="4" t="s">
        <v>67</v>
      </c>
      <c r="C20" s="4" t="s">
        <v>37</v>
      </c>
      <c r="D20" s="4" t="s">
        <v>20</v>
      </c>
      <c r="E20" s="30" t="s">
        <v>73</v>
      </c>
      <c r="F20" s="27">
        <v>2258725784559</v>
      </c>
      <c r="G20" s="27">
        <v>324195872.69566309</v>
      </c>
      <c r="H20" s="4">
        <v>8</v>
      </c>
      <c r="I20" s="4">
        <v>31</v>
      </c>
    </row>
    <row r="21" spans="2:9" hidden="1" x14ac:dyDescent="0.2">
      <c r="B21" s="4" t="s">
        <v>67</v>
      </c>
      <c r="C21" s="4" t="s">
        <v>68</v>
      </c>
      <c r="D21" s="4" t="s">
        <v>21</v>
      </c>
      <c r="E21" s="30" t="s">
        <v>74</v>
      </c>
      <c r="F21" s="27">
        <v>6300017954406</v>
      </c>
      <c r="G21" s="27">
        <v>1186639732.3457015</v>
      </c>
      <c r="H21" s="4">
        <v>8</v>
      </c>
      <c r="I21" s="4">
        <v>31</v>
      </c>
    </row>
    <row r="22" spans="2:9" hidden="1" x14ac:dyDescent="0.2">
      <c r="B22" s="4" t="s">
        <v>67</v>
      </c>
      <c r="C22" s="4" t="s">
        <v>68</v>
      </c>
      <c r="D22" s="4" t="s">
        <v>22</v>
      </c>
      <c r="E22" s="30" t="s">
        <v>75</v>
      </c>
      <c r="F22" s="27">
        <v>662360457132</v>
      </c>
      <c r="G22" s="27">
        <v>144441340.00560009</v>
      </c>
      <c r="H22" s="4">
        <v>8</v>
      </c>
      <c r="I22" s="4">
        <v>31</v>
      </c>
    </row>
    <row r="23" spans="2:9" hidden="1" x14ac:dyDescent="0.2">
      <c r="B23" s="4" t="s">
        <v>67</v>
      </c>
      <c r="C23" s="4" t="s">
        <v>68</v>
      </c>
      <c r="D23" s="4" t="s">
        <v>23</v>
      </c>
      <c r="E23" s="30" t="s">
        <v>76</v>
      </c>
      <c r="F23" s="27">
        <v>44474355290699</v>
      </c>
      <c r="G23" s="27">
        <v>8431017077.3974457</v>
      </c>
      <c r="H23" s="4">
        <v>8</v>
      </c>
      <c r="I23" s="4">
        <v>31</v>
      </c>
    </row>
    <row r="24" spans="2:9" hidden="1" x14ac:dyDescent="0.2">
      <c r="B24" s="4" t="s">
        <v>67</v>
      </c>
      <c r="C24" s="4" t="s">
        <v>37</v>
      </c>
      <c r="D24" s="4" t="s">
        <v>23</v>
      </c>
      <c r="E24" s="30" t="s">
        <v>77</v>
      </c>
      <c r="F24" s="27">
        <v>5860065293620</v>
      </c>
      <c r="G24" s="27">
        <v>904678029.56090653</v>
      </c>
      <c r="H24" s="4">
        <v>8</v>
      </c>
      <c r="I24" s="4">
        <v>31</v>
      </c>
    </row>
    <row r="25" spans="2:9" hidden="1" x14ac:dyDescent="0.2">
      <c r="B25" s="4" t="s">
        <v>67</v>
      </c>
      <c r="C25" s="4" t="s">
        <v>37</v>
      </c>
      <c r="D25" s="4" t="s">
        <v>23</v>
      </c>
      <c r="E25" s="30" t="s">
        <v>78</v>
      </c>
      <c r="F25" s="27">
        <v>24866579982</v>
      </c>
      <c r="G25" s="27">
        <v>3609016.7509000013</v>
      </c>
      <c r="H25" s="4">
        <v>8</v>
      </c>
      <c r="I25" s="4">
        <v>31</v>
      </c>
    </row>
    <row r="26" spans="2:9" hidden="1" x14ac:dyDescent="0.2">
      <c r="B26" s="4" t="s">
        <v>67</v>
      </c>
      <c r="C26" s="4" t="s">
        <v>68</v>
      </c>
      <c r="D26" s="4" t="s">
        <v>23</v>
      </c>
      <c r="E26" s="30" t="s">
        <v>79</v>
      </c>
      <c r="F26" s="27">
        <v>244810503828</v>
      </c>
      <c r="G26" s="27">
        <v>46218996.834600076</v>
      </c>
      <c r="H26" s="4">
        <v>8</v>
      </c>
      <c r="I26" s="4">
        <v>31</v>
      </c>
    </row>
    <row r="27" spans="2:9" hidden="1" x14ac:dyDescent="0.2">
      <c r="B27" s="4" t="s">
        <v>67</v>
      </c>
      <c r="C27" s="4" t="s">
        <v>68</v>
      </c>
      <c r="D27" s="4" t="s">
        <v>24</v>
      </c>
      <c r="E27" s="30" t="s">
        <v>80</v>
      </c>
      <c r="F27" s="27">
        <v>2429833839740</v>
      </c>
      <c r="G27" s="27">
        <v>437768410.82450008</v>
      </c>
      <c r="H27" s="4">
        <v>8</v>
      </c>
      <c r="I27" s="4">
        <v>31</v>
      </c>
    </row>
    <row r="28" spans="2:9" hidden="1" x14ac:dyDescent="0.2">
      <c r="B28" s="4" t="s">
        <v>67</v>
      </c>
      <c r="C28" s="4" t="s">
        <v>68</v>
      </c>
      <c r="D28" s="4" t="s">
        <v>25</v>
      </c>
      <c r="E28" s="30" t="s">
        <v>81</v>
      </c>
      <c r="F28" s="27">
        <v>44643750738</v>
      </c>
      <c r="G28" s="27">
        <v>8739365.9388999864</v>
      </c>
      <c r="H28" s="4">
        <v>8</v>
      </c>
      <c r="I28" s="4">
        <v>31</v>
      </c>
    </row>
    <row r="29" spans="2:9" x14ac:dyDescent="0.2">
      <c r="B29" s="4" t="s">
        <v>67</v>
      </c>
      <c r="C29" s="4" t="s">
        <v>68</v>
      </c>
      <c r="D29" s="4" t="s">
        <v>26</v>
      </c>
      <c r="E29" s="30" t="s">
        <v>82</v>
      </c>
      <c r="F29" s="27">
        <v>5657270300671</v>
      </c>
      <c r="G29" s="27">
        <v>1089221924.9091015</v>
      </c>
      <c r="H29" s="4">
        <v>8</v>
      </c>
      <c r="I29" s="4">
        <v>31</v>
      </c>
    </row>
    <row r="30" spans="2:9" hidden="1" x14ac:dyDescent="0.2">
      <c r="B30" s="4" t="s">
        <v>67</v>
      </c>
      <c r="C30" s="4" t="s">
        <v>68</v>
      </c>
      <c r="D30" s="4" t="s">
        <v>69</v>
      </c>
      <c r="E30" s="31" t="s">
        <v>70</v>
      </c>
      <c r="F30" s="27">
        <v>273818830931</v>
      </c>
      <c r="G30" s="27">
        <v>53818108.584199965</v>
      </c>
      <c r="H30" s="4">
        <v>7</v>
      </c>
      <c r="I30" s="4">
        <v>31</v>
      </c>
    </row>
    <row r="31" spans="2:9" hidden="1" x14ac:dyDescent="0.2">
      <c r="B31" s="4" t="s">
        <v>67</v>
      </c>
      <c r="C31" s="4" t="s">
        <v>68</v>
      </c>
      <c r="D31" s="4" t="s">
        <v>20</v>
      </c>
      <c r="E31" s="31" t="s">
        <v>71</v>
      </c>
      <c r="F31" s="27">
        <v>35770675612287</v>
      </c>
      <c r="G31" s="27">
        <v>6537789004.7231007</v>
      </c>
      <c r="H31" s="4">
        <v>7</v>
      </c>
      <c r="I31" s="4">
        <v>31</v>
      </c>
    </row>
    <row r="32" spans="2:9" hidden="1" x14ac:dyDescent="0.2">
      <c r="B32" s="4" t="s">
        <v>67</v>
      </c>
      <c r="C32" s="4" t="s">
        <v>34</v>
      </c>
      <c r="D32" s="4" t="s">
        <v>20</v>
      </c>
      <c r="E32" s="31" t="s">
        <v>72</v>
      </c>
      <c r="F32" s="27">
        <v>8292458768315</v>
      </c>
      <c r="G32" s="27">
        <v>1047685646.850098</v>
      </c>
      <c r="H32" s="4">
        <v>7</v>
      </c>
      <c r="I32" s="4">
        <v>31</v>
      </c>
    </row>
    <row r="33" spans="2:9" hidden="1" x14ac:dyDescent="0.2">
      <c r="B33" s="4" t="s">
        <v>67</v>
      </c>
      <c r="C33" s="4" t="s">
        <v>37</v>
      </c>
      <c r="D33" s="4" t="s">
        <v>20</v>
      </c>
      <c r="E33" s="31" t="s">
        <v>73</v>
      </c>
      <c r="F33" s="27">
        <v>38840172019</v>
      </c>
      <c r="G33" s="27">
        <v>23986847.263095979</v>
      </c>
      <c r="H33" s="4">
        <v>7</v>
      </c>
      <c r="I33" s="4">
        <v>8</v>
      </c>
    </row>
    <row r="34" spans="2:9" hidden="1" x14ac:dyDescent="0.2">
      <c r="B34" s="4" t="s">
        <v>67</v>
      </c>
      <c r="C34" s="4" t="s">
        <v>68</v>
      </c>
      <c r="D34" s="4" t="s">
        <v>21</v>
      </c>
      <c r="E34" s="31" t="s">
        <v>74</v>
      </c>
      <c r="F34" s="27">
        <v>4945894517858</v>
      </c>
      <c r="G34" s="27">
        <v>903001419.59399891</v>
      </c>
      <c r="H34" s="4">
        <v>7</v>
      </c>
      <c r="I34" s="4">
        <v>31</v>
      </c>
    </row>
    <row r="35" spans="2:9" hidden="1" x14ac:dyDescent="0.2">
      <c r="B35" s="4" t="s">
        <v>67</v>
      </c>
      <c r="C35" s="4" t="s">
        <v>68</v>
      </c>
      <c r="D35" s="4" t="s">
        <v>22</v>
      </c>
      <c r="E35" s="31" t="s">
        <v>75</v>
      </c>
      <c r="F35" s="27">
        <v>799538938168</v>
      </c>
      <c r="G35" s="27">
        <v>172768221.07349989</v>
      </c>
      <c r="H35" s="4">
        <v>7</v>
      </c>
      <c r="I35" s="4">
        <v>31</v>
      </c>
    </row>
    <row r="36" spans="2:9" hidden="1" x14ac:dyDescent="0.2">
      <c r="B36" s="4" t="s">
        <v>67</v>
      </c>
      <c r="C36" s="4" t="s">
        <v>68</v>
      </c>
      <c r="D36" s="4" t="s">
        <v>23</v>
      </c>
      <c r="E36" s="31" t="s">
        <v>76</v>
      </c>
      <c r="F36" s="27">
        <v>40348789467513</v>
      </c>
      <c r="G36" s="27">
        <v>7483310231.6582909</v>
      </c>
      <c r="H36" s="4">
        <v>7</v>
      </c>
      <c r="I36" s="4">
        <v>31</v>
      </c>
    </row>
    <row r="37" spans="2:9" hidden="1" x14ac:dyDescent="0.2">
      <c r="B37" s="4" t="s">
        <v>67</v>
      </c>
      <c r="C37" s="4" t="s">
        <v>37</v>
      </c>
      <c r="D37" s="4" t="s">
        <v>23</v>
      </c>
      <c r="E37" s="31" t="s">
        <v>77</v>
      </c>
      <c r="F37" s="27">
        <v>5610054927705</v>
      </c>
      <c r="G37" s="27">
        <v>811523708.73242831</v>
      </c>
      <c r="H37" s="4">
        <v>7</v>
      </c>
      <c r="I37" s="4">
        <v>31</v>
      </c>
    </row>
    <row r="38" spans="2:9" hidden="1" x14ac:dyDescent="0.2">
      <c r="B38" s="4" t="s">
        <v>67</v>
      </c>
      <c r="C38" s="4" t="s">
        <v>37</v>
      </c>
      <c r="D38" s="4" t="s">
        <v>23</v>
      </c>
      <c r="E38" s="31" t="s">
        <v>78</v>
      </c>
      <c r="F38" s="27">
        <v>17402839283</v>
      </c>
      <c r="G38" s="27">
        <v>2382950.6643000026</v>
      </c>
      <c r="H38" s="4">
        <v>7</v>
      </c>
      <c r="I38" s="4">
        <v>31</v>
      </c>
    </row>
    <row r="39" spans="2:9" hidden="1" x14ac:dyDescent="0.2">
      <c r="B39" s="4" t="s">
        <v>67</v>
      </c>
      <c r="C39" s="4" t="s">
        <v>68</v>
      </c>
      <c r="D39" s="4" t="s">
        <v>23</v>
      </c>
      <c r="E39" s="31" t="s">
        <v>79</v>
      </c>
      <c r="F39" s="27">
        <v>252417398890</v>
      </c>
      <c r="G39" s="27">
        <v>46993767.709399968</v>
      </c>
      <c r="H39" s="4">
        <v>7</v>
      </c>
      <c r="I39" s="4">
        <v>31</v>
      </c>
    </row>
    <row r="40" spans="2:9" hidden="1" x14ac:dyDescent="0.2">
      <c r="B40" s="4" t="s">
        <v>67</v>
      </c>
      <c r="C40" s="4" t="s">
        <v>68</v>
      </c>
      <c r="D40" s="4" t="s">
        <v>24</v>
      </c>
      <c r="E40" s="31" t="s">
        <v>80</v>
      </c>
      <c r="F40" s="27">
        <v>2233579953491</v>
      </c>
      <c r="G40" s="27">
        <v>392153089.9739002</v>
      </c>
      <c r="H40" s="4">
        <v>7</v>
      </c>
      <c r="I40" s="4">
        <v>31</v>
      </c>
    </row>
    <row r="41" spans="2:9" hidden="1" x14ac:dyDescent="0.2">
      <c r="B41" s="4" t="s">
        <v>67</v>
      </c>
      <c r="C41" s="4" t="s">
        <v>68</v>
      </c>
      <c r="D41" s="4" t="s">
        <v>25</v>
      </c>
      <c r="E41" s="31" t="s">
        <v>81</v>
      </c>
      <c r="F41" s="27">
        <v>27674072052</v>
      </c>
      <c r="G41" s="27">
        <v>5192176.8221999994</v>
      </c>
      <c r="H41" s="4">
        <v>7</v>
      </c>
      <c r="I41" s="4">
        <v>31</v>
      </c>
    </row>
    <row r="42" spans="2:9" x14ac:dyDescent="0.2">
      <c r="B42" s="4" t="s">
        <v>67</v>
      </c>
      <c r="C42" s="4" t="s">
        <v>68</v>
      </c>
      <c r="D42" s="4" t="s">
        <v>26</v>
      </c>
      <c r="E42" s="31" t="s">
        <v>82</v>
      </c>
      <c r="F42" s="27">
        <v>3450971717669</v>
      </c>
      <c r="G42" s="27">
        <v>638442899.62210023</v>
      </c>
      <c r="H42" s="4">
        <v>7</v>
      </c>
      <c r="I42" s="4">
        <v>31</v>
      </c>
    </row>
  </sheetData>
  <autoFilter ref="B3:I42" xr:uid="{6A8C9B35-6F3B-4F3B-8FC7-3BF69D158AC8}">
    <filterColumn colId="1">
      <filters>
        <filter val="cl"/>
      </filters>
    </filterColumn>
    <filterColumn colId="2">
      <filters>
        <filter val="ZALOPAY"/>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AA896-7D89-CD49-BE3B-44EF12B63190}">
  <sheetPr>
    <tabColor rgb="FFFF0000"/>
  </sheetPr>
  <dimension ref="A1:T130"/>
  <sheetViews>
    <sheetView showGridLines="0" zoomScale="90" workbookViewId="0">
      <pane xSplit="1" ySplit="2" topLeftCell="B114" activePane="bottomRight" state="frozen"/>
      <selection activeCell="N30" sqref="N30"/>
      <selection pane="topRight" activeCell="N30" sqref="N30"/>
      <selection pane="bottomLeft" activeCell="N30" sqref="N30"/>
      <selection pane="bottomRight" activeCell="N30" sqref="N30"/>
    </sheetView>
  </sheetViews>
  <sheetFormatPr baseColWidth="10" defaultColWidth="8.83203125" defaultRowHeight="14" x14ac:dyDescent="0.15"/>
  <cols>
    <col min="1" max="1" width="8.83203125" style="33"/>
    <col min="2" max="2" width="5.5" style="33" customWidth="1"/>
    <col min="3" max="3" width="5" style="33" customWidth="1"/>
    <col min="4" max="5" width="8.83203125" style="33"/>
    <col min="6" max="6" width="14.5" style="33" customWidth="1"/>
    <col min="7" max="16384" width="8.83203125" style="33"/>
  </cols>
  <sheetData>
    <row r="1" spans="1:20" ht="25" x14ac:dyDescent="0.25">
      <c r="A1" s="32" t="s">
        <v>83</v>
      </c>
    </row>
    <row r="2" spans="1:20" ht="25" x14ac:dyDescent="0.25">
      <c r="A2" s="32"/>
      <c r="B2" s="34" t="s">
        <v>84</v>
      </c>
      <c r="N2" s="35" t="s">
        <v>85</v>
      </c>
      <c r="O2" s="35" t="s">
        <v>86</v>
      </c>
      <c r="P2" s="35">
        <v>20251001</v>
      </c>
    </row>
    <row r="3" spans="1:20" ht="25" x14ac:dyDescent="0.15">
      <c r="B3" s="36" t="s">
        <v>87</v>
      </c>
    </row>
    <row r="4" spans="1:20" s="37" customFormat="1" ht="16" x14ac:dyDescent="0.2">
      <c r="B4" s="38"/>
      <c r="C4" s="38" t="s">
        <v>88</v>
      </c>
    </row>
    <row r="5" spans="1:20" x14ac:dyDescent="0.15">
      <c r="D5" s="39" t="s">
        <v>89</v>
      </c>
      <c r="E5" s="40"/>
      <c r="Q5" s="40"/>
      <c r="R5" s="40"/>
      <c r="S5" s="40"/>
      <c r="T5" s="40"/>
    </row>
    <row r="6" spans="1:20" x14ac:dyDescent="0.15">
      <c r="D6" s="39" t="s">
        <v>90</v>
      </c>
      <c r="E6" s="40"/>
      <c r="Q6" s="40"/>
      <c r="R6" s="40"/>
      <c r="S6" s="40"/>
      <c r="T6" s="40"/>
    </row>
    <row r="7" spans="1:20" x14ac:dyDescent="0.15">
      <c r="D7" s="39" t="s">
        <v>91</v>
      </c>
      <c r="E7" s="40"/>
      <c r="Q7" s="40"/>
      <c r="R7" s="40"/>
      <c r="S7" s="40"/>
      <c r="T7" s="40"/>
    </row>
    <row r="8" spans="1:20" x14ac:dyDescent="0.15">
      <c r="D8" s="39" t="s">
        <v>92</v>
      </c>
      <c r="E8" s="40"/>
      <c r="Q8" s="40"/>
      <c r="R8" s="40"/>
      <c r="S8" s="40"/>
      <c r="T8" s="40"/>
    </row>
    <row r="9" spans="1:20" x14ac:dyDescent="0.15">
      <c r="D9" s="39" t="s">
        <v>93</v>
      </c>
      <c r="E9" s="40"/>
      <c r="Q9" s="40"/>
      <c r="R9" s="40"/>
      <c r="S9" s="40"/>
      <c r="T9" s="40"/>
    </row>
    <row r="10" spans="1:20" x14ac:dyDescent="0.15">
      <c r="D10" s="39" t="s">
        <v>94</v>
      </c>
      <c r="E10" s="40"/>
      <c r="Q10" s="40"/>
      <c r="R10" s="40"/>
      <c r="S10" s="40"/>
      <c r="T10" s="40"/>
    </row>
    <row r="11" spans="1:20" x14ac:dyDescent="0.15">
      <c r="E11" s="39" t="s">
        <v>95</v>
      </c>
      <c r="Q11" s="40"/>
      <c r="R11" s="40"/>
      <c r="S11" s="40"/>
      <c r="T11" s="40"/>
    </row>
    <row r="12" spans="1:20" x14ac:dyDescent="0.15">
      <c r="E12" s="39" t="s">
        <v>96</v>
      </c>
      <c r="Q12" s="40"/>
      <c r="R12" s="40"/>
      <c r="S12" s="40"/>
      <c r="T12" s="40"/>
    </row>
    <row r="13" spans="1:20" x14ac:dyDescent="0.15">
      <c r="E13" s="39" t="s">
        <v>97</v>
      </c>
      <c r="Q13" s="40"/>
      <c r="R13" s="40"/>
      <c r="S13" s="40"/>
      <c r="T13" s="40"/>
    </row>
    <row r="14" spans="1:20" x14ac:dyDescent="0.15">
      <c r="E14" s="40"/>
      <c r="Q14" s="40"/>
      <c r="R14" s="40"/>
      <c r="S14" s="40"/>
      <c r="T14" s="40"/>
    </row>
    <row r="15" spans="1:20" x14ac:dyDescent="0.15">
      <c r="C15" s="41" t="s">
        <v>98</v>
      </c>
      <c r="D15" s="40"/>
      <c r="E15" s="40"/>
      <c r="Q15" s="40"/>
      <c r="R15" s="40"/>
      <c r="S15" s="40"/>
      <c r="T15" s="40"/>
    </row>
    <row r="16" spans="1:20" x14ac:dyDescent="0.15">
      <c r="D16" s="39" t="s">
        <v>99</v>
      </c>
      <c r="E16" s="40"/>
      <c r="Q16" s="40"/>
      <c r="R16" s="40"/>
      <c r="S16" s="40"/>
      <c r="T16" s="40"/>
    </row>
    <row r="17" spans="2:20" x14ac:dyDescent="0.15">
      <c r="D17" s="39" t="s">
        <v>100</v>
      </c>
      <c r="E17" s="40"/>
      <c r="Q17" s="40"/>
      <c r="R17" s="40"/>
      <c r="S17" s="40"/>
      <c r="T17" s="40"/>
    </row>
    <row r="18" spans="2:20" x14ac:dyDescent="0.15">
      <c r="D18" s="39" t="s">
        <v>101</v>
      </c>
      <c r="E18" s="40"/>
      <c r="Q18" s="40"/>
      <c r="R18" s="40"/>
      <c r="S18" s="40"/>
      <c r="T18" s="40"/>
    </row>
    <row r="19" spans="2:20" ht="12" customHeight="1" x14ac:dyDescent="0.15">
      <c r="B19" s="36"/>
      <c r="C19" s="41"/>
      <c r="D19" s="39"/>
      <c r="E19" s="40"/>
      <c r="Q19" s="40"/>
      <c r="R19" s="40"/>
      <c r="S19" s="40"/>
      <c r="T19" s="40"/>
    </row>
    <row r="20" spans="2:20" ht="25" x14ac:dyDescent="0.15">
      <c r="B20" s="36" t="s">
        <v>102</v>
      </c>
      <c r="D20" s="39"/>
      <c r="E20" s="40"/>
      <c r="Q20" s="40"/>
      <c r="R20" s="40"/>
      <c r="S20" s="40"/>
      <c r="T20" s="40"/>
    </row>
    <row r="21" spans="2:20" x14ac:dyDescent="0.15">
      <c r="D21" s="42" t="s">
        <v>103</v>
      </c>
      <c r="E21" s="40"/>
      <c r="Q21" s="40"/>
      <c r="R21" s="40"/>
      <c r="S21" s="40"/>
      <c r="T21" s="40"/>
    </row>
    <row r="22" spans="2:20" x14ac:dyDescent="0.15">
      <c r="D22" s="39"/>
      <c r="E22" s="43" t="s">
        <v>104</v>
      </c>
      <c r="F22" s="44"/>
      <c r="G22" s="44"/>
      <c r="H22" s="44"/>
      <c r="Q22" s="40"/>
      <c r="R22" s="40"/>
      <c r="S22" s="40"/>
      <c r="T22" s="40"/>
    </row>
    <row r="23" spans="2:20" x14ac:dyDescent="0.15">
      <c r="D23" s="39"/>
      <c r="E23" s="45" t="s">
        <v>105</v>
      </c>
      <c r="Q23" s="40"/>
      <c r="R23" s="40"/>
      <c r="S23" s="40"/>
      <c r="T23" s="40"/>
    </row>
    <row r="24" spans="2:20" x14ac:dyDescent="0.15">
      <c r="D24" s="39"/>
      <c r="E24" s="45"/>
      <c r="F24" s="39" t="s">
        <v>106</v>
      </c>
      <c r="Q24" s="40"/>
      <c r="R24" s="40"/>
      <c r="S24" s="40"/>
      <c r="T24" s="40"/>
    </row>
    <row r="25" spans="2:20" x14ac:dyDescent="0.15">
      <c r="D25" s="39"/>
      <c r="F25" s="46" t="s">
        <v>107</v>
      </c>
      <c r="Q25" s="40"/>
      <c r="R25" s="40"/>
      <c r="S25" s="40"/>
      <c r="T25" s="40"/>
    </row>
    <row r="26" spans="2:20" x14ac:dyDescent="0.15">
      <c r="D26" s="39"/>
      <c r="E26" s="45" t="s">
        <v>108</v>
      </c>
      <c r="Q26" s="40"/>
      <c r="R26" s="40"/>
      <c r="S26" s="40"/>
      <c r="T26" s="40"/>
    </row>
    <row r="27" spans="2:20" x14ac:dyDescent="0.15">
      <c r="D27" s="39"/>
      <c r="E27" s="45"/>
      <c r="F27" s="46" t="s">
        <v>109</v>
      </c>
      <c r="Q27" s="40"/>
      <c r="R27" s="40"/>
      <c r="S27" s="40"/>
      <c r="T27" s="40"/>
    </row>
    <row r="28" spans="2:20" x14ac:dyDescent="0.15">
      <c r="D28" s="39"/>
      <c r="E28" s="45"/>
      <c r="F28" s="46" t="s">
        <v>110</v>
      </c>
      <c r="Q28" s="40"/>
      <c r="R28" s="40"/>
      <c r="S28" s="40"/>
      <c r="T28" s="40"/>
    </row>
    <row r="29" spans="2:20" x14ac:dyDescent="0.15">
      <c r="D29" s="39"/>
      <c r="E29" s="40"/>
      <c r="Q29" s="40"/>
      <c r="R29" s="40"/>
      <c r="S29" s="40"/>
      <c r="T29" s="40"/>
    </row>
    <row r="30" spans="2:20" x14ac:dyDescent="0.15">
      <c r="D30" s="42" t="s">
        <v>111</v>
      </c>
      <c r="E30" s="40"/>
      <c r="Q30" s="40"/>
      <c r="R30" s="40"/>
      <c r="S30" s="40"/>
      <c r="T30" s="40"/>
    </row>
    <row r="31" spans="2:20" x14ac:dyDescent="0.15">
      <c r="D31" s="39"/>
      <c r="E31" s="45" t="s">
        <v>112</v>
      </c>
      <c r="Q31" s="40"/>
      <c r="R31" s="40"/>
      <c r="S31" s="40"/>
      <c r="T31" s="40"/>
    </row>
    <row r="32" spans="2:20" x14ac:dyDescent="0.15">
      <c r="D32" s="39"/>
      <c r="E32" s="45"/>
      <c r="Q32" s="40"/>
      <c r="R32" s="40"/>
      <c r="S32" s="40"/>
      <c r="T32" s="40"/>
    </row>
    <row r="33" spans="2:20" x14ac:dyDescent="0.15">
      <c r="D33" s="39"/>
      <c r="E33" s="40"/>
      <c r="Q33" s="40"/>
      <c r="R33" s="40"/>
      <c r="S33" s="40"/>
      <c r="T33" s="40"/>
    </row>
    <row r="34" spans="2:20" ht="25" x14ac:dyDescent="0.15">
      <c r="B34" s="36" t="s">
        <v>113</v>
      </c>
      <c r="D34" s="39"/>
      <c r="E34" s="40"/>
      <c r="Q34" s="40"/>
      <c r="R34" s="40"/>
      <c r="S34" s="40"/>
      <c r="T34" s="40"/>
    </row>
    <row r="35" spans="2:20" ht="19" thickBot="1" x14ac:dyDescent="0.25">
      <c r="B35" s="47"/>
      <c r="C35" s="48" t="s">
        <v>114</v>
      </c>
      <c r="D35" s="49"/>
      <c r="E35" s="50"/>
      <c r="F35" s="49"/>
      <c r="G35" s="49"/>
      <c r="H35" s="49"/>
      <c r="I35" s="47"/>
      <c r="J35" s="49"/>
      <c r="K35" s="49"/>
      <c r="L35" s="49"/>
      <c r="M35" s="47"/>
      <c r="N35" s="49"/>
      <c r="O35" s="49"/>
      <c r="P35" s="49"/>
      <c r="Q35" s="40"/>
      <c r="R35" s="40"/>
      <c r="S35" s="40"/>
      <c r="T35" s="40"/>
    </row>
    <row r="36" spans="2:20" ht="12" customHeight="1" thickTop="1" x14ac:dyDescent="0.15">
      <c r="B36" s="36"/>
      <c r="D36" s="39"/>
      <c r="E36" s="40"/>
      <c r="Q36" s="40"/>
      <c r="R36" s="40"/>
      <c r="S36" s="40"/>
      <c r="T36" s="40"/>
    </row>
    <row r="37" spans="2:20" s="52" customFormat="1" ht="15" customHeight="1" x14ac:dyDescent="0.15">
      <c r="B37" s="51"/>
      <c r="E37" s="53"/>
      <c r="G37" s="54" t="s">
        <v>115</v>
      </c>
      <c r="L37" s="54" t="s">
        <v>116</v>
      </c>
      <c r="Q37" s="53"/>
      <c r="R37" s="53"/>
      <c r="S37" s="53"/>
      <c r="T37" s="53"/>
    </row>
    <row r="38" spans="2:20" ht="12" customHeight="1" x14ac:dyDescent="0.15">
      <c r="B38" s="36"/>
      <c r="D38" s="55" t="s">
        <v>117</v>
      </c>
      <c r="E38" s="56"/>
      <c r="F38" s="52"/>
      <c r="G38" s="57" t="s">
        <v>118</v>
      </c>
      <c r="H38" s="58"/>
      <c r="I38" s="58"/>
      <c r="J38" s="58"/>
      <c r="K38" s="58"/>
      <c r="L38" s="59" t="s">
        <v>119</v>
      </c>
      <c r="Q38" s="40"/>
      <c r="R38" s="40"/>
      <c r="S38" s="40"/>
      <c r="T38" s="40"/>
    </row>
    <row r="39" spans="2:20" ht="12" customHeight="1" x14ac:dyDescent="0.15">
      <c r="B39" s="36"/>
      <c r="D39" s="55" t="s">
        <v>120</v>
      </c>
      <c r="E39" s="56"/>
      <c r="F39" s="52"/>
      <c r="G39" s="57" t="s">
        <v>121</v>
      </c>
      <c r="H39" s="58"/>
      <c r="I39" s="58"/>
      <c r="J39" s="58"/>
      <c r="K39" s="58"/>
      <c r="L39" s="59" t="s">
        <v>122</v>
      </c>
      <c r="Q39" s="40"/>
      <c r="R39" s="40"/>
      <c r="S39" s="40"/>
      <c r="T39" s="40"/>
    </row>
    <row r="40" spans="2:20" ht="20" customHeight="1" thickBot="1" x14ac:dyDescent="0.25">
      <c r="B40" s="47"/>
      <c r="C40" s="48" t="s">
        <v>123</v>
      </c>
      <c r="D40" s="49"/>
      <c r="E40" s="50"/>
      <c r="F40" s="49"/>
      <c r="G40" s="49"/>
      <c r="H40" s="49"/>
      <c r="I40" s="47"/>
      <c r="J40" s="49"/>
      <c r="K40" s="49"/>
      <c r="L40" s="49"/>
      <c r="M40" s="47"/>
      <c r="N40" s="49"/>
      <c r="O40" s="49"/>
      <c r="P40" s="49"/>
      <c r="Q40" s="60"/>
      <c r="R40" s="40"/>
      <c r="S40" s="40"/>
      <c r="T40" s="40"/>
    </row>
    <row r="41" spans="2:20" ht="12" customHeight="1" thickTop="1" x14ac:dyDescent="0.15">
      <c r="B41" s="51"/>
      <c r="D41" s="39"/>
      <c r="E41" s="40"/>
      <c r="Q41" s="40"/>
      <c r="R41" s="40"/>
      <c r="S41" s="40"/>
      <c r="T41" s="40"/>
    </row>
    <row r="42" spans="2:20" s="52" customFormat="1" ht="15" customHeight="1" x14ac:dyDescent="0.15">
      <c r="B42" s="51"/>
      <c r="E42" s="53"/>
      <c r="G42" s="54" t="s">
        <v>115</v>
      </c>
      <c r="L42" s="54" t="s">
        <v>116</v>
      </c>
      <c r="Q42" s="53"/>
      <c r="R42" s="53"/>
      <c r="S42" s="53"/>
      <c r="T42" s="53"/>
    </row>
    <row r="43" spans="2:20" s="52" customFormat="1" ht="15" customHeight="1" x14ac:dyDescent="0.15">
      <c r="B43" s="51"/>
      <c r="C43" s="61" t="s">
        <v>124</v>
      </c>
      <c r="D43" s="62"/>
      <c r="E43" s="63"/>
      <c r="F43" s="62"/>
      <c r="G43" s="64"/>
      <c r="H43" s="62"/>
      <c r="I43" s="62"/>
      <c r="J43" s="62"/>
      <c r="K43" s="62"/>
      <c r="L43" s="64"/>
      <c r="Q43" s="53"/>
      <c r="R43" s="53"/>
      <c r="S43" s="53"/>
      <c r="T43" s="53"/>
    </row>
    <row r="44" spans="2:20" ht="12" customHeight="1" x14ac:dyDescent="0.15">
      <c r="B44" s="51"/>
      <c r="C44" s="55"/>
      <c r="D44" s="55" t="s">
        <v>125</v>
      </c>
      <c r="E44" s="56"/>
      <c r="F44" s="58"/>
      <c r="G44" s="57" t="s">
        <v>126</v>
      </c>
      <c r="H44" s="58"/>
      <c r="I44" s="58"/>
      <c r="J44" s="58"/>
      <c r="K44" s="58"/>
      <c r="L44" s="59" t="s">
        <v>127</v>
      </c>
      <c r="Q44" s="40"/>
      <c r="R44" s="40"/>
      <c r="S44" s="40"/>
      <c r="T44" s="40"/>
    </row>
    <row r="45" spans="2:20" ht="12" customHeight="1" x14ac:dyDescent="0.15">
      <c r="B45" s="51"/>
      <c r="C45" s="55"/>
      <c r="D45" s="55" t="s">
        <v>128</v>
      </c>
      <c r="E45" s="56"/>
      <c r="F45" s="58"/>
      <c r="G45" s="57" t="s">
        <v>129</v>
      </c>
      <c r="H45" s="58"/>
      <c r="I45" s="58"/>
      <c r="J45" s="58"/>
      <c r="K45" s="58"/>
      <c r="L45" s="59" t="s">
        <v>130</v>
      </c>
      <c r="Q45" s="40"/>
      <c r="R45" s="40"/>
      <c r="S45" s="40"/>
      <c r="T45" s="40"/>
    </row>
    <row r="46" spans="2:20" ht="12" customHeight="1" x14ac:dyDescent="0.15">
      <c r="B46" s="51"/>
      <c r="C46" s="55"/>
      <c r="D46" s="55" t="s">
        <v>131</v>
      </c>
      <c r="E46" s="56"/>
      <c r="F46" s="58"/>
      <c r="G46" s="57" t="s">
        <v>132</v>
      </c>
      <c r="H46" s="58"/>
      <c r="I46" s="58"/>
      <c r="J46" s="58"/>
      <c r="K46" s="58"/>
      <c r="L46" s="59" t="s">
        <v>133</v>
      </c>
      <c r="Q46" s="40"/>
      <c r="R46" s="40"/>
      <c r="S46" s="40"/>
      <c r="T46" s="40"/>
    </row>
    <row r="47" spans="2:20" ht="12" customHeight="1" x14ac:dyDescent="0.15">
      <c r="B47" s="51"/>
      <c r="C47" s="55"/>
      <c r="D47" s="55" t="s">
        <v>134</v>
      </c>
      <c r="E47" s="56"/>
      <c r="F47" s="58"/>
      <c r="G47" s="57" t="s">
        <v>135</v>
      </c>
      <c r="H47" s="58"/>
      <c r="I47" s="58"/>
      <c r="J47" s="58"/>
      <c r="K47" s="58"/>
      <c r="L47" s="59" t="s">
        <v>136</v>
      </c>
      <c r="Q47" s="40"/>
      <c r="R47" s="40"/>
      <c r="S47" s="40"/>
      <c r="T47" s="40"/>
    </row>
    <row r="48" spans="2:20" ht="12" customHeight="1" x14ac:dyDescent="0.15">
      <c r="B48" s="51"/>
      <c r="C48" s="58"/>
      <c r="D48" s="55" t="s">
        <v>137</v>
      </c>
      <c r="E48" s="56"/>
      <c r="F48" s="58"/>
      <c r="G48" s="57" t="s">
        <v>138</v>
      </c>
      <c r="H48" s="58"/>
      <c r="I48" s="58"/>
      <c r="J48" s="58"/>
      <c r="K48" s="58"/>
      <c r="L48" s="65" t="s">
        <v>139</v>
      </c>
      <c r="Q48" s="40"/>
      <c r="R48" s="40"/>
      <c r="S48" s="40"/>
      <c r="T48" s="40"/>
    </row>
    <row r="49" spans="2:20" ht="12" customHeight="1" x14ac:dyDescent="0.15">
      <c r="B49" s="36"/>
      <c r="C49" s="58"/>
      <c r="D49" s="66"/>
      <c r="E49" s="56"/>
      <c r="F49" s="58"/>
      <c r="G49" s="58"/>
      <c r="H49" s="58"/>
      <c r="I49" s="58"/>
      <c r="J49" s="58"/>
      <c r="K49" s="58"/>
      <c r="L49" s="58"/>
      <c r="Q49" s="40"/>
      <c r="R49" s="40"/>
      <c r="S49" s="40"/>
      <c r="T49" s="40"/>
    </row>
    <row r="50" spans="2:20" ht="12" customHeight="1" x14ac:dyDescent="0.15">
      <c r="B50" s="36"/>
      <c r="C50" s="67" t="s">
        <v>140</v>
      </c>
      <c r="D50" s="39"/>
      <c r="E50" s="40"/>
      <c r="Q50" s="40"/>
      <c r="R50" s="40"/>
      <c r="S50" s="40"/>
      <c r="T50" s="40"/>
    </row>
    <row r="51" spans="2:20" ht="12" customHeight="1" x14ac:dyDescent="0.15">
      <c r="B51" s="36"/>
      <c r="C51" s="58"/>
      <c r="D51" s="55" t="s">
        <v>141</v>
      </c>
      <c r="E51" s="40"/>
      <c r="G51" s="57" t="s">
        <v>142</v>
      </c>
      <c r="L51" s="65"/>
      <c r="Q51" s="40"/>
      <c r="R51" s="40"/>
      <c r="S51" s="40"/>
      <c r="T51" s="40"/>
    </row>
    <row r="52" spans="2:20" ht="12" customHeight="1" x14ac:dyDescent="0.15">
      <c r="B52" s="36"/>
      <c r="C52" s="58"/>
      <c r="D52" s="55" t="s">
        <v>143</v>
      </c>
      <c r="E52" s="40"/>
      <c r="G52" s="57" t="s">
        <v>144</v>
      </c>
      <c r="L52" s="65"/>
      <c r="Q52" s="40"/>
      <c r="R52" s="40"/>
      <c r="S52" s="40"/>
      <c r="T52" s="40"/>
    </row>
    <row r="53" spans="2:20" ht="12" customHeight="1" x14ac:dyDescent="0.15">
      <c r="B53" s="36"/>
      <c r="C53" s="58"/>
      <c r="D53" s="55" t="s">
        <v>145</v>
      </c>
      <c r="E53" s="40"/>
      <c r="G53" s="57" t="s">
        <v>146</v>
      </c>
      <c r="L53" s="65" t="s">
        <v>147</v>
      </c>
      <c r="Q53" s="40"/>
      <c r="R53" s="40"/>
      <c r="S53" s="40"/>
      <c r="T53" s="40"/>
    </row>
    <row r="54" spans="2:20" ht="12" customHeight="1" x14ac:dyDescent="0.15">
      <c r="B54" s="36"/>
      <c r="C54" s="58"/>
      <c r="D54" s="55" t="s">
        <v>148</v>
      </c>
      <c r="E54" s="40"/>
      <c r="G54" s="57" t="s">
        <v>149</v>
      </c>
      <c r="L54" s="65"/>
      <c r="Q54" s="40"/>
      <c r="R54" s="40"/>
      <c r="S54" s="40"/>
      <c r="T54" s="40"/>
    </row>
    <row r="55" spans="2:20" ht="12" customHeight="1" x14ac:dyDescent="0.15">
      <c r="B55" s="36"/>
      <c r="D55" s="39"/>
      <c r="E55" s="40"/>
      <c r="G55" s="57"/>
      <c r="L55" s="65"/>
      <c r="Q55" s="40"/>
      <c r="R55" s="40"/>
      <c r="S55" s="40"/>
      <c r="T55" s="40"/>
    </row>
    <row r="56" spans="2:20" ht="12" customHeight="1" x14ac:dyDescent="0.15">
      <c r="B56" s="36"/>
      <c r="C56" s="67" t="s">
        <v>150</v>
      </c>
      <c r="D56" s="39"/>
      <c r="E56" s="40"/>
      <c r="G56" s="57"/>
      <c r="L56" s="65"/>
      <c r="Q56" s="40"/>
      <c r="R56" s="40"/>
      <c r="S56" s="40"/>
      <c r="T56" s="40"/>
    </row>
    <row r="57" spans="2:20" ht="12" customHeight="1" x14ac:dyDescent="0.15">
      <c r="B57" s="36"/>
      <c r="D57" s="55" t="s">
        <v>141</v>
      </c>
      <c r="E57" s="40"/>
      <c r="G57" s="57" t="s">
        <v>142</v>
      </c>
      <c r="L57" s="65"/>
      <c r="Q57" s="40"/>
      <c r="R57" s="40"/>
      <c r="S57" s="40"/>
      <c r="T57" s="40"/>
    </row>
    <row r="58" spans="2:20" ht="12" customHeight="1" x14ac:dyDescent="0.15">
      <c r="B58" s="36"/>
      <c r="D58" s="55" t="s">
        <v>151</v>
      </c>
      <c r="E58" s="40"/>
      <c r="G58" s="57" t="s">
        <v>152</v>
      </c>
      <c r="L58" s="65"/>
      <c r="Q58" s="40"/>
      <c r="R58" s="40"/>
      <c r="S58" s="40"/>
      <c r="T58" s="40"/>
    </row>
    <row r="59" spans="2:20" ht="12" customHeight="1" x14ac:dyDescent="0.15">
      <c r="B59" s="36"/>
      <c r="D59" s="55" t="s">
        <v>153</v>
      </c>
      <c r="E59" s="40"/>
      <c r="G59" s="57" t="s">
        <v>154</v>
      </c>
      <c r="L59" s="65"/>
      <c r="Q59" s="40"/>
      <c r="R59" s="40"/>
      <c r="S59" s="40"/>
      <c r="T59" s="40"/>
    </row>
    <row r="60" spans="2:20" ht="12" customHeight="1" x14ac:dyDescent="0.15">
      <c r="B60" s="36"/>
      <c r="D60" s="55" t="s">
        <v>155</v>
      </c>
      <c r="E60" s="40"/>
      <c r="G60" s="57" t="s">
        <v>156</v>
      </c>
      <c r="L60" s="65" t="s">
        <v>157</v>
      </c>
      <c r="Q60" s="40"/>
      <c r="R60" s="40"/>
      <c r="S60" s="40"/>
      <c r="T60" s="40"/>
    </row>
    <row r="61" spans="2:20" ht="12" customHeight="1" x14ac:dyDescent="0.15">
      <c r="B61" s="36"/>
      <c r="C61" s="67" t="s">
        <v>158</v>
      </c>
      <c r="D61" s="58"/>
      <c r="E61" s="56"/>
      <c r="G61" s="57"/>
      <c r="L61" s="65"/>
      <c r="Q61" s="40"/>
      <c r="R61" s="40"/>
      <c r="S61" s="40"/>
      <c r="T61" s="40"/>
    </row>
    <row r="62" spans="2:20" ht="12" customHeight="1" x14ac:dyDescent="0.15">
      <c r="B62" s="36"/>
      <c r="C62" s="68"/>
      <c r="D62" s="55" t="s">
        <v>159</v>
      </c>
      <c r="E62" s="55"/>
      <c r="G62" s="57" t="s">
        <v>160</v>
      </c>
      <c r="L62" s="65" t="s">
        <v>161</v>
      </c>
      <c r="Q62" s="40"/>
      <c r="R62" s="40"/>
      <c r="S62" s="40"/>
      <c r="T62" s="40"/>
    </row>
    <row r="63" spans="2:20" x14ac:dyDescent="0.15">
      <c r="D63" s="55" t="s">
        <v>162</v>
      </c>
      <c r="E63" s="55"/>
      <c r="G63" s="57" t="s">
        <v>163</v>
      </c>
    </row>
    <row r="64" spans="2:20" ht="12" customHeight="1" x14ac:dyDescent="0.15">
      <c r="B64" s="36"/>
      <c r="C64" s="55"/>
      <c r="D64" s="55" t="s">
        <v>164</v>
      </c>
      <c r="E64" s="56"/>
      <c r="G64" s="57" t="s">
        <v>165</v>
      </c>
      <c r="L64" s="65"/>
      <c r="Q64" s="40"/>
      <c r="R64" s="40"/>
      <c r="S64" s="40"/>
      <c r="T64" s="40"/>
    </row>
    <row r="65" spans="2:20" ht="12" customHeight="1" x14ac:dyDescent="0.15">
      <c r="B65" s="36"/>
      <c r="C65" s="55"/>
      <c r="D65" s="55" t="s">
        <v>166</v>
      </c>
      <c r="E65" s="56"/>
      <c r="G65" s="57" t="s">
        <v>167</v>
      </c>
      <c r="L65" s="65" t="s">
        <v>168</v>
      </c>
      <c r="Q65" s="40"/>
      <c r="R65" s="40"/>
      <c r="S65" s="40"/>
      <c r="T65" s="40"/>
    </row>
    <row r="66" spans="2:20" ht="12" customHeight="1" x14ac:dyDescent="0.15">
      <c r="B66" s="36"/>
      <c r="C66" s="67" t="s">
        <v>169</v>
      </c>
      <c r="D66" s="55"/>
      <c r="E66" s="56"/>
      <c r="G66" s="57"/>
      <c r="L66" s="65"/>
      <c r="Q66" s="40"/>
      <c r="R66" s="40"/>
      <c r="S66" s="40"/>
      <c r="T66" s="40"/>
    </row>
    <row r="67" spans="2:20" ht="12" customHeight="1" x14ac:dyDescent="0.15">
      <c r="B67" s="36"/>
      <c r="C67" s="58"/>
      <c r="D67" s="66" t="s">
        <v>170</v>
      </c>
      <c r="E67" s="56"/>
      <c r="G67" s="57"/>
      <c r="L67" s="65" t="s">
        <v>171</v>
      </c>
      <c r="Q67" s="40"/>
      <c r="R67" s="40"/>
      <c r="S67" s="40"/>
      <c r="T67" s="40"/>
    </row>
    <row r="68" spans="2:20" ht="12" customHeight="1" x14ac:dyDescent="0.15">
      <c r="B68" s="36"/>
      <c r="C68" s="58"/>
      <c r="D68" s="66"/>
      <c r="E68" s="56"/>
      <c r="G68" s="57"/>
      <c r="L68" s="65"/>
      <c r="Q68" s="40"/>
      <c r="R68" s="40"/>
      <c r="S68" s="40"/>
      <c r="T68" s="40"/>
    </row>
    <row r="69" spans="2:20" ht="12" customHeight="1" x14ac:dyDescent="0.15">
      <c r="B69" s="36"/>
      <c r="C69" s="58"/>
      <c r="D69" s="66"/>
      <c r="E69" s="56"/>
      <c r="G69" s="57"/>
      <c r="L69" s="65"/>
      <c r="Q69" s="40"/>
      <c r="R69" s="40"/>
      <c r="S69" s="40"/>
      <c r="T69" s="40"/>
    </row>
    <row r="70" spans="2:20" ht="12" customHeight="1" x14ac:dyDescent="0.15">
      <c r="B70" s="36"/>
      <c r="C70" s="58"/>
      <c r="D70" s="66"/>
      <c r="E70" s="56"/>
      <c r="G70" s="57"/>
      <c r="L70" s="65"/>
      <c r="Q70" s="40"/>
      <c r="R70" s="40"/>
      <c r="S70" s="40"/>
      <c r="T70" s="40"/>
    </row>
    <row r="71" spans="2:20" ht="12" customHeight="1" x14ac:dyDescent="0.15">
      <c r="B71" s="36"/>
      <c r="D71" s="39"/>
      <c r="E71" s="40"/>
      <c r="G71" s="57"/>
      <c r="L71" s="65"/>
      <c r="Q71" s="40"/>
      <c r="R71" s="40"/>
      <c r="S71" s="40"/>
      <c r="T71" s="40"/>
    </row>
    <row r="72" spans="2:20" ht="20" customHeight="1" thickBot="1" x14ac:dyDescent="0.25">
      <c r="B72" s="47"/>
      <c r="C72" s="48" t="s">
        <v>172</v>
      </c>
      <c r="D72" s="49"/>
      <c r="E72" s="50"/>
      <c r="F72" s="49"/>
      <c r="G72" s="49"/>
      <c r="H72" s="49"/>
      <c r="I72" s="47"/>
      <c r="J72" s="49"/>
      <c r="K72" s="49"/>
      <c r="L72" s="49"/>
      <c r="M72" s="47"/>
      <c r="N72" s="49"/>
      <c r="O72" s="49"/>
      <c r="P72" s="49"/>
      <c r="Q72" s="60"/>
      <c r="R72" s="40"/>
      <c r="S72" s="40"/>
      <c r="T72" s="40"/>
    </row>
    <row r="73" spans="2:20" ht="12" customHeight="1" thickTop="1" x14ac:dyDescent="0.15">
      <c r="B73" s="36"/>
      <c r="D73" s="39"/>
      <c r="E73" s="40"/>
      <c r="G73" s="57"/>
      <c r="L73" s="65"/>
      <c r="Q73" s="40"/>
      <c r="R73" s="40"/>
      <c r="S73" s="40"/>
      <c r="T73" s="40"/>
    </row>
    <row r="74" spans="2:20" ht="20" customHeight="1" x14ac:dyDescent="0.15">
      <c r="B74" s="36"/>
      <c r="D74" s="39"/>
      <c r="E74" s="40"/>
      <c r="G74" s="54" t="s">
        <v>115</v>
      </c>
      <c r="H74" s="52"/>
      <c r="I74" s="52"/>
      <c r="J74" s="52"/>
      <c r="K74" s="52"/>
      <c r="L74" s="54" t="s">
        <v>116</v>
      </c>
      <c r="Q74" s="40"/>
      <c r="R74" s="40"/>
      <c r="S74" s="40"/>
      <c r="T74" s="40"/>
    </row>
    <row r="75" spans="2:20" ht="12" customHeight="1" x14ac:dyDescent="0.15">
      <c r="B75" s="36"/>
      <c r="C75" s="67" t="s">
        <v>173</v>
      </c>
      <c r="D75" s="55"/>
      <c r="E75" s="40"/>
      <c r="G75" s="57" t="s">
        <v>174</v>
      </c>
      <c r="L75" s="65"/>
      <c r="Q75" s="40"/>
      <c r="R75" s="40"/>
      <c r="S75" s="40"/>
      <c r="T75" s="40"/>
    </row>
    <row r="76" spans="2:20" ht="12" customHeight="1" x14ac:dyDescent="0.15">
      <c r="B76" s="36"/>
      <c r="C76" s="55"/>
      <c r="D76" s="55"/>
      <c r="E76" s="40"/>
      <c r="G76" s="57"/>
      <c r="L76" s="65"/>
      <c r="Q76" s="40"/>
      <c r="R76" s="40"/>
      <c r="S76" s="40"/>
      <c r="T76" s="40"/>
    </row>
    <row r="77" spans="2:20" ht="12" customHeight="1" x14ac:dyDescent="0.15">
      <c r="B77" s="36"/>
      <c r="C77" s="67" t="s">
        <v>175</v>
      </c>
      <c r="D77" s="68"/>
      <c r="E77" s="40"/>
      <c r="G77" s="69" t="s">
        <v>176</v>
      </c>
      <c r="L77" s="65"/>
      <c r="Q77" s="40"/>
      <c r="R77" s="40"/>
      <c r="S77" s="40"/>
      <c r="T77" s="40"/>
    </row>
    <row r="78" spans="2:20" ht="12" customHeight="1" x14ac:dyDescent="0.15">
      <c r="B78" s="36"/>
      <c r="C78" s="68"/>
      <c r="D78" s="70" t="s">
        <v>177</v>
      </c>
      <c r="E78" s="40"/>
      <c r="G78" s="69" t="s">
        <v>178</v>
      </c>
      <c r="L78" s="65"/>
      <c r="Q78" s="40"/>
      <c r="R78" s="40"/>
      <c r="S78" s="40"/>
      <c r="T78" s="40"/>
    </row>
    <row r="79" spans="2:20" ht="12" customHeight="1" x14ac:dyDescent="0.2">
      <c r="B79" s="36"/>
      <c r="C79" s="55"/>
      <c r="D79" s="55" t="s">
        <v>179</v>
      </c>
      <c r="E79" s="40"/>
      <c r="G79" s="57" t="s">
        <v>180</v>
      </c>
      <c r="L79" s="71" t="s">
        <v>181</v>
      </c>
      <c r="Q79" s="40"/>
      <c r="R79" s="40"/>
      <c r="S79" s="40"/>
      <c r="T79" s="40"/>
    </row>
    <row r="80" spans="2:20" ht="12" customHeight="1" x14ac:dyDescent="0.2">
      <c r="B80" s="36"/>
      <c r="C80" s="55"/>
      <c r="D80" s="55" t="s">
        <v>182</v>
      </c>
      <c r="E80" s="40"/>
      <c r="G80" s="57" t="s">
        <v>183</v>
      </c>
      <c r="L80" s="71" t="s">
        <v>181</v>
      </c>
      <c r="Q80" s="40"/>
      <c r="R80" s="40"/>
      <c r="S80" s="40"/>
      <c r="T80" s="40"/>
    </row>
    <row r="81" spans="2:20" ht="12" customHeight="1" x14ac:dyDescent="0.15">
      <c r="B81" s="36"/>
      <c r="C81" s="55"/>
      <c r="D81" s="55"/>
      <c r="E81" s="40"/>
      <c r="G81" s="57"/>
      <c r="L81" s="65"/>
      <c r="Q81" s="40"/>
      <c r="R81" s="40"/>
      <c r="S81" s="40"/>
      <c r="T81" s="40"/>
    </row>
    <row r="82" spans="2:20" ht="12" customHeight="1" x14ac:dyDescent="0.15">
      <c r="B82" s="36"/>
      <c r="C82" s="55"/>
      <c r="D82" s="55" t="s">
        <v>184</v>
      </c>
      <c r="E82" s="40"/>
      <c r="G82" s="57" t="s">
        <v>185</v>
      </c>
      <c r="L82" s="65"/>
      <c r="Q82" s="40"/>
      <c r="R82" s="40"/>
      <c r="S82" s="40"/>
      <c r="T82" s="40"/>
    </row>
    <row r="83" spans="2:20" ht="12" customHeight="1" x14ac:dyDescent="0.15">
      <c r="B83" s="36"/>
      <c r="C83" s="55"/>
      <c r="D83" s="55" t="s">
        <v>186</v>
      </c>
      <c r="E83" s="40"/>
      <c r="G83" s="57" t="s">
        <v>187</v>
      </c>
      <c r="L83" s="65"/>
      <c r="Q83" s="40"/>
      <c r="R83" s="40"/>
      <c r="S83" s="40"/>
      <c r="T83" s="40"/>
    </row>
    <row r="84" spans="2:20" ht="12" customHeight="1" x14ac:dyDescent="0.15">
      <c r="B84" s="36"/>
      <c r="C84" s="55"/>
      <c r="D84" s="55" t="s">
        <v>188</v>
      </c>
      <c r="E84" s="40"/>
      <c r="G84" s="57" t="s">
        <v>189</v>
      </c>
      <c r="L84" s="65"/>
      <c r="Q84" s="40"/>
      <c r="R84" s="40"/>
      <c r="S84" s="40"/>
      <c r="T84" s="40"/>
    </row>
    <row r="85" spans="2:20" ht="12" customHeight="1" x14ac:dyDescent="0.2">
      <c r="B85" s="36"/>
      <c r="C85" s="55"/>
      <c r="D85" s="55" t="s">
        <v>190</v>
      </c>
      <c r="E85" s="40"/>
      <c r="G85" s="57" t="s">
        <v>191</v>
      </c>
      <c r="L85" s="71" t="s">
        <v>181</v>
      </c>
      <c r="Q85" s="40"/>
      <c r="R85" s="40"/>
      <c r="S85" s="40"/>
      <c r="T85" s="40"/>
    </row>
    <row r="86" spans="2:20" ht="12" customHeight="1" x14ac:dyDescent="0.2">
      <c r="B86" s="72"/>
      <c r="C86" s="55"/>
      <c r="D86" s="55" t="s">
        <v>192</v>
      </c>
      <c r="E86" s="40"/>
      <c r="G86" s="57" t="s">
        <v>193</v>
      </c>
      <c r="L86" s="71" t="s">
        <v>181</v>
      </c>
      <c r="Q86" s="40"/>
      <c r="R86" s="40"/>
      <c r="S86" s="40"/>
      <c r="T86" s="40"/>
    </row>
    <row r="87" spans="2:20" ht="12" customHeight="1" x14ac:dyDescent="0.15">
      <c r="B87" s="36"/>
      <c r="C87" s="55"/>
      <c r="D87" s="55"/>
      <c r="E87" s="40"/>
      <c r="G87" s="57"/>
      <c r="L87" s="65"/>
      <c r="Q87" s="40"/>
      <c r="R87" s="40"/>
      <c r="S87" s="40"/>
      <c r="T87" s="40"/>
    </row>
    <row r="88" spans="2:20" ht="12" customHeight="1" x14ac:dyDescent="0.15">
      <c r="B88" s="36"/>
      <c r="C88" s="55"/>
      <c r="D88" s="55" t="s">
        <v>194</v>
      </c>
      <c r="E88" s="40"/>
      <c r="G88" s="57" t="s">
        <v>195</v>
      </c>
      <c r="L88" s="65"/>
      <c r="Q88" s="40"/>
      <c r="R88" s="40"/>
      <c r="S88" s="40"/>
      <c r="T88" s="40"/>
    </row>
    <row r="89" spans="2:20" ht="12" customHeight="1" x14ac:dyDescent="0.15">
      <c r="B89" s="36"/>
      <c r="C89" s="55"/>
      <c r="D89" s="55"/>
      <c r="E89" s="40"/>
      <c r="G89" s="57"/>
      <c r="L89" s="65"/>
      <c r="Q89" s="40"/>
      <c r="R89" s="40"/>
      <c r="S89" s="40"/>
      <c r="T89" s="40"/>
    </row>
    <row r="90" spans="2:20" ht="12" customHeight="1" x14ac:dyDescent="0.15">
      <c r="B90" s="36"/>
      <c r="C90" s="70" t="s">
        <v>196</v>
      </c>
      <c r="D90" s="55"/>
      <c r="E90" s="40"/>
      <c r="G90" s="57"/>
      <c r="L90" s="65"/>
      <c r="Q90" s="40"/>
      <c r="R90" s="40"/>
      <c r="S90" s="40"/>
      <c r="T90" s="40"/>
    </row>
    <row r="91" spans="2:20" ht="12" customHeight="1" x14ac:dyDescent="0.15">
      <c r="B91" s="36"/>
      <c r="C91" s="73" t="s">
        <v>197</v>
      </c>
      <c r="D91" s="55"/>
      <c r="E91" s="40"/>
      <c r="G91" s="57"/>
      <c r="L91" s="65"/>
      <c r="Q91" s="40"/>
      <c r="R91" s="40"/>
      <c r="S91" s="40"/>
      <c r="T91" s="40"/>
    </row>
    <row r="92" spans="2:20" ht="12" customHeight="1" x14ac:dyDescent="0.15">
      <c r="B92" s="36"/>
      <c r="C92" s="73" t="s">
        <v>198</v>
      </c>
      <c r="D92" s="55"/>
      <c r="E92" s="40"/>
      <c r="G92" s="57"/>
      <c r="L92" s="65"/>
      <c r="Q92" s="40"/>
      <c r="R92" s="40"/>
      <c r="S92" s="40"/>
      <c r="T92" s="40"/>
    </row>
    <row r="93" spans="2:20" ht="12" customHeight="1" x14ac:dyDescent="0.15">
      <c r="B93" s="36"/>
      <c r="C93" s="73"/>
      <c r="D93" s="55"/>
      <c r="E93" s="40"/>
      <c r="G93" s="57"/>
      <c r="L93" s="65"/>
      <c r="Q93" s="40"/>
      <c r="R93" s="40"/>
      <c r="S93" s="40"/>
      <c r="T93" s="40"/>
    </row>
    <row r="94" spans="2:20" ht="12" customHeight="1" x14ac:dyDescent="0.15">
      <c r="B94" s="36"/>
      <c r="C94" s="55"/>
      <c r="D94" s="67" t="s">
        <v>199</v>
      </c>
      <c r="E94" s="40"/>
      <c r="G94" s="57" t="s">
        <v>200</v>
      </c>
      <c r="L94" s="65"/>
      <c r="Q94" s="40"/>
      <c r="R94" s="40"/>
      <c r="S94" s="40"/>
      <c r="T94" s="40"/>
    </row>
    <row r="95" spans="2:20" ht="12" customHeight="1" x14ac:dyDescent="0.15">
      <c r="B95" s="36"/>
      <c r="C95" s="55"/>
      <c r="D95" s="70"/>
      <c r="E95" s="40"/>
      <c r="G95" s="57"/>
      <c r="L95" s="65"/>
      <c r="Q95" s="40"/>
      <c r="R95" s="40"/>
      <c r="S95" s="40"/>
      <c r="T95" s="40"/>
    </row>
    <row r="96" spans="2:20" ht="12" customHeight="1" x14ac:dyDescent="0.15">
      <c r="B96" s="36"/>
      <c r="C96" s="55"/>
      <c r="D96" s="67" t="s">
        <v>201</v>
      </c>
      <c r="E96" s="58"/>
      <c r="G96" s="57"/>
      <c r="L96" s="65"/>
      <c r="Q96" s="40"/>
      <c r="R96" s="40"/>
      <c r="S96" s="40"/>
      <c r="T96" s="40"/>
    </row>
    <row r="97" spans="2:20" ht="12" customHeight="1" x14ac:dyDescent="0.15">
      <c r="B97" s="36"/>
      <c r="C97" s="55"/>
      <c r="D97" s="67"/>
      <c r="E97" s="55" t="s">
        <v>202</v>
      </c>
      <c r="G97" s="57" t="s">
        <v>203</v>
      </c>
      <c r="L97" s="65"/>
      <c r="Q97" s="40"/>
      <c r="R97" s="40"/>
      <c r="S97" s="40"/>
      <c r="T97" s="40"/>
    </row>
    <row r="98" spans="2:20" ht="12" customHeight="1" x14ac:dyDescent="0.15">
      <c r="B98" s="36"/>
      <c r="C98" s="58"/>
      <c r="D98" s="55"/>
      <c r="E98" s="55" t="s">
        <v>204</v>
      </c>
      <c r="G98" s="57" t="s">
        <v>205</v>
      </c>
      <c r="L98" s="65"/>
      <c r="Q98" s="40"/>
      <c r="R98" s="40"/>
      <c r="S98" s="40"/>
      <c r="T98" s="40"/>
    </row>
    <row r="99" spans="2:20" ht="12" customHeight="1" x14ac:dyDescent="0.15">
      <c r="B99" s="36"/>
      <c r="C99" s="58"/>
      <c r="D99" s="55"/>
      <c r="E99" s="55" t="s">
        <v>206</v>
      </c>
      <c r="G99" s="57" t="s">
        <v>207</v>
      </c>
      <c r="L99" s="65"/>
      <c r="Q99" s="40"/>
      <c r="R99" s="40"/>
      <c r="S99" s="40"/>
      <c r="T99" s="40"/>
    </row>
    <row r="100" spans="2:20" ht="12" customHeight="1" x14ac:dyDescent="0.15">
      <c r="B100" s="36"/>
      <c r="C100" s="58"/>
      <c r="D100" s="55"/>
      <c r="E100" s="55" t="s">
        <v>208</v>
      </c>
      <c r="G100" s="57" t="s">
        <v>209</v>
      </c>
      <c r="L100" s="65" t="s">
        <v>210</v>
      </c>
      <c r="Q100" s="40"/>
      <c r="R100" s="40"/>
      <c r="S100" s="40"/>
      <c r="T100" s="40"/>
    </row>
    <row r="101" spans="2:20" ht="12" customHeight="1" x14ac:dyDescent="0.15">
      <c r="B101" s="36"/>
      <c r="C101" s="58"/>
      <c r="D101" s="66"/>
      <c r="E101" s="55" t="s">
        <v>211</v>
      </c>
      <c r="G101" s="57" t="s">
        <v>212</v>
      </c>
      <c r="L101" s="65" t="s">
        <v>213</v>
      </c>
      <c r="Q101" s="40"/>
      <c r="R101" s="40"/>
      <c r="S101" s="40"/>
      <c r="T101" s="40"/>
    </row>
    <row r="102" spans="2:20" ht="12" customHeight="1" x14ac:dyDescent="0.15">
      <c r="B102" s="36"/>
      <c r="C102" s="58"/>
      <c r="D102" s="66"/>
      <c r="E102" s="40"/>
      <c r="G102" s="57"/>
      <c r="L102" s="65"/>
      <c r="Q102" s="40"/>
      <c r="R102" s="40"/>
      <c r="S102" s="40"/>
      <c r="T102" s="40"/>
    </row>
    <row r="103" spans="2:20" ht="12" customHeight="1" x14ac:dyDescent="0.15">
      <c r="C103" s="58"/>
      <c r="D103" s="67" t="s">
        <v>214</v>
      </c>
      <c r="E103" s="58"/>
      <c r="G103" s="57"/>
      <c r="L103" s="65"/>
      <c r="Q103" s="74"/>
      <c r="R103" s="74"/>
      <c r="S103" s="74"/>
      <c r="T103" s="74"/>
    </row>
    <row r="104" spans="2:20" ht="12" customHeight="1" x14ac:dyDescent="0.15">
      <c r="C104" s="58"/>
      <c r="D104" s="58"/>
      <c r="E104" s="55" t="s">
        <v>215</v>
      </c>
      <c r="G104" s="57" t="s">
        <v>216</v>
      </c>
      <c r="L104" s="65"/>
      <c r="Q104" s="40"/>
      <c r="R104" s="40"/>
      <c r="S104" s="40"/>
      <c r="T104" s="40"/>
    </row>
    <row r="105" spans="2:20" ht="12" customHeight="1" x14ac:dyDescent="0.15">
      <c r="C105" s="58"/>
      <c r="D105" s="66"/>
      <c r="E105" s="56"/>
      <c r="G105" s="57"/>
      <c r="L105" s="65"/>
      <c r="Q105" s="40"/>
      <c r="R105" s="40"/>
      <c r="S105" s="40"/>
      <c r="T105" s="40"/>
    </row>
    <row r="106" spans="2:20" ht="12" customHeight="1" x14ac:dyDescent="0.15">
      <c r="C106" s="58"/>
      <c r="D106" s="67" t="s">
        <v>217</v>
      </c>
      <c r="E106" s="67"/>
      <c r="F106" s="67"/>
      <c r="G106" s="57"/>
      <c r="L106" s="65"/>
      <c r="Q106" s="40"/>
      <c r="R106" s="40"/>
      <c r="S106" s="40"/>
      <c r="T106" s="40"/>
    </row>
    <row r="107" spans="2:20" ht="12" customHeight="1" x14ac:dyDescent="0.15">
      <c r="C107" s="58"/>
      <c r="D107" s="67"/>
      <c r="E107" s="55" t="s">
        <v>218</v>
      </c>
      <c r="F107" s="67"/>
      <c r="G107" s="57" t="s">
        <v>219</v>
      </c>
      <c r="H107" s="41"/>
      <c r="L107" s="65"/>
      <c r="Q107" s="40"/>
      <c r="R107" s="40"/>
      <c r="S107" s="40"/>
      <c r="T107" s="40"/>
    </row>
    <row r="108" spans="2:20" ht="12" customHeight="1" x14ac:dyDescent="0.15">
      <c r="C108" s="58"/>
      <c r="D108" s="66"/>
      <c r="E108" s="40"/>
      <c r="G108" s="57"/>
      <c r="L108" s="65"/>
      <c r="Q108" s="40"/>
      <c r="R108" s="40"/>
      <c r="S108" s="40"/>
      <c r="T108" s="40"/>
    </row>
    <row r="109" spans="2:20" ht="12" customHeight="1" x14ac:dyDescent="0.15">
      <c r="C109" s="58"/>
      <c r="D109" s="67" t="s">
        <v>220</v>
      </c>
      <c r="E109" s="58"/>
      <c r="G109" s="69" t="s">
        <v>221</v>
      </c>
      <c r="L109" s="65"/>
      <c r="Q109" s="40"/>
      <c r="R109" s="40"/>
      <c r="S109" s="40"/>
      <c r="T109" s="40"/>
    </row>
    <row r="110" spans="2:20" x14ac:dyDescent="0.15">
      <c r="C110" s="58"/>
      <c r="D110" s="67"/>
      <c r="E110" s="55" t="s">
        <v>222</v>
      </c>
      <c r="G110" s="57" t="s">
        <v>223</v>
      </c>
      <c r="L110" s="65"/>
      <c r="Q110" s="40"/>
      <c r="R110" s="40"/>
      <c r="S110" s="40"/>
      <c r="T110" s="40"/>
    </row>
    <row r="111" spans="2:20" x14ac:dyDescent="0.15">
      <c r="D111" s="67"/>
      <c r="E111" s="55" t="s">
        <v>224</v>
      </c>
      <c r="G111" s="57" t="s">
        <v>225</v>
      </c>
      <c r="L111" s="65"/>
    </row>
    <row r="112" spans="2:20" x14ac:dyDescent="0.15">
      <c r="D112" s="67"/>
      <c r="E112" s="55" t="s">
        <v>226</v>
      </c>
      <c r="G112" s="57" t="s">
        <v>227</v>
      </c>
      <c r="L112" s="65"/>
    </row>
    <row r="113" spans="2:17" x14ac:dyDescent="0.15">
      <c r="D113" s="58"/>
      <c r="E113" s="55" t="s">
        <v>228</v>
      </c>
      <c r="G113" s="57" t="s">
        <v>229</v>
      </c>
      <c r="L113" s="65"/>
    </row>
    <row r="114" spans="2:17" x14ac:dyDescent="0.15">
      <c r="G114" s="57"/>
      <c r="L114" s="65"/>
    </row>
    <row r="115" spans="2:17" ht="15" thickBot="1" x14ac:dyDescent="0.2">
      <c r="B115" s="75"/>
      <c r="C115" s="76" t="s">
        <v>230</v>
      </c>
      <c r="D115" s="77"/>
      <c r="E115" s="75"/>
      <c r="F115" s="75"/>
      <c r="G115" s="75"/>
      <c r="H115" s="77"/>
      <c r="I115" s="77"/>
      <c r="J115" s="77"/>
      <c r="K115" s="77"/>
      <c r="L115" s="77"/>
      <c r="M115" s="77"/>
      <c r="N115" s="77"/>
      <c r="O115" s="77"/>
      <c r="P115" s="77"/>
      <c r="Q115" s="77"/>
    </row>
    <row r="116" spans="2:17" ht="15" thickTop="1" x14ac:dyDescent="0.15">
      <c r="G116" s="57"/>
      <c r="L116" s="65"/>
    </row>
    <row r="117" spans="2:17" x14ac:dyDescent="0.15">
      <c r="D117" s="78" t="s">
        <v>231</v>
      </c>
      <c r="G117" s="57" t="s">
        <v>232</v>
      </c>
      <c r="L117" s="65"/>
    </row>
    <row r="118" spans="2:17" x14ac:dyDescent="0.15">
      <c r="D118" s="78" t="s">
        <v>37</v>
      </c>
      <c r="G118" s="57" t="s">
        <v>233</v>
      </c>
    </row>
    <row r="119" spans="2:17" x14ac:dyDescent="0.15">
      <c r="D119" s="78" t="s">
        <v>234</v>
      </c>
      <c r="G119" s="57" t="s">
        <v>235</v>
      </c>
    </row>
    <row r="120" spans="2:17" x14ac:dyDescent="0.15">
      <c r="G120" s="57"/>
    </row>
    <row r="121" spans="2:17" x14ac:dyDescent="0.15">
      <c r="D121" s="79" t="s">
        <v>236</v>
      </c>
      <c r="E121" s="80"/>
      <c r="G121" s="57" t="s">
        <v>237</v>
      </c>
      <c r="L121" s="65"/>
    </row>
    <row r="122" spans="2:17" x14ac:dyDescent="0.15">
      <c r="D122" s="81" t="s">
        <v>238</v>
      </c>
      <c r="G122" s="57"/>
    </row>
    <row r="123" spans="2:17" x14ac:dyDescent="0.15">
      <c r="D123" s="82" t="s">
        <v>239</v>
      </c>
      <c r="G123" s="57" t="s">
        <v>240</v>
      </c>
    </row>
    <row r="124" spans="2:17" x14ac:dyDescent="0.15">
      <c r="G124" s="57"/>
    </row>
    <row r="125" spans="2:17" x14ac:dyDescent="0.15">
      <c r="G125" s="57"/>
    </row>
    <row r="126" spans="2:17" x14ac:dyDescent="0.15">
      <c r="G126" s="57"/>
    </row>
    <row r="128" spans="2:17" x14ac:dyDescent="0.15">
      <c r="B128" s="41" t="s">
        <v>241</v>
      </c>
      <c r="E128" s="41" t="s">
        <v>242</v>
      </c>
    </row>
    <row r="129" spans="2:5" x14ac:dyDescent="0.15">
      <c r="B129" s="33" t="s">
        <v>243</v>
      </c>
      <c r="E129" s="33" t="s">
        <v>244</v>
      </c>
    </row>
    <row r="130" spans="2:5" x14ac:dyDescent="0.15">
      <c r="B130" s="33" t="s">
        <v>245</v>
      </c>
      <c r="E130" s="33" t="s">
        <v>246</v>
      </c>
    </row>
  </sheetData>
  <sheetProtection insertRows="0" insertHyperlinks="0"/>
  <hyperlinks>
    <hyperlink ref="L79" location="NOTE!B90" display="xem giải thích DPD+ tại đây" xr:uid="{37DEADC8-4313-EE4C-A7E2-9F51EFB7A706}"/>
    <hyperlink ref="L80" location="NOTE!B90" display="xem giải thích DPD+ tại đây" xr:uid="{7C1D85AA-D8A7-3846-AEF4-9EC6F030C1CF}"/>
    <hyperlink ref="L85" location="NOTE!B90" display="xem giải thích DPD+ tại đây" xr:uid="{F9D48EA8-F2D5-3B47-993B-891E53A2A61A}"/>
    <hyperlink ref="L86" location="NOTE!B90" display="xem giải thích DPD+ tại đây" xr:uid="{86E95604-A505-4B4B-83C9-C757D5807D5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27DE4-1D2F-0549-9D9C-1B5C9F341BD8}">
  <sheetPr>
    <tabColor rgb="FFFFFF00"/>
    <pageSetUpPr fitToPage="1"/>
  </sheetPr>
  <dimension ref="A1:AG118"/>
  <sheetViews>
    <sheetView showGridLines="0" topLeftCell="C25" zoomScale="70" zoomScaleNormal="70" zoomScaleSheetLayoutView="70" workbookViewId="0">
      <selection activeCell="N30" sqref="N30"/>
    </sheetView>
  </sheetViews>
  <sheetFormatPr baseColWidth="10" defaultColWidth="9.1640625" defaultRowHeight="12" x14ac:dyDescent="0.15"/>
  <cols>
    <col min="1" max="1" width="4" style="83" customWidth="1"/>
    <col min="2" max="2" width="19.1640625" style="99" customWidth="1"/>
    <col min="3" max="3" width="18.33203125" style="99" bestFit="1" customWidth="1"/>
    <col min="4" max="4" width="7.33203125" style="106" customWidth="1"/>
    <col min="5" max="6" width="9" style="99" customWidth="1"/>
    <col min="7" max="7" width="11.5" style="99" customWidth="1"/>
    <col min="8" max="8" width="7.1640625" style="99" customWidth="1"/>
    <col min="9" max="9" width="15.5" style="106" customWidth="1"/>
    <col min="10" max="10" width="16.6640625" style="106" customWidth="1"/>
    <col min="11" max="11" width="11.5" style="99" customWidth="1"/>
    <col min="12" max="13" width="9" style="99" customWidth="1"/>
    <col min="14" max="16" width="8.5" style="99" customWidth="1"/>
    <col min="17" max="19" width="8.5" style="99" hidden="1" customWidth="1"/>
    <col min="20" max="20" width="8.5" style="99" customWidth="1"/>
    <col min="21" max="21" width="8.5" style="111" customWidth="1"/>
    <col min="22" max="22" width="9.1640625" style="106" customWidth="1"/>
    <col min="23" max="23" width="9.1640625" style="99"/>
    <col min="24" max="24" width="10.5" style="99" bestFit="1" customWidth="1"/>
    <col min="25" max="25" width="10.83203125" style="99" customWidth="1"/>
    <col min="26" max="38" width="9.1640625" style="99"/>
    <col min="39" max="39" width="9.1640625" style="99" customWidth="1"/>
    <col min="40" max="16384" width="9.1640625" style="99"/>
  </cols>
  <sheetData>
    <row r="1" spans="1:25" s="87" customFormat="1" ht="18" customHeight="1" x14ac:dyDescent="0.2">
      <c r="A1" s="83"/>
      <c r="B1" s="84" t="s">
        <v>247</v>
      </c>
      <c r="C1" s="85"/>
      <c r="D1" s="86">
        <v>1</v>
      </c>
      <c r="E1" s="86"/>
      <c r="F1" s="86"/>
      <c r="G1" s="86"/>
      <c r="H1" s="86"/>
      <c r="I1" s="85"/>
      <c r="J1" s="85"/>
      <c r="U1" s="88"/>
      <c r="V1" s="85"/>
    </row>
    <row r="2" spans="1:25" s="90" customFormat="1" ht="13" customHeight="1" x14ac:dyDescent="0.15">
      <c r="A2" s="89"/>
      <c r="B2" s="90" t="str">
        <f>NOTE!N2</f>
        <v>HKN</v>
      </c>
      <c r="C2" s="90">
        <f>NOTE!P2</f>
        <v>20251001</v>
      </c>
      <c r="D2" s="90" t="str">
        <f>NOTE!O2</f>
        <v>v9</v>
      </c>
      <c r="I2" s="91"/>
      <c r="K2" s="92" t="s">
        <v>248</v>
      </c>
      <c r="U2" s="93"/>
    </row>
    <row r="3" spans="1:25" s="87" customFormat="1" ht="12" customHeight="1" x14ac:dyDescent="0.2">
      <c r="A3" s="94"/>
      <c r="B3" s="55"/>
      <c r="C3" s="55"/>
      <c r="D3" s="95"/>
      <c r="E3" s="55"/>
      <c r="F3" s="55"/>
      <c r="G3" s="55"/>
      <c r="H3" s="86"/>
      <c r="I3" s="96"/>
      <c r="J3" s="85"/>
      <c r="K3" s="97" t="s">
        <v>249</v>
      </c>
      <c r="L3" s="98"/>
      <c r="M3" s="98"/>
      <c r="N3" s="99"/>
      <c r="O3" s="99"/>
      <c r="P3" s="99"/>
      <c r="U3" s="88"/>
      <c r="V3" s="85"/>
    </row>
    <row r="4" spans="1:25" s="55" customFormat="1" ht="16" thickBot="1" x14ac:dyDescent="0.25">
      <c r="A4" s="83"/>
      <c r="B4" s="100" t="s">
        <v>1</v>
      </c>
      <c r="C4" s="100" t="s">
        <v>250</v>
      </c>
      <c r="D4" s="101" t="s">
        <v>67</v>
      </c>
      <c r="E4" s="100" t="s">
        <v>117</v>
      </c>
      <c r="F4" s="100"/>
      <c r="G4" s="102" t="s">
        <v>244</v>
      </c>
      <c r="H4" s="103" t="str">
        <f>G4</f>
        <v>IFRS</v>
      </c>
      <c r="K4" s="98"/>
      <c r="L4" s="104" t="s">
        <v>251</v>
      </c>
      <c r="M4" s="98"/>
      <c r="N4" s="99"/>
      <c r="O4" s="99"/>
      <c r="P4" s="99"/>
    </row>
    <row r="5" spans="1:25" ht="16" thickBot="1" x14ac:dyDescent="0.25">
      <c r="B5" s="100" t="s">
        <v>252</v>
      </c>
      <c r="C5" s="105" t="s">
        <v>253</v>
      </c>
      <c r="D5" s="101" t="s">
        <v>254</v>
      </c>
      <c r="E5" s="100" t="s">
        <v>120</v>
      </c>
      <c r="F5" s="100"/>
      <c r="G5" s="102" t="s">
        <v>245</v>
      </c>
      <c r="H5" s="103" t="str">
        <f>G5</f>
        <v>DPD180+</v>
      </c>
      <c r="K5" s="98"/>
      <c r="L5" s="104" t="s">
        <v>255</v>
      </c>
      <c r="M5" s="98"/>
      <c r="T5" s="106"/>
      <c r="U5" s="106"/>
      <c r="V5" s="99"/>
    </row>
    <row r="6" spans="1:25" ht="16" thickBot="1" x14ac:dyDescent="0.25">
      <c r="B6" s="105" t="s">
        <v>256</v>
      </c>
      <c r="C6" s="105" t="s">
        <v>26</v>
      </c>
      <c r="D6" s="101" t="s">
        <v>254</v>
      </c>
      <c r="E6" s="105" t="s">
        <v>257</v>
      </c>
      <c r="F6" s="105"/>
      <c r="G6" s="107" t="s">
        <v>258</v>
      </c>
      <c r="H6" s="103" t="str">
        <f>G6</f>
        <v>Q3.2025</v>
      </c>
      <c r="K6" s="98"/>
      <c r="L6" s="104" t="s">
        <v>259</v>
      </c>
      <c r="M6" s="98"/>
      <c r="T6" s="106"/>
      <c r="U6" s="106"/>
      <c r="V6" s="99"/>
    </row>
    <row r="7" spans="1:25" ht="13" x14ac:dyDescent="0.15">
      <c r="A7" s="94"/>
      <c r="B7" s="67"/>
      <c r="C7" s="108"/>
      <c r="D7" s="61"/>
      <c r="I7" s="109"/>
      <c r="J7" s="110"/>
      <c r="V7" s="112"/>
    </row>
    <row r="8" spans="1:25" s="82" customFormat="1" ht="14.25" customHeight="1" thickBot="1" x14ac:dyDescent="0.2">
      <c r="A8" s="94"/>
      <c r="B8" s="76" t="s">
        <v>123</v>
      </c>
      <c r="C8" s="113"/>
      <c r="D8" s="114"/>
      <c r="E8" s="113"/>
      <c r="F8" s="113"/>
      <c r="G8" s="113"/>
      <c r="H8" s="77" t="s">
        <v>260</v>
      </c>
      <c r="I8" s="115"/>
      <c r="J8" s="115"/>
      <c r="K8" s="116" t="s">
        <v>261</v>
      </c>
      <c r="L8" s="117"/>
      <c r="M8" s="117"/>
      <c r="N8" s="117"/>
      <c r="O8" s="117"/>
      <c r="P8" s="117"/>
      <c r="Q8" s="117"/>
      <c r="R8" s="117"/>
      <c r="S8" s="117"/>
      <c r="T8" s="117"/>
      <c r="U8" s="117" t="s">
        <v>260</v>
      </c>
    </row>
    <row r="9" spans="1:25" s="82" customFormat="1" ht="13.5" customHeight="1" thickTop="1" x14ac:dyDescent="0.15">
      <c r="A9" s="94"/>
      <c r="D9" s="115"/>
      <c r="I9" s="115"/>
      <c r="J9" s="115"/>
      <c r="N9" s="118"/>
      <c r="O9" s="118"/>
      <c r="P9" s="118"/>
      <c r="Q9" s="118"/>
      <c r="R9" s="118"/>
      <c r="U9" s="119"/>
    </row>
    <row r="10" spans="1:25" s="82" customFormat="1" x14ac:dyDescent="0.15">
      <c r="A10" s="83"/>
      <c r="B10" s="81" t="s">
        <v>124</v>
      </c>
      <c r="C10" s="82" t="s">
        <v>125</v>
      </c>
      <c r="D10" s="115"/>
      <c r="E10" s="120">
        <f>DATA!G20</f>
        <v>14.38934503980577</v>
      </c>
      <c r="F10" s="118"/>
      <c r="G10" s="121"/>
      <c r="H10" s="118"/>
      <c r="I10" s="115"/>
      <c r="J10" s="115"/>
      <c r="K10" s="122"/>
      <c r="N10" s="123" t="s">
        <v>262</v>
      </c>
      <c r="O10" s="123" t="s">
        <v>263</v>
      </c>
      <c r="P10" s="123" t="s">
        <v>264</v>
      </c>
      <c r="Q10" s="123" t="s">
        <v>265</v>
      </c>
      <c r="R10" s="123" t="s">
        <v>266</v>
      </c>
      <c r="S10" s="123" t="s">
        <v>267</v>
      </c>
      <c r="T10" s="124" t="s">
        <v>268</v>
      </c>
      <c r="U10" s="125" t="s">
        <v>269</v>
      </c>
    </row>
    <row r="11" spans="1:25" s="82" customFormat="1" ht="11.25" customHeight="1" x14ac:dyDescent="0.15">
      <c r="A11" s="83"/>
      <c r="C11" s="82" t="s">
        <v>128</v>
      </c>
      <c r="D11" s="115"/>
      <c r="E11" s="126" t="s">
        <v>270</v>
      </c>
      <c r="G11" s="121"/>
      <c r="I11" s="115"/>
      <c r="J11" s="115"/>
      <c r="K11" s="81" t="s">
        <v>271</v>
      </c>
      <c r="N11" s="127">
        <f t="shared" ref="N11:S11" si="0">N29</f>
        <v>4.4913849543372226</v>
      </c>
      <c r="O11" s="127">
        <f t="shared" si="0"/>
        <v>7.2311726572196475</v>
      </c>
      <c r="P11" s="127">
        <f t="shared" si="0"/>
        <v>0.3817034000135881</v>
      </c>
      <c r="Q11" s="127">
        <f t="shared" si="0"/>
        <v>0</v>
      </c>
      <c r="R11" s="128">
        <f t="shared" si="0"/>
        <v>0</v>
      </c>
      <c r="S11" s="128">
        <f t="shared" si="0"/>
        <v>0</v>
      </c>
      <c r="T11" s="129"/>
      <c r="U11" s="130">
        <f t="shared" ref="U11:U23" si="1">N11/$E$10</f>
        <v>0.3121326885909359</v>
      </c>
    </row>
    <row r="12" spans="1:25" s="82" customFormat="1" ht="11" x14ac:dyDescent="0.15">
      <c r="A12" s="83"/>
      <c r="C12" s="82" t="s">
        <v>131</v>
      </c>
      <c r="D12" s="115"/>
      <c r="E12" s="131">
        <f>DATA!H20</f>
        <v>14</v>
      </c>
      <c r="F12" s="132"/>
      <c r="G12" s="121"/>
      <c r="I12" s="115"/>
      <c r="J12" s="133"/>
      <c r="K12" s="81" t="s">
        <v>272</v>
      </c>
      <c r="L12" s="134"/>
      <c r="N12" s="127">
        <f t="shared" ref="N12:S12" si="2">SUM(N13:N15)</f>
        <v>3.497142746874502</v>
      </c>
      <c r="O12" s="127">
        <f t="shared" si="2"/>
        <v>3.4461461002030491</v>
      </c>
      <c r="P12" s="127">
        <f>SUM(P13:P15)</f>
        <v>5.0996646671452768E-2</v>
      </c>
      <c r="Q12" s="127">
        <f t="shared" si="2"/>
        <v>0</v>
      </c>
      <c r="R12" s="128">
        <f t="shared" si="2"/>
        <v>0</v>
      </c>
      <c r="S12" s="128">
        <f t="shared" si="2"/>
        <v>0</v>
      </c>
      <c r="T12" s="135">
        <f t="shared" ref="T12:T23" si="3">N12/$E$14*12/$N$11</f>
        <v>0.46718009466065408</v>
      </c>
      <c r="U12" s="130">
        <f t="shared" si="1"/>
        <v>0.24303696500432984</v>
      </c>
    </row>
    <row r="13" spans="1:25" s="82" customFormat="1" ht="11" x14ac:dyDescent="0.15">
      <c r="A13" s="83"/>
      <c r="C13" s="82" t="s">
        <v>134</v>
      </c>
      <c r="D13" s="115"/>
      <c r="E13" s="136">
        <v>6</v>
      </c>
      <c r="G13" s="121"/>
      <c r="I13" s="137"/>
      <c r="J13" s="133"/>
      <c r="K13" s="138" t="s">
        <v>273</v>
      </c>
      <c r="N13" s="139">
        <f t="shared" ref="N13:S13" si="4">N31</f>
        <v>2.9659145290940816</v>
      </c>
      <c r="O13" s="139">
        <f>O31</f>
        <v>2.9163234072489836</v>
      </c>
      <c r="P13" s="139">
        <f t="shared" si="4"/>
        <v>4.959112184509782E-2</v>
      </c>
      <c r="Q13" s="139">
        <f t="shared" si="4"/>
        <v>0</v>
      </c>
      <c r="R13" s="140">
        <f t="shared" si="4"/>
        <v>0</v>
      </c>
      <c r="S13" s="140">
        <f t="shared" si="4"/>
        <v>0</v>
      </c>
      <c r="T13" s="141">
        <f t="shared" si="3"/>
        <v>0.39621380388202559</v>
      </c>
      <c r="U13" s="142">
        <f t="shared" si="1"/>
        <v>0.20611879977089742</v>
      </c>
    </row>
    <row r="14" spans="1:25" s="82" customFormat="1" ht="11" x14ac:dyDescent="0.15">
      <c r="A14" s="83"/>
      <c r="C14" s="82" t="s">
        <v>137</v>
      </c>
      <c r="D14" s="115"/>
      <c r="E14" s="143">
        <f>E12+E13</f>
        <v>20</v>
      </c>
      <c r="F14" s="144"/>
      <c r="G14" s="121"/>
      <c r="I14" s="137"/>
      <c r="J14" s="133"/>
      <c r="K14" s="138" t="s">
        <v>274</v>
      </c>
      <c r="N14" s="139">
        <f t="shared" ref="N14:S14" si="5">N34</f>
        <v>0.53122821778042018</v>
      </c>
      <c r="O14" s="139">
        <f>O34</f>
        <v>0.52982269295406526</v>
      </c>
      <c r="P14" s="139">
        <f t="shared" si="5"/>
        <v>1.4055248263549476E-3</v>
      </c>
      <c r="Q14" s="139">
        <f t="shared" si="5"/>
        <v>0</v>
      </c>
      <c r="R14" s="140">
        <f t="shared" si="5"/>
        <v>0</v>
      </c>
      <c r="S14" s="140">
        <f t="shared" si="5"/>
        <v>0</v>
      </c>
      <c r="T14" s="141">
        <f t="shared" si="3"/>
        <v>7.0966290778628441E-2</v>
      </c>
      <c r="U14" s="142">
        <f t="shared" si="1"/>
        <v>3.6918165233432387E-2</v>
      </c>
    </row>
    <row r="15" spans="1:25" s="82" customFormat="1" ht="11" x14ac:dyDescent="0.15">
      <c r="A15" s="83"/>
      <c r="I15" s="137"/>
      <c r="J15" s="133"/>
      <c r="K15" s="138" t="s">
        <v>275</v>
      </c>
      <c r="N15" s="139">
        <f t="shared" ref="N15:S16" si="6">N38</f>
        <v>0</v>
      </c>
      <c r="O15" s="139">
        <f>O38</f>
        <v>0</v>
      </c>
      <c r="P15" s="139">
        <f t="shared" si="6"/>
        <v>0</v>
      </c>
      <c r="Q15" s="139">
        <f t="shared" si="6"/>
        <v>0</v>
      </c>
      <c r="R15" s="140">
        <f t="shared" si="6"/>
        <v>0</v>
      </c>
      <c r="S15" s="140">
        <f t="shared" si="6"/>
        <v>0</v>
      </c>
      <c r="T15" s="141">
        <f t="shared" si="3"/>
        <v>0</v>
      </c>
      <c r="U15" s="142">
        <f t="shared" si="1"/>
        <v>0</v>
      </c>
    </row>
    <row r="16" spans="1:25" s="82" customFormat="1" ht="11" x14ac:dyDescent="0.15">
      <c r="A16" s="83"/>
      <c r="D16" s="115"/>
      <c r="E16" s="115"/>
      <c r="F16" s="115"/>
      <c r="G16" s="145"/>
      <c r="H16" s="146"/>
      <c r="I16" s="137"/>
      <c r="J16" s="133"/>
      <c r="K16" s="81" t="s">
        <v>276</v>
      </c>
      <c r="N16" s="127">
        <f t="shared" si="6"/>
        <v>-1.8345325755227762</v>
      </c>
      <c r="O16" s="127">
        <f>O39</f>
        <v>-1.7819251634791098</v>
      </c>
      <c r="P16" s="127">
        <f t="shared" si="6"/>
        <v>-5.2607412043666368E-2</v>
      </c>
      <c r="Q16" s="127">
        <f t="shared" si="6"/>
        <v>0</v>
      </c>
      <c r="R16" s="128">
        <f t="shared" si="6"/>
        <v>0</v>
      </c>
      <c r="S16" s="128">
        <f t="shared" si="6"/>
        <v>0</v>
      </c>
      <c r="T16" s="135">
        <f>N16/$E$14*12/$N$11</f>
        <v>-0.24507352553931663</v>
      </c>
      <c r="U16" s="130">
        <f t="shared" si="1"/>
        <v>-0.12749243071507715</v>
      </c>
      <c r="V16" s="118"/>
      <c r="W16" s="147"/>
      <c r="X16" s="148"/>
      <c r="Y16" s="149"/>
    </row>
    <row r="17" spans="1:25" s="82" customFormat="1" ht="11" x14ac:dyDescent="0.15">
      <c r="A17" s="83"/>
      <c r="B17" s="81" t="s">
        <v>140</v>
      </c>
      <c r="C17" s="150" t="s">
        <v>277</v>
      </c>
      <c r="D17" s="151" t="s">
        <v>278</v>
      </c>
      <c r="E17" s="150" t="s">
        <v>143</v>
      </c>
      <c r="F17" s="150" t="s">
        <v>145</v>
      </c>
      <c r="G17" s="150" t="s">
        <v>148</v>
      </c>
      <c r="I17" s="137"/>
      <c r="J17" s="133"/>
      <c r="K17" s="81" t="s">
        <v>279</v>
      </c>
      <c r="N17" s="127">
        <f t="shared" ref="N17:S17" si="7">SUM(N18:N21)</f>
        <v>-0.99439331280153864</v>
      </c>
      <c r="O17" s="127">
        <f>SUM(O18:O21)</f>
        <v>-0.92092924236634655</v>
      </c>
      <c r="P17" s="127">
        <f t="shared" si="7"/>
        <v>-7.3464070435192125E-2</v>
      </c>
      <c r="Q17" s="127">
        <f t="shared" si="7"/>
        <v>0</v>
      </c>
      <c r="R17" s="128">
        <f>SUM(R18:R21)</f>
        <v>0</v>
      </c>
      <c r="S17" s="128">
        <f t="shared" si="7"/>
        <v>0</v>
      </c>
      <c r="T17" s="135">
        <f t="shared" si="3"/>
        <v>-0.13284009136308081</v>
      </c>
      <c r="U17" s="130">
        <f t="shared" si="1"/>
        <v>-6.910622478303996E-2</v>
      </c>
    </row>
    <row r="18" spans="1:25" s="82" customFormat="1" ht="11" x14ac:dyDescent="0.15">
      <c r="A18" s="83">
        <v>1</v>
      </c>
      <c r="B18" s="83">
        <v>1</v>
      </c>
      <c r="C18" s="152">
        <v>1</v>
      </c>
      <c r="D18" s="153">
        <f>E12</f>
        <v>14</v>
      </c>
      <c r="E18" s="154">
        <f>IR!U28</f>
        <v>0.51861255751024471</v>
      </c>
      <c r="F18" s="154">
        <f>COF!K1</f>
        <v>7.0378102785857183E-2</v>
      </c>
      <c r="G18" s="155">
        <f>E18-F18</f>
        <v>0.4482344547243875</v>
      </c>
      <c r="I18" s="137"/>
      <c r="J18" s="133"/>
      <c r="K18" s="138" t="s">
        <v>175</v>
      </c>
      <c r="N18" s="139">
        <f t="shared" ref="N18:S18" si="8">SUM(N41)</f>
        <v>-0.35973362599514425</v>
      </c>
      <c r="O18" s="139">
        <f>SUM(O41)</f>
        <v>-0.35973362599514425</v>
      </c>
      <c r="P18" s="139">
        <f t="shared" si="8"/>
        <v>0</v>
      </c>
      <c r="Q18" s="139">
        <f t="shared" si="8"/>
        <v>0</v>
      </c>
      <c r="R18" s="140">
        <f>SUM(R41)</f>
        <v>0</v>
      </c>
      <c r="S18" s="140">
        <f t="shared" si="8"/>
        <v>0</v>
      </c>
      <c r="T18" s="141">
        <f t="shared" si="3"/>
        <v>-4.805648542520384E-2</v>
      </c>
      <c r="U18" s="142">
        <f t="shared" si="1"/>
        <v>-2.5000000000000001E-2</v>
      </c>
    </row>
    <row r="19" spans="1:25" s="82" customFormat="1" ht="11" x14ac:dyDescent="0.15">
      <c r="A19" s="83">
        <v>2</v>
      </c>
      <c r="B19" s="83">
        <v>2</v>
      </c>
      <c r="C19" s="152">
        <f>IF(D18="","",IF(D18&gt;$E$12,"",D18+1))</f>
        <v>15</v>
      </c>
      <c r="D19" s="156">
        <f>E14</f>
        <v>20</v>
      </c>
      <c r="E19" s="154">
        <f>E18</f>
        <v>0.51861255751024471</v>
      </c>
      <c r="F19" s="154">
        <f>F18</f>
        <v>7.0378102785857183E-2</v>
      </c>
      <c r="G19" s="155">
        <f>E19-F19</f>
        <v>0.4482344547243875</v>
      </c>
      <c r="I19" s="137"/>
      <c r="J19" s="133"/>
      <c r="K19" s="138" t="s">
        <v>280</v>
      </c>
      <c r="N19" s="157">
        <f t="shared" ref="N19:S19" si="9">N45</f>
        <v>-3.8198394028711544E-2</v>
      </c>
      <c r="O19" s="139">
        <f>O45</f>
        <v>-3.8198394028711544E-2</v>
      </c>
      <c r="P19" s="157">
        <f t="shared" si="9"/>
        <v>0</v>
      </c>
      <c r="Q19" s="157">
        <f t="shared" si="9"/>
        <v>0</v>
      </c>
      <c r="R19" s="158">
        <f>R45</f>
        <v>0</v>
      </c>
      <c r="S19" s="158">
        <f t="shared" si="9"/>
        <v>0</v>
      </c>
      <c r="T19" s="141">
        <f t="shared" si="3"/>
        <v>-5.1028884520563219E-3</v>
      </c>
      <c r="U19" s="142">
        <f t="shared" si="1"/>
        <v>-2.6546304868666319E-3</v>
      </c>
    </row>
    <row r="20" spans="1:25" s="82" customFormat="1" ht="11" x14ac:dyDescent="0.15">
      <c r="A20" s="83">
        <v>3</v>
      </c>
      <c r="B20" s="83">
        <v>3</v>
      </c>
      <c r="C20" s="159"/>
      <c r="D20" s="160"/>
      <c r="E20" s="155"/>
      <c r="F20" s="155"/>
      <c r="G20" s="155"/>
      <c r="I20" s="137"/>
      <c r="J20" s="133"/>
      <c r="K20" s="138" t="s">
        <v>281</v>
      </c>
      <c r="N20" s="157">
        <f t="shared" ref="N20:S20" si="10">N48</f>
        <v>-9.5508824492159763E-2</v>
      </c>
      <c r="O20" s="157">
        <f>O48</f>
        <v>-7.8866500000000006E-2</v>
      </c>
      <c r="P20" s="157">
        <f t="shared" si="10"/>
        <v>-1.6642324492159757E-2</v>
      </c>
      <c r="Q20" s="157">
        <f t="shared" si="10"/>
        <v>0</v>
      </c>
      <c r="R20" s="158">
        <f>R48</f>
        <v>0</v>
      </c>
      <c r="S20" s="158">
        <f t="shared" si="10"/>
        <v>0</v>
      </c>
      <c r="T20" s="141">
        <f t="shared" si="3"/>
        <v>-1.2758936336543033E-2</v>
      </c>
      <c r="U20" s="142">
        <f t="shared" si="1"/>
        <v>-6.6374685038096048E-3</v>
      </c>
    </row>
    <row r="21" spans="1:25" s="82" customFormat="1" ht="11" x14ac:dyDescent="0.15">
      <c r="A21" s="83">
        <v>4</v>
      </c>
      <c r="B21" s="83">
        <v>4</v>
      </c>
      <c r="C21" s="159"/>
      <c r="D21" s="160"/>
      <c r="E21" s="161"/>
      <c r="F21" s="161"/>
      <c r="G21" s="161"/>
      <c r="I21" s="115"/>
      <c r="J21" s="115"/>
      <c r="K21" s="138" t="s">
        <v>282</v>
      </c>
      <c r="N21" s="139">
        <f t="shared" ref="N21:S21" si="11">N52</f>
        <v>-0.50095246828552309</v>
      </c>
      <c r="O21" s="139">
        <f>O52</f>
        <v>-0.44413072234249074</v>
      </c>
      <c r="P21" s="139">
        <f t="shared" si="11"/>
        <v>-5.682174594303236E-2</v>
      </c>
      <c r="Q21" s="139">
        <f t="shared" si="11"/>
        <v>0</v>
      </c>
      <c r="R21" s="140">
        <f>R52</f>
        <v>0</v>
      </c>
      <c r="S21" s="140">
        <f t="shared" si="11"/>
        <v>0</v>
      </c>
      <c r="T21" s="141">
        <f t="shared" si="3"/>
        <v>-6.6921781149277604E-2</v>
      </c>
      <c r="U21" s="142">
        <f t="shared" si="1"/>
        <v>-3.4814125792363725E-2</v>
      </c>
    </row>
    <row r="22" spans="1:25" s="82" customFormat="1" ht="11" x14ac:dyDescent="0.15">
      <c r="A22" s="83">
        <v>5</v>
      </c>
      <c r="B22" s="83">
        <v>5</v>
      </c>
      <c r="C22" s="159"/>
      <c r="D22" s="160"/>
      <c r="E22" s="161"/>
      <c r="F22" s="161"/>
      <c r="G22" s="161"/>
      <c r="I22" s="115"/>
      <c r="J22" s="115"/>
      <c r="K22" s="81" t="s">
        <v>283</v>
      </c>
      <c r="N22" s="127">
        <f t="shared" ref="N22:S22" si="12">N12+N16+N17</f>
        <v>0.6682168585501872</v>
      </c>
      <c r="O22" s="127">
        <f t="shared" si="12"/>
        <v>0.74329169435759279</v>
      </c>
      <c r="P22" s="127">
        <f t="shared" si="12"/>
        <v>-7.5074835807405732E-2</v>
      </c>
      <c r="Q22" s="127">
        <f t="shared" si="12"/>
        <v>0</v>
      </c>
      <c r="R22" s="128">
        <f t="shared" si="12"/>
        <v>0</v>
      </c>
      <c r="S22" s="128">
        <f t="shared" si="12"/>
        <v>0</v>
      </c>
      <c r="T22" s="135">
        <f t="shared" si="3"/>
        <v>8.9266477758256663E-2</v>
      </c>
      <c r="U22" s="130">
        <f t="shared" si="1"/>
        <v>4.6438309506212722E-2</v>
      </c>
      <c r="W22" s="118"/>
      <c r="X22" s="162"/>
      <c r="Y22" s="163"/>
    </row>
    <row r="23" spans="1:25" s="82" customFormat="1" ht="11" x14ac:dyDescent="0.15">
      <c r="A23" s="83"/>
      <c r="B23" s="83">
        <v>6</v>
      </c>
      <c r="C23" s="159"/>
      <c r="D23" s="160"/>
      <c r="E23" s="161"/>
      <c r="F23" s="161"/>
      <c r="G23" s="161"/>
      <c r="I23" s="115"/>
      <c r="J23" s="115"/>
      <c r="K23" s="82" t="s">
        <v>284</v>
      </c>
      <c r="N23" s="127">
        <f t="shared" ref="N23:S23" si="13">N22-N21</f>
        <v>1.1691693268357102</v>
      </c>
      <c r="O23" s="139">
        <f t="shared" si="13"/>
        <v>1.1874224167000835</v>
      </c>
      <c r="P23" s="139">
        <f t="shared" si="13"/>
        <v>-1.8253089864373372E-2</v>
      </c>
      <c r="Q23" s="139">
        <f t="shared" si="13"/>
        <v>0</v>
      </c>
      <c r="R23" s="140">
        <f t="shared" si="13"/>
        <v>0</v>
      </c>
      <c r="S23" s="140">
        <f t="shared" si="13"/>
        <v>0</v>
      </c>
      <c r="T23" s="141">
        <f t="shared" si="3"/>
        <v>0.15618825890753427</v>
      </c>
      <c r="U23" s="142">
        <f t="shared" si="1"/>
        <v>8.1252435298576439E-2</v>
      </c>
      <c r="V23" s="115"/>
    </row>
    <row r="24" spans="1:25" s="82" customFormat="1" ht="15.75" customHeight="1" x14ac:dyDescent="0.15">
      <c r="A24" s="83"/>
      <c r="B24" s="164"/>
      <c r="C24" s="165"/>
      <c r="D24" s="146"/>
      <c r="E24" s="146"/>
      <c r="F24" s="146"/>
      <c r="G24" s="146"/>
      <c r="H24" s="146"/>
      <c r="I24" s="115"/>
      <c r="J24" s="115"/>
      <c r="V24" s="119"/>
    </row>
    <row r="25" spans="1:25" s="82" customFormat="1" x14ac:dyDescent="0.15">
      <c r="A25" s="166"/>
      <c r="B25" s="81" t="s">
        <v>150</v>
      </c>
      <c r="C25" s="167" t="s">
        <v>277</v>
      </c>
      <c r="D25" s="168" t="s">
        <v>278</v>
      </c>
      <c r="E25" s="167" t="s">
        <v>151</v>
      </c>
      <c r="F25" s="169" t="s">
        <v>153</v>
      </c>
      <c r="G25" s="167" t="s">
        <v>155</v>
      </c>
      <c r="H25" s="170"/>
      <c r="I25" s="115"/>
      <c r="J25" s="137"/>
      <c r="N25" s="118"/>
      <c r="U25" s="171"/>
      <c r="V25" s="172"/>
    </row>
    <row r="26" spans="1:25" s="82" customFormat="1" ht="12" customHeight="1" thickBot="1" x14ac:dyDescent="0.2">
      <c r="A26" s="83"/>
      <c r="B26" s="173">
        <v>1</v>
      </c>
      <c r="C26" s="174">
        <v>1</v>
      </c>
      <c r="D26" s="175">
        <v>1</v>
      </c>
      <c r="E26" s="176">
        <v>0.03</v>
      </c>
      <c r="F26" s="154"/>
      <c r="G26" s="176">
        <v>0.08</v>
      </c>
      <c r="H26" s="177" t="s">
        <v>285</v>
      </c>
      <c r="I26" s="115"/>
      <c r="J26" s="115"/>
      <c r="K26" s="116" t="s">
        <v>286</v>
      </c>
      <c r="L26" s="117"/>
      <c r="M26" s="117"/>
      <c r="N26" s="117"/>
      <c r="O26" s="117"/>
      <c r="P26" s="117"/>
      <c r="Q26" s="117"/>
      <c r="R26" s="117"/>
      <c r="S26" s="117"/>
      <c r="T26" s="117"/>
      <c r="U26" s="117" t="s">
        <v>260</v>
      </c>
      <c r="V26" s="115"/>
    </row>
    <row r="27" spans="1:25" s="82" customFormat="1" ht="12" customHeight="1" x14ac:dyDescent="0.15">
      <c r="A27" s="83"/>
      <c r="B27" s="173">
        <v>2</v>
      </c>
      <c r="C27" s="174">
        <f>D26+1</f>
        <v>2</v>
      </c>
      <c r="D27" s="175">
        <v>3</v>
      </c>
      <c r="E27" s="176">
        <v>0.03</v>
      </c>
      <c r="F27" s="154"/>
      <c r="G27" s="176">
        <v>0.06</v>
      </c>
      <c r="H27" s="177" t="s">
        <v>285</v>
      </c>
      <c r="I27" s="115"/>
      <c r="J27" s="178"/>
      <c r="L27" s="179"/>
      <c r="M27" s="179"/>
      <c r="O27" s="179"/>
      <c r="P27" s="179"/>
      <c r="Q27" s="179"/>
      <c r="R27" s="179"/>
      <c r="U27" s="171"/>
      <c r="V27" s="178"/>
      <c r="W27" s="118"/>
      <c r="X27" s="180"/>
    </row>
    <row r="28" spans="1:25" s="82" customFormat="1" ht="11" x14ac:dyDescent="0.15">
      <c r="A28" s="83"/>
      <c r="B28" s="173">
        <v>3</v>
      </c>
      <c r="C28" s="174">
        <f>D27+1</f>
        <v>4</v>
      </c>
      <c r="D28" s="175">
        <v>14</v>
      </c>
      <c r="E28" s="176">
        <v>0.03</v>
      </c>
      <c r="F28" s="154"/>
      <c r="G28" s="176">
        <v>2.5000000000000001E-2</v>
      </c>
      <c r="H28" s="177" t="s">
        <v>285</v>
      </c>
      <c r="I28" s="115"/>
      <c r="J28" s="181"/>
      <c r="N28" s="123" t="s">
        <v>262</v>
      </c>
      <c r="O28" s="123" t="s">
        <v>263</v>
      </c>
      <c r="P28" s="123" t="s">
        <v>264</v>
      </c>
      <c r="Q28" s="123" t="s">
        <v>265</v>
      </c>
      <c r="R28" s="123" t="s">
        <v>266</v>
      </c>
      <c r="S28" s="123" t="s">
        <v>267</v>
      </c>
      <c r="T28" s="123" t="s">
        <v>268</v>
      </c>
      <c r="U28" s="182" t="s">
        <v>269</v>
      </c>
      <c r="V28" s="178"/>
      <c r="W28" s="118"/>
      <c r="X28" s="180"/>
    </row>
    <row r="29" spans="1:25" s="82" customFormat="1" ht="11" x14ac:dyDescent="0.15">
      <c r="A29" s="83"/>
      <c r="B29" s="173">
        <v>4</v>
      </c>
      <c r="C29" s="183">
        <f>IF(D28="","",IF(D28&gt;$E$12,"",D28+1))</f>
        <v>15</v>
      </c>
      <c r="D29" s="184"/>
      <c r="E29" s="185"/>
      <c r="F29" s="155"/>
      <c r="G29" s="185"/>
      <c r="I29" s="115"/>
      <c r="K29" s="186" t="s">
        <v>271</v>
      </c>
      <c r="N29" s="128">
        <f>SUM(SAP_Speadsheet!$D$50:$BF$50)/COUNTIF(SAP_Speadsheet!$D$50:$BF$50,"&gt;0")</f>
        <v>4.4913849543372226</v>
      </c>
      <c r="O29" s="128">
        <f>IFERROR(SUM(SAP_Speadsheet!$D$50:$P$50)/COUNTIF(SAP_Speadsheet!$D$50:$P$50,"&gt;0"),0)</f>
        <v>7.2311726572196475</v>
      </c>
      <c r="P29" s="128">
        <f>IFERROR(SUM(SAP_Speadsheet!$Q$50:$AB$50)/COUNTIF(SAP_Speadsheet!$Q$50:$AB$50,"&gt;0"),0)</f>
        <v>0.3817034000135881</v>
      </c>
      <c r="Q29" s="128">
        <f>IFERROR(SUM(SAP_Speadsheet!$AC$50:$AN$50)/COUNTIF(SAP_Speadsheet!$AC$50:$AN$50,"&gt;0"),0)</f>
        <v>0</v>
      </c>
      <c r="R29" s="128">
        <f>IFERROR(SUM(SAP_Speadsheet!$AO$50:$AZ$50)/COUNTIF(SAP_Speadsheet!$AO$50:$AZ$50,"&gt;0"),0)</f>
        <v>0</v>
      </c>
      <c r="S29" s="128">
        <f>IFERROR(SUM(SAP_Speadsheet!$BA$50:$BF$50)/COUNTIF(SAP_Speadsheet!$BA$50:$BF$50,"&gt;0"),0)</f>
        <v>0</v>
      </c>
      <c r="T29" s="187"/>
      <c r="U29" s="188">
        <f t="shared" ref="U29:U52" si="14">N29/$E$10</f>
        <v>0.3121326885909359</v>
      </c>
      <c r="V29" s="178"/>
      <c r="W29" s="118"/>
      <c r="X29" s="180"/>
    </row>
    <row r="30" spans="1:25" s="82" customFormat="1" ht="11" x14ac:dyDescent="0.15">
      <c r="A30" s="83"/>
      <c r="B30" s="173">
        <v>5</v>
      </c>
      <c r="C30" s="183" t="str">
        <f>IF(D29="","",IF(D29&gt;$E$12,"",D29+1))</f>
        <v/>
      </c>
      <c r="D30" s="184"/>
      <c r="E30" s="185">
        <f>IF(D30="",0,SUMIFS(#REF!,#REF!,Leadsheet!G$24,#REF!,Leadsheet!$A30,#REF!,Leadsheet!$C$4,#REF!,Leadsheet!$G$5,#REF!,Leadsheet!$D$5,#REF!,Leadsheet!G4))</f>
        <v>0</v>
      </c>
      <c r="F30" s="155">
        <v>0</v>
      </c>
      <c r="G30" s="185"/>
      <c r="I30" s="115"/>
      <c r="J30" s="178"/>
      <c r="K30" s="81" t="s">
        <v>272</v>
      </c>
      <c r="N30" s="189">
        <f t="shared" ref="N30:N57" si="15">SUM(O30:S30)</f>
        <v>3.4971427468745024</v>
      </c>
      <c r="O30" s="189">
        <f>SUM(SAP_Speadsheet!$E$55:$P$55)</f>
        <v>3.4461461002030496</v>
      </c>
      <c r="P30" s="189">
        <f>SUM(SAP_Speadsheet!$Q$55:$AB$55)</f>
        <v>5.0996646671452768E-2</v>
      </c>
      <c r="Q30" s="189">
        <f>SUM(SAP_Speadsheet!$AC$55:$AN$55)</f>
        <v>0</v>
      </c>
      <c r="R30" s="189">
        <f>SUM(SAP_Speadsheet!$AO$55:$AZ$55)</f>
        <v>0</v>
      </c>
      <c r="S30" s="189">
        <f>SUM(SAP_Speadsheet!$BA$55:$BF$55)</f>
        <v>0</v>
      </c>
      <c r="T30" s="135">
        <f t="shared" ref="T30:T57" si="16">N30/$E$14*12/$N$29</f>
        <v>0.46718009466065419</v>
      </c>
      <c r="U30" s="135">
        <f t="shared" si="14"/>
        <v>0.24303696500432986</v>
      </c>
      <c r="V30" s="181"/>
      <c r="W30" s="118"/>
      <c r="X30" s="180"/>
    </row>
    <row r="31" spans="1:25" s="82" customFormat="1" ht="11" x14ac:dyDescent="0.15">
      <c r="A31" s="83"/>
      <c r="B31" s="190">
        <v>6</v>
      </c>
      <c r="C31" s="183" t="str">
        <f>IF(D30="","",IF(D30&gt;$E$12,"",D30+1))</f>
        <v/>
      </c>
      <c r="D31" s="184"/>
      <c r="E31" s="155">
        <f>IF(D31="",0,SUMIFS(#REF!,#REF!,Leadsheet!G$24,#REF!,Leadsheet!$A31,#REF!,Leadsheet!$C$4,#REF!,Leadsheet!$G$5,#REF!,Leadsheet!$D$5,#REF!,Leadsheet!G4))</f>
        <v>0</v>
      </c>
      <c r="F31" s="155">
        <v>0</v>
      </c>
      <c r="G31" s="155"/>
      <c r="I31" s="191"/>
      <c r="J31" s="178"/>
      <c r="K31" s="81" t="s">
        <v>273</v>
      </c>
      <c r="N31" s="189">
        <f>SUM(O31:S31)</f>
        <v>2.9659145290940816</v>
      </c>
      <c r="O31" s="189">
        <f>SUM(SAP_Speadsheet!$E$57:$P$57)</f>
        <v>2.9163234072489836</v>
      </c>
      <c r="P31" s="189">
        <f>SUM(SAP_Speadsheet!$Q$57:$AB$57)</f>
        <v>4.959112184509782E-2</v>
      </c>
      <c r="Q31" s="189">
        <f>SUM(SAP_Speadsheet!$AC$57:$AN$57)</f>
        <v>0</v>
      </c>
      <c r="R31" s="189">
        <f>SUM(SAP_Speadsheet!$AO$57:$AZ$57)</f>
        <v>0</v>
      </c>
      <c r="S31" s="189">
        <f>SUM(SAP_Speadsheet!$BA$57:$BF$57)</f>
        <v>0</v>
      </c>
      <c r="T31" s="135">
        <f t="shared" si="16"/>
        <v>0.39621380388202559</v>
      </c>
      <c r="U31" s="135">
        <f t="shared" si="14"/>
        <v>0.20611879977089742</v>
      </c>
      <c r="V31" s="178"/>
      <c r="W31" s="118"/>
      <c r="X31" s="180"/>
    </row>
    <row r="32" spans="1:25" s="82" customFormat="1" ht="11" x14ac:dyDescent="0.15">
      <c r="A32" s="83"/>
      <c r="D32" s="115"/>
      <c r="I32" s="115"/>
      <c r="J32" s="178"/>
      <c r="K32" s="192" t="s">
        <v>287</v>
      </c>
      <c r="N32" s="193">
        <f t="shared" si="15"/>
        <v>3.4927397823727446</v>
      </c>
      <c r="O32" s="193">
        <f>SUM(SAP_Speadsheet!$E$58:$P$58)</f>
        <v>3.4252396197810686</v>
      </c>
      <c r="P32" s="193">
        <f>SUM(SAP_Speadsheet!$Q$58:$AB$58)</f>
        <v>6.7500162591676127E-2</v>
      </c>
      <c r="Q32" s="193">
        <f>SUM(SAP_Speadsheet!$AC$58:$AN$58)</f>
        <v>0</v>
      </c>
      <c r="R32" s="193">
        <f>SUM(SAP_Speadsheet!$AO$58:$AZ$58)</f>
        <v>0</v>
      </c>
      <c r="S32" s="193">
        <f>SUM(SAP_Speadsheet!$BA$58:$BF$58)</f>
        <v>0</v>
      </c>
      <c r="T32" s="141">
        <f t="shared" si="16"/>
        <v>0.46659190666788286</v>
      </c>
      <c r="U32" s="141">
        <f t="shared" si="14"/>
        <v>0.24273097717169553</v>
      </c>
      <c r="V32" s="178"/>
      <c r="W32" s="118"/>
      <c r="X32" s="180"/>
    </row>
    <row r="33" spans="1:24" s="134" customFormat="1" ht="11.25" customHeight="1" x14ac:dyDescent="0.15">
      <c r="A33" s="166"/>
      <c r="B33" s="81" t="s">
        <v>158</v>
      </c>
      <c r="C33" s="82" t="s">
        <v>159</v>
      </c>
      <c r="D33" s="194"/>
      <c r="E33" s="195"/>
      <c r="F33" s="177" t="s">
        <v>288</v>
      </c>
      <c r="G33" s="67"/>
      <c r="I33" s="191"/>
      <c r="J33" s="178"/>
      <c r="K33" s="192" t="s">
        <v>289</v>
      </c>
      <c r="L33" s="82"/>
      <c r="M33" s="82"/>
      <c r="N33" s="193">
        <f t="shared" si="15"/>
        <v>-0.5268252532786627</v>
      </c>
      <c r="O33" s="193">
        <f>SUM(SAP_Speadsheet!$E$59:$P$59)</f>
        <v>-0.50891621253208441</v>
      </c>
      <c r="P33" s="193">
        <f>SUM(SAP_Speadsheet!$Q$59:$AB$59)</f>
        <v>-1.7909040746578311E-2</v>
      </c>
      <c r="Q33" s="193">
        <f>SUM(SAP_Speadsheet!$AC$59:$AN$59)</f>
        <v>0</v>
      </c>
      <c r="R33" s="193">
        <f>SUM(SAP_Speadsheet!$AO$59:$AZ$59)</f>
        <v>0</v>
      </c>
      <c r="S33" s="193">
        <f>SUM(SAP_Speadsheet!$BA$59:$BF$59)</f>
        <v>0</v>
      </c>
      <c r="T33" s="141">
        <f t="shared" si="16"/>
        <v>-7.0378102785857211E-2</v>
      </c>
      <c r="U33" s="141">
        <f t="shared" si="14"/>
        <v>-3.6612177400798078E-2</v>
      </c>
      <c r="V33" s="178"/>
      <c r="W33" s="118"/>
      <c r="X33" s="180"/>
    </row>
    <row r="34" spans="1:24" s="82" customFormat="1" ht="11" x14ac:dyDescent="0.15">
      <c r="C34" s="82" t="s">
        <v>162</v>
      </c>
      <c r="E34" s="195">
        <f>DATA!J20</f>
        <v>7.0807837676128166E-2</v>
      </c>
      <c r="F34" s="177" t="s">
        <v>288</v>
      </c>
      <c r="I34" s="96"/>
      <c r="J34" s="178"/>
      <c r="K34" s="81" t="s">
        <v>274</v>
      </c>
      <c r="N34" s="189">
        <f t="shared" si="15"/>
        <v>0.53122821778042018</v>
      </c>
      <c r="O34" s="189">
        <f>SUM(SAP_Speadsheet!$E$61:$P$61)</f>
        <v>0.52982269295406526</v>
      </c>
      <c r="P34" s="189">
        <f>SUM(SAP_Speadsheet!$Q$61:$AB$61)</f>
        <v>1.4055248263549476E-3</v>
      </c>
      <c r="Q34" s="189">
        <f>SUM(SAP_Speadsheet!$AC$61:$AN$61)</f>
        <v>0</v>
      </c>
      <c r="R34" s="189">
        <f>SUM(SAP_Speadsheet!$AO$61:$AZ$61)</f>
        <v>0</v>
      </c>
      <c r="S34" s="189">
        <f>SUM(SAP_Speadsheet!$BA$61:$BF$61)</f>
        <v>0</v>
      </c>
      <c r="T34" s="135">
        <f t="shared" si="16"/>
        <v>7.0966290778628441E-2</v>
      </c>
      <c r="U34" s="135">
        <f t="shared" si="14"/>
        <v>3.6918165233432387E-2</v>
      </c>
      <c r="V34" s="178"/>
      <c r="W34" s="118"/>
      <c r="X34" s="180"/>
    </row>
    <row r="35" spans="1:24" s="82" customFormat="1" ht="11" x14ac:dyDescent="0.15">
      <c r="A35" s="83"/>
      <c r="B35" s="170"/>
      <c r="C35" s="82" t="s">
        <v>164</v>
      </c>
      <c r="D35" s="115"/>
      <c r="E35" s="195">
        <f>DATA!K20</f>
        <v>0.47917584697050852</v>
      </c>
      <c r="F35" s="177" t="s">
        <v>288</v>
      </c>
      <c r="I35" s="115"/>
      <c r="J35" s="178"/>
      <c r="K35" s="192" t="s">
        <v>290</v>
      </c>
      <c r="M35" s="196"/>
      <c r="N35" s="193">
        <f t="shared" si="15"/>
        <v>0.12702463800267313</v>
      </c>
      <c r="O35" s="193">
        <f>SUM(SAP_Speadsheet!$E$62:$P$62)</f>
        <v>0.12561911317631819</v>
      </c>
      <c r="P35" s="193">
        <f>SUM(SAP_Speadsheet!$Q$62:$AB$62)</f>
        <v>1.4055248263549476E-3</v>
      </c>
      <c r="Q35" s="193">
        <f>SUM(SAP_Speadsheet!$AC$62:$AN$62)</f>
        <v>0</v>
      </c>
      <c r="R35" s="193">
        <f>SUM(SAP_Speadsheet!$AO$62:$AZ$62)</f>
        <v>0</v>
      </c>
      <c r="S35" s="193">
        <f>SUM(SAP_Speadsheet!$BA$62:$BF$62)</f>
        <v>0</v>
      </c>
      <c r="T35" s="141">
        <f t="shared" si="16"/>
        <v>1.6969104981305397E-2</v>
      </c>
      <c r="U35" s="141">
        <f t="shared" si="14"/>
        <v>8.8276872679944954E-3</v>
      </c>
      <c r="V35" s="178"/>
      <c r="W35" s="118"/>
      <c r="X35" s="180"/>
    </row>
    <row r="36" spans="1:24" s="82" customFormat="1" ht="11" x14ac:dyDescent="0.15">
      <c r="A36" s="83"/>
      <c r="C36" s="82" t="s">
        <v>166</v>
      </c>
      <c r="D36" s="194"/>
      <c r="E36" s="195">
        <v>0.85599999999999998</v>
      </c>
      <c r="F36" s="177" t="s">
        <v>288</v>
      </c>
      <c r="H36" s="83" t="s">
        <v>291</v>
      </c>
      <c r="I36" s="96"/>
      <c r="J36" s="178"/>
      <c r="K36" s="192" t="s">
        <v>292</v>
      </c>
      <c r="N36" s="193">
        <f t="shared" si="15"/>
        <v>0.40420357977774707</v>
      </c>
      <c r="O36" s="193">
        <f>SUM(SAP_Speadsheet!$E$63:$P$63)</f>
        <v>0.40420357977774707</v>
      </c>
      <c r="P36" s="193">
        <f>SUM(SAP_Speadsheet!$Q$63:$AB$63)</f>
        <v>0</v>
      </c>
      <c r="Q36" s="193">
        <f>SUM(SAP_Speadsheet!$AC$63:$AN$63)</f>
        <v>0</v>
      </c>
      <c r="R36" s="193">
        <f>SUM(SAP_Speadsheet!$AO$63:$AZ$63)</f>
        <v>0</v>
      </c>
      <c r="S36" s="193">
        <f>SUM(SAP_Speadsheet!$BA$63:$BF$63)</f>
        <v>0</v>
      </c>
      <c r="T36" s="141">
        <f t="shared" si="16"/>
        <v>5.399718579732303E-2</v>
      </c>
      <c r="U36" s="141">
        <f t="shared" si="14"/>
        <v>2.8090477965437895E-2</v>
      </c>
      <c r="V36" s="178"/>
      <c r="W36" s="118"/>
      <c r="X36" s="180"/>
    </row>
    <row r="37" spans="1:24" s="82" customFormat="1" ht="11" x14ac:dyDescent="0.15">
      <c r="A37" s="83"/>
      <c r="D37" s="194"/>
      <c r="E37" s="96"/>
      <c r="F37" s="197"/>
      <c r="H37" s="83" t="s">
        <v>291</v>
      </c>
      <c r="I37" s="96"/>
      <c r="J37" s="178"/>
      <c r="K37" s="192" t="s">
        <v>169</v>
      </c>
      <c r="N37" s="193">
        <f t="shared" si="15"/>
        <v>0</v>
      </c>
      <c r="O37" s="193">
        <f>SUM(SAP_Speadsheet!$E$64:$P$64)</f>
        <v>0</v>
      </c>
      <c r="P37" s="193">
        <f>SUM(SAP_Speadsheet!$Q$64:$AB$64)</f>
        <v>0</v>
      </c>
      <c r="Q37" s="193">
        <f>SUM(SAP_Speadsheet!$AC$64:$AN$64)</f>
        <v>0</v>
      </c>
      <c r="R37" s="193">
        <f>SUM(SAP_Speadsheet!$AO$64:$AZ$64)</f>
        <v>0</v>
      </c>
      <c r="S37" s="193">
        <f>SUM(SAP_Speadsheet!$BA$64:$BF$64)</f>
        <v>0</v>
      </c>
      <c r="T37" s="141">
        <f t="shared" si="16"/>
        <v>0</v>
      </c>
      <c r="U37" s="141">
        <f t="shared" si="14"/>
        <v>0</v>
      </c>
      <c r="V37" s="178"/>
      <c r="W37" s="118"/>
      <c r="X37" s="180"/>
    </row>
    <row r="38" spans="1:24" s="82" customFormat="1" ht="11" x14ac:dyDescent="0.15">
      <c r="A38" s="83"/>
      <c r="B38" s="81" t="s">
        <v>169</v>
      </c>
      <c r="C38" s="82" t="s">
        <v>293</v>
      </c>
      <c r="E38" s="198"/>
      <c r="F38" s="177" t="s">
        <v>294</v>
      </c>
      <c r="H38" s="199"/>
      <c r="I38" s="178"/>
      <c r="J38" s="178"/>
      <c r="K38" s="81" t="s">
        <v>275</v>
      </c>
      <c r="L38" s="170"/>
      <c r="M38" s="148"/>
      <c r="N38" s="140">
        <f t="shared" si="15"/>
        <v>0</v>
      </c>
      <c r="O38" s="140">
        <f>SUM(SAP_Speadsheet!$E$68:$P$68)</f>
        <v>0</v>
      </c>
      <c r="P38" s="140">
        <f>SUM(SAP_Speadsheet!$Q$68:$AB$68)</f>
        <v>0</v>
      </c>
      <c r="Q38" s="140">
        <f>SUM(SAP_Speadsheet!$AC$68:$AN$68)</f>
        <v>0</v>
      </c>
      <c r="R38" s="140">
        <f>SUM(SAP_Speadsheet!$AO$68:$AZ$68)</f>
        <v>0</v>
      </c>
      <c r="S38" s="140">
        <f>SUM(SAP_Speadsheet!$BA$68:$BF$68)</f>
        <v>0</v>
      </c>
      <c r="T38" s="141">
        <f t="shared" si="16"/>
        <v>0</v>
      </c>
      <c r="U38" s="141">
        <f t="shared" si="14"/>
        <v>0</v>
      </c>
      <c r="V38" s="178"/>
      <c r="W38" s="118"/>
      <c r="X38" s="180"/>
    </row>
    <row r="39" spans="1:24" s="82" customFormat="1" ht="11" x14ac:dyDescent="0.15">
      <c r="A39" s="83"/>
      <c r="C39" s="82" t="s">
        <v>293</v>
      </c>
      <c r="E39" s="200"/>
      <c r="F39" s="177" t="s">
        <v>295</v>
      </c>
      <c r="I39" s="178"/>
      <c r="J39" s="178"/>
      <c r="K39" s="201" t="s">
        <v>276</v>
      </c>
      <c r="L39" s="81"/>
      <c r="M39" s="81"/>
      <c r="N39" s="189">
        <f t="shared" si="15"/>
        <v>-1.8345325755227762</v>
      </c>
      <c r="O39" s="189">
        <f>SUM(SAP_Speadsheet!$E$183:$P$183)</f>
        <v>-1.7819251634791098</v>
      </c>
      <c r="P39" s="189">
        <f>SUM(SAP_Speadsheet!$Q$183:$AB$183)</f>
        <v>-5.2607412043666368E-2</v>
      </c>
      <c r="Q39" s="189">
        <f>SUM(SAP_Speadsheet!$AC$183:$AN$183)</f>
        <v>0</v>
      </c>
      <c r="R39" s="189">
        <f>SUM(SAP_Speadsheet!$AO$183:$AZ$183)</f>
        <v>0</v>
      </c>
      <c r="S39" s="189">
        <f>SUM(SAP_Speadsheet!$BA$183:$BF$183)</f>
        <v>0</v>
      </c>
      <c r="T39" s="135">
        <f t="shared" si="16"/>
        <v>-0.24507352553931663</v>
      </c>
      <c r="U39" s="135">
        <f t="shared" si="14"/>
        <v>-0.12749243071507715</v>
      </c>
      <c r="V39" s="178"/>
      <c r="W39" s="118"/>
      <c r="X39" s="180"/>
    </row>
    <row r="40" spans="1:24" s="82" customFormat="1" ht="11" x14ac:dyDescent="0.15">
      <c r="A40" s="83"/>
      <c r="C40" s="82" t="s">
        <v>296</v>
      </c>
      <c r="D40" s="194"/>
      <c r="E40" s="200"/>
      <c r="F40" s="177" t="s">
        <v>297</v>
      </c>
      <c r="I40" s="178"/>
      <c r="J40" s="178"/>
      <c r="K40" s="81" t="s">
        <v>279</v>
      </c>
      <c r="N40" s="189">
        <f t="shared" si="15"/>
        <v>-0.99439331280153864</v>
      </c>
      <c r="O40" s="189">
        <f>+SUM(O41,O45,O48,O52)</f>
        <v>-0.92092924236634655</v>
      </c>
      <c r="P40" s="202">
        <f>+SUM(P41,P45,P48,P52)</f>
        <v>-7.3464070435192125E-2</v>
      </c>
      <c r="Q40" s="202">
        <f>+SUM(Q41,Q45,Q48,Q52)</f>
        <v>0</v>
      </c>
      <c r="R40" s="202">
        <f>+SUM(R41,R45,R48,R52)</f>
        <v>0</v>
      </c>
      <c r="S40" s="189">
        <f>+SUM(S41,S45,S48,S52)</f>
        <v>0</v>
      </c>
      <c r="T40" s="135">
        <f t="shared" si="16"/>
        <v>-0.13284009136308081</v>
      </c>
      <c r="U40" s="135">
        <f t="shared" si="14"/>
        <v>-6.910622478303996E-2</v>
      </c>
      <c r="V40" s="178"/>
      <c r="W40" s="118"/>
      <c r="X40" s="180"/>
    </row>
    <row r="41" spans="1:24" s="82" customFormat="1" ht="14" thickBot="1" x14ac:dyDescent="0.2">
      <c r="A41" s="83"/>
      <c r="B41" s="76" t="s">
        <v>172</v>
      </c>
      <c r="C41" s="113"/>
      <c r="D41" s="114"/>
      <c r="E41" s="113"/>
      <c r="F41" s="113"/>
      <c r="G41" s="113"/>
      <c r="H41" s="113" t="s">
        <v>260</v>
      </c>
      <c r="I41" s="178"/>
      <c r="J41" s="178"/>
      <c r="K41" s="201" t="s">
        <v>175</v>
      </c>
      <c r="N41" s="189">
        <f t="shared" si="15"/>
        <v>-0.35973362599514425</v>
      </c>
      <c r="O41" s="189">
        <f>SUM(O42:O44)</f>
        <v>-0.35973362599514425</v>
      </c>
      <c r="P41" s="189">
        <f>SUM(P42:P44)</f>
        <v>0</v>
      </c>
      <c r="Q41" s="189">
        <f>SUM(Q42:Q44)</f>
        <v>0</v>
      </c>
      <c r="R41" s="189">
        <f>SUM(R42:R44)</f>
        <v>0</v>
      </c>
      <c r="S41" s="189">
        <f>SUM(S42:S44)</f>
        <v>0</v>
      </c>
      <c r="T41" s="135">
        <f t="shared" si="16"/>
        <v>-4.805648542520384E-2</v>
      </c>
      <c r="U41" s="135">
        <f t="shared" si="14"/>
        <v>-2.5000000000000001E-2</v>
      </c>
      <c r="V41" s="178"/>
      <c r="W41" s="118"/>
      <c r="X41" s="180"/>
    </row>
    <row r="42" spans="1:24" s="82" customFormat="1" thickTop="1" x14ac:dyDescent="0.15">
      <c r="A42" s="83"/>
      <c r="D42" s="115"/>
      <c r="I42" s="178"/>
      <c r="J42" s="178"/>
      <c r="K42" s="138" t="s">
        <v>298</v>
      </c>
      <c r="L42" s="170"/>
      <c r="N42" s="140">
        <f t="shared" si="15"/>
        <v>-0.35973362599514425</v>
      </c>
      <c r="O42" s="140">
        <f>SUM(SAP_Speadsheet!$E$73:$P$73)</f>
        <v>-0.35973362599514425</v>
      </c>
      <c r="P42" s="140">
        <f>SUM(SAP_Speadsheet!$Q$73:$AB$73)</f>
        <v>0</v>
      </c>
      <c r="Q42" s="140">
        <f>SUM(SAP_Speadsheet!$AC$73:$AN$73)</f>
        <v>0</v>
      </c>
      <c r="R42" s="140">
        <f>SUM(SAP_Speadsheet!$AO$73:$AZ$73)</f>
        <v>0</v>
      </c>
      <c r="S42" s="140">
        <f>SUM(SAP_Speadsheet!$BA$73:$BF$73)</f>
        <v>0</v>
      </c>
      <c r="T42" s="141">
        <f t="shared" si="16"/>
        <v>-4.805648542520384E-2</v>
      </c>
      <c r="U42" s="141">
        <f t="shared" si="14"/>
        <v>-2.5000000000000001E-2</v>
      </c>
      <c r="V42" s="178"/>
      <c r="W42" s="118"/>
      <c r="X42" s="180"/>
    </row>
    <row r="43" spans="1:24" s="82" customFormat="1" ht="11" x14ac:dyDescent="0.15">
      <c r="A43" s="83"/>
      <c r="B43" s="81" t="s">
        <v>173</v>
      </c>
      <c r="D43" s="115"/>
      <c r="E43" s="203">
        <v>3.5000000000000003E-2</v>
      </c>
      <c r="F43" s="177" t="s">
        <v>299</v>
      </c>
      <c r="I43" s="178"/>
      <c r="J43" s="178"/>
      <c r="K43" s="138" t="s">
        <v>300</v>
      </c>
      <c r="N43" s="193">
        <f t="shared" si="15"/>
        <v>0</v>
      </c>
      <c r="O43" s="193">
        <f>SUM(SAP_Speadsheet!$E$74:$P$74)</f>
        <v>0</v>
      </c>
      <c r="P43" s="193">
        <f>SUM(SAP_Speadsheet!$Q$74:$AB$74)</f>
        <v>0</v>
      </c>
      <c r="Q43" s="193">
        <f>SUM(SAP_Speadsheet!$AC$74:$AN$74)</f>
        <v>0</v>
      </c>
      <c r="R43" s="193">
        <f>SUM(SAP_Speadsheet!$AO$74:$AZ$74)</f>
        <v>0</v>
      </c>
      <c r="S43" s="193">
        <f>SUM(SAP_Speadsheet!$BA$74:$BF$74)</f>
        <v>0</v>
      </c>
      <c r="T43" s="141">
        <f t="shared" si="16"/>
        <v>0</v>
      </c>
      <c r="U43" s="141">
        <f t="shared" si="14"/>
        <v>0</v>
      </c>
      <c r="V43" s="204"/>
      <c r="W43" s="118"/>
      <c r="X43" s="180"/>
    </row>
    <row r="44" spans="1:24" s="170" customFormat="1" ht="11" x14ac:dyDescent="0.15">
      <c r="A44" s="83"/>
      <c r="B44" s="82"/>
      <c r="C44" s="82"/>
      <c r="D44" s="115"/>
      <c r="E44" s="205"/>
      <c r="F44" s="177"/>
      <c r="G44" s="206"/>
      <c r="H44" s="118"/>
      <c r="I44" s="178"/>
      <c r="J44" s="178"/>
      <c r="K44" s="138" t="s">
        <v>301</v>
      </c>
      <c r="M44" s="82"/>
      <c r="N44" s="140">
        <f t="shared" si="15"/>
        <v>0</v>
      </c>
      <c r="O44" s="140">
        <f>SUM(SAP_Speadsheet!$E$86:$P$86)</f>
        <v>0</v>
      </c>
      <c r="P44" s="140">
        <f>SUM(SAP_Speadsheet!$Q$86:$AB$86)</f>
        <v>0</v>
      </c>
      <c r="Q44" s="140">
        <f>SUM(SAP_Speadsheet!$AC$86:$AN$86)</f>
        <v>0</v>
      </c>
      <c r="R44" s="140">
        <f>SUM(SAP_Speadsheet!$AO$86:$AZ$86)</f>
        <v>0</v>
      </c>
      <c r="S44" s="140">
        <f>SUM(SAP_Speadsheet!$BA$86:$BF$86)</f>
        <v>0</v>
      </c>
      <c r="T44" s="141">
        <f t="shared" si="16"/>
        <v>0</v>
      </c>
      <c r="U44" s="141">
        <f t="shared" si="14"/>
        <v>0</v>
      </c>
      <c r="V44" s="178"/>
      <c r="W44" s="118"/>
      <c r="X44" s="180"/>
    </row>
    <row r="45" spans="1:24" s="170" customFormat="1" ht="11" x14ac:dyDescent="0.15">
      <c r="A45" s="83"/>
      <c r="B45" s="81" t="s">
        <v>175</v>
      </c>
      <c r="F45" s="177"/>
      <c r="I45" s="178"/>
      <c r="J45" s="178"/>
      <c r="K45" s="201" t="s">
        <v>280</v>
      </c>
      <c r="M45" s="82"/>
      <c r="N45" s="128">
        <f t="shared" si="15"/>
        <v>-3.8198394028711544E-2</v>
      </c>
      <c r="O45" s="128">
        <f>SUM(O46:O47)</f>
        <v>-3.8198394028711544E-2</v>
      </c>
      <c r="P45" s="128">
        <f>SUM(P46:P47)</f>
        <v>0</v>
      </c>
      <c r="Q45" s="128">
        <f>SUM(Q46:Q47)</f>
        <v>0</v>
      </c>
      <c r="R45" s="128">
        <f>SUM(R46:R47)</f>
        <v>0</v>
      </c>
      <c r="S45" s="128">
        <f>SUM(S46:S47)</f>
        <v>0</v>
      </c>
      <c r="T45" s="135">
        <f t="shared" si="16"/>
        <v>-5.1028884520563219E-3</v>
      </c>
      <c r="U45" s="135">
        <f t="shared" si="14"/>
        <v>-2.6546304868666319E-3</v>
      </c>
      <c r="V45" s="178"/>
      <c r="W45" s="118"/>
      <c r="X45" s="180"/>
    </row>
    <row r="46" spans="1:24" s="170" customFormat="1" ht="11" x14ac:dyDescent="0.15">
      <c r="A46" s="83"/>
      <c r="C46" s="164" t="s">
        <v>177</v>
      </c>
      <c r="E46" s="207" t="s">
        <v>302</v>
      </c>
      <c r="F46" s="177"/>
      <c r="H46" s="208"/>
      <c r="K46" s="138" t="s">
        <v>303</v>
      </c>
      <c r="L46" s="82"/>
      <c r="M46" s="82"/>
      <c r="N46" s="140">
        <f t="shared" si="15"/>
        <v>-3.419839402871154E-2</v>
      </c>
      <c r="O46" s="140">
        <f>SUM(SAP_Speadsheet!$E$89:$P$89)</f>
        <v>-3.419839402871154E-2</v>
      </c>
      <c r="P46" s="140">
        <f>SUM(SAP_Speadsheet!$Q$89:$AB$89)</f>
        <v>0</v>
      </c>
      <c r="Q46" s="140">
        <f>SUM(SAP_Speadsheet!$AC$89:$AN$89)</f>
        <v>0</v>
      </c>
      <c r="R46" s="140">
        <f>SUM(SAP_Speadsheet!$AO$89:$AZ$89)</f>
        <v>0</v>
      </c>
      <c r="S46" s="140">
        <f>SUM(SAP_Speadsheet!$BA$89:$BF$89)</f>
        <v>0</v>
      </c>
      <c r="T46" s="141">
        <f t="shared" si="16"/>
        <v>-4.5685321177852244E-3</v>
      </c>
      <c r="U46" s="141">
        <f t="shared" si="14"/>
        <v>-2.3766470213972407E-3</v>
      </c>
      <c r="V46" s="178"/>
      <c r="W46" s="118"/>
      <c r="X46" s="180"/>
    </row>
    <row r="47" spans="1:24" s="82" customFormat="1" ht="11" x14ac:dyDescent="0.15">
      <c r="A47" s="83"/>
      <c r="C47" s="82" t="s">
        <v>179</v>
      </c>
      <c r="D47" s="115"/>
      <c r="E47" s="209"/>
      <c r="F47" s="177" t="s">
        <v>304</v>
      </c>
      <c r="G47" s="210"/>
      <c r="H47" s="170"/>
      <c r="K47" s="138" t="s">
        <v>305</v>
      </c>
      <c r="N47" s="140">
        <f t="shared" si="15"/>
        <v>-4.0000000000000001E-3</v>
      </c>
      <c r="O47" s="140">
        <f>SUM(SAP_Speadsheet!$E$90:$P$90)</f>
        <v>-4.0000000000000001E-3</v>
      </c>
      <c r="P47" s="140">
        <f>SUM(SAP_Speadsheet!$Q$90:$AB$90)</f>
        <v>0</v>
      </c>
      <c r="Q47" s="140">
        <f>SUM(SAP_Speadsheet!$AC$90:$AN$90)</f>
        <v>0</v>
      </c>
      <c r="R47" s="140">
        <f>SUM(SAP_Speadsheet!$AO$90:$AZ$90)</f>
        <v>0</v>
      </c>
      <c r="S47" s="140">
        <f>SUM(SAP_Speadsheet!$BA$90:$BF$90)</f>
        <v>0</v>
      </c>
      <c r="T47" s="141">
        <f t="shared" si="16"/>
        <v>-5.3435633427109783E-4</v>
      </c>
      <c r="U47" s="141">
        <f t="shared" si="14"/>
        <v>-2.7798346546939099E-4</v>
      </c>
      <c r="V47" s="178"/>
      <c r="W47" s="118"/>
      <c r="X47" s="180"/>
    </row>
    <row r="48" spans="1:24" s="82" customFormat="1" ht="11" x14ac:dyDescent="0.15">
      <c r="A48" s="83"/>
      <c r="C48" s="82" t="s">
        <v>182</v>
      </c>
      <c r="D48" s="115"/>
      <c r="E48" s="209"/>
      <c r="F48" s="177" t="s">
        <v>304</v>
      </c>
      <c r="G48" s="211"/>
      <c r="K48" s="201" t="s">
        <v>306</v>
      </c>
      <c r="N48" s="128">
        <f t="shared" si="15"/>
        <v>-9.5508824492159763E-2</v>
      </c>
      <c r="O48" s="128">
        <f>SUM(O49:O51)</f>
        <v>-7.8866500000000006E-2</v>
      </c>
      <c r="P48" s="128">
        <f>SUM(P49:P51)</f>
        <v>-1.6642324492159757E-2</v>
      </c>
      <c r="Q48" s="128">
        <f>SUM(Q49:Q51)</f>
        <v>0</v>
      </c>
      <c r="R48" s="128">
        <f>SUM(R49:R51)</f>
        <v>0</v>
      </c>
      <c r="S48" s="128">
        <f>SUM(S49:S51)</f>
        <v>0</v>
      </c>
      <c r="T48" s="135">
        <f t="shared" si="16"/>
        <v>-1.2758936336543033E-2</v>
      </c>
      <c r="U48" s="135">
        <f t="shared" si="14"/>
        <v>-6.6374685038096048E-3</v>
      </c>
      <c r="V48" s="178"/>
      <c r="W48" s="118"/>
      <c r="X48" s="180"/>
    </row>
    <row r="49" spans="1:24" s="82" customFormat="1" ht="11" x14ac:dyDescent="0.15">
      <c r="A49" s="83"/>
      <c r="E49" s="208" t="s">
        <v>307</v>
      </c>
      <c r="F49" s="177"/>
      <c r="G49" s="211"/>
      <c r="K49" s="138" t="s">
        <v>308</v>
      </c>
      <c r="N49" s="140">
        <f t="shared" si="15"/>
        <v>-8.8680324492159762E-2</v>
      </c>
      <c r="O49" s="140">
        <f>SUM(SAP_Speadsheet!$E$96:$P$96)</f>
        <v>-7.2808000000000012E-2</v>
      </c>
      <c r="P49" s="140">
        <f>SUM(SAP_Speadsheet!$Q$96:$AB$96)</f>
        <v>-1.5872324492159758E-2</v>
      </c>
      <c r="Q49" s="140">
        <f>SUM(SAP_Speadsheet!$AC$96:$AN$96)</f>
        <v>0</v>
      </c>
      <c r="R49" s="140">
        <f>SUM(SAP_Speadsheet!$AO$96:$AZ$96)</f>
        <v>0</v>
      </c>
      <c r="S49" s="140">
        <f>SUM(SAP_Speadsheet!$BA$96:$BF$96)</f>
        <v>0</v>
      </c>
      <c r="T49" s="141">
        <f t="shared" si="16"/>
        <v>-1.1846723279400485E-2</v>
      </c>
      <c r="U49" s="141">
        <f t="shared" si="14"/>
        <v>-6.1629159803201711E-3</v>
      </c>
      <c r="V49" s="178"/>
      <c r="W49" s="118"/>
      <c r="X49" s="180"/>
    </row>
    <row r="50" spans="1:24" s="82" customFormat="1" ht="11" x14ac:dyDescent="0.15">
      <c r="A50" s="83"/>
      <c r="C50" s="82" t="s">
        <v>184</v>
      </c>
      <c r="D50" s="194"/>
      <c r="E50" s="209"/>
      <c r="F50" s="177" t="s">
        <v>304</v>
      </c>
      <c r="G50" s="211"/>
      <c r="K50" s="138" t="s">
        <v>309</v>
      </c>
      <c r="N50" s="140">
        <f t="shared" si="15"/>
        <v>0</v>
      </c>
      <c r="O50" s="140">
        <f>SUM(SAP_Speadsheet!$E$97:$P$97)</f>
        <v>0</v>
      </c>
      <c r="P50" s="140">
        <f>SUM(SAP_Speadsheet!$Q$97:$AB$97)</f>
        <v>0</v>
      </c>
      <c r="Q50" s="140">
        <f>SUM(SAP_Speadsheet!$AC$97:$AN$97)</f>
        <v>0</v>
      </c>
      <c r="R50" s="140">
        <f>SUM(SAP_Speadsheet!$AO$97:$AZ$97)</f>
        <v>0</v>
      </c>
      <c r="S50" s="140">
        <f>SUM(SAP_Speadsheet!$BA$97:$BF$97)</f>
        <v>0</v>
      </c>
      <c r="T50" s="141">
        <f t="shared" si="16"/>
        <v>0</v>
      </c>
      <c r="U50" s="141">
        <f t="shared" si="14"/>
        <v>0</v>
      </c>
      <c r="V50" s="178"/>
      <c r="W50" s="118"/>
      <c r="X50" s="180"/>
    </row>
    <row r="51" spans="1:24" s="82" customFormat="1" ht="11" x14ac:dyDescent="0.15">
      <c r="A51" s="83"/>
      <c r="C51" s="82" t="s">
        <v>186</v>
      </c>
      <c r="E51" s="209"/>
      <c r="F51" s="177" t="s">
        <v>304</v>
      </c>
      <c r="G51" s="211"/>
      <c r="I51" s="212"/>
      <c r="J51" s="213"/>
      <c r="K51" s="138" t="s">
        <v>217</v>
      </c>
      <c r="L51" s="170"/>
      <c r="N51" s="140">
        <f t="shared" si="15"/>
        <v>-6.8284999999999995E-3</v>
      </c>
      <c r="O51" s="140">
        <f>SUM(SAP_Speadsheet!$E$99:$P$99)</f>
        <v>-6.0584999999999996E-3</v>
      </c>
      <c r="P51" s="140">
        <f>SUM(SAP_Speadsheet!$Q$99:$AB$99)</f>
        <v>-7.6999999999999974E-4</v>
      </c>
      <c r="Q51" s="140">
        <f>SUM(SAP_Speadsheet!$AC$99:$AN$99)</f>
        <v>0</v>
      </c>
      <c r="R51" s="140">
        <f>SUM(SAP_Speadsheet!$AO$99:$AZ$99)</f>
        <v>0</v>
      </c>
      <c r="S51" s="140">
        <f>SUM(SAP_Speadsheet!$BA$99:$BF$99)</f>
        <v>0</v>
      </c>
      <c r="T51" s="141">
        <f t="shared" si="16"/>
        <v>-9.1221305714254757E-4</v>
      </c>
      <c r="U51" s="141">
        <f t="shared" si="14"/>
        <v>-4.7455252348943409E-4</v>
      </c>
      <c r="V51" s="178"/>
      <c r="W51" s="118"/>
      <c r="X51" s="180"/>
    </row>
    <row r="52" spans="1:24" s="82" customFormat="1" ht="11" x14ac:dyDescent="0.15">
      <c r="A52" s="83"/>
      <c r="C52" s="82" t="s">
        <v>188</v>
      </c>
      <c r="E52" s="209"/>
      <c r="F52" s="177" t="s">
        <v>304</v>
      </c>
      <c r="G52" s="210"/>
      <c r="H52" s="208"/>
      <c r="I52" s="212"/>
      <c r="J52" s="213"/>
      <c r="K52" s="201" t="s">
        <v>310</v>
      </c>
      <c r="N52" s="128">
        <f t="shared" si="15"/>
        <v>-0.50095246828552309</v>
      </c>
      <c r="O52" s="128">
        <f>SUM(O53:O56)</f>
        <v>-0.44413072234249074</v>
      </c>
      <c r="P52" s="128">
        <f>SUM(P53:P56)</f>
        <v>-5.682174594303236E-2</v>
      </c>
      <c r="Q52" s="128">
        <f>SUM(Q53:Q56)</f>
        <v>0</v>
      </c>
      <c r="R52" s="128">
        <f>SUM(R53:R56)</f>
        <v>0</v>
      </c>
      <c r="S52" s="128">
        <f>SUM(S53:S56)</f>
        <v>0</v>
      </c>
      <c r="T52" s="135">
        <f t="shared" si="16"/>
        <v>-6.6921781149277604E-2</v>
      </c>
      <c r="U52" s="135">
        <f t="shared" si="14"/>
        <v>-3.4814125792363725E-2</v>
      </c>
      <c r="V52" s="178"/>
      <c r="W52" s="118"/>
      <c r="X52" s="180"/>
    </row>
    <row r="53" spans="1:24" s="82" customFormat="1" ht="11" x14ac:dyDescent="0.15">
      <c r="A53" s="83"/>
      <c r="C53" s="82" t="s">
        <v>190</v>
      </c>
      <c r="E53" s="209"/>
      <c r="F53" s="177" t="s">
        <v>304</v>
      </c>
      <c r="G53" s="210"/>
      <c r="H53" s="208"/>
      <c r="I53" s="212"/>
      <c r="J53" s="178"/>
      <c r="K53" s="138" t="s">
        <v>222</v>
      </c>
      <c r="N53" s="140">
        <f t="shared" si="15"/>
        <v>-9.6982073672668645E-2</v>
      </c>
      <c r="O53" s="140">
        <f>SUM(SAP_Speadsheet!$E$104:$P$104)</f>
        <v>-8.5981647284678581E-2</v>
      </c>
      <c r="P53" s="140">
        <f>SUM(SAP_Speadsheet!$Q$104:$AB$104)</f>
        <v>-1.1000426387990068E-2</v>
      </c>
      <c r="Q53" s="140">
        <f>SUM(SAP_Speadsheet!$AC$104:$AN$104)</f>
        <v>0</v>
      </c>
      <c r="R53" s="140">
        <f>SUM(SAP_Speadsheet!$AO$104:$AZ$104)</f>
        <v>0</v>
      </c>
      <c r="S53" s="140">
        <f>SUM(SAP_Speadsheet!$BA$104:$BF$104)</f>
        <v>0</v>
      </c>
      <c r="T53" s="141">
        <f t="shared" si="16"/>
        <v>-1.295574634443419E-2</v>
      </c>
      <c r="U53" s="141">
        <f>N53/$E$10</f>
        <v>-6.7398532319840549E-3</v>
      </c>
      <c r="V53" s="178"/>
      <c r="W53" s="118"/>
      <c r="X53" s="180"/>
    </row>
    <row r="54" spans="1:24" s="82" customFormat="1" ht="11" x14ac:dyDescent="0.15">
      <c r="A54" s="83"/>
      <c r="C54" s="82" t="s">
        <v>192</v>
      </c>
      <c r="E54" s="209"/>
      <c r="F54" s="177" t="s">
        <v>304</v>
      </c>
      <c r="I54" s="212"/>
      <c r="J54" s="178"/>
      <c r="K54" s="138" t="s">
        <v>311</v>
      </c>
      <c r="N54" s="140">
        <f t="shared" si="15"/>
        <v>-0.15750253046102602</v>
      </c>
      <c r="O54" s="140">
        <f>SUM(SAP_Speadsheet!$E$105:$P$105)</f>
        <v>-0.13963742481164088</v>
      </c>
      <c r="P54" s="140">
        <f>SUM(SAP_Speadsheet!$Q$105:$AB$105)</f>
        <v>-1.7865105649385156E-2</v>
      </c>
      <c r="Q54" s="140">
        <f>SUM(SAP_Speadsheet!$AC$105:$AN$105)</f>
        <v>0</v>
      </c>
      <c r="R54" s="140">
        <f>SUM(SAP_Speadsheet!$AO$105:$AZ$105)</f>
        <v>0</v>
      </c>
      <c r="S54" s="140">
        <f>SUM(SAP_Speadsheet!$BA$105:$BF$105)</f>
        <v>0</v>
      </c>
      <c r="T54" s="141">
        <f t="shared" si="16"/>
        <v>-2.1040618703893947E-2</v>
      </c>
      <c r="U54" s="141">
        <f>N54/$E$10</f>
        <v>-1.0945774809438584E-2</v>
      </c>
      <c r="V54" s="178"/>
      <c r="W54" s="118"/>
      <c r="X54" s="180"/>
    </row>
    <row r="55" spans="1:24" s="82" customFormat="1" ht="11" x14ac:dyDescent="0.15">
      <c r="A55" s="83"/>
      <c r="C55" s="82" t="s">
        <v>312</v>
      </c>
      <c r="E55" s="209"/>
      <c r="F55" s="177" t="s">
        <v>313</v>
      </c>
      <c r="J55" s="178"/>
      <c r="K55" s="138" t="s">
        <v>226</v>
      </c>
      <c r="N55" s="140">
        <f t="shared" si="15"/>
        <v>-0.12209469018654376</v>
      </c>
      <c r="O55" s="140">
        <f>SUM(SAP_Speadsheet!$E$106:$P$106)</f>
        <v>-0.10824580450180678</v>
      </c>
      <c r="P55" s="140">
        <f>SUM(SAP_Speadsheet!$Q$106:$AB$106)</f>
        <v>-1.3848885684736979E-2</v>
      </c>
      <c r="Q55" s="140">
        <f>SUM(SAP_Speadsheet!$AC$106:$AN$106)</f>
        <v>0</v>
      </c>
      <c r="R55" s="140">
        <f>SUM(SAP_Speadsheet!$AO$106:$AZ$106)</f>
        <v>0</v>
      </c>
      <c r="S55" s="140">
        <f>SUM(SAP_Speadsheet!$BA$106:$BF$106)</f>
        <v>0</v>
      </c>
      <c r="T55" s="141">
        <f t="shared" si="16"/>
        <v>-1.631051777051172E-2</v>
      </c>
      <c r="U55" s="141">
        <f>N55/$E$10</f>
        <v>-8.4850762733667696E-3</v>
      </c>
      <c r="V55" s="178"/>
      <c r="W55" s="118"/>
      <c r="X55" s="180"/>
    </row>
    <row r="56" spans="1:24" s="82" customFormat="1" ht="11" x14ac:dyDescent="0.15">
      <c r="A56" s="83"/>
      <c r="C56" s="82" t="s">
        <v>194</v>
      </c>
      <c r="D56" s="115"/>
      <c r="E56" s="198"/>
      <c r="F56" s="177" t="s">
        <v>314</v>
      </c>
      <c r="J56" s="178"/>
      <c r="K56" s="138" t="s">
        <v>315</v>
      </c>
      <c r="N56" s="140">
        <f t="shared" si="15"/>
        <v>-0.12437317396528463</v>
      </c>
      <c r="O56" s="140">
        <f>SUM(SAP_Speadsheet!$E$107:$P$107)</f>
        <v>-0.11026584574436447</v>
      </c>
      <c r="P56" s="140">
        <f>SUM(SAP_Speadsheet!$Q$107:$AB$107)</f>
        <v>-1.4107328220920158E-2</v>
      </c>
      <c r="Q56" s="140">
        <f>SUM(SAP_Speadsheet!$AC$107:$AN$107)</f>
        <v>0</v>
      </c>
      <c r="R56" s="140">
        <f>SUM(SAP_Speadsheet!$AO$107:$AZ$107)</f>
        <v>0</v>
      </c>
      <c r="S56" s="140">
        <f>SUM(SAP_Speadsheet!$BA$107:$BF$107)</f>
        <v>0</v>
      </c>
      <c r="T56" s="141">
        <f t="shared" si="16"/>
        <v>-1.6614898330437753E-2</v>
      </c>
      <c r="U56" s="141">
        <f>N56/$E$10</f>
        <v>-8.6434214775743153E-3</v>
      </c>
      <c r="V56" s="178"/>
      <c r="W56" s="118"/>
      <c r="X56" s="180"/>
    </row>
    <row r="57" spans="1:24" s="82" customFormat="1" ht="11" x14ac:dyDescent="0.15">
      <c r="A57" s="83"/>
      <c r="E57" s="200">
        <v>2.5000000000000001E-2</v>
      </c>
      <c r="F57" s="177" t="s">
        <v>316</v>
      </c>
      <c r="J57" s="178"/>
      <c r="K57" s="81" t="s">
        <v>283</v>
      </c>
      <c r="L57" s="170"/>
      <c r="N57" s="128">
        <f t="shared" si="15"/>
        <v>0.66821685855018764</v>
      </c>
      <c r="O57" s="128">
        <f>SUM(SAP_Speadsheet!$E$189:$P$189)</f>
        <v>0.74329169435759335</v>
      </c>
      <c r="P57" s="128">
        <f>SUM(SAP_Speadsheet!$Q$189:$AB$189)</f>
        <v>-7.5074835807405718E-2</v>
      </c>
      <c r="Q57" s="128">
        <f>SUM(SAP_Speadsheet!$AC$189:$AN$189)</f>
        <v>0</v>
      </c>
      <c r="R57" s="128">
        <f>SUM(SAP_Speadsheet!$AO$189:$AZ$189)</f>
        <v>0</v>
      </c>
      <c r="S57" s="128">
        <f>SUM(SAP_Speadsheet!$BA$189:$BF$189)</f>
        <v>0</v>
      </c>
      <c r="T57" s="135">
        <f t="shared" si="16"/>
        <v>8.9266477758256732E-2</v>
      </c>
      <c r="U57" s="135">
        <f>N57/$E$10</f>
        <v>4.6438309506212756E-2</v>
      </c>
      <c r="V57" s="178"/>
      <c r="W57" s="118"/>
      <c r="X57" s="180"/>
    </row>
    <row r="58" spans="1:24" s="82" customFormat="1" ht="11" x14ac:dyDescent="0.15">
      <c r="A58" s="83"/>
      <c r="F58" s="177"/>
      <c r="J58" s="178"/>
      <c r="V58" s="178"/>
      <c r="W58" s="118"/>
      <c r="X58" s="180"/>
    </row>
    <row r="59" spans="1:24" s="82" customFormat="1" ht="11" x14ac:dyDescent="0.15">
      <c r="A59" s="83"/>
      <c r="C59" s="164" t="s">
        <v>199</v>
      </c>
      <c r="F59" s="177"/>
      <c r="J59" s="178"/>
      <c r="N59" s="118"/>
      <c r="V59" s="178"/>
      <c r="W59" s="118"/>
      <c r="X59" s="180"/>
    </row>
    <row r="60" spans="1:24" s="82" customFormat="1" ht="11" x14ac:dyDescent="0.15">
      <c r="A60" s="83"/>
      <c r="C60" s="214"/>
      <c r="D60" s="115"/>
      <c r="E60" s="215"/>
      <c r="F60" s="177"/>
      <c r="G60" s="210"/>
      <c r="H60" s="208"/>
      <c r="I60" s="216"/>
      <c r="J60" s="115"/>
      <c r="V60" s="115"/>
    </row>
    <row r="61" spans="1:24" s="82" customFormat="1" ht="11" customHeight="1" x14ac:dyDescent="0.15">
      <c r="A61" s="83"/>
      <c r="C61" s="82" t="s">
        <v>199</v>
      </c>
      <c r="D61" s="115"/>
      <c r="E61" s="198">
        <f>DATA!I29</f>
        <v>0</v>
      </c>
      <c r="F61" s="177" t="s">
        <v>314</v>
      </c>
      <c r="G61" s="210"/>
      <c r="H61" s="211"/>
      <c r="I61" s="216"/>
      <c r="J61" s="115"/>
      <c r="V61" s="115"/>
    </row>
    <row r="62" spans="1:24" s="82" customFormat="1" ht="11" customHeight="1" x14ac:dyDescent="0.15">
      <c r="A62" s="83"/>
      <c r="C62" s="217"/>
      <c r="F62" s="177"/>
      <c r="I62" s="218"/>
      <c r="J62" s="115"/>
      <c r="V62" s="115"/>
    </row>
    <row r="63" spans="1:24" s="170" customFormat="1" ht="11" customHeight="1" x14ac:dyDescent="0.15">
      <c r="A63" s="83"/>
      <c r="B63" s="81" t="s">
        <v>201</v>
      </c>
      <c r="C63" s="82" t="s">
        <v>202</v>
      </c>
      <c r="D63" s="115"/>
      <c r="E63" s="219">
        <f>DATA!I30*Leadsheet!E66*Leadsheet!E67</f>
        <v>1.4844496896042818E-2</v>
      </c>
      <c r="F63" s="177" t="s">
        <v>317</v>
      </c>
      <c r="G63" s="220"/>
      <c r="H63" s="221"/>
      <c r="I63" s="218"/>
      <c r="J63" s="194"/>
      <c r="V63" s="194"/>
    </row>
    <row r="64" spans="1:24" s="82" customFormat="1" ht="11" customHeight="1" x14ac:dyDescent="0.15">
      <c r="A64" s="83" t="s">
        <v>318</v>
      </c>
      <c r="B64" s="81"/>
      <c r="C64" s="82" t="s">
        <v>204</v>
      </c>
      <c r="D64" s="115"/>
      <c r="E64" s="219"/>
      <c r="F64" s="177" t="s">
        <v>319</v>
      </c>
      <c r="G64" s="220"/>
      <c r="I64" s="222"/>
      <c r="J64" s="115"/>
      <c r="V64" s="115"/>
    </row>
    <row r="65" spans="1:33" s="82" customFormat="1" ht="11" customHeight="1" x14ac:dyDescent="0.15">
      <c r="A65" s="83"/>
      <c r="C65" s="82" t="s">
        <v>206</v>
      </c>
      <c r="D65" s="115"/>
      <c r="E65" s="219">
        <v>4.0000000000000001E-3</v>
      </c>
      <c r="F65" s="177" t="s">
        <v>319</v>
      </c>
      <c r="G65" s="211"/>
      <c r="H65" s="211"/>
      <c r="I65" s="186"/>
      <c r="V65" s="115"/>
    </row>
    <row r="66" spans="1:33" s="82" customFormat="1" ht="11" customHeight="1" x14ac:dyDescent="0.15">
      <c r="A66" s="83" t="s">
        <v>320</v>
      </c>
      <c r="C66" s="82" t="s">
        <v>208</v>
      </c>
      <c r="D66" s="115"/>
      <c r="E66" s="223">
        <f>DATA!E4</f>
        <v>0.45500000000000002</v>
      </c>
      <c r="F66" s="177" t="s">
        <v>321</v>
      </c>
      <c r="G66" s="224"/>
      <c r="H66" s="211"/>
      <c r="I66" s="216"/>
      <c r="J66" s="115"/>
      <c r="V66" s="115"/>
    </row>
    <row r="67" spans="1:33" s="82" customFormat="1" ht="11" customHeight="1" x14ac:dyDescent="0.15">
      <c r="A67" s="83" t="s">
        <v>322</v>
      </c>
      <c r="C67" s="82" t="s">
        <v>211</v>
      </c>
      <c r="D67" s="115"/>
      <c r="E67" s="223">
        <f>DATA!E5</f>
        <v>0.95399999999999996</v>
      </c>
      <c r="F67" s="177" t="s">
        <v>323</v>
      </c>
      <c r="G67" s="225"/>
      <c r="H67" s="211"/>
      <c r="I67" s="186"/>
      <c r="J67" s="115"/>
      <c r="V67" s="115"/>
    </row>
    <row r="68" spans="1:33" s="82" customFormat="1" ht="11" customHeight="1" x14ac:dyDescent="0.15">
      <c r="A68" s="83" t="s">
        <v>324</v>
      </c>
      <c r="F68" s="177"/>
      <c r="H68" s="224"/>
      <c r="I68" s="115"/>
      <c r="J68" s="115"/>
      <c r="V68" s="115"/>
      <c r="W68" s="226"/>
      <c r="X68" s="227"/>
      <c r="Y68" s="227"/>
      <c r="Z68" s="227"/>
      <c r="AA68" s="227"/>
      <c r="AB68" s="227"/>
      <c r="AC68" s="227"/>
      <c r="AD68" s="227"/>
      <c r="AE68" s="227"/>
      <c r="AF68" s="227"/>
      <c r="AG68" s="227"/>
    </row>
    <row r="69" spans="1:33" s="82" customFormat="1" ht="11" x14ac:dyDescent="0.15">
      <c r="A69" s="83" t="s">
        <v>325</v>
      </c>
      <c r="F69" s="177"/>
      <c r="H69" s="224"/>
      <c r="I69" s="115"/>
      <c r="V69" s="115"/>
      <c r="W69" s="227"/>
      <c r="X69" s="148"/>
      <c r="Y69" s="148"/>
      <c r="Z69" s="148"/>
      <c r="AA69" s="148"/>
      <c r="AB69" s="148"/>
      <c r="AC69" s="148"/>
      <c r="AD69" s="148"/>
      <c r="AE69" s="148"/>
      <c r="AF69" s="148"/>
      <c r="AG69" s="147"/>
    </row>
    <row r="70" spans="1:33" s="82" customFormat="1" ht="11" x14ac:dyDescent="0.15">
      <c r="A70" s="83"/>
      <c r="D70" s="115"/>
      <c r="E70" s="228"/>
      <c r="F70" s="177"/>
      <c r="H70" s="211"/>
      <c r="J70" s="115"/>
      <c r="K70" s="81"/>
      <c r="L70" s="81"/>
      <c r="M70" s="81"/>
      <c r="N70" s="229"/>
      <c r="O70" s="229"/>
      <c r="P70" s="229"/>
      <c r="Q70" s="229"/>
      <c r="R70" s="229"/>
      <c r="S70" s="229"/>
      <c r="T70" s="230"/>
      <c r="U70" s="231"/>
      <c r="V70" s="115"/>
      <c r="W70" s="227"/>
      <c r="X70" s="148"/>
      <c r="Y70" s="148"/>
      <c r="Z70" s="148"/>
      <c r="AA70" s="148"/>
      <c r="AB70" s="148"/>
      <c r="AC70" s="148"/>
      <c r="AD70" s="148"/>
      <c r="AE70" s="148"/>
      <c r="AF70" s="148"/>
      <c r="AG70" s="147"/>
    </row>
    <row r="71" spans="1:33" s="82" customFormat="1" ht="11" x14ac:dyDescent="0.15">
      <c r="A71" s="115"/>
      <c r="B71" s="81" t="s">
        <v>214</v>
      </c>
      <c r="C71" s="82" t="s">
        <v>215</v>
      </c>
      <c r="D71" s="115"/>
      <c r="E71" s="232">
        <f>DATA!I31</f>
        <v>8.0000000000000002E-3</v>
      </c>
      <c r="F71" s="177" t="s">
        <v>326</v>
      </c>
      <c r="G71" s="220"/>
      <c r="H71" s="211"/>
      <c r="I71" s="115"/>
      <c r="J71" s="115"/>
      <c r="K71" s="81"/>
      <c r="L71" s="81"/>
      <c r="M71" s="81"/>
      <c r="N71" s="229"/>
      <c r="O71" s="229"/>
      <c r="P71" s="229"/>
      <c r="Q71" s="229"/>
      <c r="R71" s="229"/>
      <c r="S71" s="229"/>
      <c r="T71" s="230"/>
      <c r="U71" s="231"/>
      <c r="V71" s="115"/>
      <c r="W71" s="227"/>
      <c r="X71" s="148"/>
      <c r="Y71" s="148"/>
      <c r="Z71" s="148"/>
      <c r="AA71" s="148"/>
      <c r="AB71" s="148"/>
      <c r="AC71" s="148"/>
      <c r="AD71" s="148"/>
      <c r="AE71" s="148"/>
      <c r="AF71" s="148"/>
      <c r="AG71" s="147"/>
    </row>
    <row r="72" spans="1:33" s="82" customFormat="1" ht="11" x14ac:dyDescent="0.15">
      <c r="A72" s="115"/>
      <c r="C72" s="214" t="s">
        <v>327</v>
      </c>
      <c r="D72" s="115"/>
      <c r="E72" s="233"/>
      <c r="F72" s="177" t="s">
        <v>326</v>
      </c>
      <c r="G72" s="220"/>
      <c r="H72" s="211"/>
      <c r="I72" s="115"/>
      <c r="J72" s="115"/>
      <c r="K72" s="81"/>
      <c r="L72" s="81"/>
      <c r="M72" s="81"/>
      <c r="N72" s="229"/>
      <c r="O72" s="229"/>
      <c r="P72" s="229"/>
      <c r="Q72" s="229"/>
      <c r="R72" s="229"/>
      <c r="S72" s="229"/>
      <c r="T72" s="230"/>
      <c r="U72" s="231"/>
      <c r="V72" s="115"/>
      <c r="W72" s="227"/>
      <c r="X72" s="148"/>
      <c r="Y72" s="148"/>
      <c r="Z72" s="148"/>
      <c r="AA72" s="148"/>
      <c r="AB72" s="148"/>
      <c r="AC72" s="148"/>
      <c r="AD72" s="148"/>
      <c r="AE72" s="148"/>
      <c r="AF72" s="148"/>
      <c r="AG72" s="147"/>
    </row>
    <row r="73" spans="1:33" s="82" customFormat="1" ht="11" x14ac:dyDescent="0.15">
      <c r="A73" s="115"/>
      <c r="C73" s="214" t="s">
        <v>328</v>
      </c>
      <c r="D73" s="115"/>
      <c r="E73" s="234"/>
      <c r="F73" s="177" t="s">
        <v>329</v>
      </c>
      <c r="G73" s="220"/>
      <c r="H73" s="211"/>
      <c r="I73" s="115"/>
      <c r="J73" s="115"/>
      <c r="K73" s="81"/>
      <c r="L73" s="81"/>
      <c r="M73" s="81"/>
      <c r="N73" s="229"/>
      <c r="O73" s="229"/>
      <c r="P73" s="229"/>
      <c r="Q73" s="229"/>
      <c r="R73" s="229"/>
      <c r="S73" s="229"/>
      <c r="T73" s="230"/>
      <c r="U73" s="231"/>
      <c r="V73" s="115"/>
      <c r="W73" s="227"/>
      <c r="X73" s="148"/>
      <c r="Y73" s="148"/>
      <c r="Z73" s="148"/>
      <c r="AA73" s="148"/>
      <c r="AB73" s="148"/>
      <c r="AC73" s="148"/>
      <c r="AD73" s="148"/>
      <c r="AE73" s="148"/>
      <c r="AF73" s="148"/>
      <c r="AG73" s="147"/>
    </row>
    <row r="74" spans="1:33" s="82" customFormat="1" ht="11" x14ac:dyDescent="0.15">
      <c r="A74" s="115"/>
      <c r="C74" s="214" t="s">
        <v>330</v>
      </c>
      <c r="D74" s="115"/>
      <c r="E74" s="234"/>
      <c r="F74" s="177" t="s">
        <v>329</v>
      </c>
      <c r="G74" s="220"/>
      <c r="H74" s="211"/>
      <c r="I74" s="115"/>
      <c r="J74" s="115"/>
      <c r="K74" s="81"/>
      <c r="L74" s="81"/>
      <c r="M74" s="81"/>
      <c r="N74" s="229"/>
      <c r="O74" s="229"/>
      <c r="P74" s="229"/>
      <c r="Q74" s="229"/>
      <c r="R74" s="235"/>
      <c r="S74" s="229"/>
      <c r="T74" s="230"/>
      <c r="U74" s="171"/>
      <c r="V74" s="115"/>
      <c r="W74" s="227"/>
      <c r="X74" s="148"/>
      <c r="Y74" s="148"/>
      <c r="Z74" s="148"/>
      <c r="AA74" s="148"/>
      <c r="AB74" s="148"/>
      <c r="AC74" s="148"/>
      <c r="AD74" s="148"/>
      <c r="AE74" s="148"/>
      <c r="AF74" s="148"/>
      <c r="AG74" s="147"/>
    </row>
    <row r="75" spans="1:33" s="82" customFormat="1" ht="11" x14ac:dyDescent="0.15">
      <c r="A75" s="83"/>
      <c r="C75" s="214" t="s">
        <v>331</v>
      </c>
      <c r="D75" s="115"/>
      <c r="E75" s="234"/>
      <c r="F75" s="177" t="s">
        <v>329</v>
      </c>
      <c r="G75" s="220"/>
      <c r="H75" s="211"/>
      <c r="I75" s="115"/>
      <c r="J75" s="115"/>
      <c r="K75" s="81"/>
      <c r="L75" s="81"/>
      <c r="M75" s="81"/>
      <c r="N75" s="229"/>
      <c r="O75" s="229"/>
      <c r="P75" s="229"/>
      <c r="Q75" s="229"/>
      <c r="R75" s="235"/>
      <c r="S75" s="229"/>
      <c r="T75" s="230"/>
      <c r="U75" s="171"/>
      <c r="V75" s="115"/>
      <c r="W75" s="227"/>
      <c r="X75" s="148"/>
      <c r="Y75" s="148"/>
      <c r="Z75" s="148"/>
      <c r="AA75" s="148"/>
      <c r="AB75" s="148"/>
      <c r="AC75" s="148"/>
      <c r="AD75" s="148"/>
      <c r="AE75" s="148"/>
      <c r="AF75" s="148"/>
      <c r="AG75" s="147"/>
    </row>
    <row r="76" spans="1:33" s="82" customFormat="1" ht="11" x14ac:dyDescent="0.15">
      <c r="A76" s="83"/>
      <c r="F76" s="177"/>
      <c r="I76" s="115"/>
      <c r="J76" s="115"/>
      <c r="K76" s="81"/>
      <c r="L76" s="81"/>
      <c r="M76" s="81"/>
      <c r="N76" s="229"/>
      <c r="O76" s="229"/>
      <c r="P76" s="229"/>
      <c r="Q76" s="229"/>
      <c r="R76" s="235"/>
      <c r="S76" s="229"/>
      <c r="T76" s="230"/>
      <c r="U76" s="171"/>
      <c r="V76" s="115"/>
    </row>
    <row r="77" spans="1:33" s="82" customFormat="1" ht="11" x14ac:dyDescent="0.15">
      <c r="A77" s="83"/>
      <c r="B77" s="81" t="s">
        <v>217</v>
      </c>
      <c r="F77" s="177"/>
      <c r="I77" s="115"/>
      <c r="J77" s="115"/>
      <c r="K77" s="81"/>
      <c r="L77" s="81"/>
      <c r="M77" s="81"/>
      <c r="N77" s="229"/>
      <c r="O77" s="229"/>
      <c r="P77" s="229"/>
      <c r="Q77" s="229"/>
      <c r="R77" s="235"/>
      <c r="S77" s="229"/>
      <c r="T77" s="230"/>
      <c r="U77" s="171"/>
      <c r="V77" s="115"/>
    </row>
    <row r="78" spans="1:33" s="82" customFormat="1" ht="11" x14ac:dyDescent="0.15">
      <c r="A78" s="83"/>
      <c r="C78" s="82" t="s">
        <v>218</v>
      </c>
      <c r="E78" s="232">
        <f>DATA!I32</f>
        <v>6.9999999999999999E-4</v>
      </c>
      <c r="F78" s="177" t="s">
        <v>326</v>
      </c>
      <c r="I78" s="115"/>
      <c r="J78" s="115"/>
      <c r="U78" s="171"/>
      <c r="V78" s="115"/>
      <c r="W78" s="226"/>
      <c r="X78" s="236"/>
      <c r="Y78" s="236"/>
      <c r="Z78" s="236"/>
      <c r="AA78" s="236"/>
      <c r="AB78" s="236"/>
      <c r="AC78" s="236"/>
      <c r="AD78" s="236"/>
      <c r="AE78" s="236"/>
      <c r="AF78" s="236"/>
    </row>
    <row r="79" spans="1:33" s="82" customFormat="1" ht="11" x14ac:dyDescent="0.15">
      <c r="A79" s="83" t="s">
        <v>332</v>
      </c>
      <c r="F79" s="177"/>
      <c r="I79" s="115"/>
      <c r="J79" s="115"/>
      <c r="U79" s="171"/>
      <c r="V79" s="115"/>
      <c r="W79" s="236"/>
      <c r="X79" s="148"/>
      <c r="Y79" s="148"/>
      <c r="Z79" s="148"/>
      <c r="AA79" s="148"/>
      <c r="AB79" s="148"/>
      <c r="AC79" s="148"/>
      <c r="AD79" s="148"/>
      <c r="AE79" s="148"/>
      <c r="AF79" s="148"/>
    </row>
    <row r="80" spans="1:33" s="82" customFormat="1" ht="11" x14ac:dyDescent="0.15">
      <c r="A80" s="83" t="s">
        <v>333</v>
      </c>
      <c r="F80" s="177"/>
      <c r="L80" s="220"/>
      <c r="U80" s="171"/>
      <c r="V80" s="115"/>
      <c r="W80" s="236"/>
      <c r="X80" s="148"/>
      <c r="Y80" s="148"/>
      <c r="Z80" s="148"/>
      <c r="AA80" s="148"/>
      <c r="AB80" s="148"/>
      <c r="AC80" s="148"/>
      <c r="AD80" s="148"/>
      <c r="AE80" s="148"/>
      <c r="AF80" s="148"/>
    </row>
    <row r="81" spans="1:32" s="82" customFormat="1" ht="11" x14ac:dyDescent="0.15">
      <c r="A81" s="83" t="s">
        <v>334</v>
      </c>
      <c r="B81" s="81" t="s">
        <v>220</v>
      </c>
      <c r="C81" s="82" t="s">
        <v>222</v>
      </c>
      <c r="D81" s="115"/>
      <c r="E81" s="237">
        <v>9.4474944824391397E-3</v>
      </c>
      <c r="F81" s="177" t="s">
        <v>326</v>
      </c>
      <c r="L81" s="220"/>
      <c r="U81" s="171"/>
      <c r="V81" s="115"/>
      <c r="W81" s="236"/>
      <c r="X81" s="148"/>
      <c r="Y81" s="148"/>
      <c r="Z81" s="148"/>
      <c r="AA81" s="148"/>
      <c r="AB81" s="148"/>
      <c r="AC81" s="148"/>
      <c r="AD81" s="148"/>
      <c r="AE81" s="148"/>
      <c r="AF81" s="148"/>
    </row>
    <row r="82" spans="1:32" s="82" customFormat="1" ht="11" x14ac:dyDescent="0.15">
      <c r="A82" s="83" t="s">
        <v>208</v>
      </c>
      <c r="B82" s="81"/>
      <c r="C82" s="82" t="s">
        <v>224</v>
      </c>
      <c r="E82" s="237">
        <v>1.5343085903927139E-2</v>
      </c>
      <c r="F82" s="177" t="s">
        <v>326</v>
      </c>
      <c r="G82" s="220"/>
      <c r="I82" s="115"/>
      <c r="J82" s="115"/>
      <c r="U82" s="171"/>
      <c r="V82" s="115"/>
      <c r="W82" s="236"/>
      <c r="X82" s="148"/>
      <c r="Y82" s="148"/>
      <c r="Z82" s="148"/>
      <c r="AA82" s="148"/>
      <c r="AB82" s="148"/>
      <c r="AC82" s="148"/>
      <c r="AD82" s="148"/>
      <c r="AE82" s="148"/>
      <c r="AF82" s="148"/>
    </row>
    <row r="83" spans="1:32" s="82" customFormat="1" ht="11" x14ac:dyDescent="0.15">
      <c r="A83" s="83"/>
      <c r="B83" s="81"/>
      <c r="C83" s="82" t="s">
        <v>226</v>
      </c>
      <c r="D83" s="115"/>
      <c r="E83" s="237">
        <v>1.1893836336864827E-2</v>
      </c>
      <c r="F83" s="177" t="s">
        <v>326</v>
      </c>
      <c r="G83" s="220"/>
      <c r="I83" s="115"/>
      <c r="J83" s="115"/>
      <c r="U83" s="119"/>
      <c r="V83" s="115"/>
      <c r="W83" s="236"/>
      <c r="X83" s="148"/>
      <c r="Y83" s="148"/>
      <c r="Z83" s="148"/>
      <c r="AA83" s="148"/>
      <c r="AB83" s="148"/>
      <c r="AC83" s="148"/>
      <c r="AD83" s="148"/>
      <c r="AE83" s="148"/>
      <c r="AF83" s="148"/>
    </row>
    <row r="84" spans="1:32" s="82" customFormat="1" ht="11" x14ac:dyDescent="0.15">
      <c r="A84" s="83"/>
      <c r="B84" s="81"/>
      <c r="C84" s="82" t="s">
        <v>228</v>
      </c>
      <c r="D84" s="115"/>
      <c r="E84" s="237">
        <v>1.211579449998511E-2</v>
      </c>
      <c r="F84" s="177" t="s">
        <v>326</v>
      </c>
      <c r="G84" s="220"/>
      <c r="I84" s="115"/>
      <c r="J84" s="115"/>
      <c r="U84" s="119"/>
      <c r="V84" s="115"/>
      <c r="W84" s="236"/>
      <c r="X84" s="148"/>
      <c r="Y84" s="148"/>
      <c r="Z84" s="148"/>
      <c r="AA84" s="148"/>
      <c r="AB84" s="148"/>
      <c r="AC84" s="148"/>
      <c r="AD84" s="148"/>
      <c r="AE84" s="148"/>
      <c r="AF84" s="148"/>
    </row>
    <row r="85" spans="1:32" s="82" customFormat="1" ht="11" x14ac:dyDescent="0.15">
      <c r="A85" s="83"/>
      <c r="B85" s="81"/>
      <c r="I85" s="115"/>
      <c r="J85" s="115"/>
      <c r="U85" s="119"/>
      <c r="V85" s="115"/>
      <c r="W85" s="236"/>
      <c r="X85" s="148"/>
      <c r="Y85" s="148"/>
      <c r="Z85" s="148"/>
      <c r="AA85" s="148"/>
      <c r="AB85" s="148"/>
      <c r="AC85" s="148"/>
      <c r="AD85" s="148"/>
      <c r="AE85" s="148"/>
      <c r="AF85" s="148"/>
    </row>
    <row r="86" spans="1:32" s="82" customFormat="1" ht="11" x14ac:dyDescent="0.15">
      <c r="A86" s="83" t="s">
        <v>335</v>
      </c>
      <c r="I86" s="115"/>
      <c r="J86" s="115"/>
      <c r="U86" s="119"/>
      <c r="V86" s="115"/>
    </row>
    <row r="87" spans="1:32" s="82" customFormat="1" x14ac:dyDescent="0.15">
      <c r="A87" s="83"/>
      <c r="D87" s="115"/>
      <c r="J87" s="106"/>
      <c r="K87" s="99"/>
      <c r="L87" s="99"/>
      <c r="M87" s="99"/>
      <c r="N87" s="99"/>
      <c r="O87" s="99"/>
      <c r="P87" s="99"/>
      <c r="Q87" s="99"/>
      <c r="R87" s="99"/>
      <c r="S87" s="99"/>
      <c r="T87" s="122"/>
      <c r="U87" s="119"/>
      <c r="V87" s="115"/>
    </row>
    <row r="88" spans="1:32" s="82" customFormat="1" ht="14" thickBot="1" x14ac:dyDescent="0.2">
      <c r="A88" s="83"/>
      <c r="B88" s="76" t="s">
        <v>230</v>
      </c>
      <c r="C88" s="77"/>
      <c r="D88" s="75"/>
      <c r="E88" s="77"/>
      <c r="F88" s="77"/>
      <c r="G88" s="77"/>
      <c r="H88" s="77"/>
      <c r="I88" s="106"/>
      <c r="J88" s="186"/>
      <c r="L88" s="81"/>
      <c r="N88" s="81"/>
      <c r="P88" s="81"/>
      <c r="Q88" s="81"/>
      <c r="R88" s="81"/>
      <c r="S88" s="81"/>
      <c r="U88" s="119"/>
      <c r="V88" s="115"/>
    </row>
    <row r="89" spans="1:32" s="82" customFormat="1" ht="13" thickTop="1" x14ac:dyDescent="0.15">
      <c r="A89" s="83"/>
      <c r="B89" s="122"/>
      <c r="C89" s="122"/>
      <c r="D89" s="106"/>
      <c r="E89" s="122"/>
      <c r="F89" s="99"/>
      <c r="G89" s="122"/>
      <c r="H89" s="99"/>
    </row>
    <row r="90" spans="1:32" s="82" customFormat="1" ht="11" x14ac:dyDescent="0.15">
      <c r="A90" s="94"/>
      <c r="B90" s="238" t="s">
        <v>336</v>
      </c>
      <c r="C90" s="81"/>
      <c r="D90" s="239" t="s">
        <v>231</v>
      </c>
      <c r="E90" s="239" t="s">
        <v>37</v>
      </c>
      <c r="F90" s="239" t="s">
        <v>234</v>
      </c>
      <c r="G90" s="119"/>
      <c r="H90" s="240"/>
    </row>
    <row r="91" spans="1:32" s="82" customFormat="1" ht="11" x14ac:dyDescent="0.15">
      <c r="A91" s="83"/>
      <c r="B91" s="241"/>
      <c r="C91" s="81" t="s">
        <v>337</v>
      </c>
      <c r="D91" s="242">
        <f>DATA!G59</f>
        <v>3.3819991800456833E-2</v>
      </c>
      <c r="E91" s="243">
        <f>PRODUCT(D91:$D$104)</f>
        <v>2.2946313843063251E-2</v>
      </c>
      <c r="F91" s="244">
        <f>E91*(1-$E$110)*(1-$E$111)*(1-$E$112)*(1-$E$113)</f>
        <v>2.138091814839458E-2</v>
      </c>
      <c r="G91" s="96"/>
      <c r="H91" s="245"/>
    </row>
    <row r="92" spans="1:32" s="82" customFormat="1" ht="11" x14ac:dyDescent="0.15">
      <c r="A92" s="83"/>
      <c r="B92" s="241"/>
      <c r="C92" s="81" t="s">
        <v>338</v>
      </c>
      <c r="D92" s="242">
        <f>DATA!G60</f>
        <v>0.69546266156785397</v>
      </c>
      <c r="E92" s="243">
        <f>PRODUCT(D92:$D$104)</f>
        <v>0.6784837198793553</v>
      </c>
      <c r="F92" s="244">
        <f t="shared" ref="F92:F98" si="17">E92*(1-$E$110)*(1-$E$111)*(1-$E$112)*(1-$E$113)</f>
        <v>0.63219761478788317</v>
      </c>
      <c r="G92" s="96"/>
      <c r="H92" s="245"/>
    </row>
    <row r="93" spans="1:32" s="82" customFormat="1" ht="11" x14ac:dyDescent="0.15">
      <c r="A93" s="83"/>
      <c r="B93" s="241"/>
      <c r="C93" s="81" t="s">
        <v>339</v>
      </c>
      <c r="D93" s="242">
        <f>DATA!G61</f>
        <v>0.9902725837916222</v>
      </c>
      <c r="E93" s="243">
        <f>PRODUCT(D93:$D$104)</f>
        <v>0.97558612039613857</v>
      </c>
      <c r="F93" s="244">
        <f t="shared" si="17"/>
        <v>0.90903171330960353</v>
      </c>
      <c r="G93" s="96"/>
      <c r="H93" s="245"/>
    </row>
    <row r="94" spans="1:32" s="82" customFormat="1" ht="11" x14ac:dyDescent="0.15">
      <c r="A94" s="83"/>
      <c r="B94" s="241"/>
      <c r="C94" s="81" t="s">
        <v>340</v>
      </c>
      <c r="D94" s="242">
        <f>DATA!G62</f>
        <v>0.98516927194000348</v>
      </c>
      <c r="E94" s="243">
        <f>PRODUCT(D94:$D$104)</f>
        <v>0.98516927194000348</v>
      </c>
      <c r="F94" s="244">
        <f t="shared" si="17"/>
        <v>0.91796110302179812</v>
      </c>
      <c r="G94" s="96"/>
      <c r="H94" s="245"/>
    </row>
    <row r="95" spans="1:32" s="82" customFormat="1" ht="11" x14ac:dyDescent="0.15">
      <c r="A95" s="83"/>
      <c r="B95" s="241"/>
      <c r="C95" s="81" t="s">
        <v>341</v>
      </c>
      <c r="D95" s="242">
        <f>DATA!G63</f>
        <v>1</v>
      </c>
      <c r="E95" s="243">
        <f>PRODUCT(D95:$D$104)</f>
        <v>1</v>
      </c>
      <c r="F95" s="244">
        <f t="shared" si="17"/>
        <v>0.9317800799999999</v>
      </c>
      <c r="G95" s="96"/>
      <c r="H95" s="245"/>
    </row>
    <row r="96" spans="1:32" s="82" customFormat="1" ht="11" x14ac:dyDescent="0.15">
      <c r="A96" s="83"/>
      <c r="B96" s="241"/>
      <c r="C96" s="81" t="s">
        <v>342</v>
      </c>
      <c r="D96" s="242">
        <f>DATA!G64</f>
        <v>1</v>
      </c>
      <c r="E96" s="243">
        <f>PRODUCT(D96:$D$104)</f>
        <v>1</v>
      </c>
      <c r="F96" s="244">
        <f t="shared" si="17"/>
        <v>0.9317800799999999</v>
      </c>
      <c r="G96" s="96"/>
      <c r="H96" s="245"/>
    </row>
    <row r="97" spans="1:22" s="82" customFormat="1" ht="11" x14ac:dyDescent="0.15">
      <c r="A97" s="83"/>
      <c r="B97" s="241"/>
      <c r="C97" s="81" t="s">
        <v>343</v>
      </c>
      <c r="D97" s="242">
        <f>DATA!G65</f>
        <v>1</v>
      </c>
      <c r="E97" s="243">
        <f>PRODUCT(D97:$D$104)</f>
        <v>1</v>
      </c>
      <c r="F97" s="244">
        <f t="shared" si="17"/>
        <v>0.9317800799999999</v>
      </c>
      <c r="G97" s="96"/>
      <c r="H97" s="245"/>
    </row>
    <row r="98" spans="1:22" s="82" customFormat="1" ht="11" x14ac:dyDescent="0.15">
      <c r="A98" s="83"/>
      <c r="B98" s="241"/>
      <c r="C98" s="81" t="s">
        <v>344</v>
      </c>
      <c r="D98" s="242">
        <f>DATA!G66</f>
        <v>1</v>
      </c>
      <c r="E98" s="243">
        <f>PRODUCT(D98:$D$104)</f>
        <v>1</v>
      </c>
      <c r="F98" s="244">
        <f t="shared" si="17"/>
        <v>0.9317800799999999</v>
      </c>
      <c r="G98" s="96"/>
      <c r="H98" s="245"/>
    </row>
    <row r="99" spans="1:22" s="82" customFormat="1" ht="11" x14ac:dyDescent="0.15">
      <c r="A99" s="83"/>
      <c r="B99" s="241"/>
      <c r="C99" s="81" t="s">
        <v>345</v>
      </c>
      <c r="D99" s="242">
        <f>DATA!G67</f>
        <v>1</v>
      </c>
      <c r="E99" s="243">
        <f>PRODUCT(D99:$D$104)</f>
        <v>1</v>
      </c>
      <c r="F99" s="244">
        <f>E99*(1-$E$111)*(1-$E$112)*(1-$E$113)</f>
        <v>0.95079599999999986</v>
      </c>
      <c r="G99" s="96"/>
      <c r="H99" s="245"/>
    </row>
    <row r="100" spans="1:22" s="82" customFormat="1" ht="11" x14ac:dyDescent="0.15">
      <c r="A100" s="83"/>
      <c r="B100" s="241"/>
      <c r="C100" s="81" t="s">
        <v>346</v>
      </c>
      <c r="D100" s="242">
        <v>1</v>
      </c>
      <c r="E100" s="243">
        <f>PRODUCT(D100:$D$104)</f>
        <v>1</v>
      </c>
      <c r="F100" s="244">
        <f>E100*(1-$E$111)*(1-$E$112)*(1-$E$113)</f>
        <v>0.95079599999999986</v>
      </c>
      <c r="G100" s="96"/>
      <c r="H100" s="245"/>
    </row>
    <row r="101" spans="1:22" s="82" customFormat="1" ht="11" x14ac:dyDescent="0.15">
      <c r="A101" s="83"/>
      <c r="B101" s="241"/>
      <c r="C101" s="81" t="s">
        <v>347</v>
      </c>
      <c r="D101" s="242">
        <v>1</v>
      </c>
      <c r="E101" s="243">
        <f>PRODUCT(D101:$D$104)</f>
        <v>1</v>
      </c>
      <c r="F101" s="244">
        <f>E101*(1-$E$111)*(1-$E$112)*(1-$E$113)</f>
        <v>0.95079599999999986</v>
      </c>
      <c r="G101" s="96"/>
      <c r="H101" s="245"/>
    </row>
    <row r="102" spans="1:22" s="82" customFormat="1" ht="11" x14ac:dyDescent="0.15">
      <c r="A102" s="83"/>
      <c r="B102" s="241"/>
      <c r="C102" s="81" t="s">
        <v>348</v>
      </c>
      <c r="D102" s="242">
        <v>1</v>
      </c>
      <c r="E102" s="243">
        <f>PRODUCT(D102:$D$104)</f>
        <v>1</v>
      </c>
      <c r="F102" s="244">
        <f>E102*(1-$E$111)*(1-$E$112)*(1-$E$113)</f>
        <v>0.95079599999999986</v>
      </c>
      <c r="G102" s="96"/>
      <c r="H102" s="245"/>
    </row>
    <row r="103" spans="1:22" s="82" customFormat="1" ht="11" x14ac:dyDescent="0.15">
      <c r="A103" s="83"/>
      <c r="B103" s="241"/>
      <c r="C103" s="81" t="s">
        <v>349</v>
      </c>
      <c r="D103" s="242">
        <v>1</v>
      </c>
      <c r="E103" s="243">
        <f>PRODUCT(D103:$D$104)</f>
        <v>1</v>
      </c>
      <c r="F103" s="244">
        <f>E103*(1-$E$111)*(1-$E$112)*(1-$E$113)</f>
        <v>0.95079599999999986</v>
      </c>
      <c r="G103" s="96"/>
      <c r="H103" s="245"/>
    </row>
    <row r="104" spans="1:22" s="82" customFormat="1" ht="11" x14ac:dyDescent="0.15">
      <c r="A104" s="83"/>
      <c r="B104" s="241"/>
      <c r="C104" s="246" t="s">
        <v>350</v>
      </c>
      <c r="D104" s="243"/>
      <c r="E104" s="243"/>
      <c r="F104" s="244">
        <f>(1-$E$111)*(1-$E$112)*(1-$E$113)</f>
        <v>0.95079599999999986</v>
      </c>
      <c r="G104" s="96"/>
      <c r="H104" s="115"/>
      <c r="I104" s="115"/>
      <c r="J104" s="115"/>
      <c r="U104" s="96"/>
      <c r="V104" s="115"/>
    </row>
    <row r="105" spans="1:22" s="82" customFormat="1" ht="11" x14ac:dyDescent="0.15">
      <c r="A105" s="83"/>
      <c r="C105" s="246" t="s">
        <v>351</v>
      </c>
      <c r="D105" s="243"/>
      <c r="E105" s="243"/>
      <c r="F105" s="244">
        <f>(1-$E$112)*(1-$E$113)</f>
        <v>0.97019999999999995</v>
      </c>
      <c r="I105" s="115"/>
      <c r="J105" s="115"/>
      <c r="U105" s="96"/>
      <c r="V105" s="115"/>
    </row>
    <row r="106" spans="1:22" s="82" customFormat="1" ht="11" x14ac:dyDescent="0.15">
      <c r="A106" s="83" t="s">
        <v>352</v>
      </c>
      <c r="C106" s="246" t="s">
        <v>353</v>
      </c>
      <c r="D106" s="243"/>
      <c r="E106" s="243"/>
      <c r="F106" s="244">
        <f>(1-$E$113)</f>
        <v>0.99</v>
      </c>
      <c r="I106" s="115"/>
      <c r="J106" s="115"/>
      <c r="U106" s="119"/>
      <c r="V106" s="115"/>
    </row>
    <row r="107" spans="1:22" s="82" customFormat="1" ht="11" x14ac:dyDescent="0.15">
      <c r="A107" s="83" t="s">
        <v>354</v>
      </c>
      <c r="C107" s="82" t="s">
        <v>355</v>
      </c>
      <c r="D107" s="247">
        <f>N39/E10</f>
        <v>-0.12749243071507715</v>
      </c>
      <c r="I107" s="115"/>
      <c r="J107" s="115"/>
      <c r="U107" s="119"/>
      <c r="V107" s="115"/>
    </row>
    <row r="108" spans="1:22" s="82" customFormat="1" ht="11" x14ac:dyDescent="0.15">
      <c r="A108" s="83" t="s">
        <v>356</v>
      </c>
      <c r="C108" s="82" t="s">
        <v>357</v>
      </c>
      <c r="D108" s="248">
        <f>T39</f>
        <v>-0.24507352553931663</v>
      </c>
      <c r="I108" s="115"/>
      <c r="J108" s="115"/>
      <c r="U108" s="119"/>
      <c r="V108" s="115"/>
    </row>
    <row r="109" spans="1:22" s="82" customFormat="1" x14ac:dyDescent="0.15">
      <c r="A109" s="83"/>
      <c r="H109" s="99"/>
      <c r="I109" s="115"/>
      <c r="J109" s="115"/>
      <c r="U109" s="171"/>
      <c r="V109" s="115"/>
    </row>
    <row r="110" spans="1:22" s="82" customFormat="1" ht="11" x14ac:dyDescent="0.15">
      <c r="A110" s="83"/>
      <c r="B110" s="81" t="s">
        <v>236</v>
      </c>
      <c r="C110" s="82" t="s">
        <v>358</v>
      </c>
      <c r="E110" s="249">
        <v>0.02</v>
      </c>
      <c r="I110" s="115"/>
      <c r="J110" s="115"/>
      <c r="U110" s="119"/>
      <c r="V110" s="115"/>
    </row>
    <row r="111" spans="1:22" s="82" customFormat="1" x14ac:dyDescent="0.15">
      <c r="A111" s="83"/>
      <c r="B111" s="81"/>
      <c r="C111" s="82" t="s">
        <v>350</v>
      </c>
      <c r="D111" s="83" t="s">
        <v>352</v>
      </c>
      <c r="E111" s="249">
        <v>0.02</v>
      </c>
      <c r="G111" s="250"/>
      <c r="H111" s="99"/>
      <c r="I111" s="115"/>
      <c r="J111" s="115"/>
      <c r="U111" s="171"/>
      <c r="V111" s="115"/>
    </row>
    <row r="112" spans="1:22" s="82" customFormat="1" ht="11" x14ac:dyDescent="0.15">
      <c r="A112" s="251"/>
      <c r="C112" s="82" t="s">
        <v>359</v>
      </c>
      <c r="D112" s="83" t="s">
        <v>354</v>
      </c>
      <c r="E112" s="249">
        <v>0.02</v>
      </c>
      <c r="G112" s="250"/>
      <c r="I112" s="115"/>
      <c r="J112" s="115"/>
      <c r="U112" s="171"/>
      <c r="V112" s="115"/>
    </row>
    <row r="113" spans="2:21" x14ac:dyDescent="0.15">
      <c r="B113" s="82"/>
      <c r="C113" s="82" t="s">
        <v>353</v>
      </c>
      <c r="D113" s="83" t="s">
        <v>356</v>
      </c>
      <c r="E113" s="249">
        <v>0.01</v>
      </c>
      <c r="F113" s="82"/>
      <c r="G113" s="250"/>
      <c r="H113" s="82"/>
      <c r="U113" s="252"/>
    </row>
    <row r="114" spans="2:21" x14ac:dyDescent="0.15">
      <c r="D114" s="253"/>
      <c r="G114" s="82"/>
      <c r="U114" s="252"/>
    </row>
    <row r="115" spans="2:21" x14ac:dyDescent="0.15">
      <c r="B115" s="81" t="s">
        <v>238</v>
      </c>
      <c r="C115" s="82" t="s">
        <v>239</v>
      </c>
      <c r="E115" s="237">
        <v>0</v>
      </c>
      <c r="F115" s="177" t="s">
        <v>360</v>
      </c>
      <c r="U115" s="252"/>
    </row>
    <row r="116" spans="2:21" x14ac:dyDescent="0.15">
      <c r="U116" s="252"/>
    </row>
    <row r="117" spans="2:21" x14ac:dyDescent="0.15">
      <c r="B117" s="81" t="s">
        <v>361</v>
      </c>
      <c r="C117" s="82"/>
      <c r="D117" s="115"/>
      <c r="E117" s="141">
        <f>1-D92</f>
        <v>0.30453733843214603</v>
      </c>
      <c r="U117" s="252"/>
    </row>
    <row r="118" spans="2:21" collapsed="1" x14ac:dyDescent="0.15"/>
  </sheetData>
  <dataConsolidate link="1"/>
  <conditionalFormatting sqref="E26:F31">
    <cfRule type="cellIs" dxfId="1" priority="2" operator="equal">
      <formula>0</formula>
    </cfRule>
  </conditionalFormatting>
  <conditionalFormatting sqref="G26:G29">
    <cfRule type="cellIs" dxfId="0" priority="1" operator="equal">
      <formula>0</formula>
    </cfRule>
  </conditionalFormatting>
  <hyperlinks>
    <hyperlink ref="L4" location="NOTE!B3" display="Disclaimer" xr:uid="{3F05113A-FC3D-6043-9441-9307EC0553DB}"/>
    <hyperlink ref="L5" location="NOTE!B19" display="Instruction" xr:uid="{45629268-D1E1-2F45-9020-EAFD31289B22}"/>
    <hyperlink ref="L6" location="NOTE!B33" display="Legend" xr:uid="{97301360-05B4-E947-915B-ED89DF5C905F}"/>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ED9C929-AE50-7A45-B8CA-3EC2573EC1F9}">
          <x14:formula1>
            <xm:f>NOTE!$B$129:$B$130</xm:f>
          </x14:formula1>
          <xm:sqref>G5</xm:sqref>
        </x14:dataValidation>
        <x14:dataValidation type="list" allowBlank="1" showInputMessage="1" showErrorMessage="1" xr:uid="{220B59D2-FDAE-D84F-A6F1-3FFEBEBF3F31}">
          <x14:formula1>
            <xm:f>NOTE!$E$129:$E$130</xm:f>
          </x14:formula1>
          <xm:sqref>G4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162D1-915E-E248-A9E6-C1326627CA1C}">
  <dimension ref="B2:P81"/>
  <sheetViews>
    <sheetView topLeftCell="A13" zoomScale="81" workbookViewId="0">
      <selection activeCell="N30" sqref="N30"/>
    </sheetView>
  </sheetViews>
  <sheetFormatPr baseColWidth="10" defaultColWidth="8.83203125" defaultRowHeight="15" x14ac:dyDescent="0.2"/>
  <cols>
    <col min="1" max="1" width="8.83203125" style="4"/>
    <col min="2" max="3" width="37.5" style="4" bestFit="1" customWidth="1"/>
    <col min="4" max="4" width="16.5" style="4" bestFit="1" customWidth="1"/>
    <col min="5" max="6" width="15.33203125" style="4" bestFit="1" customWidth="1"/>
    <col min="7" max="31" width="12.33203125" style="4" bestFit="1" customWidth="1"/>
    <col min="32" max="32" width="10.5" style="4" bestFit="1" customWidth="1"/>
    <col min="33" max="16384" width="8.83203125" style="4"/>
  </cols>
  <sheetData>
    <row r="2" spans="2:11" x14ac:dyDescent="0.2">
      <c r="B2" s="254">
        <v>1</v>
      </c>
      <c r="C2" s="254" t="s">
        <v>362</v>
      </c>
    </row>
    <row r="4" spans="2:11" x14ac:dyDescent="0.2">
      <c r="C4" s="24" t="s">
        <v>363</v>
      </c>
      <c r="E4" s="255">
        <v>0.45500000000000002</v>
      </c>
    </row>
    <row r="5" spans="2:11" x14ac:dyDescent="0.2">
      <c r="C5" s="24" t="s">
        <v>364</v>
      </c>
      <c r="E5" s="255">
        <v>0.95399999999999996</v>
      </c>
    </row>
    <row r="14" spans="2:11" x14ac:dyDescent="0.2">
      <c r="B14" s="254">
        <v>2</v>
      </c>
      <c r="C14" s="254" t="s">
        <v>365</v>
      </c>
    </row>
    <row r="16" spans="2:11" x14ac:dyDescent="0.2">
      <c r="C16" s="256" t="s">
        <v>366</v>
      </c>
      <c r="D16" s="256" t="s">
        <v>367</v>
      </c>
      <c r="E16" s="256" t="s">
        <v>368</v>
      </c>
      <c r="F16" s="256" t="s">
        <v>369</v>
      </c>
      <c r="G16" s="257" t="s">
        <v>370</v>
      </c>
      <c r="H16" s="257" t="s">
        <v>371</v>
      </c>
      <c r="I16" s="257" t="s">
        <v>372</v>
      </c>
      <c r="J16" s="257" t="s">
        <v>373</v>
      </c>
      <c r="K16" s="256" t="s">
        <v>374</v>
      </c>
    </row>
    <row r="17" spans="2:12" ht="16" x14ac:dyDescent="0.2">
      <c r="C17" s="258">
        <v>45901</v>
      </c>
      <c r="D17" s="259">
        <v>5356</v>
      </c>
      <c r="E17" s="259">
        <v>83034230000</v>
      </c>
      <c r="F17" s="259">
        <v>72384844421</v>
      </c>
      <c r="G17" s="259">
        <v>15503030.246452499</v>
      </c>
      <c r="H17" s="259">
        <v>13.3717326362957</v>
      </c>
      <c r="I17" s="260">
        <v>0.524934652725914</v>
      </c>
      <c r="J17" s="259">
        <v>2862230000</v>
      </c>
      <c r="K17" s="261">
        <v>0.50130694548170196</v>
      </c>
      <c r="L17" s="262">
        <f>E17-J17</f>
        <v>80172000000</v>
      </c>
    </row>
    <row r="18" spans="2:12" ht="16" x14ac:dyDescent="0.2">
      <c r="C18" s="258">
        <v>45870</v>
      </c>
      <c r="D18" s="259">
        <v>5840</v>
      </c>
      <c r="E18" s="259">
        <v>83818310000</v>
      </c>
      <c r="F18" s="259">
        <v>66141256151</v>
      </c>
      <c r="G18" s="259">
        <v>14352450.342465701</v>
      </c>
      <c r="H18" s="259">
        <v>13.956678082191701</v>
      </c>
      <c r="I18" s="260">
        <v>0.52588184931506798</v>
      </c>
      <c r="J18" s="259">
        <v>2760310000</v>
      </c>
      <c r="K18" s="261">
        <v>0.48236301369862999</v>
      </c>
      <c r="L18" s="262">
        <f>E18-J18</f>
        <v>81058000000</v>
      </c>
    </row>
    <row r="19" spans="2:12" ht="16" x14ac:dyDescent="0.2">
      <c r="C19" s="258">
        <v>45839</v>
      </c>
      <c r="D19" s="259">
        <v>6515</v>
      </c>
      <c r="E19" s="259">
        <v>87997150000</v>
      </c>
      <c r="F19" s="259">
        <v>62650264764</v>
      </c>
      <c r="G19" s="259">
        <v>13506853.4151957</v>
      </c>
      <c r="H19" s="259">
        <v>13.730007674596999</v>
      </c>
      <c r="I19" s="260">
        <v>0.52723714504988395</v>
      </c>
      <c r="J19" s="259">
        <v>2740150000</v>
      </c>
      <c r="K19" s="261">
        <v>0.45525709900230199</v>
      </c>
      <c r="L19" s="262">
        <f>E19-J19</f>
        <v>85257000000</v>
      </c>
    </row>
    <row r="20" spans="2:12" ht="16" x14ac:dyDescent="0.2">
      <c r="C20" s="24" t="s">
        <v>375</v>
      </c>
      <c r="G20" s="263">
        <f>SUM(E17:E19)/SUM(D17:D19)/10^6</f>
        <v>14.38934503980577</v>
      </c>
      <c r="H20" s="24">
        <f>ROUND(SUMPRODUCT(H17:H19,$E$17:$E$19)/SUM($E$17:$E$19),0)</f>
        <v>14</v>
      </c>
      <c r="I20" s="264">
        <f>SUMPRODUCT(I17:I19,E17:E19)/SUM(E17:E19)</f>
        <v>0.52604120765147389</v>
      </c>
      <c r="J20" s="264">
        <f>SUM(J17:J19)/SUMPRODUCT(K17:K19,L17:L19)</f>
        <v>7.0807837676128166E-2</v>
      </c>
      <c r="K20" s="264">
        <f>SUMPRODUCT(K17:K19,E17:E19)/SUM(E17:E19)</f>
        <v>0.47917584697050852</v>
      </c>
    </row>
    <row r="24" spans="2:12" x14ac:dyDescent="0.2">
      <c r="B24" s="254">
        <v>3</v>
      </c>
      <c r="C24" s="254" t="s">
        <v>376</v>
      </c>
    </row>
    <row r="25" spans="2:12" x14ac:dyDescent="0.2">
      <c r="D25" s="4">
        <v>6</v>
      </c>
      <c r="E25" s="4">
        <v>7</v>
      </c>
      <c r="F25" s="4">
        <v>8</v>
      </c>
      <c r="G25" s="4">
        <v>9</v>
      </c>
      <c r="I25" s="4" t="s">
        <v>375</v>
      </c>
    </row>
    <row r="26" spans="2:12" ht="16" x14ac:dyDescent="0.2">
      <c r="C26" s="4" t="s">
        <v>377</v>
      </c>
      <c r="E26" s="265">
        <v>6515</v>
      </c>
      <c r="F26" s="266">
        <v>5840</v>
      </c>
      <c r="G26" s="266">
        <v>5356</v>
      </c>
    </row>
    <row r="27" spans="2:12" ht="16" x14ac:dyDescent="0.2">
      <c r="C27" s="4" t="s">
        <v>378</v>
      </c>
      <c r="D27" s="4">
        <v>7243</v>
      </c>
      <c r="E27" s="267">
        <v>13144</v>
      </c>
      <c r="F27" s="267">
        <v>17888</v>
      </c>
      <c r="G27" s="267">
        <v>21762</v>
      </c>
    </row>
    <row r="28" spans="2:12" ht="16" x14ac:dyDescent="0.2">
      <c r="E28" s="267"/>
      <c r="F28" s="267"/>
      <c r="G28" s="267"/>
    </row>
    <row r="29" spans="2:12" ht="16" x14ac:dyDescent="0.2">
      <c r="C29" s="4" t="s">
        <v>379</v>
      </c>
      <c r="E29" s="268"/>
      <c r="F29" s="268"/>
      <c r="G29" s="268"/>
      <c r="I29" s="269">
        <f>SUM(E29:G29)/SUM(E26:G26)/10^6</f>
        <v>0</v>
      </c>
    </row>
    <row r="30" spans="2:12" ht="16" x14ac:dyDescent="0.2">
      <c r="C30" s="4" t="s">
        <v>380</v>
      </c>
      <c r="E30" s="270">
        <v>123789298.37266384</v>
      </c>
      <c r="F30" s="270">
        <v>232640111.9860585</v>
      </c>
      <c r="G30" s="270">
        <v>249258346.28378773</v>
      </c>
      <c r="I30" s="269">
        <f>SUM(E30:G30)/SUM(E26:G26)/10^6</f>
        <v>3.419839402871154E-2</v>
      </c>
    </row>
    <row r="31" spans="2:12" ht="16" x14ac:dyDescent="0.2">
      <c r="C31" s="4" t="s">
        <v>381</v>
      </c>
      <c r="E31" s="268">
        <v>26828762</v>
      </c>
      <c r="F31" s="268">
        <v>46328553.458103716</v>
      </c>
      <c r="G31" s="268">
        <v>72622945.943943083</v>
      </c>
      <c r="H31" s="271">
        <f>SUM(E31:G31)/SUM(D27:F27)</f>
        <v>3808.759278956154</v>
      </c>
      <c r="I31" s="272">
        <f>8000/10^6</f>
        <v>8.0000000000000002E-3</v>
      </c>
      <c r="J31" s="4" t="s">
        <v>382</v>
      </c>
    </row>
    <row r="32" spans="2:12" ht="16" x14ac:dyDescent="0.2">
      <c r="C32" s="4" t="s">
        <v>383</v>
      </c>
      <c r="E32" s="267">
        <v>4183841.8270151638</v>
      </c>
      <c r="F32" s="267">
        <v>5100190.9471244579</v>
      </c>
      <c r="G32" s="267">
        <v>9493145.7188470755</v>
      </c>
      <c r="H32" s="273">
        <f>SUM(E32:G32)/SUM(E27:G27)</f>
        <v>355.66879745779249</v>
      </c>
      <c r="I32" s="24">
        <v>6.9999999999999999E-4</v>
      </c>
    </row>
    <row r="33" spans="2:9" ht="16" x14ac:dyDescent="0.2">
      <c r="C33" s="4" t="s">
        <v>384</v>
      </c>
      <c r="I33" s="274">
        <f>SUM(E33:G33)/SUM(E17:E19)</f>
        <v>0</v>
      </c>
    </row>
    <row r="36" spans="2:9" x14ac:dyDescent="0.2">
      <c r="B36" s="254">
        <v>4</v>
      </c>
      <c r="C36" s="254" t="s">
        <v>385</v>
      </c>
    </row>
    <row r="37" spans="2:9" x14ac:dyDescent="0.2">
      <c r="B37" s="254"/>
      <c r="C37" s="254"/>
    </row>
    <row r="38" spans="2:9" x14ac:dyDescent="0.2">
      <c r="B38" s="254"/>
      <c r="C38" s="4" t="s">
        <v>386</v>
      </c>
      <c r="D38" s="4" t="s">
        <v>14</v>
      </c>
    </row>
    <row r="39" spans="2:9" x14ac:dyDescent="0.2">
      <c r="B39" s="254"/>
      <c r="C39" s="4" t="s">
        <v>19</v>
      </c>
      <c r="D39" s="4">
        <v>202506</v>
      </c>
      <c r="E39" s="4">
        <v>202507</v>
      </c>
      <c r="F39" s="4">
        <v>202508</v>
      </c>
      <c r="G39" s="4">
        <v>202509</v>
      </c>
      <c r="H39" s="4" t="s">
        <v>18</v>
      </c>
    </row>
    <row r="40" spans="2:9" x14ac:dyDescent="0.2">
      <c r="B40" s="254"/>
      <c r="C40" s="30">
        <v>0</v>
      </c>
      <c r="D40" s="4">
        <v>69480875106</v>
      </c>
      <c r="E40" s="4">
        <v>144317132226</v>
      </c>
      <c r="F40" s="4">
        <v>203122629388</v>
      </c>
      <c r="G40" s="4">
        <v>252065074464</v>
      </c>
      <c r="H40" s="4">
        <v>668985711184</v>
      </c>
    </row>
    <row r="41" spans="2:9" x14ac:dyDescent="0.2">
      <c r="B41" s="254"/>
      <c r="C41" s="30">
        <v>1</v>
      </c>
      <c r="D41" s="4">
        <v>1249099314</v>
      </c>
      <c r="E41" s="4">
        <v>2262297913</v>
      </c>
      <c r="F41" s="4">
        <v>4759822395</v>
      </c>
      <c r="G41" s="4">
        <v>7295815497</v>
      </c>
      <c r="H41" s="4">
        <v>15567035119</v>
      </c>
    </row>
    <row r="42" spans="2:9" x14ac:dyDescent="0.2">
      <c r="B42" s="254"/>
      <c r="C42" s="30">
        <v>2</v>
      </c>
      <c r="E42" s="4">
        <v>753631097</v>
      </c>
      <c r="F42" s="4">
        <v>1728253388</v>
      </c>
      <c r="G42" s="4">
        <v>3422841764</v>
      </c>
      <c r="H42" s="4">
        <v>5904726249</v>
      </c>
    </row>
    <row r="43" spans="2:9" x14ac:dyDescent="0.2">
      <c r="B43" s="254"/>
      <c r="C43" s="30">
        <v>3</v>
      </c>
      <c r="F43" s="4">
        <v>778788469</v>
      </c>
      <c r="G43" s="4">
        <v>1636938736</v>
      </c>
      <c r="H43" s="4">
        <v>2415727205</v>
      </c>
    </row>
    <row r="44" spans="2:9" x14ac:dyDescent="0.2">
      <c r="B44" s="254"/>
      <c r="C44" s="30">
        <v>4</v>
      </c>
      <c r="G44" s="4">
        <v>767238469</v>
      </c>
      <c r="H44" s="4">
        <v>767238469</v>
      </c>
    </row>
    <row r="45" spans="2:9" x14ac:dyDescent="0.2">
      <c r="B45" s="254"/>
      <c r="C45" s="30" t="s">
        <v>18</v>
      </c>
      <c r="D45" s="4">
        <v>70729974420</v>
      </c>
      <c r="E45" s="4">
        <v>147333061236</v>
      </c>
      <c r="F45" s="4">
        <v>210389493640</v>
      </c>
      <c r="G45" s="4">
        <v>265187908930</v>
      </c>
      <c r="H45" s="4">
        <v>693640438226</v>
      </c>
    </row>
    <row r="46" spans="2:9" x14ac:dyDescent="0.2">
      <c r="B46" s="254"/>
    </row>
    <row r="47" spans="2:9" x14ac:dyDescent="0.2">
      <c r="B47" s="254"/>
    </row>
    <row r="48" spans="2:9" x14ac:dyDescent="0.2">
      <c r="B48" s="254"/>
    </row>
    <row r="49" spans="2:16" x14ac:dyDescent="0.2">
      <c r="B49" s="254"/>
    </row>
    <row r="50" spans="2:16" x14ac:dyDescent="0.2">
      <c r="B50" s="254"/>
    </row>
    <row r="51" spans="2:16" x14ac:dyDescent="0.2">
      <c r="B51" s="254"/>
    </row>
    <row r="52" spans="2:16" x14ac:dyDescent="0.2">
      <c r="B52" s="254"/>
    </row>
    <row r="53" spans="2:16" x14ac:dyDescent="0.2">
      <c r="B53" s="254"/>
    </row>
    <row r="54" spans="2:16" x14ac:dyDescent="0.2">
      <c r="B54" s="254"/>
    </row>
    <row r="55" spans="2:16" x14ac:dyDescent="0.2">
      <c r="B55" s="254"/>
    </row>
    <row r="58" spans="2:16" x14ac:dyDescent="0.2">
      <c r="B58" s="4" t="s">
        <v>19</v>
      </c>
      <c r="C58" s="4">
        <v>7</v>
      </c>
      <c r="D58" s="4">
        <v>8</v>
      </c>
      <c r="E58" s="4">
        <v>9</v>
      </c>
      <c r="F58" s="4" t="s">
        <v>375</v>
      </c>
      <c r="G58" s="4" t="s">
        <v>387</v>
      </c>
      <c r="H58" s="275">
        <v>202506</v>
      </c>
      <c r="I58" s="275">
        <v>202507</v>
      </c>
      <c r="J58" s="275">
        <v>202508</v>
      </c>
      <c r="K58" s="275">
        <v>202509</v>
      </c>
      <c r="N58" s="4" t="s">
        <v>388</v>
      </c>
      <c r="O58" s="4" t="s">
        <v>389</v>
      </c>
      <c r="P58" s="4" t="s">
        <v>390</v>
      </c>
    </row>
    <row r="59" spans="2:16" ht="16" x14ac:dyDescent="0.2">
      <c r="B59" s="4">
        <v>0</v>
      </c>
      <c r="C59" s="276">
        <f>I60/H59</f>
        <v>3.256000891682264E-2</v>
      </c>
      <c r="D59" s="276">
        <f t="shared" ref="D59:E71" si="0">J60/I59</f>
        <v>3.2981686384580725E-2</v>
      </c>
      <c r="E59" s="276">
        <f t="shared" si="0"/>
        <v>3.5918280099967136E-2</v>
      </c>
      <c r="F59" s="276">
        <f>AVERAGE(C59:E59)</f>
        <v>3.3819991800456833E-2</v>
      </c>
      <c r="G59" s="277">
        <f>F59</f>
        <v>3.3819991800456833E-2</v>
      </c>
      <c r="H59" s="4">
        <v>69480875106</v>
      </c>
      <c r="I59" s="4">
        <v>144317132226</v>
      </c>
      <c r="J59" s="4">
        <v>203122629388</v>
      </c>
      <c r="K59" s="4">
        <v>252065074464</v>
      </c>
      <c r="N59" s="4">
        <v>0</v>
      </c>
      <c r="O59" s="4">
        <v>202510</v>
      </c>
      <c r="P59" s="4">
        <v>294414851862</v>
      </c>
    </row>
    <row r="60" spans="2:16" ht="16" x14ac:dyDescent="0.2">
      <c r="B60" s="4">
        <v>1</v>
      </c>
      <c r="C60" s="276">
        <f t="shared" ref="C60:C71" si="1">I61/H60</f>
        <v>0.6033396132343084</v>
      </c>
      <c r="D60" s="276">
        <f t="shared" si="0"/>
        <v>0.76393713580727685</v>
      </c>
      <c r="E60" s="276">
        <f t="shared" si="0"/>
        <v>0.71911123566197688</v>
      </c>
      <c r="F60" s="276">
        <f>AVERAGE(C60:E60)</f>
        <v>0.69546266156785397</v>
      </c>
      <c r="G60" s="277">
        <f>F60</f>
        <v>0.69546266156785397</v>
      </c>
      <c r="H60" s="4">
        <v>1249099314</v>
      </c>
      <c r="I60" s="4">
        <v>2262297913</v>
      </c>
      <c r="J60" s="4">
        <v>4759822395</v>
      </c>
      <c r="K60" s="4">
        <v>7295815497</v>
      </c>
      <c r="N60" s="4">
        <v>0</v>
      </c>
      <c r="O60" s="4">
        <v>202508</v>
      </c>
      <c r="P60" s="4">
        <v>203122629388</v>
      </c>
    </row>
    <row r="61" spans="2:16" ht="16" x14ac:dyDescent="0.2">
      <c r="B61" s="4">
        <v>2</v>
      </c>
      <c r="C61" s="276" t="e">
        <f t="shared" si="1"/>
        <v>#DIV/0!</v>
      </c>
      <c r="D61" s="276">
        <f t="shared" si="0"/>
        <v>1.0333815471523728</v>
      </c>
      <c r="E61" s="276">
        <f t="shared" si="0"/>
        <v>0.94716362043087166</v>
      </c>
      <c r="F61" s="276">
        <f>AVERAGE(D61:E61)</f>
        <v>0.9902725837916222</v>
      </c>
      <c r="G61" s="277">
        <f>F61</f>
        <v>0.9902725837916222</v>
      </c>
      <c r="I61" s="4">
        <v>753631097</v>
      </c>
      <c r="J61" s="4">
        <v>1728253388</v>
      </c>
      <c r="K61" s="4">
        <v>3422841764</v>
      </c>
      <c r="N61" s="4">
        <v>0</v>
      </c>
      <c r="O61" s="4">
        <v>202509</v>
      </c>
      <c r="P61" s="4">
        <v>252065074464</v>
      </c>
    </row>
    <row r="62" spans="2:16" ht="16" x14ac:dyDescent="0.2">
      <c r="B62" s="4">
        <v>3</v>
      </c>
      <c r="C62" s="276" t="e">
        <f t="shared" si="1"/>
        <v>#DIV/0!</v>
      </c>
      <c r="D62" s="276" t="e">
        <f t="shared" si="0"/>
        <v>#DIV/0!</v>
      </c>
      <c r="E62" s="276">
        <f t="shared" si="0"/>
        <v>0.98516927194000348</v>
      </c>
      <c r="F62" s="276">
        <f>E62</f>
        <v>0.98516927194000348</v>
      </c>
      <c r="G62" s="277">
        <f>F62</f>
        <v>0.98516927194000348</v>
      </c>
      <c r="J62" s="4">
        <v>778788469</v>
      </c>
      <c r="K62" s="4">
        <v>1636938736</v>
      </c>
      <c r="N62" s="4">
        <v>0</v>
      </c>
      <c r="O62" s="4">
        <v>202504</v>
      </c>
      <c r="P62" s="4">
        <v>8294394</v>
      </c>
    </row>
    <row r="63" spans="2:16" ht="16" x14ac:dyDescent="0.2">
      <c r="B63" s="4">
        <v>4</v>
      </c>
      <c r="C63" s="276" t="e">
        <f t="shared" si="1"/>
        <v>#DIV/0!</v>
      </c>
      <c r="D63" s="276" t="e">
        <f t="shared" si="0"/>
        <v>#DIV/0!</v>
      </c>
      <c r="E63" s="276" t="e">
        <f t="shared" si="0"/>
        <v>#DIV/0!</v>
      </c>
      <c r="F63" s="276"/>
      <c r="G63" s="277">
        <v>1</v>
      </c>
      <c r="K63" s="4">
        <v>767238469</v>
      </c>
      <c r="N63" s="4">
        <v>0</v>
      </c>
      <c r="O63" s="4">
        <v>202506</v>
      </c>
      <c r="P63" s="4">
        <v>69480875106</v>
      </c>
    </row>
    <row r="64" spans="2:16" ht="16" x14ac:dyDescent="0.2">
      <c r="B64" s="4">
        <v>5</v>
      </c>
      <c r="C64" s="276" t="e">
        <f t="shared" si="1"/>
        <v>#DIV/0!</v>
      </c>
      <c r="D64" s="276" t="e">
        <f t="shared" si="0"/>
        <v>#DIV/0!</v>
      </c>
      <c r="E64" s="276" t="e">
        <f t="shared" si="0"/>
        <v>#DIV/0!</v>
      </c>
      <c r="F64" s="276"/>
      <c r="G64" s="277">
        <v>1</v>
      </c>
      <c r="H64" s="262"/>
      <c r="I64" s="262"/>
      <c r="J64" s="262"/>
      <c r="K64" s="262"/>
      <c r="N64" s="4">
        <v>0</v>
      </c>
      <c r="O64" s="4">
        <v>202507</v>
      </c>
      <c r="P64" s="4">
        <v>144317132226</v>
      </c>
    </row>
    <row r="65" spans="2:16" ht="16" x14ac:dyDescent="0.2">
      <c r="B65" s="4">
        <v>6</v>
      </c>
      <c r="C65" s="276" t="e">
        <f t="shared" si="1"/>
        <v>#DIV/0!</v>
      </c>
      <c r="D65" s="276" t="e">
        <f t="shared" si="0"/>
        <v>#DIV/0!</v>
      </c>
      <c r="E65" s="276" t="e">
        <f t="shared" si="0"/>
        <v>#DIV/0!</v>
      </c>
      <c r="F65" s="276"/>
      <c r="G65" s="277">
        <v>1</v>
      </c>
      <c r="H65" s="262"/>
      <c r="I65" s="262"/>
      <c r="J65" s="262"/>
      <c r="K65" s="262"/>
      <c r="N65" s="4">
        <v>0</v>
      </c>
      <c r="O65" s="4">
        <v>202505</v>
      </c>
      <c r="P65" s="4">
        <v>28358115388</v>
      </c>
    </row>
    <row r="66" spans="2:16" ht="16" x14ac:dyDescent="0.2">
      <c r="B66" s="4">
        <v>7</v>
      </c>
      <c r="C66" s="276" t="e">
        <f t="shared" si="1"/>
        <v>#DIV/0!</v>
      </c>
      <c r="D66" s="276" t="e">
        <f t="shared" si="0"/>
        <v>#DIV/0!</v>
      </c>
      <c r="E66" s="276" t="e">
        <f t="shared" si="0"/>
        <v>#DIV/0!</v>
      </c>
      <c r="F66" s="276"/>
      <c r="G66" s="277">
        <v>1</v>
      </c>
      <c r="H66" s="262"/>
      <c r="I66" s="262"/>
      <c r="J66" s="262"/>
      <c r="K66" s="262"/>
      <c r="N66" s="4">
        <v>0</v>
      </c>
      <c r="O66" s="4">
        <v>202503</v>
      </c>
      <c r="P66" s="4">
        <v>9630000</v>
      </c>
    </row>
    <row r="67" spans="2:16" ht="16" x14ac:dyDescent="0.2">
      <c r="B67" s="4">
        <v>8</v>
      </c>
      <c r="C67" s="276" t="e">
        <f t="shared" si="1"/>
        <v>#DIV/0!</v>
      </c>
      <c r="D67" s="276" t="e">
        <f t="shared" si="0"/>
        <v>#DIV/0!</v>
      </c>
      <c r="E67" s="276" t="e">
        <f t="shared" si="0"/>
        <v>#DIV/0!</v>
      </c>
      <c r="F67" s="276"/>
      <c r="G67" s="277">
        <v>1</v>
      </c>
      <c r="H67" s="262"/>
      <c r="I67" s="262"/>
      <c r="J67" s="262"/>
      <c r="K67" s="262"/>
      <c r="N67" s="4">
        <v>1</v>
      </c>
      <c r="O67" s="4">
        <v>202506</v>
      </c>
      <c r="P67" s="4">
        <v>1249099314</v>
      </c>
    </row>
    <row r="68" spans="2:16" ht="16" x14ac:dyDescent="0.2">
      <c r="B68" s="4">
        <v>9</v>
      </c>
      <c r="C68" s="276" t="e">
        <f t="shared" si="1"/>
        <v>#DIV/0!</v>
      </c>
      <c r="D68" s="276" t="e">
        <f t="shared" si="0"/>
        <v>#DIV/0!</v>
      </c>
      <c r="E68" s="276" t="e">
        <f t="shared" si="0"/>
        <v>#DIV/0!</v>
      </c>
      <c r="F68" s="278"/>
      <c r="H68" s="262"/>
      <c r="I68" s="262"/>
      <c r="J68" s="262"/>
      <c r="K68" s="262"/>
      <c r="N68" s="4">
        <v>1</v>
      </c>
      <c r="O68" s="4">
        <v>202508</v>
      </c>
      <c r="P68" s="4">
        <v>4759822395</v>
      </c>
    </row>
    <row r="69" spans="2:16" ht="16" x14ac:dyDescent="0.2">
      <c r="B69" s="4">
        <v>10</v>
      </c>
      <c r="C69" s="276" t="e">
        <f t="shared" si="1"/>
        <v>#DIV/0!</v>
      </c>
      <c r="D69" s="276" t="e">
        <f t="shared" si="0"/>
        <v>#DIV/0!</v>
      </c>
      <c r="E69" s="276" t="e">
        <f t="shared" si="0"/>
        <v>#DIV/0!</v>
      </c>
      <c r="F69" s="278"/>
      <c r="H69" s="262"/>
      <c r="I69" s="262"/>
      <c r="J69" s="262"/>
      <c r="K69" s="262"/>
      <c r="N69" s="4">
        <v>1</v>
      </c>
      <c r="O69" s="4">
        <v>202509</v>
      </c>
      <c r="P69" s="4">
        <v>7295815497</v>
      </c>
    </row>
    <row r="70" spans="2:16" ht="16" x14ac:dyDescent="0.2">
      <c r="B70" s="4">
        <v>11</v>
      </c>
      <c r="C70" s="276" t="e">
        <f t="shared" si="1"/>
        <v>#DIV/0!</v>
      </c>
      <c r="D70" s="276" t="e">
        <f t="shared" si="0"/>
        <v>#DIV/0!</v>
      </c>
      <c r="E70" s="276" t="e">
        <f t="shared" si="0"/>
        <v>#DIV/0!</v>
      </c>
      <c r="F70" s="278"/>
      <c r="H70" s="262"/>
      <c r="I70" s="262"/>
      <c r="J70" s="262"/>
      <c r="K70" s="262"/>
      <c r="N70" s="4">
        <v>1</v>
      </c>
      <c r="O70" s="4">
        <v>202510</v>
      </c>
      <c r="P70" s="4">
        <v>9918665014</v>
      </c>
    </row>
    <row r="71" spans="2:16" ht="16" x14ac:dyDescent="0.2">
      <c r="B71" s="4">
        <v>12</v>
      </c>
      <c r="C71" s="276" t="e">
        <f t="shared" si="1"/>
        <v>#DIV/0!</v>
      </c>
      <c r="D71" s="276" t="e">
        <f t="shared" si="0"/>
        <v>#DIV/0!</v>
      </c>
      <c r="E71" s="276" t="e">
        <f t="shared" si="0"/>
        <v>#DIV/0!</v>
      </c>
      <c r="F71" s="278"/>
      <c r="H71" s="262"/>
      <c r="I71" s="262"/>
      <c r="J71" s="262"/>
      <c r="K71" s="262"/>
      <c r="N71" s="4">
        <v>1</v>
      </c>
      <c r="O71" s="4">
        <v>202507</v>
      </c>
      <c r="P71" s="4">
        <v>2262297913</v>
      </c>
    </row>
    <row r="72" spans="2:16" ht="16" x14ac:dyDescent="0.2">
      <c r="B72" s="4">
        <v>13</v>
      </c>
      <c r="C72" s="276"/>
      <c r="D72" s="276" t="e">
        <f>J73/I72</f>
        <v>#DIV/0!</v>
      </c>
      <c r="E72" s="276" t="e">
        <f>K73/J72</f>
        <v>#DIV/0!</v>
      </c>
      <c r="F72" s="278"/>
      <c r="H72" s="262"/>
      <c r="I72" s="262"/>
      <c r="J72" s="262"/>
      <c r="K72" s="262"/>
      <c r="N72" s="4">
        <v>2</v>
      </c>
      <c r="O72" s="4">
        <v>202510</v>
      </c>
      <c r="P72" s="4">
        <v>3951677877</v>
      </c>
    </row>
    <row r="73" spans="2:16" ht="16" x14ac:dyDescent="0.2">
      <c r="B73" s="4">
        <v>14</v>
      </c>
      <c r="C73" s="276"/>
      <c r="D73" s="276"/>
      <c r="E73" s="276" t="e">
        <f>K74/J73</f>
        <v>#DIV/0!</v>
      </c>
      <c r="F73" s="278"/>
      <c r="N73" s="4">
        <v>2</v>
      </c>
      <c r="O73" s="4">
        <v>202507</v>
      </c>
      <c r="P73" s="4">
        <v>753631097</v>
      </c>
    </row>
    <row r="74" spans="2:16" x14ac:dyDescent="0.2">
      <c r="B74" s="4">
        <v>15</v>
      </c>
      <c r="N74" s="4">
        <v>2</v>
      </c>
      <c r="O74" s="4">
        <v>202508</v>
      </c>
      <c r="P74" s="4">
        <v>1728253388</v>
      </c>
    </row>
    <row r="75" spans="2:16" x14ac:dyDescent="0.2">
      <c r="N75" s="4">
        <v>2</v>
      </c>
      <c r="O75" s="4">
        <v>202509</v>
      </c>
      <c r="P75" s="4">
        <v>3422841764</v>
      </c>
    </row>
    <row r="76" spans="2:16" x14ac:dyDescent="0.2">
      <c r="N76" s="4">
        <v>3</v>
      </c>
      <c r="O76" s="4">
        <v>202510</v>
      </c>
      <c r="P76" s="4">
        <v>2850316031</v>
      </c>
    </row>
    <row r="77" spans="2:16" x14ac:dyDescent="0.2">
      <c r="N77" s="4">
        <v>3</v>
      </c>
      <c r="O77" s="4">
        <v>202509</v>
      </c>
      <c r="P77" s="4">
        <v>1636938736</v>
      </c>
    </row>
    <row r="78" spans="2:16" x14ac:dyDescent="0.2">
      <c r="N78" s="4">
        <v>3</v>
      </c>
      <c r="O78" s="4">
        <v>202508</v>
      </c>
      <c r="P78" s="4">
        <v>778788469</v>
      </c>
    </row>
    <row r="79" spans="2:16" x14ac:dyDescent="0.2">
      <c r="N79" s="4">
        <v>4</v>
      </c>
      <c r="O79" s="4">
        <v>202510</v>
      </c>
      <c r="P79" s="4">
        <v>1174750248</v>
      </c>
    </row>
    <row r="80" spans="2:16" x14ac:dyDescent="0.2">
      <c r="N80" s="4">
        <v>4</v>
      </c>
      <c r="O80" s="4">
        <v>202509</v>
      </c>
      <c r="P80" s="4">
        <v>767238469</v>
      </c>
    </row>
    <row r="81" spans="14:16" x14ac:dyDescent="0.2">
      <c r="N81" s="4">
        <v>5</v>
      </c>
      <c r="O81" s="4">
        <v>202510</v>
      </c>
      <c r="P81" s="4">
        <v>120211771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9332B-8267-F04A-979F-52D2BFDFCA36}">
  <sheetPr>
    <tabColor theme="4" tint="0.59999389629810485"/>
  </sheetPr>
  <dimension ref="A1:BL223"/>
  <sheetViews>
    <sheetView showGridLines="0" zoomScale="85" zoomScaleNormal="85" zoomScaleSheetLayoutView="55" workbookViewId="0">
      <pane xSplit="3" ySplit="6" topLeftCell="D86" activePane="bottomRight" state="frozen"/>
      <selection activeCell="N30" sqref="N30"/>
      <selection pane="topRight" activeCell="N30" sqref="N30"/>
      <selection pane="bottomLeft" activeCell="N30" sqref="N30"/>
      <selection pane="bottomRight" activeCell="N30" sqref="N30"/>
    </sheetView>
  </sheetViews>
  <sheetFormatPr baseColWidth="10" defaultColWidth="9.1640625" defaultRowHeight="11" outlineLevelCol="1" x14ac:dyDescent="0.15"/>
  <cols>
    <col min="1" max="1" width="5.5" style="115" hidden="1" customWidth="1" outlineLevel="1"/>
    <col min="2" max="2" width="6.6640625" style="115" customWidth="1" collapsed="1"/>
    <col min="3" max="3" width="29.83203125" style="115" customWidth="1"/>
    <col min="4" max="4" width="8.5" style="115" customWidth="1"/>
    <col min="5" max="5" width="9" style="115" bestFit="1" customWidth="1"/>
    <col min="6" max="6" width="8.6640625" style="115" bestFit="1" customWidth="1"/>
    <col min="7" max="12" width="9" style="115" bestFit="1" customWidth="1"/>
    <col min="13" max="13" width="8.6640625" style="115" bestFit="1" customWidth="1"/>
    <col min="14" max="15" width="9" style="115" bestFit="1" customWidth="1"/>
    <col min="16" max="16" width="8.6640625" style="115" bestFit="1" customWidth="1"/>
    <col min="17" max="64" width="8.5" style="115" customWidth="1"/>
    <col min="65" max="16384" width="9.1640625" style="115"/>
  </cols>
  <sheetData>
    <row r="1" spans="2:64" ht="20" x14ac:dyDescent="0.2">
      <c r="B1" s="279" t="s">
        <v>391</v>
      </c>
      <c r="C1" s="240"/>
      <c r="E1" s="280"/>
      <c r="F1" s="280"/>
      <c r="G1" s="280"/>
      <c r="H1" s="280"/>
      <c r="I1" s="280"/>
      <c r="J1" s="280"/>
      <c r="K1" s="280"/>
      <c r="L1" s="280"/>
      <c r="AX1" s="178"/>
    </row>
    <row r="2" spans="2:64" ht="20" x14ac:dyDescent="0.2">
      <c r="B2" s="279"/>
      <c r="C2" s="240"/>
      <c r="E2" s="280"/>
      <c r="F2" s="280"/>
      <c r="G2" s="280"/>
      <c r="H2" s="280"/>
      <c r="I2" s="280"/>
      <c r="J2" s="280"/>
      <c r="K2" s="280"/>
      <c r="L2" s="280"/>
      <c r="AX2" s="178"/>
    </row>
    <row r="3" spans="2:64" x14ac:dyDescent="0.15">
      <c r="C3" s="281"/>
      <c r="E3" s="280"/>
      <c r="F3" s="280"/>
      <c r="G3" s="280"/>
      <c r="H3" s="280"/>
      <c r="I3" s="280"/>
      <c r="J3" s="280"/>
      <c r="K3" s="280"/>
      <c r="L3" s="280"/>
      <c r="AV3" s="178"/>
    </row>
    <row r="4" spans="2:64" x14ac:dyDescent="0.15">
      <c r="C4" s="282" t="s">
        <v>392</v>
      </c>
      <c r="D4" s="186"/>
      <c r="F4" s="283"/>
      <c r="G4" s="204"/>
      <c r="H4" s="204"/>
      <c r="I4" s="204"/>
      <c r="J4" s="204"/>
      <c r="K4" s="204"/>
      <c r="L4" s="204"/>
      <c r="M4" s="204"/>
      <c r="N4" s="204"/>
      <c r="O4" s="204"/>
      <c r="P4" s="204"/>
      <c r="Q4" s="204"/>
      <c r="R4" s="204"/>
      <c r="S4" s="204"/>
      <c r="T4" s="204"/>
      <c r="U4" s="204"/>
      <c r="V4" s="204"/>
      <c r="W4" s="204"/>
      <c r="X4" s="204"/>
      <c r="Y4" s="204"/>
      <c r="Z4" s="204"/>
      <c r="AA4" s="204"/>
      <c r="AB4" s="204"/>
    </row>
    <row r="5" spans="2:64" x14ac:dyDescent="0.15">
      <c r="C5" s="186" t="s">
        <v>137</v>
      </c>
      <c r="D5" s="284">
        <v>0</v>
      </c>
      <c r="E5" s="285">
        <f t="shared" ref="E5:BL5" si="0">D5+1</f>
        <v>1</v>
      </c>
      <c r="F5" s="285">
        <f t="shared" si="0"/>
        <v>2</v>
      </c>
      <c r="G5" s="285">
        <f t="shared" si="0"/>
        <v>3</v>
      </c>
      <c r="H5" s="285">
        <f t="shared" si="0"/>
        <v>4</v>
      </c>
      <c r="I5" s="285">
        <f t="shared" si="0"/>
        <v>5</v>
      </c>
      <c r="J5" s="285">
        <f t="shared" si="0"/>
        <v>6</v>
      </c>
      <c r="K5" s="285">
        <f t="shared" si="0"/>
        <v>7</v>
      </c>
      <c r="L5" s="285">
        <f t="shared" si="0"/>
        <v>8</v>
      </c>
      <c r="M5" s="285">
        <f t="shared" si="0"/>
        <v>9</v>
      </c>
      <c r="N5" s="285">
        <f t="shared" si="0"/>
        <v>10</v>
      </c>
      <c r="O5" s="285">
        <f t="shared" si="0"/>
        <v>11</v>
      </c>
      <c r="P5" s="285">
        <f t="shared" si="0"/>
        <v>12</v>
      </c>
      <c r="Q5" s="285">
        <f t="shared" si="0"/>
        <v>13</v>
      </c>
      <c r="R5" s="285">
        <f t="shared" si="0"/>
        <v>14</v>
      </c>
      <c r="S5" s="285">
        <f t="shared" si="0"/>
        <v>15</v>
      </c>
      <c r="T5" s="285">
        <f t="shared" si="0"/>
        <v>16</v>
      </c>
      <c r="U5" s="285">
        <f t="shared" si="0"/>
        <v>17</v>
      </c>
      <c r="V5" s="285">
        <f t="shared" si="0"/>
        <v>18</v>
      </c>
      <c r="W5" s="285">
        <f t="shared" si="0"/>
        <v>19</v>
      </c>
      <c r="X5" s="285">
        <f t="shared" si="0"/>
        <v>20</v>
      </c>
      <c r="Y5" s="285">
        <f t="shared" si="0"/>
        <v>21</v>
      </c>
      <c r="Z5" s="285">
        <f t="shared" si="0"/>
        <v>22</v>
      </c>
      <c r="AA5" s="285">
        <f t="shared" si="0"/>
        <v>23</v>
      </c>
      <c r="AB5" s="285">
        <f t="shared" si="0"/>
        <v>24</v>
      </c>
      <c r="AC5" s="285">
        <f t="shared" si="0"/>
        <v>25</v>
      </c>
      <c r="AD5" s="285">
        <f t="shared" si="0"/>
        <v>26</v>
      </c>
      <c r="AE5" s="285">
        <f t="shared" si="0"/>
        <v>27</v>
      </c>
      <c r="AF5" s="285">
        <f t="shared" si="0"/>
        <v>28</v>
      </c>
      <c r="AG5" s="285">
        <f t="shared" si="0"/>
        <v>29</v>
      </c>
      <c r="AH5" s="285">
        <f t="shared" si="0"/>
        <v>30</v>
      </c>
      <c r="AI5" s="285">
        <f t="shared" si="0"/>
        <v>31</v>
      </c>
      <c r="AJ5" s="285">
        <f t="shared" si="0"/>
        <v>32</v>
      </c>
      <c r="AK5" s="285">
        <f t="shared" si="0"/>
        <v>33</v>
      </c>
      <c r="AL5" s="285">
        <f t="shared" si="0"/>
        <v>34</v>
      </c>
      <c r="AM5" s="285">
        <f t="shared" si="0"/>
        <v>35</v>
      </c>
      <c r="AN5" s="285">
        <f t="shared" si="0"/>
        <v>36</v>
      </c>
      <c r="AO5" s="285">
        <f t="shared" si="0"/>
        <v>37</v>
      </c>
      <c r="AP5" s="285">
        <f t="shared" si="0"/>
        <v>38</v>
      </c>
      <c r="AQ5" s="285">
        <f t="shared" si="0"/>
        <v>39</v>
      </c>
      <c r="AR5" s="285">
        <f t="shared" si="0"/>
        <v>40</v>
      </c>
      <c r="AS5" s="285">
        <f t="shared" si="0"/>
        <v>41</v>
      </c>
      <c r="AT5" s="285">
        <f t="shared" si="0"/>
        <v>42</v>
      </c>
      <c r="AU5" s="285">
        <f t="shared" si="0"/>
        <v>43</v>
      </c>
      <c r="AV5" s="285">
        <f t="shared" si="0"/>
        <v>44</v>
      </c>
      <c r="AW5" s="285">
        <f t="shared" si="0"/>
        <v>45</v>
      </c>
      <c r="AX5" s="285">
        <f t="shared" si="0"/>
        <v>46</v>
      </c>
      <c r="AY5" s="285">
        <f t="shared" si="0"/>
        <v>47</v>
      </c>
      <c r="AZ5" s="285">
        <f t="shared" si="0"/>
        <v>48</v>
      </c>
      <c r="BA5" s="285">
        <f t="shared" si="0"/>
        <v>49</v>
      </c>
      <c r="BB5" s="285">
        <f t="shared" si="0"/>
        <v>50</v>
      </c>
      <c r="BC5" s="285">
        <f t="shared" si="0"/>
        <v>51</v>
      </c>
      <c r="BD5" s="285">
        <f t="shared" si="0"/>
        <v>52</v>
      </c>
      <c r="BE5" s="285">
        <f t="shared" si="0"/>
        <v>53</v>
      </c>
      <c r="BF5" s="285">
        <f t="shared" si="0"/>
        <v>54</v>
      </c>
      <c r="BG5" s="285">
        <f t="shared" si="0"/>
        <v>55</v>
      </c>
      <c r="BH5" s="285">
        <f t="shared" si="0"/>
        <v>56</v>
      </c>
      <c r="BI5" s="285">
        <f t="shared" si="0"/>
        <v>57</v>
      </c>
      <c r="BJ5" s="285">
        <f t="shared" si="0"/>
        <v>58</v>
      </c>
      <c r="BK5" s="285">
        <f t="shared" si="0"/>
        <v>59</v>
      </c>
      <c r="BL5" s="285">
        <f t="shared" si="0"/>
        <v>60</v>
      </c>
    </row>
    <row r="6" spans="2:64" x14ac:dyDescent="0.15">
      <c r="C6" s="186" t="s">
        <v>393</v>
      </c>
      <c r="D6" s="285">
        <f>IF(Leadsheet!$E$12-SAP_Speadsheet!D5&lt;0,0,Leadsheet!$E$12-SAP_Speadsheet!D5)</f>
        <v>14</v>
      </c>
      <c r="E6" s="285">
        <f>IF(Leadsheet!$E$12-SAP_Speadsheet!E5&lt;0,0,Leadsheet!$E$12-SAP_Speadsheet!E5)</f>
        <v>13</v>
      </c>
      <c r="F6" s="285">
        <f>IF(Leadsheet!$E$12-SAP_Speadsheet!F5&lt;0,0,Leadsheet!$E$12-SAP_Speadsheet!F5)</f>
        <v>12</v>
      </c>
      <c r="G6" s="285">
        <f>IF(Leadsheet!$E$12-SAP_Speadsheet!G5&lt;0,0,Leadsheet!$E$12-SAP_Speadsheet!G5)</f>
        <v>11</v>
      </c>
      <c r="H6" s="285">
        <f>IF(Leadsheet!$E$12-SAP_Speadsheet!H5&lt;0,0,Leadsheet!$E$12-SAP_Speadsheet!H5)</f>
        <v>10</v>
      </c>
      <c r="I6" s="285">
        <f>IF(Leadsheet!$E$12-SAP_Speadsheet!I5&lt;0,0,Leadsheet!$E$12-SAP_Speadsheet!I5)</f>
        <v>9</v>
      </c>
      <c r="J6" s="285">
        <f>IF(Leadsheet!$E$12-SAP_Speadsheet!J5&lt;0,0,Leadsheet!$E$12-SAP_Speadsheet!J5)</f>
        <v>8</v>
      </c>
      <c r="K6" s="285">
        <f>IF(Leadsheet!$E$12-SAP_Speadsheet!K5&lt;0,0,Leadsheet!$E$12-SAP_Speadsheet!K5)</f>
        <v>7</v>
      </c>
      <c r="L6" s="285">
        <f>IF(Leadsheet!$E$12-SAP_Speadsheet!L5&lt;0,0,Leadsheet!$E$12-SAP_Speadsheet!L5)</f>
        <v>6</v>
      </c>
      <c r="M6" s="285">
        <f>IF(Leadsheet!$E$12-SAP_Speadsheet!M5&lt;0,0,Leadsheet!$E$12-SAP_Speadsheet!M5)</f>
        <v>5</v>
      </c>
      <c r="N6" s="285">
        <f>IF(Leadsheet!$E$12-SAP_Speadsheet!N5&lt;0,0,Leadsheet!$E$12-SAP_Speadsheet!N5)</f>
        <v>4</v>
      </c>
      <c r="O6" s="285">
        <f>IF(Leadsheet!$E$12-SAP_Speadsheet!O5&lt;0,0,Leadsheet!$E$12-SAP_Speadsheet!O5)</f>
        <v>3</v>
      </c>
      <c r="P6" s="285">
        <f>IF(Leadsheet!$E$12-SAP_Speadsheet!P5&lt;0,0,Leadsheet!$E$12-SAP_Speadsheet!P5)</f>
        <v>2</v>
      </c>
      <c r="Q6" s="285">
        <f>IF(Leadsheet!$E$12-SAP_Speadsheet!Q5&lt;0,0,Leadsheet!$E$12-SAP_Speadsheet!Q5)</f>
        <v>1</v>
      </c>
      <c r="R6" s="285">
        <f>IF(Leadsheet!$E$12-SAP_Speadsheet!R5&lt;0,0,Leadsheet!$E$12-SAP_Speadsheet!R5)</f>
        <v>0</v>
      </c>
      <c r="S6" s="285">
        <f>IF(Leadsheet!$E$12-SAP_Speadsheet!S5&lt;0,0,Leadsheet!$E$12-SAP_Speadsheet!S5)</f>
        <v>0</v>
      </c>
      <c r="T6" s="285">
        <f>IF(Leadsheet!$E$12-SAP_Speadsheet!T5&lt;0,0,Leadsheet!$E$12-SAP_Speadsheet!T5)</f>
        <v>0</v>
      </c>
      <c r="U6" s="285">
        <f>IF(Leadsheet!$E$12-SAP_Speadsheet!U5&lt;0,0,Leadsheet!$E$12-SAP_Speadsheet!U5)</f>
        <v>0</v>
      </c>
      <c r="V6" s="285">
        <f>IF(Leadsheet!$E$12-SAP_Speadsheet!V5&lt;0,0,Leadsheet!$E$12-SAP_Speadsheet!V5)</f>
        <v>0</v>
      </c>
      <c r="W6" s="285">
        <f>IF(Leadsheet!$E$12-SAP_Speadsheet!W5&lt;0,0,Leadsheet!$E$12-SAP_Speadsheet!W5)</f>
        <v>0</v>
      </c>
      <c r="X6" s="285">
        <f>IF(Leadsheet!$E$12-SAP_Speadsheet!X5&lt;0,0,Leadsheet!$E$12-SAP_Speadsheet!X5)</f>
        <v>0</v>
      </c>
      <c r="Y6" s="285">
        <f>IF(Leadsheet!$E$12-SAP_Speadsheet!Y5&lt;0,0,Leadsheet!$E$12-SAP_Speadsheet!Y5)</f>
        <v>0</v>
      </c>
      <c r="Z6" s="285">
        <f>IF(Leadsheet!$E$12-SAP_Speadsheet!Z5&lt;0,0,Leadsheet!$E$12-SAP_Speadsheet!Z5)</f>
        <v>0</v>
      </c>
      <c r="AA6" s="285">
        <f>IF(Leadsheet!$E$12-SAP_Speadsheet!AA5&lt;0,0,Leadsheet!$E$12-SAP_Speadsheet!AA5)</f>
        <v>0</v>
      </c>
      <c r="AB6" s="285">
        <f>IF(Leadsheet!$E$12-SAP_Speadsheet!AB5&lt;0,0,Leadsheet!$E$12-SAP_Speadsheet!AB5)</f>
        <v>0</v>
      </c>
      <c r="AC6" s="285">
        <f>IF(Leadsheet!$E$12-SAP_Speadsheet!AC5&lt;0,0,Leadsheet!$E$12-SAP_Speadsheet!AC5)</f>
        <v>0</v>
      </c>
      <c r="AD6" s="285">
        <f>IF(Leadsheet!$E$12-SAP_Speadsheet!AD5&lt;0,0,Leadsheet!$E$12-SAP_Speadsheet!AD5)</f>
        <v>0</v>
      </c>
      <c r="AE6" s="285">
        <f>IF(Leadsheet!$E$12-SAP_Speadsheet!AE5&lt;0,0,Leadsheet!$E$12-SAP_Speadsheet!AE5)</f>
        <v>0</v>
      </c>
      <c r="AF6" s="285">
        <f>IF(Leadsheet!$E$12-SAP_Speadsheet!AF5&lt;0,0,Leadsheet!$E$12-SAP_Speadsheet!AF5)</f>
        <v>0</v>
      </c>
      <c r="AG6" s="285">
        <f>IF(Leadsheet!$E$12-SAP_Speadsheet!AG5&lt;0,0,Leadsheet!$E$12-SAP_Speadsheet!AG5)</f>
        <v>0</v>
      </c>
      <c r="AH6" s="285">
        <f>IF(Leadsheet!$E$12-SAP_Speadsheet!AH5&lt;0,0,Leadsheet!$E$12-SAP_Speadsheet!AH5)</f>
        <v>0</v>
      </c>
      <c r="AI6" s="285">
        <f>IF(Leadsheet!$E$12-SAP_Speadsheet!AI5&lt;0,0,Leadsheet!$E$12-SAP_Speadsheet!AI5)</f>
        <v>0</v>
      </c>
      <c r="AJ6" s="285">
        <f>IF(Leadsheet!$E$12-SAP_Speadsheet!AJ5&lt;0,0,Leadsheet!$E$12-SAP_Speadsheet!AJ5)</f>
        <v>0</v>
      </c>
      <c r="AK6" s="285">
        <f>IF(Leadsheet!$E$12-SAP_Speadsheet!AK5&lt;0,0,Leadsheet!$E$12-SAP_Speadsheet!AK5)</f>
        <v>0</v>
      </c>
      <c r="AL6" s="285">
        <f>IF(Leadsheet!$E$12-SAP_Speadsheet!AL5&lt;0,0,Leadsheet!$E$12-SAP_Speadsheet!AL5)</f>
        <v>0</v>
      </c>
      <c r="AM6" s="285">
        <f>IF(Leadsheet!$E$12-SAP_Speadsheet!AM5&lt;0,0,Leadsheet!$E$12-SAP_Speadsheet!AM5)</f>
        <v>0</v>
      </c>
      <c r="AN6" s="285">
        <f>IF(Leadsheet!$E$12-SAP_Speadsheet!AN5&lt;0,0,Leadsheet!$E$12-SAP_Speadsheet!AN5)</f>
        <v>0</v>
      </c>
      <c r="AO6" s="285">
        <f>IF(Leadsheet!$E$12-SAP_Speadsheet!AO5&lt;0,0,Leadsheet!$E$12-SAP_Speadsheet!AO5)</f>
        <v>0</v>
      </c>
      <c r="AP6" s="285">
        <f>IF(Leadsheet!$E$12-SAP_Speadsheet!AP5&lt;0,0,Leadsheet!$E$12-SAP_Speadsheet!AP5)</f>
        <v>0</v>
      </c>
      <c r="AQ6" s="285">
        <f>IF(Leadsheet!$E$12-SAP_Speadsheet!AQ5&lt;0,0,Leadsheet!$E$12-SAP_Speadsheet!AQ5)</f>
        <v>0</v>
      </c>
      <c r="AR6" s="285">
        <f>IF(Leadsheet!$E$12-SAP_Speadsheet!AR5&lt;0,0,Leadsheet!$E$12-SAP_Speadsheet!AR5)</f>
        <v>0</v>
      </c>
      <c r="AS6" s="285">
        <f>IF(Leadsheet!$E$12-SAP_Speadsheet!AS5&lt;0,0,Leadsheet!$E$12-SAP_Speadsheet!AS5)</f>
        <v>0</v>
      </c>
      <c r="AT6" s="285">
        <f>IF(Leadsheet!$E$12-SAP_Speadsheet!AT5&lt;0,0,Leadsheet!$E$12-SAP_Speadsheet!AT5)</f>
        <v>0</v>
      </c>
      <c r="AU6" s="285">
        <f>IF(Leadsheet!$E$12-SAP_Speadsheet!AU5&lt;0,0,Leadsheet!$E$12-SAP_Speadsheet!AU5)</f>
        <v>0</v>
      </c>
      <c r="AV6" s="285">
        <f>IF(Leadsheet!$E$12-SAP_Speadsheet!AV5&lt;0,0,Leadsheet!$E$12-SAP_Speadsheet!AV5)</f>
        <v>0</v>
      </c>
      <c r="AW6" s="285">
        <f>IF(Leadsheet!$E$12-SAP_Speadsheet!AW5&lt;0,0,Leadsheet!$E$12-SAP_Speadsheet!AW5)</f>
        <v>0</v>
      </c>
      <c r="AX6" s="285">
        <f>IF(Leadsheet!$E$12-SAP_Speadsheet!AX5&lt;0,0,Leadsheet!$E$12-SAP_Speadsheet!AX5)</f>
        <v>0</v>
      </c>
      <c r="AY6" s="285">
        <f>IF(Leadsheet!$E$12-SAP_Speadsheet!AY5&lt;0,0,Leadsheet!$E$12-SAP_Speadsheet!AY5)</f>
        <v>0</v>
      </c>
      <c r="AZ6" s="285">
        <f>IF(Leadsheet!$E$12-SAP_Speadsheet!AZ5&lt;0,0,Leadsheet!$E$12-SAP_Speadsheet!AZ5)</f>
        <v>0</v>
      </c>
      <c r="BA6" s="285">
        <f>IF(Leadsheet!$E$12-SAP_Speadsheet!BA5&lt;0,0,Leadsheet!$E$12-SAP_Speadsheet!BA5)</f>
        <v>0</v>
      </c>
      <c r="BB6" s="285">
        <f>IF(Leadsheet!$E$12-SAP_Speadsheet!BB5&lt;0,0,Leadsheet!$E$12-SAP_Speadsheet!BB5)</f>
        <v>0</v>
      </c>
      <c r="BC6" s="285">
        <f>IF(Leadsheet!$E$12-SAP_Speadsheet!BC5&lt;0,0,Leadsheet!$E$12-SAP_Speadsheet!BC5)</f>
        <v>0</v>
      </c>
      <c r="BD6" s="280">
        <f>IF(Leadsheet!$E$12-SAP_Speadsheet!BD5&lt;0,0,Leadsheet!$E$12-SAP_Speadsheet!BD5)</f>
        <v>0</v>
      </c>
      <c r="BE6" s="280">
        <f>IF(Leadsheet!$E$12-SAP_Speadsheet!BE5&lt;0,0,Leadsheet!$E$12-SAP_Speadsheet!BE5)</f>
        <v>0</v>
      </c>
      <c r="BF6" s="280">
        <f>IF(Leadsheet!$E$12-SAP_Speadsheet!BF5&lt;0,0,Leadsheet!$E$12-SAP_Speadsheet!BF5)</f>
        <v>0</v>
      </c>
      <c r="BG6" s="280">
        <f>IF(Leadsheet!$E$12-SAP_Speadsheet!BG5&lt;0,0,Leadsheet!$E$12-SAP_Speadsheet!BG5)</f>
        <v>0</v>
      </c>
      <c r="BH6" s="280">
        <f>IF(Leadsheet!$E$12-SAP_Speadsheet!BH5&lt;0,0,Leadsheet!$E$12-SAP_Speadsheet!BH5)</f>
        <v>0</v>
      </c>
      <c r="BI6" s="280">
        <f>IF(Leadsheet!$E$12-SAP_Speadsheet!BI5&lt;0,0,Leadsheet!$E$12-SAP_Speadsheet!BI5)</f>
        <v>0</v>
      </c>
      <c r="BJ6" s="280">
        <f>IF(Leadsheet!$E$12-SAP_Speadsheet!BJ5&lt;0,0,Leadsheet!$E$12-SAP_Speadsheet!BJ5)</f>
        <v>0</v>
      </c>
      <c r="BK6" s="280">
        <f>IF(Leadsheet!$E$12-SAP_Speadsheet!BK5&lt;0,0,Leadsheet!$E$12-SAP_Speadsheet!BK5)</f>
        <v>0</v>
      </c>
      <c r="BL6" s="280">
        <f>IF(Leadsheet!$E$12-SAP_Speadsheet!BL5&lt;0,0,Leadsheet!$E$12-SAP_Speadsheet!BL5)</f>
        <v>0</v>
      </c>
    </row>
    <row r="7" spans="2:64" x14ac:dyDescent="0.15">
      <c r="C7" s="186" t="s">
        <v>394</v>
      </c>
      <c r="D7" s="280">
        <f>Leadsheet!E13+Leadsheet!E12</f>
        <v>20</v>
      </c>
    </row>
    <row r="8" spans="2:64" x14ac:dyDescent="0.15">
      <c r="C8" s="186"/>
      <c r="E8" s="280"/>
    </row>
    <row r="9" spans="2:64" ht="13" thickBot="1" x14ac:dyDescent="0.2">
      <c r="B9" s="286" t="s">
        <v>395</v>
      </c>
      <c r="C9" s="287"/>
      <c r="D9" s="288"/>
      <c r="E9" s="289"/>
      <c r="F9" s="288"/>
      <c r="G9" s="288"/>
      <c r="H9" s="288"/>
      <c r="I9" s="288"/>
      <c r="J9" s="288"/>
      <c r="K9" s="288"/>
      <c r="L9" s="288"/>
      <c r="M9" s="288"/>
      <c r="N9" s="288"/>
      <c r="O9" s="288"/>
      <c r="P9" s="288"/>
      <c r="Q9" s="288"/>
      <c r="R9" s="288"/>
      <c r="S9" s="288"/>
      <c r="T9" s="288"/>
      <c r="U9" s="288"/>
      <c r="V9" s="288"/>
      <c r="W9" s="288"/>
      <c r="X9" s="288"/>
      <c r="Y9" s="288"/>
      <c r="Z9" s="288"/>
      <c r="AA9" s="288"/>
      <c r="AB9" s="288"/>
      <c r="AC9" s="288"/>
      <c r="AD9" s="288"/>
      <c r="AE9" s="288"/>
      <c r="AF9" s="288"/>
      <c r="AG9" s="288"/>
      <c r="AH9" s="288"/>
      <c r="AI9" s="288"/>
      <c r="AJ9" s="288"/>
      <c r="AK9" s="288"/>
      <c r="AL9" s="288"/>
      <c r="AM9" s="288"/>
      <c r="AN9" s="288"/>
      <c r="AO9" s="288"/>
      <c r="AP9" s="288"/>
      <c r="AQ9" s="288"/>
      <c r="AR9" s="288"/>
      <c r="AS9" s="288"/>
      <c r="AT9" s="288"/>
      <c r="AU9" s="288"/>
      <c r="AV9" s="288"/>
      <c r="AW9" s="288"/>
      <c r="AX9" s="288"/>
      <c r="AY9" s="288"/>
      <c r="AZ9" s="288"/>
      <c r="BA9" s="288"/>
      <c r="BB9" s="288"/>
      <c r="BC9" s="288"/>
      <c r="BD9" s="288"/>
      <c r="BE9" s="288"/>
      <c r="BF9" s="288"/>
      <c r="BG9" s="288"/>
      <c r="BH9" s="288"/>
      <c r="BI9" s="288"/>
      <c r="BJ9" s="288"/>
      <c r="BK9" s="288"/>
      <c r="BL9" s="288"/>
    </row>
    <row r="10" spans="2:64" ht="12" thickTop="1" x14ac:dyDescent="0.15">
      <c r="B10" s="186" t="s">
        <v>396</v>
      </c>
      <c r="C10" s="186"/>
      <c r="E10" s="280"/>
    </row>
    <row r="11" spans="2:64" x14ac:dyDescent="0.15">
      <c r="C11" s="115" t="s">
        <v>397</v>
      </c>
      <c r="D11" s="290">
        <f>Leadsheet!E18</f>
        <v>0.51861255751024471</v>
      </c>
      <c r="E11" s="290">
        <f>IF(E$5&gt;$D$7,0,VLOOKUP(SAP_Speadsheet!E$5,Leadsheet!$C$18:$F$23,3,1))</f>
        <v>0.51861255751024471</v>
      </c>
      <c r="F11" s="290">
        <f>IF(F$5&gt;$D$7,0,VLOOKUP(SAP_Speadsheet!F$5,Leadsheet!$C$18:$F$23,3,1))</f>
        <v>0.51861255751024471</v>
      </c>
      <c r="G11" s="290">
        <f>IF(G$5&gt;$D$7,0,VLOOKUP(SAP_Speadsheet!G$5,Leadsheet!$C$18:$F$23,3,1))</f>
        <v>0.51861255751024471</v>
      </c>
      <c r="H11" s="290">
        <f>IF(H$5&gt;$D$7,0,VLOOKUP(SAP_Speadsheet!H$5,Leadsheet!$C$18:$F$23,3,1))</f>
        <v>0.51861255751024471</v>
      </c>
      <c r="I11" s="290">
        <f>IF(I$5&gt;$D$7,0,VLOOKUP(SAP_Speadsheet!I$5,Leadsheet!$C$18:$F$23,3,1))</f>
        <v>0.51861255751024471</v>
      </c>
      <c r="J11" s="290">
        <f>IF(J$5&gt;$D$7,0,VLOOKUP(SAP_Speadsheet!J$5,Leadsheet!$C$18:$F$23,3,1))</f>
        <v>0.51861255751024471</v>
      </c>
      <c r="K11" s="290">
        <f>IF(K$5&gt;$D$7,0,VLOOKUP(SAP_Speadsheet!K$5,Leadsheet!$C$18:$F$23,3,1))</f>
        <v>0.51861255751024471</v>
      </c>
      <c r="L11" s="290">
        <f>IF(L$5&gt;$D$7,0,VLOOKUP(SAP_Speadsheet!L$5,Leadsheet!$C$18:$F$23,3,1))</f>
        <v>0.51861255751024471</v>
      </c>
      <c r="M11" s="290">
        <f>IF(M$5&gt;$D$7,0,VLOOKUP(SAP_Speadsheet!M$5,Leadsheet!$C$18:$F$23,3,1))</f>
        <v>0.51861255751024471</v>
      </c>
      <c r="N11" s="290">
        <f>IF(N$5&gt;$D$7,0,VLOOKUP(SAP_Speadsheet!N$5,Leadsheet!$C$18:$F$23,3,1))</f>
        <v>0.51861255751024471</v>
      </c>
      <c r="O11" s="290">
        <f>IF(O$5&gt;$D$7,0,VLOOKUP(SAP_Speadsheet!O$5,Leadsheet!$C$18:$F$23,3,1))</f>
        <v>0.51861255751024471</v>
      </c>
      <c r="P11" s="290">
        <f>IF(P$5&gt;$D$7,0,VLOOKUP(SAP_Speadsheet!P$5,Leadsheet!$C$18:$F$23,3,1))</f>
        <v>0.51861255751024471</v>
      </c>
      <c r="Q11" s="290">
        <f>IF(Q$5&gt;$D$7,0,VLOOKUP(SAP_Speadsheet!Q$5,Leadsheet!$C$18:$F$23,3,1))</f>
        <v>0.51861255751024471</v>
      </c>
      <c r="R11" s="290">
        <f>IF(R$5&gt;$D$7,0,VLOOKUP(SAP_Speadsheet!R$5,Leadsheet!$C$18:$F$23,3,1))</f>
        <v>0.51861255751024471</v>
      </c>
      <c r="S11" s="290">
        <f>IF(S$5&gt;$D$7,0,VLOOKUP(SAP_Speadsheet!S$5,Leadsheet!$C$18:$F$23,3,1))</f>
        <v>0.51861255751024471</v>
      </c>
      <c r="T11" s="290">
        <f>IF(T$5&gt;$D$7,0,VLOOKUP(SAP_Speadsheet!T$5,Leadsheet!$C$18:$F$23,3,1))</f>
        <v>0.51861255751024471</v>
      </c>
      <c r="U11" s="290">
        <f>IF(U$5&gt;$D$7,0,VLOOKUP(SAP_Speadsheet!U$5,Leadsheet!$C$18:$F$23,3,1))</f>
        <v>0.51861255751024471</v>
      </c>
      <c r="V11" s="290">
        <f>IF(V$5&gt;$D$7,0,VLOOKUP(SAP_Speadsheet!V$5,Leadsheet!$C$18:$F$23,3,1))</f>
        <v>0.51861255751024471</v>
      </c>
      <c r="W11" s="290">
        <f>IF(W$5&gt;$D$7,0,VLOOKUP(SAP_Speadsheet!W$5,Leadsheet!$C$18:$F$23,3,1))</f>
        <v>0.51861255751024471</v>
      </c>
      <c r="X11" s="290">
        <f>IF(X$5&gt;$D$7,0,VLOOKUP(SAP_Speadsheet!X$5,Leadsheet!$C$18:$F$23,3,1))</f>
        <v>0.51861255751024471</v>
      </c>
      <c r="Y11" s="290">
        <f>IF(Y$5&gt;$D$7,0,VLOOKUP(SAP_Speadsheet!Y$5,Leadsheet!$C$18:$F$23,3,1))</f>
        <v>0</v>
      </c>
      <c r="Z11" s="290">
        <f>IF(Z$5&gt;$D$7,0,VLOOKUP(SAP_Speadsheet!Z$5,Leadsheet!$C$18:$F$23,3,1))</f>
        <v>0</v>
      </c>
      <c r="AA11" s="290">
        <f>IF(AA$5&gt;$D$7,0,VLOOKUP(SAP_Speadsheet!AA$5,Leadsheet!$C$18:$F$23,3,1))</f>
        <v>0</v>
      </c>
      <c r="AB11" s="290">
        <f>IF(AB$5&gt;$D$7,0,VLOOKUP(SAP_Speadsheet!AB$5,Leadsheet!$C$18:$F$23,3,1))</f>
        <v>0</v>
      </c>
      <c r="AC11" s="290">
        <f>IF(AC$5&gt;$D$7,0,VLOOKUP(SAP_Speadsheet!AC$5,Leadsheet!$C$18:$F$23,3,1))</f>
        <v>0</v>
      </c>
      <c r="AD11" s="290">
        <f>IF(AD$5&gt;$D$7,0,VLOOKUP(SAP_Speadsheet!AD$5,Leadsheet!$C$18:$F$23,3,1))</f>
        <v>0</v>
      </c>
      <c r="AE11" s="290">
        <f>IF(AE$5&gt;$D$7,0,VLOOKUP(SAP_Speadsheet!AE$5,Leadsheet!$C$18:$F$23,3,1))</f>
        <v>0</v>
      </c>
      <c r="AF11" s="290">
        <f>IF(AF$5&gt;$D$7,0,VLOOKUP(SAP_Speadsheet!AF$5,Leadsheet!$C$18:$F$23,3,1))</f>
        <v>0</v>
      </c>
      <c r="AG11" s="290">
        <f>IF(AG$5&gt;$D$7,0,VLOOKUP(SAP_Speadsheet!AG$5,Leadsheet!$C$18:$F$23,3,1))</f>
        <v>0</v>
      </c>
      <c r="AH11" s="290">
        <f>IF(AH$5&gt;$D$7,0,VLOOKUP(SAP_Speadsheet!AH$5,Leadsheet!$C$18:$F$23,3,1))</f>
        <v>0</v>
      </c>
      <c r="AI11" s="290">
        <f>IF(AI$5&gt;$D$7,0,VLOOKUP(SAP_Speadsheet!AI$5,Leadsheet!$C$18:$F$23,3,1))</f>
        <v>0</v>
      </c>
      <c r="AJ11" s="290">
        <f>IF(AJ$5&gt;$D$7,0,VLOOKUP(SAP_Speadsheet!AJ$5,Leadsheet!$C$18:$F$23,3,1))</f>
        <v>0</v>
      </c>
      <c r="AK11" s="290">
        <f>IF(AK$5&gt;$D$7,0,VLOOKUP(SAP_Speadsheet!AK$5,Leadsheet!$C$18:$F$23,3,1))</f>
        <v>0</v>
      </c>
      <c r="AL11" s="290">
        <f>IF(AL$5&gt;$D$7,0,VLOOKUP(SAP_Speadsheet!AL$5,Leadsheet!$C$18:$F$23,3,1))</f>
        <v>0</v>
      </c>
      <c r="AM11" s="290">
        <f>IF(AM$5&gt;$D$7,0,VLOOKUP(SAP_Speadsheet!AM$5,Leadsheet!$C$18:$F$23,3,1))</f>
        <v>0</v>
      </c>
      <c r="AN11" s="290">
        <f>IF(AN$5&gt;$D$7,0,VLOOKUP(SAP_Speadsheet!AN$5,Leadsheet!$C$18:$F$23,3,1))</f>
        <v>0</v>
      </c>
      <c r="AO11" s="290">
        <f>IF(AO$5&gt;$D$7,0,VLOOKUP(SAP_Speadsheet!AO$5,Leadsheet!$C$18:$F$23,3,1))</f>
        <v>0</v>
      </c>
      <c r="AP11" s="290">
        <f>IF(AP$5&gt;$D$7,0,VLOOKUP(SAP_Speadsheet!AP$5,Leadsheet!$C$18:$F$23,3,1))</f>
        <v>0</v>
      </c>
      <c r="AQ11" s="290">
        <f>IF(AQ$5&gt;$D$7,0,VLOOKUP(SAP_Speadsheet!AQ$5,Leadsheet!$C$18:$F$23,3,1))</f>
        <v>0</v>
      </c>
      <c r="AR11" s="290">
        <f>IF(AR$5&gt;$D$7,0,VLOOKUP(SAP_Speadsheet!AR$5,Leadsheet!$C$18:$F$23,3,1))</f>
        <v>0</v>
      </c>
      <c r="AS11" s="290">
        <f>IF(AS$5&gt;$D$7,0,VLOOKUP(SAP_Speadsheet!AS$5,Leadsheet!$C$18:$F$23,3,1))</f>
        <v>0</v>
      </c>
      <c r="AT11" s="290">
        <f>IF(AT$5&gt;$D$7,0,VLOOKUP(SAP_Speadsheet!AT$5,Leadsheet!$C$18:$F$23,3,1))</f>
        <v>0</v>
      </c>
      <c r="AU11" s="290">
        <f>IF(AU$5&gt;$D$7,0,VLOOKUP(SAP_Speadsheet!AU$5,Leadsheet!$C$18:$F$23,3,1))</f>
        <v>0</v>
      </c>
      <c r="AV11" s="290">
        <f>IF(AV$5&gt;$D$7,0,VLOOKUP(SAP_Speadsheet!AV$5,Leadsheet!$C$18:$F$23,3,1))</f>
        <v>0</v>
      </c>
      <c r="AW11" s="290">
        <f>IF(AW$5&gt;$D$7,0,VLOOKUP(SAP_Speadsheet!AW$5,Leadsheet!$C$18:$F$23,3,1))</f>
        <v>0</v>
      </c>
      <c r="AX11" s="290">
        <f>IF(AX$5&gt;$D$7,0,VLOOKUP(SAP_Speadsheet!AX$5,Leadsheet!$C$18:$F$23,3,1))</f>
        <v>0</v>
      </c>
      <c r="AY11" s="290">
        <f>IF(AY$5&gt;$D$7,0,VLOOKUP(SAP_Speadsheet!AY$5,Leadsheet!$C$18:$F$23,3,1))</f>
        <v>0</v>
      </c>
      <c r="AZ11" s="290">
        <f>IF(AZ$5&gt;$D$7,0,VLOOKUP(SAP_Speadsheet!AZ$5,Leadsheet!$C$18:$F$23,3,1))</f>
        <v>0</v>
      </c>
      <c r="BA11" s="290">
        <f>IF(BA$5&gt;$D$7,0,VLOOKUP(SAP_Speadsheet!BA$5,Leadsheet!$C$18:$F$23,3,1))</f>
        <v>0</v>
      </c>
      <c r="BB11" s="290">
        <f>IF(BB$5&gt;$D$7,0,VLOOKUP(SAP_Speadsheet!BB$5,Leadsheet!$C$18:$F$23,3,1))</f>
        <v>0</v>
      </c>
      <c r="BC11" s="290">
        <f>IF(BC$5&gt;$D$7,0,VLOOKUP(SAP_Speadsheet!BC$5,Leadsheet!$C$18:$F$23,3,1))</f>
        <v>0</v>
      </c>
      <c r="BD11" s="290">
        <f>IF(BD$5&gt;$D$7,0,VLOOKUP(SAP_Speadsheet!BD$5,Leadsheet!$C$18:$F$23,3,1))</f>
        <v>0</v>
      </c>
      <c r="BE11" s="290">
        <f>IF(BE$5&gt;$D$7,0,VLOOKUP(SAP_Speadsheet!BE$5,Leadsheet!$C$18:$F$23,3,1))</f>
        <v>0</v>
      </c>
      <c r="BF11" s="290">
        <f>IF(BF$5&gt;$D$7,0,VLOOKUP(SAP_Speadsheet!BF$5,Leadsheet!$C$18:$F$23,3,1))</f>
        <v>0</v>
      </c>
      <c r="BG11" s="290">
        <f>IF(BG$5&gt;$D$7,0,VLOOKUP(SAP_Speadsheet!BG$5,Leadsheet!$C$18:$F$23,3,1))</f>
        <v>0</v>
      </c>
      <c r="BH11" s="290">
        <f>IF(BH$5&gt;$D$7,0,VLOOKUP(SAP_Speadsheet!BH$5,Leadsheet!$C$18:$F$23,3,1))</f>
        <v>0</v>
      </c>
      <c r="BI11" s="290">
        <f>IF(BI$5&gt;$D$7,0,VLOOKUP(SAP_Speadsheet!BI$5,Leadsheet!$C$18:$F$23,3,1))</f>
        <v>0</v>
      </c>
      <c r="BJ11" s="290">
        <f>IF(BJ$5&gt;$D$7,0,VLOOKUP(SAP_Speadsheet!BJ$5,Leadsheet!$C$18:$F$23,3,1))</f>
        <v>0</v>
      </c>
      <c r="BK11" s="290">
        <f>IF(BK$5&gt;$D$7,0,VLOOKUP(SAP_Speadsheet!BK$5,Leadsheet!$C$18:$F$23,3,1))</f>
        <v>0</v>
      </c>
      <c r="BL11" s="290">
        <f>IF(BL$5&gt;$D$7,0,VLOOKUP(SAP_Speadsheet!BL$5,Leadsheet!$C$18:$F$23,3,1))</f>
        <v>0</v>
      </c>
    </row>
    <row r="12" spans="2:64" x14ac:dyDescent="0.15">
      <c r="C12" s="115" t="s">
        <v>398</v>
      </c>
      <c r="D12" s="290">
        <f>Leadsheet!F18</f>
        <v>7.0378102785857183E-2</v>
      </c>
      <c r="E12" s="290">
        <f>IF(E$5&gt;$D$7,0,VLOOKUP(SAP_Speadsheet!E$5,Leadsheet!$C$18:$F$23,4,1))</f>
        <v>7.0378102785857183E-2</v>
      </c>
      <c r="F12" s="290">
        <f>IF(F$5&gt;$D$7,0,VLOOKUP(SAP_Speadsheet!F$5,Leadsheet!$C$18:$F$23,4,1))</f>
        <v>7.0378102785857183E-2</v>
      </c>
      <c r="G12" s="290">
        <f>IF(G$5&gt;$D$7,0,VLOOKUP(SAP_Speadsheet!G$5,Leadsheet!$C$18:$F$23,4,1))</f>
        <v>7.0378102785857183E-2</v>
      </c>
      <c r="H12" s="290">
        <f>IF(H$5&gt;$D$7,0,VLOOKUP(SAP_Speadsheet!H$5,Leadsheet!$C$18:$F$23,4,1))</f>
        <v>7.0378102785857183E-2</v>
      </c>
      <c r="I12" s="290">
        <f>IF(I$5&gt;$D$7,0,VLOOKUP(SAP_Speadsheet!I$5,Leadsheet!$C$18:$F$23,4,1))</f>
        <v>7.0378102785857183E-2</v>
      </c>
      <c r="J12" s="290">
        <f>IF(J$5&gt;$D$7,0,VLOOKUP(SAP_Speadsheet!J$5,Leadsheet!$C$18:$F$23,4,1))</f>
        <v>7.0378102785857183E-2</v>
      </c>
      <c r="K12" s="290">
        <f>IF(K$5&gt;$D$7,0,VLOOKUP(SAP_Speadsheet!K$5,Leadsheet!$C$18:$F$23,4,1))</f>
        <v>7.0378102785857183E-2</v>
      </c>
      <c r="L12" s="290">
        <f>IF(L$5&gt;$D$7,0,VLOOKUP(SAP_Speadsheet!L$5,Leadsheet!$C$18:$F$23,4,1))</f>
        <v>7.0378102785857183E-2</v>
      </c>
      <c r="M12" s="290">
        <f>IF(M$5&gt;$D$7,0,VLOOKUP(SAP_Speadsheet!M$5,Leadsheet!$C$18:$F$23,4,1))</f>
        <v>7.0378102785857183E-2</v>
      </c>
      <c r="N12" s="290">
        <f>IF(N$5&gt;$D$7,0,VLOOKUP(SAP_Speadsheet!N$5,Leadsheet!$C$18:$F$23,4,1))</f>
        <v>7.0378102785857183E-2</v>
      </c>
      <c r="O12" s="290">
        <f>IF(O$5&gt;$D$7,0,VLOOKUP(SAP_Speadsheet!O$5,Leadsheet!$C$18:$F$23,4,1))</f>
        <v>7.0378102785857183E-2</v>
      </c>
      <c r="P12" s="290">
        <f>IF(P$5&gt;$D$7,0,VLOOKUP(SAP_Speadsheet!P$5,Leadsheet!$C$18:$F$23,4,1))</f>
        <v>7.0378102785857183E-2</v>
      </c>
      <c r="Q12" s="290">
        <f>IF(Q$5&gt;$D$7,0,VLOOKUP(SAP_Speadsheet!Q$5,Leadsheet!$C$18:$F$23,4,1))</f>
        <v>7.0378102785857183E-2</v>
      </c>
      <c r="R12" s="290">
        <f>IF(R$5&gt;$D$7,0,VLOOKUP(SAP_Speadsheet!R$5,Leadsheet!$C$18:$F$23,4,1))</f>
        <v>7.0378102785857183E-2</v>
      </c>
      <c r="S12" s="290">
        <f>IF(S$5&gt;$D$7,0,VLOOKUP(SAP_Speadsheet!S$5,Leadsheet!$C$18:$F$23,4,1))</f>
        <v>7.0378102785857183E-2</v>
      </c>
      <c r="T12" s="290">
        <f>IF(T$5&gt;$D$7,0,VLOOKUP(SAP_Speadsheet!T$5,Leadsheet!$C$18:$F$23,4,1))</f>
        <v>7.0378102785857183E-2</v>
      </c>
      <c r="U12" s="290">
        <f>IF(U$5&gt;$D$7,0,VLOOKUP(SAP_Speadsheet!U$5,Leadsheet!$C$18:$F$23,4,1))</f>
        <v>7.0378102785857183E-2</v>
      </c>
      <c r="V12" s="290">
        <f>IF(V$5&gt;$D$7,0,VLOOKUP(SAP_Speadsheet!V$5,Leadsheet!$C$18:$F$23,4,1))</f>
        <v>7.0378102785857183E-2</v>
      </c>
      <c r="W12" s="290">
        <f>IF(W$5&gt;$D$7,0,VLOOKUP(SAP_Speadsheet!W$5,Leadsheet!$C$18:$F$23,4,1))</f>
        <v>7.0378102785857183E-2</v>
      </c>
      <c r="X12" s="290">
        <f>IF(X$5&gt;$D$7,0,VLOOKUP(SAP_Speadsheet!X$5,Leadsheet!$C$18:$F$23,4,1))</f>
        <v>7.0378102785857183E-2</v>
      </c>
      <c r="Y12" s="290">
        <f>IF(Y$5&gt;$D$7,0,VLOOKUP(SAP_Speadsheet!Y$5,Leadsheet!$C$18:$F$23,4,1))</f>
        <v>0</v>
      </c>
      <c r="Z12" s="290">
        <f>IF(Z$5&gt;$D$7,0,VLOOKUP(SAP_Speadsheet!Z$5,Leadsheet!$C$18:$F$23,4,1))</f>
        <v>0</v>
      </c>
      <c r="AA12" s="290">
        <f>IF(AA$5&gt;$D$7,0,VLOOKUP(SAP_Speadsheet!AA$5,Leadsheet!$C$18:$F$23,4,1))</f>
        <v>0</v>
      </c>
      <c r="AB12" s="290">
        <f>IF(AB$5&gt;$D$7,0,VLOOKUP(SAP_Speadsheet!AB$5,Leadsheet!$C$18:$F$23,4,1))</f>
        <v>0</v>
      </c>
      <c r="AC12" s="290">
        <f>IF(AC$5&gt;$D$7,0,VLOOKUP(SAP_Speadsheet!AC$5,Leadsheet!$C$18:$F$23,4,1))</f>
        <v>0</v>
      </c>
      <c r="AD12" s="290">
        <f>IF(AD$5&gt;$D$7,0,VLOOKUP(SAP_Speadsheet!AD$5,Leadsheet!$C$18:$F$23,4,1))</f>
        <v>0</v>
      </c>
      <c r="AE12" s="290">
        <f>IF(AE$5&gt;$D$7,0,VLOOKUP(SAP_Speadsheet!AE$5,Leadsheet!$C$18:$F$23,4,1))</f>
        <v>0</v>
      </c>
      <c r="AF12" s="290">
        <f>IF(AF$5&gt;$D$7,0,VLOOKUP(SAP_Speadsheet!AF$5,Leadsheet!$C$18:$F$23,4,1))</f>
        <v>0</v>
      </c>
      <c r="AG12" s="290">
        <f>IF(AG$5&gt;$D$7,0,VLOOKUP(SAP_Speadsheet!AG$5,Leadsheet!$C$18:$F$23,4,1))</f>
        <v>0</v>
      </c>
      <c r="AH12" s="290">
        <f>IF(AH$5&gt;$D$7,0,VLOOKUP(SAP_Speadsheet!AH$5,Leadsheet!$C$18:$F$23,4,1))</f>
        <v>0</v>
      </c>
      <c r="AI12" s="290">
        <f>IF(AI$5&gt;$D$7,0,VLOOKUP(SAP_Speadsheet!AI$5,Leadsheet!$C$18:$F$23,4,1))</f>
        <v>0</v>
      </c>
      <c r="AJ12" s="290">
        <f>IF(AJ$5&gt;$D$7,0,VLOOKUP(SAP_Speadsheet!AJ$5,Leadsheet!$C$18:$F$23,4,1))</f>
        <v>0</v>
      </c>
      <c r="AK12" s="290">
        <f>IF(AK$5&gt;$D$7,0,VLOOKUP(SAP_Speadsheet!AK$5,Leadsheet!$C$18:$F$23,4,1))</f>
        <v>0</v>
      </c>
      <c r="AL12" s="290">
        <f>IF(AL$5&gt;$D$7,0,VLOOKUP(SAP_Speadsheet!AL$5,Leadsheet!$C$18:$F$23,4,1))</f>
        <v>0</v>
      </c>
      <c r="AM12" s="290">
        <f>IF(AM$5&gt;$D$7,0,VLOOKUP(SAP_Speadsheet!AM$5,Leadsheet!$C$18:$F$23,4,1))</f>
        <v>0</v>
      </c>
      <c r="AN12" s="290">
        <f>IF(AN$5&gt;$D$7,0,VLOOKUP(SAP_Speadsheet!AN$5,Leadsheet!$C$18:$F$23,4,1))</f>
        <v>0</v>
      </c>
      <c r="AO12" s="290">
        <f>IF(AO$5&gt;$D$7,0,VLOOKUP(SAP_Speadsheet!AO$5,Leadsheet!$C$18:$F$23,4,1))</f>
        <v>0</v>
      </c>
      <c r="AP12" s="290">
        <f>IF(AP$5&gt;$D$7,0,VLOOKUP(SAP_Speadsheet!AP$5,Leadsheet!$C$18:$F$23,4,1))</f>
        <v>0</v>
      </c>
      <c r="AQ12" s="290">
        <f>IF(AQ$5&gt;$D$7,0,VLOOKUP(SAP_Speadsheet!AQ$5,Leadsheet!$C$18:$F$23,4,1))</f>
        <v>0</v>
      </c>
      <c r="AR12" s="290">
        <f>IF(AR$5&gt;$D$7,0,VLOOKUP(SAP_Speadsheet!AR$5,Leadsheet!$C$18:$F$23,4,1))</f>
        <v>0</v>
      </c>
      <c r="AS12" s="290">
        <f>IF(AS$5&gt;$D$7,0,VLOOKUP(SAP_Speadsheet!AS$5,Leadsheet!$C$18:$F$23,4,1))</f>
        <v>0</v>
      </c>
      <c r="AT12" s="290">
        <f>IF(AT$5&gt;$D$7,0,VLOOKUP(SAP_Speadsheet!AT$5,Leadsheet!$C$18:$F$23,4,1))</f>
        <v>0</v>
      </c>
      <c r="AU12" s="290">
        <f>IF(AU$5&gt;$D$7,0,VLOOKUP(SAP_Speadsheet!AU$5,Leadsheet!$C$18:$F$23,4,1))</f>
        <v>0</v>
      </c>
      <c r="AV12" s="290">
        <f>IF(AV$5&gt;$D$7,0,VLOOKUP(SAP_Speadsheet!AV$5,Leadsheet!$C$18:$F$23,4,1))</f>
        <v>0</v>
      </c>
      <c r="AW12" s="290">
        <f>IF(AW$5&gt;$D$7,0,VLOOKUP(SAP_Speadsheet!AW$5,Leadsheet!$C$18:$F$23,4,1))</f>
        <v>0</v>
      </c>
      <c r="AX12" s="290">
        <f>IF(AX$5&gt;$D$7,0,VLOOKUP(SAP_Speadsheet!AX$5,Leadsheet!$C$18:$F$23,4,1))</f>
        <v>0</v>
      </c>
      <c r="AY12" s="290">
        <f>IF(AY$5&gt;$D$7,0,VLOOKUP(SAP_Speadsheet!AY$5,Leadsheet!$C$18:$F$23,4,1))</f>
        <v>0</v>
      </c>
      <c r="AZ12" s="290">
        <f>IF(AZ$5&gt;$D$7,0,VLOOKUP(SAP_Speadsheet!AZ$5,Leadsheet!$C$18:$F$23,4,1))</f>
        <v>0</v>
      </c>
      <c r="BA12" s="290">
        <f>IF(BA$5&gt;$D$7,0,VLOOKUP(SAP_Speadsheet!BA$5,Leadsheet!$C$18:$F$23,4,1))</f>
        <v>0</v>
      </c>
      <c r="BB12" s="290">
        <f>IF(BB$5&gt;$D$7,0,VLOOKUP(SAP_Speadsheet!BB$5,Leadsheet!$C$18:$F$23,4,1))</f>
        <v>0</v>
      </c>
      <c r="BC12" s="290">
        <f>IF(BC$5&gt;$D$7,0,VLOOKUP(SAP_Speadsheet!BC$5,Leadsheet!$C$18:$F$23,4,1))</f>
        <v>0</v>
      </c>
      <c r="BD12" s="290">
        <f>IF(BD$5&gt;$D$7,0,VLOOKUP(SAP_Speadsheet!BD$5,Leadsheet!$C$18:$F$23,4,1))</f>
        <v>0</v>
      </c>
      <c r="BE12" s="290">
        <f>IF(BE$5&gt;$D$7,0,VLOOKUP(SAP_Speadsheet!BE$5,Leadsheet!$C$18:$F$23,4,1))</f>
        <v>0</v>
      </c>
      <c r="BF12" s="290">
        <f>IF(BF$5&gt;$D$7,0,VLOOKUP(SAP_Speadsheet!BF$5,Leadsheet!$C$18:$F$23,4,1))</f>
        <v>0</v>
      </c>
      <c r="BG12" s="290">
        <f>IF(BG$5&gt;$D$7,0,VLOOKUP(SAP_Speadsheet!BG$5,Leadsheet!$C$18:$F$23,4,1))</f>
        <v>0</v>
      </c>
      <c r="BH12" s="290">
        <f>IF(BH$5&gt;$D$7,0,VLOOKUP(SAP_Speadsheet!BH$5,Leadsheet!$C$18:$F$23,4,1))</f>
        <v>0</v>
      </c>
      <c r="BI12" s="290">
        <f>IF(BI$5&gt;$D$7,0,VLOOKUP(SAP_Speadsheet!BI$5,Leadsheet!$C$18:$F$23,4,1))</f>
        <v>0</v>
      </c>
      <c r="BJ12" s="290">
        <f>IF(BJ$5&gt;$D$7,0,VLOOKUP(SAP_Speadsheet!BJ$5,Leadsheet!$C$18:$F$23,4,1))</f>
        <v>0</v>
      </c>
      <c r="BK12" s="290">
        <f>IF(BK$5&gt;$D$7,0,VLOOKUP(SAP_Speadsheet!BK$5,Leadsheet!$C$18:$F$23,4,1))</f>
        <v>0</v>
      </c>
      <c r="BL12" s="290">
        <f>IF(BL$5&gt;$D$7,0,VLOOKUP(SAP_Speadsheet!BL$5,Leadsheet!$C$18:$F$23,4,1))</f>
        <v>0</v>
      </c>
    </row>
    <row r="13" spans="2:64" x14ac:dyDescent="0.15">
      <c r="C13" s="115" t="s">
        <v>399</v>
      </c>
      <c r="E13" s="290">
        <f>IF(E$5&lt;Leadsheet!$E$12,VLOOKUP(SAP_Speadsheet!E$5,Leadsheet!$C$26:$G$30,5,1),0)</f>
        <v>0.08</v>
      </c>
      <c r="F13" s="290">
        <f>IF(F$5&lt;Leadsheet!$E$12,VLOOKUP(SAP_Speadsheet!F$5,Leadsheet!$C$26:$G$30,5,1),0)</f>
        <v>0.06</v>
      </c>
      <c r="G13" s="290">
        <f>IF(G$5&lt;Leadsheet!$E$12,VLOOKUP(SAP_Speadsheet!G$5,Leadsheet!$C$26:$G$30,5,1),0)</f>
        <v>0.06</v>
      </c>
      <c r="H13" s="290">
        <f>IF(H$5&lt;Leadsheet!$E$12,VLOOKUP(SAP_Speadsheet!H$5,Leadsheet!$C$26:$G$30,5,1),0)</f>
        <v>2.5000000000000001E-2</v>
      </c>
      <c r="I13" s="290">
        <f>IF(I$5&lt;Leadsheet!$E$12,VLOOKUP(SAP_Speadsheet!I$5,Leadsheet!$C$26:$G$30,5,1),0)</f>
        <v>2.5000000000000001E-2</v>
      </c>
      <c r="J13" s="290">
        <f>IF(J$5&lt;Leadsheet!$E$12,VLOOKUP(SAP_Speadsheet!J$5,Leadsheet!$C$26:$G$30,5,1),0)</f>
        <v>2.5000000000000001E-2</v>
      </c>
      <c r="K13" s="290">
        <f>IF(K$5&lt;Leadsheet!$E$12,VLOOKUP(SAP_Speadsheet!K$5,Leadsheet!$C$26:$G$30,5,1),0)</f>
        <v>2.5000000000000001E-2</v>
      </c>
      <c r="L13" s="290">
        <f>IF(L$5&lt;Leadsheet!$E$12,VLOOKUP(SAP_Speadsheet!L$5,Leadsheet!$C$26:$G$30,5,1),0)</f>
        <v>2.5000000000000001E-2</v>
      </c>
      <c r="M13" s="290">
        <f>IF(M$5&lt;Leadsheet!$E$12,VLOOKUP(SAP_Speadsheet!M$5,Leadsheet!$C$26:$G$30,5,1),0)</f>
        <v>2.5000000000000001E-2</v>
      </c>
      <c r="N13" s="290">
        <f>IF(N$5&lt;Leadsheet!$E$12,VLOOKUP(SAP_Speadsheet!N$5,Leadsheet!$C$26:$G$30,5,1),0)</f>
        <v>2.5000000000000001E-2</v>
      </c>
      <c r="O13" s="290">
        <f>IF(O$5&lt;Leadsheet!$E$12,VLOOKUP(SAP_Speadsheet!O$5,Leadsheet!$C$26:$G$30,5,1),0)</f>
        <v>2.5000000000000001E-2</v>
      </c>
      <c r="P13" s="290">
        <f>IF(P$5&lt;Leadsheet!$E$12,VLOOKUP(SAP_Speadsheet!P$5,Leadsheet!$C$26:$G$30,5,1),0)</f>
        <v>2.5000000000000001E-2</v>
      </c>
      <c r="Q13" s="290">
        <f>IF(Q$5&lt;Leadsheet!$E$12,VLOOKUP(SAP_Speadsheet!Q$5,Leadsheet!$C$26:$G$30,5,1),0)</f>
        <v>2.5000000000000001E-2</v>
      </c>
      <c r="R13" s="290">
        <f>IF(R$5&lt;Leadsheet!$E$12,VLOOKUP(SAP_Speadsheet!R$5,Leadsheet!$C$26:$G$30,5,1),0)</f>
        <v>0</v>
      </c>
      <c r="S13" s="290">
        <f>IF(S$5&lt;Leadsheet!$E$12,VLOOKUP(SAP_Speadsheet!S$5,Leadsheet!$C$26:$G$30,5,1),0)</f>
        <v>0</v>
      </c>
      <c r="T13" s="290">
        <f>IF(T$5&lt;Leadsheet!$E$12,VLOOKUP(SAP_Speadsheet!T$5,Leadsheet!$C$26:$G$30,5,1),0)</f>
        <v>0</v>
      </c>
      <c r="U13" s="290">
        <f>IF(U$5&lt;Leadsheet!$E$12,VLOOKUP(SAP_Speadsheet!U$5,Leadsheet!$C$26:$G$30,5,1),0)</f>
        <v>0</v>
      </c>
      <c r="V13" s="290">
        <f>IF(V$5&lt;Leadsheet!$E$12,VLOOKUP(SAP_Speadsheet!V$5,Leadsheet!$C$26:$G$30,5,1),0)</f>
        <v>0</v>
      </c>
      <c r="W13" s="290">
        <f>IF(W$5&lt;Leadsheet!$E$12,VLOOKUP(SAP_Speadsheet!W$5,Leadsheet!$C$26:$G$30,5,1),0)</f>
        <v>0</v>
      </c>
      <c r="X13" s="290">
        <f>IF(X$5&lt;Leadsheet!$E$12,VLOOKUP(SAP_Speadsheet!X$5,Leadsheet!$C$26:$G$30,5,1),0)</f>
        <v>0</v>
      </c>
      <c r="Y13" s="290">
        <f>IF(Y$5&lt;Leadsheet!$E$12,VLOOKUP(SAP_Speadsheet!Y$5,Leadsheet!$C$26:$G$30,5,1),0)</f>
        <v>0</v>
      </c>
      <c r="Z13" s="290">
        <f>IF(Z$5&lt;Leadsheet!$E$12,VLOOKUP(SAP_Speadsheet!Z$5,Leadsheet!$C$26:$G$30,5,1),0)</f>
        <v>0</v>
      </c>
      <c r="AA13" s="290">
        <f>IF(AA$5&lt;Leadsheet!$E$12,VLOOKUP(SAP_Speadsheet!AA$5,Leadsheet!$C$26:$G$30,5,1),0)</f>
        <v>0</v>
      </c>
      <c r="AB13" s="290">
        <f>IF(AB$5&lt;Leadsheet!$E$12,VLOOKUP(SAP_Speadsheet!AB$5,Leadsheet!$C$26:$G$30,5,1),0)</f>
        <v>0</v>
      </c>
      <c r="AC13" s="290">
        <f>IF(AC$5&lt;Leadsheet!$E$12,VLOOKUP(SAP_Speadsheet!AC$5,Leadsheet!$C$26:$G$30,5,1),0)</f>
        <v>0</v>
      </c>
      <c r="AD13" s="290">
        <f>IF(AD$5&lt;Leadsheet!$E$12,VLOOKUP(SAP_Speadsheet!AD$5,Leadsheet!$C$26:$G$30,5,1),0)</f>
        <v>0</v>
      </c>
      <c r="AE13" s="290">
        <f>IF(AE$5&lt;Leadsheet!$E$12,VLOOKUP(SAP_Speadsheet!AE$5,Leadsheet!$C$26:$G$30,5,1),0)</f>
        <v>0</v>
      </c>
      <c r="AF13" s="290">
        <f>IF(AF$5&lt;Leadsheet!$E$12,VLOOKUP(SAP_Speadsheet!AF$5,Leadsheet!$C$26:$G$30,5,1),0)</f>
        <v>0</v>
      </c>
      <c r="AG13" s="290">
        <f>IF(AG$5&lt;Leadsheet!$E$12,VLOOKUP(SAP_Speadsheet!AG$5,Leadsheet!$C$26:$G$30,5,1),0)</f>
        <v>0</v>
      </c>
      <c r="AH13" s="290">
        <f>IF(AH$5&lt;Leadsheet!$E$12,VLOOKUP(SAP_Speadsheet!AH$5,Leadsheet!$C$26:$G$30,5,1),0)</f>
        <v>0</v>
      </c>
      <c r="AI13" s="290">
        <f>IF(AI$5&lt;Leadsheet!$E$12,VLOOKUP(SAP_Speadsheet!AI$5,Leadsheet!$C$26:$G$30,5,1),0)</f>
        <v>0</v>
      </c>
      <c r="AJ13" s="290">
        <f>IF(AJ$5&lt;Leadsheet!$E$12,VLOOKUP(SAP_Speadsheet!AJ$5,Leadsheet!$C$26:$G$30,5,1),0)</f>
        <v>0</v>
      </c>
      <c r="AK13" s="290">
        <f>IF(AK$5&lt;Leadsheet!$E$12,VLOOKUP(SAP_Speadsheet!AK$5,Leadsheet!$C$26:$G$30,5,1),0)</f>
        <v>0</v>
      </c>
      <c r="AL13" s="290">
        <f>IF(AL$5&lt;Leadsheet!$E$12,VLOOKUP(SAP_Speadsheet!AL$5,Leadsheet!$C$26:$G$30,5,1),0)</f>
        <v>0</v>
      </c>
      <c r="AM13" s="290">
        <f>IF(AM$5&lt;Leadsheet!$E$12,VLOOKUP(SAP_Speadsheet!AM$5,Leadsheet!$C$26:$G$30,5,1),0)</f>
        <v>0</v>
      </c>
      <c r="AN13" s="290">
        <f>IF(AN$5&lt;Leadsheet!$E$12,VLOOKUP(SAP_Speadsheet!AN$5,Leadsheet!$C$26:$G$30,5,1),0)</f>
        <v>0</v>
      </c>
      <c r="AO13" s="290">
        <f>IF(AO$5&lt;Leadsheet!$E$12,VLOOKUP(SAP_Speadsheet!AO$5,Leadsheet!$C$26:$G$30,5,1),0)</f>
        <v>0</v>
      </c>
      <c r="AP13" s="290">
        <f>IF(AP$5&lt;Leadsheet!$E$12,VLOOKUP(SAP_Speadsheet!AP$5,Leadsheet!$C$26:$G$30,5,1),0)</f>
        <v>0</v>
      </c>
      <c r="AQ13" s="290">
        <f>IF(AQ$5&lt;Leadsheet!$E$12,VLOOKUP(SAP_Speadsheet!AQ$5,Leadsheet!$C$26:$G$30,5,1),0)</f>
        <v>0</v>
      </c>
      <c r="AR13" s="290">
        <f>IF(AR$5&lt;Leadsheet!$E$12,VLOOKUP(SAP_Speadsheet!AR$5,Leadsheet!$C$26:$G$30,5,1),0)</f>
        <v>0</v>
      </c>
      <c r="AS13" s="290">
        <f>IF(AS$5&lt;Leadsheet!$E$12,VLOOKUP(SAP_Speadsheet!AS$5,Leadsheet!$C$26:$G$30,5,1),0)</f>
        <v>0</v>
      </c>
      <c r="AT13" s="290">
        <f>IF(AT$5&lt;Leadsheet!$E$12,VLOOKUP(SAP_Speadsheet!AT$5,Leadsheet!$C$26:$G$30,5,1),0)</f>
        <v>0</v>
      </c>
      <c r="AU13" s="290">
        <f>IF(AU$5&lt;Leadsheet!$E$12,VLOOKUP(SAP_Speadsheet!AU$5,Leadsheet!$C$26:$G$30,5,1),0)</f>
        <v>0</v>
      </c>
      <c r="AV13" s="290">
        <f>IF(AV$5&lt;Leadsheet!$E$12,VLOOKUP(SAP_Speadsheet!AV$5,Leadsheet!$C$26:$G$30,5,1),0)</f>
        <v>0</v>
      </c>
      <c r="AW13" s="290">
        <f>IF(AW$5&lt;Leadsheet!$E$12,VLOOKUP(SAP_Speadsheet!AW$5,Leadsheet!$C$26:$G$30,5,1),0)</f>
        <v>0</v>
      </c>
      <c r="AX13" s="290">
        <f>IF(AX$5&lt;Leadsheet!$E$12,VLOOKUP(SAP_Speadsheet!AX$5,Leadsheet!$C$26:$G$30,5,1),0)</f>
        <v>0</v>
      </c>
      <c r="AY13" s="290">
        <f>IF(AY$5&lt;Leadsheet!$E$12,VLOOKUP(SAP_Speadsheet!AY$5,Leadsheet!$C$26:$G$30,5,1),0)</f>
        <v>0</v>
      </c>
      <c r="AZ13" s="290">
        <f>IF(AZ$5&lt;Leadsheet!$E$12,VLOOKUP(SAP_Speadsheet!AZ$5,Leadsheet!$C$26:$G$30,5,1),0)</f>
        <v>0</v>
      </c>
      <c r="BA13" s="290">
        <f>IF(BA$5&lt;Leadsheet!$E$12,VLOOKUP(SAP_Speadsheet!BA$5,Leadsheet!$C$26:$G$30,5,1),0)</f>
        <v>0</v>
      </c>
      <c r="BB13" s="290">
        <f>IF(BB$5&lt;Leadsheet!$E$12,VLOOKUP(SAP_Speadsheet!BB$5,Leadsheet!$C$26:$G$30,5,1),0)</f>
        <v>0</v>
      </c>
      <c r="BC13" s="290">
        <f>IF(BC$5&lt;Leadsheet!$E$12,VLOOKUP(SAP_Speadsheet!BC$5,Leadsheet!$C$26:$G$30,5,1),0)</f>
        <v>0</v>
      </c>
      <c r="BD13" s="290">
        <f>IF(BD$5&lt;Leadsheet!$E$12,VLOOKUP(SAP_Speadsheet!BD$5,Leadsheet!$C$26:$G$30,5,1),0)</f>
        <v>0</v>
      </c>
      <c r="BE13" s="290">
        <f>IF(BE$5&lt;Leadsheet!$E$12,VLOOKUP(SAP_Speadsheet!BE$5,Leadsheet!$C$26:$G$30,5,1),0)</f>
        <v>0</v>
      </c>
      <c r="BF13" s="290">
        <f>IF(BF$5&lt;Leadsheet!$E$12,VLOOKUP(SAP_Speadsheet!BF$5,Leadsheet!$C$26:$G$30,5,1),0)</f>
        <v>0</v>
      </c>
      <c r="BG13" s="290">
        <f>IF(BG$5&lt;Leadsheet!$E$12,VLOOKUP(SAP_Speadsheet!BG$5,Leadsheet!$C$26:$G$30,5,1),0)</f>
        <v>0</v>
      </c>
      <c r="BH13" s="290">
        <f>IF(BH$5&lt;Leadsheet!$E$12,VLOOKUP(SAP_Speadsheet!BH$5,Leadsheet!$C$26:$G$30,5,1),0)</f>
        <v>0</v>
      </c>
      <c r="BI13" s="290">
        <f>IF(BI$5&lt;Leadsheet!$E$12,VLOOKUP(SAP_Speadsheet!BI$5,Leadsheet!$C$26:$G$30,5,1),0)</f>
        <v>0</v>
      </c>
      <c r="BJ13" s="290">
        <f>IF(BJ$5&lt;Leadsheet!$E$12,VLOOKUP(SAP_Speadsheet!BJ$5,Leadsheet!$C$26:$G$30,5,1),0)</f>
        <v>0</v>
      </c>
      <c r="BK13" s="290">
        <f>IF(BK$5&lt;Leadsheet!$E$12,VLOOKUP(SAP_Speadsheet!BK$5,Leadsheet!$C$26:$G$30,5,1),0)</f>
        <v>0</v>
      </c>
      <c r="BL13" s="290">
        <f>IF(BL$5&lt;Leadsheet!$E$12,VLOOKUP(SAP_Speadsheet!BL$5,Leadsheet!$C$26:$G$30,5,1),0)</f>
        <v>0</v>
      </c>
    </row>
    <row r="14" spans="2:64" x14ac:dyDescent="0.15">
      <c r="C14" s="115" t="s">
        <v>400</v>
      </c>
      <c r="E14" s="290">
        <f>IF(E$5&lt;Leadsheet!$E$12,VLOOKUP(SAP_Speadsheet!E$5,Leadsheet!$C$26:$F$30,3,1),0)</f>
        <v>0.03</v>
      </c>
      <c r="F14" s="290">
        <f>IF(F$5&lt;Leadsheet!$E$12,VLOOKUP(SAP_Speadsheet!F$5,Leadsheet!$C$26:$F$30,3,1),0)</f>
        <v>0.03</v>
      </c>
      <c r="G14" s="290">
        <f>IF(G$5&lt;Leadsheet!$E$12,VLOOKUP(SAP_Speadsheet!G$5,Leadsheet!$C$26:$F$30,3,1),0)</f>
        <v>0.03</v>
      </c>
      <c r="H14" s="290">
        <f>IF(H$5&lt;Leadsheet!$E$12,VLOOKUP(SAP_Speadsheet!H$5,Leadsheet!$C$26:$F$30,3,1),0)</f>
        <v>0.03</v>
      </c>
      <c r="I14" s="290">
        <f>IF(I$5&lt;Leadsheet!$E$12,VLOOKUP(SAP_Speadsheet!I$5,Leadsheet!$C$26:$F$30,3,1),0)</f>
        <v>0.03</v>
      </c>
      <c r="J14" s="290">
        <f>IF(J$5&lt;Leadsheet!$E$12,VLOOKUP(SAP_Speadsheet!J$5,Leadsheet!$C$26:$F$30,3,1),0)</f>
        <v>0.03</v>
      </c>
      <c r="K14" s="290">
        <f>IF(K$5&lt;Leadsheet!$E$12,VLOOKUP(SAP_Speadsheet!K$5,Leadsheet!$C$26:$F$30,3,1),0)</f>
        <v>0.03</v>
      </c>
      <c r="L14" s="290">
        <f>IF(L$5&lt;Leadsheet!$E$12,VLOOKUP(SAP_Speadsheet!L$5,Leadsheet!$C$26:$F$30,3,1),0)</f>
        <v>0.03</v>
      </c>
      <c r="M14" s="290">
        <f>IF(M$5&lt;Leadsheet!$E$12,VLOOKUP(SAP_Speadsheet!M$5,Leadsheet!$C$26:$F$30,3,1),0)</f>
        <v>0.03</v>
      </c>
      <c r="N14" s="290">
        <f>IF(N$5&lt;Leadsheet!$E$12,VLOOKUP(SAP_Speadsheet!N$5,Leadsheet!$C$26:$F$30,3,1),0)</f>
        <v>0.03</v>
      </c>
      <c r="O14" s="290">
        <f>IF(O$5&lt;Leadsheet!$E$12,VLOOKUP(SAP_Speadsheet!O$5,Leadsheet!$C$26:$F$30,3,1),0)</f>
        <v>0.03</v>
      </c>
      <c r="P14" s="290">
        <f>IF(P$5&lt;Leadsheet!$E$12,VLOOKUP(SAP_Speadsheet!P$5,Leadsheet!$C$26:$F$30,3,1),0)</f>
        <v>0.03</v>
      </c>
      <c r="Q14" s="290">
        <f>IF(Q$5&lt;Leadsheet!$E$12,VLOOKUP(SAP_Speadsheet!Q$5,Leadsheet!$C$26:$F$30,3,1),0)</f>
        <v>0.03</v>
      </c>
      <c r="R14" s="290">
        <f>IF(R$5&lt;Leadsheet!$E$12,VLOOKUP(SAP_Speadsheet!R$5,Leadsheet!$C$26:$F$30,3,1),0)</f>
        <v>0</v>
      </c>
      <c r="S14" s="290">
        <f>IF(S$5&lt;Leadsheet!$E$12,VLOOKUP(SAP_Speadsheet!S$5,Leadsheet!$C$26:$F$30,3,1),0)</f>
        <v>0</v>
      </c>
      <c r="T14" s="290">
        <f>IF(T$5&lt;Leadsheet!$E$12,VLOOKUP(SAP_Speadsheet!T$5,Leadsheet!$C$26:$F$30,3,1),0)</f>
        <v>0</v>
      </c>
      <c r="U14" s="290">
        <f>IF(U$5&lt;Leadsheet!$E$12,VLOOKUP(SAP_Speadsheet!U$5,Leadsheet!$C$26:$F$30,3,1),0)</f>
        <v>0</v>
      </c>
      <c r="V14" s="290">
        <f>IF(V$5&lt;Leadsheet!$E$12,VLOOKUP(SAP_Speadsheet!V$5,Leadsheet!$C$26:$F$30,3,1),0)</f>
        <v>0</v>
      </c>
      <c r="W14" s="290">
        <f>IF(W$5&lt;Leadsheet!$E$12,VLOOKUP(SAP_Speadsheet!W$5,Leadsheet!$C$26:$F$30,3,1),0)</f>
        <v>0</v>
      </c>
      <c r="X14" s="290">
        <f>IF(X$5&lt;Leadsheet!$E$12,VLOOKUP(SAP_Speadsheet!X$5,Leadsheet!$C$26:$F$30,3,1),0)</f>
        <v>0</v>
      </c>
      <c r="Y14" s="290">
        <f>IF(Y$5&lt;Leadsheet!$E$12,VLOOKUP(SAP_Speadsheet!Y$5,Leadsheet!$C$26:$F$30,3,1),0)</f>
        <v>0</v>
      </c>
      <c r="Z14" s="290">
        <f>IF(Z$5&lt;Leadsheet!$E$12,VLOOKUP(SAP_Speadsheet!Z$5,Leadsheet!$C$26:$F$30,3,1),0)</f>
        <v>0</v>
      </c>
      <c r="AA14" s="290">
        <f>IF(AA$5&lt;Leadsheet!$E$12,VLOOKUP(SAP_Speadsheet!AA$5,Leadsheet!$C$26:$F$30,3,1),0)</f>
        <v>0</v>
      </c>
      <c r="AB14" s="290">
        <f>IF(AB$5&lt;Leadsheet!$E$12,VLOOKUP(SAP_Speadsheet!AB$5,Leadsheet!$C$26:$F$30,3,1),0)</f>
        <v>0</v>
      </c>
      <c r="AC14" s="290">
        <f>IF(AC$5&lt;Leadsheet!$E$12,VLOOKUP(SAP_Speadsheet!AC$5,Leadsheet!$C$26:$F$30,3,1),0)</f>
        <v>0</v>
      </c>
      <c r="AD14" s="290">
        <f>IF(AD$5&lt;Leadsheet!$E$12,VLOOKUP(SAP_Speadsheet!AD$5,Leadsheet!$C$26:$F$30,3,1),0)</f>
        <v>0</v>
      </c>
      <c r="AE14" s="290">
        <f>IF(AE$5&lt;Leadsheet!$E$12,VLOOKUP(SAP_Speadsheet!AE$5,Leadsheet!$C$26:$F$30,3,1),0)</f>
        <v>0</v>
      </c>
      <c r="AF14" s="290">
        <f>IF(AF$5&lt;Leadsheet!$E$12,VLOOKUP(SAP_Speadsheet!AF$5,Leadsheet!$C$26:$F$30,3,1),0)</f>
        <v>0</v>
      </c>
      <c r="AG14" s="290">
        <f>IF(AG$5&lt;Leadsheet!$E$12,VLOOKUP(SAP_Speadsheet!AG$5,Leadsheet!$C$26:$F$30,3,1),0)</f>
        <v>0</v>
      </c>
      <c r="AH14" s="290">
        <f>IF(AH$5&lt;Leadsheet!$E$12,VLOOKUP(SAP_Speadsheet!AH$5,Leadsheet!$C$26:$F$30,3,1),0)</f>
        <v>0</v>
      </c>
      <c r="AI14" s="290">
        <f>IF(AI$5&lt;Leadsheet!$E$12,VLOOKUP(SAP_Speadsheet!AI$5,Leadsheet!$C$26:$F$30,3,1),0)</f>
        <v>0</v>
      </c>
      <c r="AJ14" s="290">
        <f>IF(AJ$5&lt;Leadsheet!$E$12,VLOOKUP(SAP_Speadsheet!AJ$5,Leadsheet!$C$26:$F$30,3,1),0)</f>
        <v>0</v>
      </c>
      <c r="AK14" s="290">
        <f>IF(AK$5&lt;Leadsheet!$E$12,VLOOKUP(SAP_Speadsheet!AK$5,Leadsheet!$C$26:$F$30,3,1),0)</f>
        <v>0</v>
      </c>
      <c r="AL14" s="290">
        <f>IF(AL$5&lt;Leadsheet!$E$12,VLOOKUP(SAP_Speadsheet!AL$5,Leadsheet!$C$26:$F$30,3,1),0)</f>
        <v>0</v>
      </c>
      <c r="AM14" s="290">
        <f>IF(AM$5&lt;Leadsheet!$E$12,VLOOKUP(SAP_Speadsheet!AM$5,Leadsheet!$C$26:$F$30,3,1),0)</f>
        <v>0</v>
      </c>
      <c r="AN14" s="290">
        <f>IF(AN$5&lt;Leadsheet!$E$12,VLOOKUP(SAP_Speadsheet!AN$5,Leadsheet!$C$26:$F$30,3,1),0)</f>
        <v>0</v>
      </c>
      <c r="AO14" s="290">
        <f>IF(AO$5&lt;Leadsheet!$E$12,VLOOKUP(SAP_Speadsheet!AO$5,Leadsheet!$C$26:$F$30,3,1),0)</f>
        <v>0</v>
      </c>
      <c r="AP14" s="290">
        <f>IF(AP$5&lt;Leadsheet!$E$12,VLOOKUP(SAP_Speadsheet!AP$5,Leadsheet!$C$26:$F$30,3,1),0)</f>
        <v>0</v>
      </c>
      <c r="AQ14" s="290">
        <f>IF(AQ$5&lt;Leadsheet!$E$12,VLOOKUP(SAP_Speadsheet!AQ$5,Leadsheet!$C$26:$F$30,3,1),0)</f>
        <v>0</v>
      </c>
      <c r="AR14" s="290">
        <f>IF(AR$5&lt;Leadsheet!$E$12,VLOOKUP(SAP_Speadsheet!AR$5,Leadsheet!$C$26:$F$30,3,1),0)</f>
        <v>0</v>
      </c>
      <c r="AS14" s="290">
        <f>IF(AS$5&lt;Leadsheet!$E$12,VLOOKUP(SAP_Speadsheet!AS$5,Leadsheet!$C$26:$F$30,3,1),0)</f>
        <v>0</v>
      </c>
      <c r="AT14" s="290">
        <f>IF(AT$5&lt;Leadsheet!$E$12,VLOOKUP(SAP_Speadsheet!AT$5,Leadsheet!$C$26:$F$30,3,1),0)</f>
        <v>0</v>
      </c>
      <c r="AU14" s="290">
        <f>IF(AU$5&lt;Leadsheet!$E$12,VLOOKUP(SAP_Speadsheet!AU$5,Leadsheet!$C$26:$F$30,3,1),0)</f>
        <v>0</v>
      </c>
      <c r="AV14" s="290">
        <f>IF(AV$5&lt;Leadsheet!$E$12,VLOOKUP(SAP_Speadsheet!AV$5,Leadsheet!$C$26:$F$30,3,1),0)</f>
        <v>0</v>
      </c>
      <c r="AW14" s="290">
        <f>IF(AW$5&lt;Leadsheet!$E$12,VLOOKUP(SAP_Speadsheet!AW$5,Leadsheet!$C$26:$F$30,3,1),0)</f>
        <v>0</v>
      </c>
      <c r="AX14" s="290">
        <f>IF(AX$5&lt;Leadsheet!$E$12,VLOOKUP(SAP_Speadsheet!AX$5,Leadsheet!$C$26:$F$30,3,1),0)</f>
        <v>0</v>
      </c>
      <c r="AY14" s="290">
        <f>IF(AY$5&lt;Leadsheet!$E$12,VLOOKUP(SAP_Speadsheet!AY$5,Leadsheet!$C$26:$F$30,3,1),0)</f>
        <v>0</v>
      </c>
      <c r="AZ14" s="290">
        <f>IF(AZ$5&lt;Leadsheet!$E$12,VLOOKUP(SAP_Speadsheet!AZ$5,Leadsheet!$C$26:$F$30,3,1),0)</f>
        <v>0</v>
      </c>
      <c r="BA14" s="290">
        <f>IF(BA$5&lt;Leadsheet!$E$12,VLOOKUP(SAP_Speadsheet!BA$5,Leadsheet!$C$26:$F$30,3,1),0)</f>
        <v>0</v>
      </c>
      <c r="BB14" s="290">
        <f>IF(BB$5&lt;Leadsheet!$E$12,VLOOKUP(SAP_Speadsheet!BB$5,Leadsheet!$C$26:$F$30,3,1),0)</f>
        <v>0</v>
      </c>
      <c r="BC14" s="290">
        <f>IF(BC$5&lt;Leadsheet!$E$12,VLOOKUP(SAP_Speadsheet!BC$5,Leadsheet!$C$26:$F$30,3,1),0)</f>
        <v>0</v>
      </c>
      <c r="BD14" s="290">
        <f>IF(BD$5&lt;Leadsheet!$E$12,VLOOKUP(SAP_Speadsheet!BD$5,Leadsheet!$C$26:$F$30,3,1),0)</f>
        <v>0</v>
      </c>
      <c r="BE14" s="290">
        <f>IF(BE$5&lt;Leadsheet!$E$12,VLOOKUP(SAP_Speadsheet!BE$5,Leadsheet!$C$26:$F$30,3,1),0)</f>
        <v>0</v>
      </c>
      <c r="BF14" s="290">
        <f>IF(BF$5&lt;Leadsheet!$E$12,VLOOKUP(SAP_Speadsheet!BF$5,Leadsheet!$C$26:$F$30,3,1),0)</f>
        <v>0</v>
      </c>
      <c r="BG14" s="290">
        <f>IF(BG$5&lt;Leadsheet!$E$12,VLOOKUP(SAP_Speadsheet!BG$5,Leadsheet!$C$26:$F$30,3,1),0)</f>
        <v>0</v>
      </c>
      <c r="BH14" s="290">
        <f>IF(BH$5&lt;Leadsheet!$E$12,VLOOKUP(SAP_Speadsheet!BH$5,Leadsheet!$C$26:$F$30,3,1),0)</f>
        <v>0</v>
      </c>
      <c r="BI14" s="290">
        <f>IF(BI$5&lt;Leadsheet!$E$12,VLOOKUP(SAP_Speadsheet!BI$5,Leadsheet!$C$26:$F$30,3,1),0)</f>
        <v>0</v>
      </c>
      <c r="BJ14" s="290">
        <f>IF(BJ$5&lt;Leadsheet!$E$12,VLOOKUP(SAP_Speadsheet!BJ$5,Leadsheet!$C$26:$F$30,3,1),0)</f>
        <v>0</v>
      </c>
      <c r="BK14" s="290">
        <f>IF(BK$5&lt;Leadsheet!$E$12,VLOOKUP(SAP_Speadsheet!BK$5,Leadsheet!$C$26:$F$30,3,1),0)</f>
        <v>0</v>
      </c>
      <c r="BL14" s="290">
        <f>IF(BL$5&lt;Leadsheet!$E$12,VLOOKUP(SAP_Speadsheet!BL$5,Leadsheet!$C$26:$F$30,3,1),0)</f>
        <v>0</v>
      </c>
    </row>
    <row r="15" spans="2:64" x14ac:dyDescent="0.15">
      <c r="E15" s="290"/>
      <c r="F15" s="290"/>
      <c r="G15" s="290"/>
      <c r="H15" s="290"/>
      <c r="I15" s="290"/>
      <c r="J15" s="290"/>
      <c r="K15" s="290"/>
      <c r="L15" s="290"/>
      <c r="M15" s="290"/>
      <c r="N15" s="290"/>
      <c r="O15" s="290"/>
      <c r="P15" s="290"/>
      <c r="Q15" s="290"/>
      <c r="R15" s="290"/>
      <c r="S15" s="290"/>
      <c r="T15" s="290"/>
      <c r="U15" s="290"/>
      <c r="V15" s="290"/>
      <c r="W15" s="290"/>
      <c r="X15" s="290"/>
      <c r="Y15" s="290"/>
      <c r="Z15" s="290"/>
      <c r="AA15" s="290"/>
      <c r="AB15" s="290"/>
      <c r="AC15" s="290"/>
      <c r="AD15" s="290"/>
      <c r="AE15" s="290"/>
      <c r="AF15" s="290"/>
      <c r="AG15" s="290"/>
      <c r="AH15" s="290"/>
      <c r="AI15" s="290"/>
      <c r="AJ15" s="290"/>
      <c r="AK15" s="290"/>
      <c r="AL15" s="290"/>
      <c r="AM15" s="290"/>
      <c r="AN15" s="290"/>
      <c r="AO15" s="290"/>
      <c r="AP15" s="290"/>
      <c r="AQ15" s="290"/>
      <c r="AR15" s="290"/>
      <c r="AS15" s="290"/>
      <c r="AT15" s="290"/>
      <c r="AU15" s="290"/>
      <c r="AV15" s="290"/>
      <c r="AW15" s="290"/>
      <c r="AX15" s="290"/>
      <c r="AY15" s="290"/>
      <c r="AZ15" s="283"/>
      <c r="BA15" s="283"/>
      <c r="BB15" s="283"/>
      <c r="BC15" s="283"/>
      <c r="BD15" s="283"/>
      <c r="BE15" s="283"/>
      <c r="BF15" s="283"/>
      <c r="BG15" s="283"/>
      <c r="BH15" s="283"/>
      <c r="BI15" s="283"/>
      <c r="BJ15" s="283"/>
      <c r="BK15" s="283"/>
      <c r="BL15" s="283"/>
    </row>
    <row r="16" spans="2:64" x14ac:dyDescent="0.15">
      <c r="B16" s="186" t="s">
        <v>270</v>
      </c>
      <c r="C16" s="115" t="s">
        <v>401</v>
      </c>
      <c r="D16" s="291">
        <v>1</v>
      </c>
      <c r="E16" s="292">
        <f t="shared" ref="E16:BL16" si="1">IF(E5&gt;$D$7,0,D16-E13)</f>
        <v>0.92</v>
      </c>
      <c r="F16" s="292">
        <f t="shared" si="1"/>
        <v>0.8600000000000001</v>
      </c>
      <c r="G16" s="292">
        <f t="shared" si="1"/>
        <v>0.8</v>
      </c>
      <c r="H16" s="292">
        <f t="shared" si="1"/>
        <v>0.77500000000000002</v>
      </c>
      <c r="I16" s="292">
        <f t="shared" si="1"/>
        <v>0.75</v>
      </c>
      <c r="J16" s="292">
        <f t="shared" si="1"/>
        <v>0.72499999999999998</v>
      </c>
      <c r="K16" s="292">
        <f t="shared" si="1"/>
        <v>0.7</v>
      </c>
      <c r="L16" s="292">
        <f t="shared" si="1"/>
        <v>0.67499999999999993</v>
      </c>
      <c r="M16" s="292">
        <f t="shared" si="1"/>
        <v>0.64999999999999991</v>
      </c>
      <c r="N16" s="292">
        <f t="shared" si="1"/>
        <v>0.62499999999999989</v>
      </c>
      <c r="O16" s="292">
        <f t="shared" si="1"/>
        <v>0.59999999999999987</v>
      </c>
      <c r="P16" s="292">
        <f t="shared" si="1"/>
        <v>0.57499999999999984</v>
      </c>
      <c r="Q16" s="292">
        <f t="shared" si="1"/>
        <v>0.54999999999999982</v>
      </c>
      <c r="R16" s="292">
        <f t="shared" si="1"/>
        <v>0.54999999999999982</v>
      </c>
      <c r="S16" s="292">
        <f t="shared" si="1"/>
        <v>0.54999999999999982</v>
      </c>
      <c r="T16" s="292">
        <f t="shared" si="1"/>
        <v>0.54999999999999982</v>
      </c>
      <c r="U16" s="292">
        <f t="shared" si="1"/>
        <v>0.54999999999999982</v>
      </c>
      <c r="V16" s="292">
        <f t="shared" si="1"/>
        <v>0.54999999999999982</v>
      </c>
      <c r="W16" s="292">
        <f t="shared" si="1"/>
        <v>0.54999999999999982</v>
      </c>
      <c r="X16" s="292">
        <f t="shared" si="1"/>
        <v>0.54999999999999982</v>
      </c>
      <c r="Y16" s="292">
        <f t="shared" si="1"/>
        <v>0</v>
      </c>
      <c r="Z16" s="292">
        <f t="shared" si="1"/>
        <v>0</v>
      </c>
      <c r="AA16" s="292">
        <f t="shared" si="1"/>
        <v>0</v>
      </c>
      <c r="AB16" s="292">
        <f t="shared" si="1"/>
        <v>0</v>
      </c>
      <c r="AC16" s="292">
        <f t="shared" si="1"/>
        <v>0</v>
      </c>
      <c r="AD16" s="292">
        <f t="shared" si="1"/>
        <v>0</v>
      </c>
      <c r="AE16" s="292">
        <f t="shared" si="1"/>
        <v>0</v>
      </c>
      <c r="AF16" s="292">
        <f t="shared" si="1"/>
        <v>0</v>
      </c>
      <c r="AG16" s="292">
        <f t="shared" si="1"/>
        <v>0</v>
      </c>
      <c r="AH16" s="292">
        <f t="shared" si="1"/>
        <v>0</v>
      </c>
      <c r="AI16" s="292">
        <f t="shared" si="1"/>
        <v>0</v>
      </c>
      <c r="AJ16" s="292">
        <f t="shared" si="1"/>
        <v>0</v>
      </c>
      <c r="AK16" s="292">
        <f t="shared" si="1"/>
        <v>0</v>
      </c>
      <c r="AL16" s="292">
        <f t="shared" si="1"/>
        <v>0</v>
      </c>
      <c r="AM16" s="292">
        <f t="shared" si="1"/>
        <v>0</v>
      </c>
      <c r="AN16" s="292">
        <f t="shared" si="1"/>
        <v>0</v>
      </c>
      <c r="AO16" s="292">
        <f t="shared" si="1"/>
        <v>0</v>
      </c>
      <c r="AP16" s="292">
        <f t="shared" si="1"/>
        <v>0</v>
      </c>
      <c r="AQ16" s="292">
        <f t="shared" si="1"/>
        <v>0</v>
      </c>
      <c r="AR16" s="292">
        <f t="shared" si="1"/>
        <v>0</v>
      </c>
      <c r="AS16" s="292">
        <f t="shared" si="1"/>
        <v>0</v>
      </c>
      <c r="AT16" s="292">
        <f t="shared" si="1"/>
        <v>0</v>
      </c>
      <c r="AU16" s="292">
        <f t="shared" si="1"/>
        <v>0</v>
      </c>
      <c r="AV16" s="292">
        <f t="shared" si="1"/>
        <v>0</v>
      </c>
      <c r="AW16" s="292">
        <f t="shared" si="1"/>
        <v>0</v>
      </c>
      <c r="AX16" s="292">
        <f t="shared" si="1"/>
        <v>0</v>
      </c>
      <c r="AY16" s="292">
        <f t="shared" si="1"/>
        <v>0</v>
      </c>
      <c r="AZ16" s="292">
        <f t="shared" si="1"/>
        <v>0</v>
      </c>
      <c r="BA16" s="292">
        <f t="shared" si="1"/>
        <v>0</v>
      </c>
      <c r="BB16" s="292">
        <f t="shared" si="1"/>
        <v>0</v>
      </c>
      <c r="BC16" s="292">
        <f t="shared" si="1"/>
        <v>0</v>
      </c>
      <c r="BD16" s="292">
        <f t="shared" si="1"/>
        <v>0</v>
      </c>
      <c r="BE16" s="292">
        <f t="shared" si="1"/>
        <v>0</v>
      </c>
      <c r="BF16" s="292">
        <f t="shared" si="1"/>
        <v>0</v>
      </c>
      <c r="BG16" s="292">
        <f t="shared" si="1"/>
        <v>0</v>
      </c>
      <c r="BH16" s="292">
        <f t="shared" si="1"/>
        <v>0</v>
      </c>
      <c r="BI16" s="292">
        <f t="shared" si="1"/>
        <v>0</v>
      </c>
      <c r="BJ16" s="292">
        <f t="shared" si="1"/>
        <v>0</v>
      </c>
      <c r="BK16" s="292">
        <f t="shared" si="1"/>
        <v>0</v>
      </c>
      <c r="BL16" s="292">
        <f t="shared" si="1"/>
        <v>0</v>
      </c>
    </row>
    <row r="17" spans="1:64" s="171" customFormat="1" x14ac:dyDescent="0.15">
      <c r="B17" s="186"/>
      <c r="C17" s="216" t="s">
        <v>402</v>
      </c>
      <c r="D17" s="293">
        <f>Leadsheet!E10</f>
        <v>14.38934503980577</v>
      </c>
      <c r="E17" s="293">
        <f>IF(E$5&gt;Leadsheet!$E$12,0,D17+E21+E18)</f>
        <v>12.468752506603121</v>
      </c>
      <c r="F17" s="293">
        <f>IF(F$5&gt;Leadsheet!$E$12,0,SAP_Speadsheet!E17+SAP_Speadsheet!F21+F18)</f>
        <v>10.950758879556687</v>
      </c>
      <c r="G17" s="293">
        <f>IF(G$5&gt;Leadsheet!$E$12,0,SAP_Speadsheet!F17+SAP_Speadsheet!G21+G18)</f>
        <v>9.5178704822382461</v>
      </c>
      <c r="H17" s="293">
        <f>IF(H$5&gt;Leadsheet!$E$12,0,SAP_Speadsheet!G17+SAP_Speadsheet!H21+H18)</f>
        <v>8.5520703369290558</v>
      </c>
      <c r="I17" s="293">
        <f>IF(I$5&gt;Leadsheet!$E$12,0,SAP_Speadsheet!H17+SAP_Speadsheet!I21+I18)</f>
        <v>7.6041584256825221</v>
      </c>
      <c r="J17" s="293">
        <f>IF(J$5&gt;Leadsheet!$E$12,0,SAP_Speadsheet!I17+SAP_Speadsheet!J21+J18)</f>
        <v>6.6744414385664568</v>
      </c>
      <c r="K17" s="293">
        <f>IF(K$5&gt;Leadsheet!$E$12,0,SAP_Speadsheet!J17+SAP_Speadsheet!K21+K18)</f>
        <v>5.7631232228391003</v>
      </c>
      <c r="L17" s="293">
        <f>IF(L$5&gt;Leadsheet!$E$12,0,SAP_Speadsheet!K17+SAP_Speadsheet!L21+L18)</f>
        <v>4.8705263832221046</v>
      </c>
      <c r="M17" s="293">
        <f>IF(M$5&gt;Leadsheet!$E$12,0,SAP_Speadsheet!L17+SAP_Speadsheet!M21+M18)</f>
        <v>3.9971375575277066</v>
      </c>
      <c r="N17" s="293">
        <f>IF(N$5&gt;Leadsheet!$E$12,0,SAP_Speadsheet!M17+SAP_Speadsheet!N21+N18)</f>
        <v>3.1437007851879613</v>
      </c>
      <c r="O17" s="293">
        <f>IF(O$5&gt;Leadsheet!$E$12,0,SAP_Speadsheet!N17+SAP_Speadsheet!O21+O18)</f>
        <v>2.3113885471020517</v>
      </c>
      <c r="P17" s="293">
        <f>IF(P$5&gt;Leadsheet!$E$12,0,SAP_Speadsheet!O17+SAP_Speadsheet!P21+P18)</f>
        <v>1.5021983612963448</v>
      </c>
      <c r="Q17" s="293">
        <f>IF(Q$5&gt;Leadsheet!$E$12,0,SAP_Speadsheet!P17+SAP_Speadsheet!Q21+Q18)</f>
        <v>0.72013544565794396</v>
      </c>
      <c r="R17" s="293">
        <f>IF(R$5&gt;Leadsheet!$E$12,0,SAP_Speadsheet!Q17+SAP_Speadsheet!R21+R18)</f>
        <v>0</v>
      </c>
      <c r="S17" s="293">
        <f>IF(S$5&gt;Leadsheet!$E$12,0,SAP_Speadsheet!R17+SAP_Speadsheet!S21+S18)</f>
        <v>0</v>
      </c>
      <c r="T17" s="293">
        <f>IF(T$5&gt;Leadsheet!$E$12,0,SAP_Speadsheet!S17+SAP_Speadsheet!T21+T18)</f>
        <v>0</v>
      </c>
      <c r="U17" s="293">
        <f>IF(U$5&gt;Leadsheet!$E$12,0,SAP_Speadsheet!T17+SAP_Speadsheet!U21+U18)</f>
        <v>0</v>
      </c>
      <c r="V17" s="293">
        <f>IF(V$5&gt;Leadsheet!$E$12,0,SAP_Speadsheet!U17+SAP_Speadsheet!V21+V18)</f>
        <v>0</v>
      </c>
      <c r="W17" s="293">
        <f>IF(W$5&gt;Leadsheet!$E$12,0,SAP_Speadsheet!V17+SAP_Speadsheet!W21+W18)</f>
        <v>0</v>
      </c>
      <c r="X17" s="293">
        <f>IF(X$5&gt;Leadsheet!$E$12,0,SAP_Speadsheet!W17+SAP_Speadsheet!X21+X18)</f>
        <v>0</v>
      </c>
      <c r="Y17" s="293">
        <f>IF(Y$5&gt;Leadsheet!$E$12,0,SAP_Speadsheet!X17+SAP_Speadsheet!Y21+Y18)</f>
        <v>0</v>
      </c>
      <c r="Z17" s="293">
        <f>IF(Z$5&gt;Leadsheet!$E$12,0,SAP_Speadsheet!Y17+SAP_Speadsheet!Z21+Z18)</f>
        <v>0</v>
      </c>
      <c r="AA17" s="293">
        <f>IF(AA$5&gt;Leadsheet!$E$12,0,SAP_Speadsheet!Z17+SAP_Speadsheet!AA21+AA18)</f>
        <v>0</v>
      </c>
      <c r="AB17" s="293">
        <f>IF(AB$5&gt;Leadsheet!$E$12,0,SAP_Speadsheet!AA17+SAP_Speadsheet!AB21+AB18)</f>
        <v>0</v>
      </c>
      <c r="AC17" s="293">
        <f>IF(AC$5&gt;Leadsheet!$E$12,0,SAP_Speadsheet!AB17+SAP_Speadsheet!AC21+AC18)</f>
        <v>0</v>
      </c>
      <c r="AD17" s="293">
        <f>IF(AD$5&gt;Leadsheet!$E$12,0,SAP_Speadsheet!AC17+SAP_Speadsheet!AD21+AD18)</f>
        <v>0</v>
      </c>
      <c r="AE17" s="293">
        <f>IF(AE$5&gt;Leadsheet!$E$12,0,SAP_Speadsheet!AD17+SAP_Speadsheet!AE21+AE18)</f>
        <v>0</v>
      </c>
      <c r="AF17" s="293">
        <f>IF(AF$5&gt;Leadsheet!$E$12,0,SAP_Speadsheet!AE17+SAP_Speadsheet!AF21+AF18)</f>
        <v>0</v>
      </c>
      <c r="AG17" s="293">
        <f>IF(AG$5&gt;Leadsheet!$E$12,0,SAP_Speadsheet!AF17+SAP_Speadsheet!AG21+AG18)</f>
        <v>0</v>
      </c>
      <c r="AH17" s="293">
        <f>IF(AH$5&gt;Leadsheet!$E$12,0,SAP_Speadsheet!AG17+SAP_Speadsheet!AH21+AH18)</f>
        <v>0</v>
      </c>
      <c r="AI17" s="293">
        <f>IF(AI$5&gt;Leadsheet!$E$12,0,SAP_Speadsheet!AH17+SAP_Speadsheet!AI21+AI18)</f>
        <v>0</v>
      </c>
      <c r="AJ17" s="293">
        <f>IF(AJ$5&gt;Leadsheet!$E$12,0,SAP_Speadsheet!AI17+SAP_Speadsheet!AJ21+AJ18)</f>
        <v>0</v>
      </c>
      <c r="AK17" s="293">
        <f>IF(AK$5&gt;Leadsheet!$E$12,0,SAP_Speadsheet!AJ17+SAP_Speadsheet!AK21+AK18)</f>
        <v>0</v>
      </c>
      <c r="AL17" s="293">
        <f>IF(AL$5&gt;Leadsheet!$E$12,0,SAP_Speadsheet!AK17+SAP_Speadsheet!AL21+AL18)</f>
        <v>0</v>
      </c>
      <c r="AM17" s="293">
        <f>IF(AM$5&gt;Leadsheet!$E$12,0,SAP_Speadsheet!AL17+SAP_Speadsheet!AM21+AM18)</f>
        <v>0</v>
      </c>
      <c r="AN17" s="293">
        <f>IF(AN$5&gt;Leadsheet!$E$12,0,SAP_Speadsheet!AM17+SAP_Speadsheet!AN21+AN18)</f>
        <v>0</v>
      </c>
      <c r="AO17" s="293">
        <f>IF(AO$5&gt;Leadsheet!$E$12,0,SAP_Speadsheet!AN17+SAP_Speadsheet!AO21+AO18)</f>
        <v>0</v>
      </c>
      <c r="AP17" s="293">
        <f>IF(AP$5&gt;Leadsheet!$E$12,0,SAP_Speadsheet!AO17+SAP_Speadsheet!AP21+AP18)</f>
        <v>0</v>
      </c>
      <c r="AQ17" s="293">
        <f>IF(AQ$5&gt;Leadsheet!$E$12,0,SAP_Speadsheet!AP17+SAP_Speadsheet!AQ21+AQ18)</f>
        <v>0</v>
      </c>
      <c r="AR17" s="293">
        <f>IF(AR$5&gt;Leadsheet!$E$12,0,SAP_Speadsheet!AQ17+SAP_Speadsheet!AR21+AR18)</f>
        <v>0</v>
      </c>
      <c r="AS17" s="293">
        <f>IF(AS$5&gt;Leadsheet!$E$12,0,SAP_Speadsheet!AR17+SAP_Speadsheet!AS21+AS18)</f>
        <v>0</v>
      </c>
      <c r="AT17" s="293">
        <f>IF(AT$5&gt;Leadsheet!$E$12,0,SAP_Speadsheet!AS17+SAP_Speadsheet!AT21+AT18)</f>
        <v>0</v>
      </c>
      <c r="AU17" s="293">
        <f>IF(AU$5&gt;Leadsheet!$E$12,0,SAP_Speadsheet!AT17+SAP_Speadsheet!AU21+AU18)</f>
        <v>0</v>
      </c>
      <c r="AV17" s="293">
        <f>IF(AV$5&gt;Leadsheet!$E$12,0,SAP_Speadsheet!AU17+SAP_Speadsheet!AV21+AV18)</f>
        <v>0</v>
      </c>
      <c r="AW17" s="293">
        <f>IF(AW$5&gt;Leadsheet!$E$12,0,SAP_Speadsheet!AV17+SAP_Speadsheet!AW21+AW18)</f>
        <v>0</v>
      </c>
      <c r="AX17" s="293">
        <f>IF(AX$5&gt;Leadsheet!$E$12,0,SAP_Speadsheet!AW17+SAP_Speadsheet!AX21+AX18)</f>
        <v>0</v>
      </c>
      <c r="AY17" s="293">
        <f>IF(AY$5&gt;Leadsheet!$E$12,0,SAP_Speadsheet!AX17+SAP_Speadsheet!AY21+AY18)</f>
        <v>0</v>
      </c>
      <c r="AZ17" s="293">
        <f>IF(AZ$5&gt;Leadsheet!$E$12,0,SAP_Speadsheet!AY17+SAP_Speadsheet!AZ21+AZ18)</f>
        <v>0</v>
      </c>
      <c r="BA17" s="293">
        <f>IF(BA$5&gt;Leadsheet!$E$12,0,SAP_Speadsheet!AZ17+SAP_Speadsheet!BA21+BA18)</f>
        <v>0</v>
      </c>
      <c r="BB17" s="293">
        <f>IF(BB$5&gt;Leadsheet!$E$12,0,SAP_Speadsheet!BA17+SAP_Speadsheet!BB21+BB18)</f>
        <v>0</v>
      </c>
      <c r="BC17" s="293">
        <f>IF(BC$5&gt;Leadsheet!$E$12,0,SAP_Speadsheet!BB17+SAP_Speadsheet!BC21+BC18)</f>
        <v>0</v>
      </c>
      <c r="BD17" s="293">
        <f>IF(BD$5&gt;Leadsheet!$E$12,0,SAP_Speadsheet!BC17+SAP_Speadsheet!BD21+BD18)</f>
        <v>0</v>
      </c>
      <c r="BE17" s="293">
        <f>IF(BE$5&gt;Leadsheet!$E$12,0,SAP_Speadsheet!BD17+SAP_Speadsheet!BE21+BE18)</f>
        <v>0</v>
      </c>
      <c r="BF17" s="293">
        <f>IF(BF$5&gt;Leadsheet!$E$12,0,SAP_Speadsheet!BE17+SAP_Speadsheet!BF21+BF18)</f>
        <v>0</v>
      </c>
      <c r="BG17" s="293">
        <f>IF(BG$5&gt;Leadsheet!$E$12,0,SAP_Speadsheet!BF17+SAP_Speadsheet!BG21+BG18)</f>
        <v>0</v>
      </c>
      <c r="BH17" s="293">
        <f>IF(BH$5&gt;Leadsheet!$E$12,0,SAP_Speadsheet!BG17+SAP_Speadsheet!BH21+BH18)</f>
        <v>0</v>
      </c>
      <c r="BI17" s="293">
        <f>IF(BI$5&gt;Leadsheet!$E$12,0,SAP_Speadsheet!BH17+SAP_Speadsheet!BI21+BI18)</f>
        <v>0</v>
      </c>
      <c r="BJ17" s="293">
        <f>IF(BJ$5&gt;Leadsheet!$E$12,0,SAP_Speadsheet!BI17+SAP_Speadsheet!BJ21+BJ18)</f>
        <v>0</v>
      </c>
      <c r="BK17" s="293">
        <f>IF(BK$5&gt;Leadsheet!$E$12,0,SAP_Speadsheet!BJ17+SAP_Speadsheet!BK21+BK18)</f>
        <v>0</v>
      </c>
      <c r="BL17" s="293">
        <f>IF(BL$5&gt;Leadsheet!$E$12,0,SAP_Speadsheet!BK17+SAP_Speadsheet!BL21+BL18)</f>
        <v>0</v>
      </c>
    </row>
    <row r="18" spans="1:64" x14ac:dyDescent="0.15">
      <c r="C18" s="115" t="s">
        <v>403</v>
      </c>
      <c r="E18" s="171">
        <f>-IF(E6&gt;0,IFERROR(D27*(D16-E16)/D16,0),0)</f>
        <v>-1.151147603184461</v>
      </c>
      <c r="F18" s="171">
        <f>-IF(F6&gt;0,IFERROR(E27*(E16-F16)/E16,0),0)</f>
        <v>-0.78313875629785112</v>
      </c>
      <c r="G18" s="171">
        <f>-IF(G6&gt;0,IFERROR(F27*(F16-G16)/F16,0),0)</f>
        <v>-0.71743977639113321</v>
      </c>
      <c r="H18" s="171">
        <f t="shared" ref="H18:BL18" si="2">-IF(H6&gt;0,IFERROR(G27*(G16-H16)/G16,0),0)</f>
        <v>-0.27174787006107759</v>
      </c>
      <c r="I18" s="171">
        <f t="shared" si="2"/>
        <v>-0.24616283943487047</v>
      </c>
      <c r="J18" s="171">
        <f t="shared" si="2"/>
        <v>-0.22059569508605156</v>
      </c>
      <c r="K18" s="171">
        <f t="shared" si="2"/>
        <v>-0.19521801472995615</v>
      </c>
      <c r="L18" s="171">
        <f t="shared" si="2"/>
        <v>-0.17002458469639334</v>
      </c>
      <c r="M18" s="171">
        <f t="shared" si="2"/>
        <v>-0.14501534726521351</v>
      </c>
      <c r="N18" s="171">
        <f t="shared" si="2"/>
        <v>-0.12018681882061118</v>
      </c>
      <c r="O18" s="171">
        <f t="shared" si="2"/>
        <v>-9.5540420405518411E-2</v>
      </c>
      <c r="P18" s="171">
        <f t="shared" si="2"/>
        <v>-7.1086046170802469E-2</v>
      </c>
      <c r="Q18" s="171">
        <f t="shared" si="2"/>
        <v>-4.6850827545164918E-2</v>
      </c>
      <c r="R18" s="171">
        <f t="shared" si="2"/>
        <v>0</v>
      </c>
      <c r="S18" s="171">
        <f t="shared" si="2"/>
        <v>0</v>
      </c>
      <c r="T18" s="171">
        <f t="shared" si="2"/>
        <v>0</v>
      </c>
      <c r="U18" s="171">
        <f t="shared" si="2"/>
        <v>0</v>
      </c>
      <c r="V18" s="171">
        <f t="shared" si="2"/>
        <v>0</v>
      </c>
      <c r="W18" s="171">
        <f t="shared" si="2"/>
        <v>0</v>
      </c>
      <c r="X18" s="171">
        <f t="shared" si="2"/>
        <v>0</v>
      </c>
      <c r="Y18" s="171">
        <f t="shared" si="2"/>
        <v>0</v>
      </c>
      <c r="Z18" s="171">
        <f t="shared" si="2"/>
        <v>0</v>
      </c>
      <c r="AA18" s="171">
        <f t="shared" si="2"/>
        <v>0</v>
      </c>
      <c r="AB18" s="171">
        <f t="shared" si="2"/>
        <v>0</v>
      </c>
      <c r="AC18" s="171">
        <f t="shared" si="2"/>
        <v>0</v>
      </c>
      <c r="AD18" s="171">
        <f t="shared" si="2"/>
        <v>0</v>
      </c>
      <c r="AE18" s="171">
        <f t="shared" si="2"/>
        <v>0</v>
      </c>
      <c r="AF18" s="171">
        <f t="shared" si="2"/>
        <v>0</v>
      </c>
      <c r="AG18" s="171">
        <f t="shared" si="2"/>
        <v>0</v>
      </c>
      <c r="AH18" s="171">
        <f t="shared" si="2"/>
        <v>0</v>
      </c>
      <c r="AI18" s="171">
        <f t="shared" si="2"/>
        <v>0</v>
      </c>
      <c r="AJ18" s="171">
        <f t="shared" si="2"/>
        <v>0</v>
      </c>
      <c r="AK18" s="171">
        <f t="shared" si="2"/>
        <v>0</v>
      </c>
      <c r="AL18" s="171">
        <f t="shared" si="2"/>
        <v>0</v>
      </c>
      <c r="AM18" s="171">
        <f t="shared" si="2"/>
        <v>0</v>
      </c>
      <c r="AN18" s="171">
        <f t="shared" si="2"/>
        <v>0</v>
      </c>
      <c r="AO18" s="171">
        <f t="shared" si="2"/>
        <v>0</v>
      </c>
      <c r="AP18" s="171">
        <f t="shared" si="2"/>
        <v>0</v>
      </c>
      <c r="AQ18" s="171">
        <f t="shared" si="2"/>
        <v>0</v>
      </c>
      <c r="AR18" s="171">
        <f t="shared" si="2"/>
        <v>0</v>
      </c>
      <c r="AS18" s="171">
        <f t="shared" si="2"/>
        <v>0</v>
      </c>
      <c r="AT18" s="171">
        <f t="shared" si="2"/>
        <v>0</v>
      </c>
      <c r="AU18" s="171">
        <f t="shared" si="2"/>
        <v>0</v>
      </c>
      <c r="AV18" s="171">
        <f t="shared" si="2"/>
        <v>0</v>
      </c>
      <c r="AW18" s="171">
        <f t="shared" si="2"/>
        <v>0</v>
      </c>
      <c r="AX18" s="171">
        <f t="shared" si="2"/>
        <v>0</v>
      </c>
      <c r="AY18" s="171">
        <f t="shared" si="2"/>
        <v>0</v>
      </c>
      <c r="AZ18" s="171">
        <f t="shared" si="2"/>
        <v>0</v>
      </c>
      <c r="BA18" s="171">
        <f t="shared" si="2"/>
        <v>0</v>
      </c>
      <c r="BB18" s="171">
        <f t="shared" si="2"/>
        <v>0</v>
      </c>
      <c r="BC18" s="171">
        <f t="shared" si="2"/>
        <v>0</v>
      </c>
      <c r="BD18" s="171">
        <f t="shared" si="2"/>
        <v>0</v>
      </c>
      <c r="BE18" s="171">
        <f t="shared" si="2"/>
        <v>0</v>
      </c>
      <c r="BF18" s="171">
        <f t="shared" si="2"/>
        <v>0</v>
      </c>
      <c r="BG18" s="171">
        <f t="shared" si="2"/>
        <v>0</v>
      </c>
      <c r="BH18" s="171">
        <f t="shared" si="2"/>
        <v>0</v>
      </c>
      <c r="BI18" s="171">
        <f t="shared" si="2"/>
        <v>0</v>
      </c>
      <c r="BJ18" s="171">
        <f t="shared" si="2"/>
        <v>0</v>
      </c>
      <c r="BK18" s="171">
        <f t="shared" si="2"/>
        <v>0</v>
      </c>
      <c r="BL18" s="171">
        <f t="shared" si="2"/>
        <v>0</v>
      </c>
    </row>
    <row r="19" spans="1:64" x14ac:dyDescent="0.15">
      <c r="C19" s="115" t="s">
        <v>404</v>
      </c>
      <c r="E19" s="293">
        <f>-IFERROR(PMT(D11/12,D6,-D17),0)</f>
        <v>-1.3913195160174414</v>
      </c>
      <c r="F19" s="293">
        <f>-IFERROR(PMT(E11/12,E6,-E17),0)</f>
        <v>-1.2737258396162257</v>
      </c>
      <c r="G19" s="293">
        <f>-IFERROR(PMT(F11/12,F6,-F17),0)</f>
        <v>-1.1887153766943852</v>
      </c>
      <c r="H19" s="293">
        <f t="shared" ref="H19:BL19" si="3">-IFERROR(PMT(G11/12,G6,-G17),0)</f>
        <v>-1.1053928713185177</v>
      </c>
      <c r="I19" s="293">
        <f t="shared" si="3"/>
        <v>-1.0713499942651872</v>
      </c>
      <c r="J19" s="293">
        <f t="shared" si="3"/>
        <v>-1.0377556294347043</v>
      </c>
      <c r="K19" s="293">
        <f t="shared" si="3"/>
        <v>-1.0045542963646761</v>
      </c>
      <c r="L19" s="293">
        <f t="shared" si="3"/>
        <v>-0.97164126107420812</v>
      </c>
      <c r="M19" s="293">
        <f t="shared" si="3"/>
        <v>-0.93886649043117965</v>
      </c>
      <c r="N19" s="293">
        <f t="shared" si="3"/>
        <v>-0.90599709780494242</v>
      </c>
      <c r="O19" s="293">
        <f t="shared" si="3"/>
        <v>-0.87263537636816546</v>
      </c>
      <c r="P19" s="293">
        <f t="shared" si="3"/>
        <v>-0.83799706678594466</v>
      </c>
      <c r="Q19" s="293">
        <f t="shared" si="3"/>
        <v>-0.8001336659298689</v>
      </c>
      <c r="R19" s="293">
        <f t="shared" si="3"/>
        <v>-0.75125805276014779</v>
      </c>
      <c r="S19" s="293">
        <f t="shared" si="3"/>
        <v>0</v>
      </c>
      <c r="T19" s="293">
        <f t="shared" si="3"/>
        <v>0</v>
      </c>
      <c r="U19" s="293">
        <f t="shared" si="3"/>
        <v>0</v>
      </c>
      <c r="V19" s="293">
        <f t="shared" si="3"/>
        <v>0</v>
      </c>
      <c r="W19" s="293">
        <f t="shared" si="3"/>
        <v>0</v>
      </c>
      <c r="X19" s="293">
        <f t="shared" si="3"/>
        <v>0</v>
      </c>
      <c r="Y19" s="293">
        <f t="shared" si="3"/>
        <v>0</v>
      </c>
      <c r="Z19" s="293">
        <f>-IFERROR(PMT(Y11/12,Y6,-Y17),0)</f>
        <v>0</v>
      </c>
      <c r="AA19" s="293">
        <f>-IFERROR(PMT(Z11/12,Z6,-Z17),0)</f>
        <v>0</v>
      </c>
      <c r="AB19" s="293">
        <f t="shared" si="3"/>
        <v>0</v>
      </c>
      <c r="AC19" s="293">
        <f t="shared" si="3"/>
        <v>0</v>
      </c>
      <c r="AD19" s="293">
        <f t="shared" si="3"/>
        <v>0</v>
      </c>
      <c r="AE19" s="293">
        <f t="shared" si="3"/>
        <v>0</v>
      </c>
      <c r="AF19" s="293">
        <f t="shared" si="3"/>
        <v>0</v>
      </c>
      <c r="AG19" s="293">
        <f t="shared" si="3"/>
        <v>0</v>
      </c>
      <c r="AH19" s="293">
        <f t="shared" si="3"/>
        <v>0</v>
      </c>
      <c r="AI19" s="293">
        <f t="shared" si="3"/>
        <v>0</v>
      </c>
      <c r="AJ19" s="293">
        <f t="shared" si="3"/>
        <v>0</v>
      </c>
      <c r="AK19" s="293">
        <f t="shared" si="3"/>
        <v>0</v>
      </c>
      <c r="AL19" s="293">
        <f t="shared" si="3"/>
        <v>0</v>
      </c>
      <c r="AM19" s="293">
        <f t="shared" si="3"/>
        <v>0</v>
      </c>
      <c r="AN19" s="293">
        <f t="shared" si="3"/>
        <v>0</v>
      </c>
      <c r="AO19" s="293">
        <f t="shared" si="3"/>
        <v>0</v>
      </c>
      <c r="AP19" s="293">
        <f t="shared" si="3"/>
        <v>0</v>
      </c>
      <c r="AQ19" s="293">
        <f t="shared" si="3"/>
        <v>0</v>
      </c>
      <c r="AR19" s="293">
        <f t="shared" si="3"/>
        <v>0</v>
      </c>
      <c r="AS19" s="293">
        <f t="shared" si="3"/>
        <v>0</v>
      </c>
      <c r="AT19" s="293">
        <f t="shared" si="3"/>
        <v>0</v>
      </c>
      <c r="AU19" s="293">
        <f t="shared" si="3"/>
        <v>0</v>
      </c>
      <c r="AV19" s="293">
        <f t="shared" si="3"/>
        <v>0</v>
      </c>
      <c r="AW19" s="293">
        <f t="shared" si="3"/>
        <v>0</v>
      </c>
      <c r="AX19" s="293">
        <f t="shared" si="3"/>
        <v>0</v>
      </c>
      <c r="AY19" s="293">
        <f t="shared" si="3"/>
        <v>0</v>
      </c>
      <c r="AZ19" s="293">
        <f t="shared" si="3"/>
        <v>0</v>
      </c>
      <c r="BA19" s="293">
        <f t="shared" si="3"/>
        <v>0</v>
      </c>
      <c r="BB19" s="293">
        <f t="shared" si="3"/>
        <v>0</v>
      </c>
      <c r="BC19" s="293">
        <f t="shared" si="3"/>
        <v>0</v>
      </c>
      <c r="BD19" s="293">
        <f t="shared" si="3"/>
        <v>0</v>
      </c>
      <c r="BE19" s="293">
        <f t="shared" si="3"/>
        <v>0</v>
      </c>
      <c r="BF19" s="293">
        <f t="shared" si="3"/>
        <v>0</v>
      </c>
      <c r="BG19" s="293">
        <f t="shared" si="3"/>
        <v>0</v>
      </c>
      <c r="BH19" s="293">
        <f t="shared" si="3"/>
        <v>0</v>
      </c>
      <c r="BI19" s="293">
        <f t="shared" si="3"/>
        <v>0</v>
      </c>
      <c r="BJ19" s="293">
        <f t="shared" si="3"/>
        <v>0</v>
      </c>
      <c r="BK19" s="293">
        <f t="shared" si="3"/>
        <v>0</v>
      </c>
      <c r="BL19" s="293">
        <f t="shared" si="3"/>
        <v>0</v>
      </c>
    </row>
    <row r="20" spans="1:64" s="171" customFormat="1" x14ac:dyDescent="0.15">
      <c r="C20" s="115" t="s">
        <v>405</v>
      </c>
      <c r="E20" s="171">
        <f>-IF(E5&gt;$D$6,0,D17*D11/12)</f>
        <v>-0.62187458599925205</v>
      </c>
      <c r="F20" s="171">
        <f t="shared" ref="F20:BL20" si="4">-IF(F5&gt;$D$6,0,E17*E11/12)</f>
        <v>-0.5388709688676433</v>
      </c>
      <c r="G20" s="171">
        <f t="shared" si="4"/>
        <v>-0.47326675576707627</v>
      </c>
      <c r="H20" s="171">
        <f t="shared" si="4"/>
        <v>-0.41134059607040357</v>
      </c>
      <c r="I20" s="171">
        <f t="shared" si="4"/>
        <v>-0.36960092245352311</v>
      </c>
      <c r="J20" s="171">
        <f t="shared" si="4"/>
        <v>-0.32863433740469072</v>
      </c>
      <c r="K20" s="171">
        <f t="shared" si="4"/>
        <v>-0.28845409536727556</v>
      </c>
      <c r="L20" s="171">
        <f t="shared" si="4"/>
        <v>-0.2490690061536058</v>
      </c>
      <c r="M20" s="171">
        <f t="shared" si="4"/>
        <v>-0.2104930120019948</v>
      </c>
      <c r="N20" s="171">
        <f t="shared" si="4"/>
        <v>-0.17274714428580806</v>
      </c>
      <c r="O20" s="171">
        <f t="shared" si="4"/>
        <v>-0.13586355868777442</v>
      </c>
      <c r="P20" s="171">
        <f t="shared" si="4"/>
        <v>-9.9892927151040312E-2</v>
      </c>
      <c r="Q20" s="171">
        <f t="shared" si="4"/>
        <v>-6.4921577836632993E-2</v>
      </c>
      <c r="R20" s="171">
        <f t="shared" si="4"/>
        <v>-3.112260710220385E-2</v>
      </c>
      <c r="S20" s="171">
        <f t="shared" si="4"/>
        <v>0</v>
      </c>
      <c r="T20" s="171">
        <f t="shared" si="4"/>
        <v>0</v>
      </c>
      <c r="U20" s="171">
        <f t="shared" si="4"/>
        <v>0</v>
      </c>
      <c r="V20" s="171">
        <f t="shared" si="4"/>
        <v>0</v>
      </c>
      <c r="W20" s="171">
        <f t="shared" si="4"/>
        <v>0</v>
      </c>
      <c r="X20" s="171">
        <f t="shared" si="4"/>
        <v>0</v>
      </c>
      <c r="Y20" s="171">
        <f t="shared" si="4"/>
        <v>0</v>
      </c>
      <c r="Z20" s="171">
        <f t="shared" si="4"/>
        <v>0</v>
      </c>
      <c r="AA20" s="171">
        <f t="shared" si="4"/>
        <v>0</v>
      </c>
      <c r="AB20" s="171">
        <f t="shared" si="4"/>
        <v>0</v>
      </c>
      <c r="AC20" s="171">
        <f t="shared" si="4"/>
        <v>0</v>
      </c>
      <c r="AD20" s="171">
        <f t="shared" si="4"/>
        <v>0</v>
      </c>
      <c r="AE20" s="171">
        <f t="shared" si="4"/>
        <v>0</v>
      </c>
      <c r="AF20" s="171">
        <f t="shared" si="4"/>
        <v>0</v>
      </c>
      <c r="AG20" s="171">
        <f t="shared" si="4"/>
        <v>0</v>
      </c>
      <c r="AH20" s="171">
        <f t="shared" si="4"/>
        <v>0</v>
      </c>
      <c r="AI20" s="171">
        <f t="shared" si="4"/>
        <v>0</v>
      </c>
      <c r="AJ20" s="171">
        <f t="shared" si="4"/>
        <v>0</v>
      </c>
      <c r="AK20" s="171">
        <f t="shared" si="4"/>
        <v>0</v>
      </c>
      <c r="AL20" s="171">
        <f t="shared" si="4"/>
        <v>0</v>
      </c>
      <c r="AM20" s="171">
        <f t="shared" si="4"/>
        <v>0</v>
      </c>
      <c r="AN20" s="171">
        <f t="shared" si="4"/>
        <v>0</v>
      </c>
      <c r="AO20" s="171">
        <f t="shared" si="4"/>
        <v>0</v>
      </c>
      <c r="AP20" s="171">
        <f t="shared" si="4"/>
        <v>0</v>
      </c>
      <c r="AQ20" s="171">
        <f t="shared" si="4"/>
        <v>0</v>
      </c>
      <c r="AR20" s="171">
        <f t="shared" si="4"/>
        <v>0</v>
      </c>
      <c r="AS20" s="171">
        <f t="shared" si="4"/>
        <v>0</v>
      </c>
      <c r="AT20" s="171">
        <f t="shared" si="4"/>
        <v>0</v>
      </c>
      <c r="AU20" s="171">
        <f t="shared" si="4"/>
        <v>0</v>
      </c>
      <c r="AV20" s="171">
        <f t="shared" si="4"/>
        <v>0</v>
      </c>
      <c r="AW20" s="171">
        <f t="shared" si="4"/>
        <v>0</v>
      </c>
      <c r="AX20" s="171">
        <f t="shared" si="4"/>
        <v>0</v>
      </c>
      <c r="AY20" s="171">
        <f t="shared" si="4"/>
        <v>0</v>
      </c>
      <c r="AZ20" s="171">
        <f t="shared" si="4"/>
        <v>0</v>
      </c>
      <c r="BA20" s="171">
        <f t="shared" si="4"/>
        <v>0</v>
      </c>
      <c r="BB20" s="171">
        <f t="shared" si="4"/>
        <v>0</v>
      </c>
      <c r="BC20" s="171">
        <f t="shared" si="4"/>
        <v>0</v>
      </c>
      <c r="BD20" s="171">
        <f t="shared" si="4"/>
        <v>0</v>
      </c>
      <c r="BE20" s="171">
        <f t="shared" si="4"/>
        <v>0</v>
      </c>
      <c r="BF20" s="171">
        <f t="shared" si="4"/>
        <v>0</v>
      </c>
      <c r="BG20" s="171">
        <f t="shared" si="4"/>
        <v>0</v>
      </c>
      <c r="BH20" s="171">
        <f t="shared" si="4"/>
        <v>0</v>
      </c>
      <c r="BI20" s="171">
        <f t="shared" si="4"/>
        <v>0</v>
      </c>
      <c r="BJ20" s="171">
        <f t="shared" si="4"/>
        <v>0</v>
      </c>
      <c r="BK20" s="171">
        <f t="shared" si="4"/>
        <v>0</v>
      </c>
      <c r="BL20" s="171">
        <f t="shared" si="4"/>
        <v>0</v>
      </c>
    </row>
    <row r="21" spans="1:64" s="171" customFormat="1" x14ac:dyDescent="0.15">
      <c r="C21" s="294" t="s">
        <v>406</v>
      </c>
      <c r="E21" s="171">
        <f t="shared" ref="E21:BL21" si="5">E19-E20</f>
        <v>-0.76944493001818937</v>
      </c>
      <c r="F21" s="171">
        <f t="shared" si="5"/>
        <v>-0.73485487074858236</v>
      </c>
      <c r="G21" s="171">
        <f t="shared" si="5"/>
        <v>-0.71544862092730899</v>
      </c>
      <c r="H21" s="171">
        <f t="shared" si="5"/>
        <v>-0.69405227524811419</v>
      </c>
      <c r="I21" s="171">
        <f t="shared" si="5"/>
        <v>-0.70174907181166413</v>
      </c>
      <c r="J21" s="171">
        <f t="shared" si="5"/>
        <v>-0.70912129203001362</v>
      </c>
      <c r="K21" s="171">
        <f t="shared" si="5"/>
        <v>-0.71610020099740046</v>
      </c>
      <c r="L21" s="171">
        <f t="shared" si="5"/>
        <v>-0.72257225492060229</v>
      </c>
      <c r="M21" s="171">
        <f t="shared" si="5"/>
        <v>-0.72837347842918487</v>
      </c>
      <c r="N21" s="171">
        <f t="shared" si="5"/>
        <v>-0.73324995351913436</v>
      </c>
      <c r="O21" s="171">
        <f t="shared" si="5"/>
        <v>-0.73677181768039102</v>
      </c>
      <c r="P21" s="171">
        <f t="shared" si="5"/>
        <v>-0.7381041396349044</v>
      </c>
      <c r="Q21" s="171">
        <f t="shared" si="5"/>
        <v>-0.7352120880932359</v>
      </c>
      <c r="R21" s="171">
        <f t="shared" si="5"/>
        <v>-0.72013544565794396</v>
      </c>
      <c r="S21" s="171">
        <f t="shared" si="5"/>
        <v>0</v>
      </c>
      <c r="T21" s="171">
        <f t="shared" si="5"/>
        <v>0</v>
      </c>
      <c r="U21" s="171">
        <f t="shared" si="5"/>
        <v>0</v>
      </c>
      <c r="V21" s="171">
        <f t="shared" si="5"/>
        <v>0</v>
      </c>
      <c r="W21" s="171">
        <f t="shared" si="5"/>
        <v>0</v>
      </c>
      <c r="X21" s="171">
        <f t="shared" si="5"/>
        <v>0</v>
      </c>
      <c r="Y21" s="171">
        <f t="shared" si="5"/>
        <v>0</v>
      </c>
      <c r="Z21" s="171">
        <f t="shared" si="5"/>
        <v>0</v>
      </c>
      <c r="AA21" s="171">
        <f t="shared" si="5"/>
        <v>0</v>
      </c>
      <c r="AB21" s="171">
        <f t="shared" si="5"/>
        <v>0</v>
      </c>
      <c r="AC21" s="171">
        <f t="shared" si="5"/>
        <v>0</v>
      </c>
      <c r="AD21" s="171">
        <f t="shared" si="5"/>
        <v>0</v>
      </c>
      <c r="AE21" s="171">
        <f t="shared" si="5"/>
        <v>0</v>
      </c>
      <c r="AF21" s="171">
        <f t="shared" si="5"/>
        <v>0</v>
      </c>
      <c r="AG21" s="171">
        <f t="shared" si="5"/>
        <v>0</v>
      </c>
      <c r="AH21" s="171">
        <f t="shared" si="5"/>
        <v>0</v>
      </c>
      <c r="AI21" s="171">
        <f t="shared" si="5"/>
        <v>0</v>
      </c>
      <c r="AJ21" s="171">
        <f t="shared" si="5"/>
        <v>0</v>
      </c>
      <c r="AK21" s="171">
        <f t="shared" si="5"/>
        <v>0</v>
      </c>
      <c r="AL21" s="171">
        <f t="shared" si="5"/>
        <v>0</v>
      </c>
      <c r="AM21" s="171">
        <f t="shared" si="5"/>
        <v>0</v>
      </c>
      <c r="AN21" s="171">
        <f t="shared" si="5"/>
        <v>0</v>
      </c>
      <c r="AO21" s="171">
        <f t="shared" si="5"/>
        <v>0</v>
      </c>
      <c r="AP21" s="171">
        <f t="shared" si="5"/>
        <v>0</v>
      </c>
      <c r="AQ21" s="171">
        <f t="shared" si="5"/>
        <v>0</v>
      </c>
      <c r="AR21" s="171">
        <f t="shared" si="5"/>
        <v>0</v>
      </c>
      <c r="AS21" s="171">
        <f t="shared" si="5"/>
        <v>0</v>
      </c>
      <c r="AT21" s="171">
        <f t="shared" si="5"/>
        <v>0</v>
      </c>
      <c r="AU21" s="171">
        <f t="shared" si="5"/>
        <v>0</v>
      </c>
      <c r="AV21" s="171">
        <f t="shared" si="5"/>
        <v>0</v>
      </c>
      <c r="AW21" s="171">
        <f t="shared" si="5"/>
        <v>0</v>
      </c>
      <c r="AX21" s="171">
        <f t="shared" si="5"/>
        <v>0</v>
      </c>
      <c r="AY21" s="171">
        <f t="shared" si="5"/>
        <v>0</v>
      </c>
      <c r="AZ21" s="171">
        <f t="shared" si="5"/>
        <v>0</v>
      </c>
      <c r="BA21" s="171">
        <f t="shared" si="5"/>
        <v>0</v>
      </c>
      <c r="BB21" s="171">
        <f t="shared" si="5"/>
        <v>0</v>
      </c>
      <c r="BC21" s="171">
        <f t="shared" si="5"/>
        <v>0</v>
      </c>
      <c r="BD21" s="171">
        <f t="shared" si="5"/>
        <v>0</v>
      </c>
      <c r="BE21" s="171">
        <f t="shared" si="5"/>
        <v>0</v>
      </c>
      <c r="BF21" s="171">
        <f t="shared" si="5"/>
        <v>0</v>
      </c>
      <c r="BG21" s="171">
        <f t="shared" si="5"/>
        <v>0</v>
      </c>
      <c r="BH21" s="171">
        <f t="shared" si="5"/>
        <v>0</v>
      </c>
      <c r="BI21" s="171">
        <f t="shared" si="5"/>
        <v>0</v>
      </c>
      <c r="BJ21" s="171">
        <f t="shared" si="5"/>
        <v>0</v>
      </c>
      <c r="BK21" s="171">
        <f t="shared" si="5"/>
        <v>0</v>
      </c>
      <c r="BL21" s="171">
        <f t="shared" si="5"/>
        <v>0</v>
      </c>
    </row>
    <row r="22" spans="1:64" s="171" customFormat="1" x14ac:dyDescent="0.15">
      <c r="C22" s="294"/>
    </row>
    <row r="23" spans="1:64" x14ac:dyDescent="0.15">
      <c r="E23" s="171"/>
      <c r="F23" s="171"/>
      <c r="G23" s="171"/>
      <c r="H23" s="171"/>
      <c r="I23" s="171"/>
      <c r="J23" s="171"/>
      <c r="K23" s="171"/>
      <c r="L23" s="171"/>
      <c r="M23" s="171"/>
      <c r="N23" s="171"/>
      <c r="O23" s="171"/>
      <c r="P23" s="171"/>
      <c r="Q23" s="171"/>
      <c r="R23" s="171"/>
      <c r="S23" s="171"/>
      <c r="T23" s="171"/>
      <c r="U23" s="171"/>
      <c r="V23" s="171"/>
      <c r="W23" s="171"/>
      <c r="X23" s="171"/>
      <c r="Y23" s="171"/>
      <c r="Z23" s="171"/>
      <c r="AA23" s="171"/>
      <c r="AB23" s="171"/>
      <c r="AC23" s="171"/>
      <c r="AD23" s="171"/>
      <c r="AE23" s="171"/>
      <c r="AF23" s="171"/>
      <c r="AG23" s="171"/>
      <c r="AH23" s="171"/>
      <c r="AI23" s="171"/>
      <c r="AJ23" s="171"/>
      <c r="AK23" s="171"/>
      <c r="AL23" s="171"/>
      <c r="AM23" s="171"/>
      <c r="AN23" s="171"/>
      <c r="AO23" s="171"/>
      <c r="AP23" s="171"/>
      <c r="AQ23" s="171"/>
      <c r="AR23" s="171"/>
      <c r="AS23" s="171"/>
      <c r="AT23" s="171"/>
      <c r="AU23" s="171"/>
      <c r="AV23" s="171"/>
      <c r="AW23" s="171"/>
      <c r="AX23" s="171"/>
      <c r="AY23" s="171"/>
      <c r="AZ23" s="171"/>
      <c r="BA23" s="171"/>
      <c r="BB23" s="171"/>
      <c r="BC23" s="171"/>
      <c r="BD23" s="171"/>
      <c r="BE23" s="171"/>
      <c r="BF23" s="171"/>
      <c r="BG23" s="171"/>
      <c r="BH23" s="171"/>
      <c r="BI23" s="171"/>
      <c r="BJ23" s="171"/>
      <c r="BK23" s="171"/>
      <c r="BL23" s="171"/>
    </row>
    <row r="24" spans="1:64" x14ac:dyDescent="0.15">
      <c r="C24" s="186" t="s">
        <v>407</v>
      </c>
      <c r="D24" s="186"/>
      <c r="E24" s="295">
        <f>IF(E5&gt;Leadsheet!$E$12,0,IFERROR(E21/D17*D27*(1-Leadsheet!$D$91)+E18,0))</f>
        <v>-1.894569911978532</v>
      </c>
      <c r="F24" s="295">
        <f>IF(F5&gt;Leadsheet!$E$12,0,IFERROR(F21/E17*E27*(1-Leadsheet!$D$91)+F18,0))</f>
        <v>-1.466911702030639</v>
      </c>
      <c r="G24" s="295">
        <f>IF(G5&gt;Leadsheet!$E$12,0,IFERROR(G21/F17*F27*(1-Leadsheet!$D$91)+G18,0))</f>
        <v>-1.3665596913408673</v>
      </c>
      <c r="H24" s="295">
        <f>IF(H5&gt;Leadsheet!$E$12,0,IFERROR(H21/G17*G27*(1-Leadsheet!$D$91)+H18,0))</f>
        <v>-0.88441780024985051</v>
      </c>
      <c r="I24" s="295">
        <f>IF(I5&gt;Leadsheet!$E$12,0,IFERROR(I21/H17*H27*(1-Leadsheet!$D$91)+I18,0))</f>
        <v>-0.85115927560551907</v>
      </c>
      <c r="J24" s="295">
        <f>IF(J5&gt;Leadsheet!$E$12,0,IFERROR(J21/I17*I27*(1-Leadsheet!$D$91)+J18,0))</f>
        <v>-0.81686946331756338</v>
      </c>
      <c r="K24" s="295">
        <f>IF(K5&gt;Leadsheet!$E$12,0,IFERROR(K21/J17*J27*(1-Leadsheet!$D$91)+K18,0))</f>
        <v>-0.78207841500343223</v>
      </c>
      <c r="L24" s="295">
        <f>IF(L5&gt;Leadsheet!$E$12,0,IFERROR(L21/K17*K27*(1-Leadsheet!$D$91)+L18,0))</f>
        <v>-0.74672621251675464</v>
      </c>
      <c r="M24" s="295">
        <f>IF(M5&gt;Leadsheet!$E$12,0,IFERROR(M21/L17*L27*(1-Leadsheet!$D$91)+M18,0))</f>
        <v>-0.71075158986837839</v>
      </c>
      <c r="N24" s="295">
        <f>IF(N5&gt;Leadsheet!$E$12,0,IFERROR(N21/M17*M27*(1-Leadsheet!$D$91)+N18,0))</f>
        <v>-0.67403557524573066</v>
      </c>
      <c r="O24" s="295">
        <f>IF(O5&gt;Leadsheet!$E$12,0,IFERROR(O21/N17*N27*(1-Leadsheet!$D$91)+O18,0))</f>
        <v>-0.63639063376600147</v>
      </c>
      <c r="P24" s="295">
        <f>IF(P5&gt;Leadsheet!$E$12,0,IFERROR(P21/O17*O27*(1-Leadsheet!$D$91)+P18,0))</f>
        <v>-0.5974647763312918</v>
      </c>
      <c r="Q24" s="295">
        <f>IF(Q5&gt;Leadsheet!$E$12,0,IFERROR(Q21/P17*P27*(1-Leadsheet!$D$91)+Q18,0))</f>
        <v>-0.55640282044919032</v>
      </c>
      <c r="R24" s="295">
        <f>IF(R5&gt;Leadsheet!$E$12,0,IFERROR(R21/Q17*Q27*(1-Leadsheet!$D$91)+R18,0))</f>
        <v>-0.48687769804113018</v>
      </c>
      <c r="S24" s="295">
        <f>IF(S5&gt;Leadsheet!$E$12,0,IFERROR(S21/R17*R27*(1-Leadsheet!$D$91)+S18,0))</f>
        <v>0</v>
      </c>
      <c r="T24" s="295">
        <f>IF(T5&gt;Leadsheet!$E$12,0,IFERROR(T21/S17*S27*(1-Leadsheet!$D$91)+T18,0))</f>
        <v>0</v>
      </c>
      <c r="U24" s="295">
        <f>IF(U5&gt;Leadsheet!$E$12,0,IFERROR(U21/T17*T27*(1-Leadsheet!$D$91)+U18,0))</f>
        <v>0</v>
      </c>
      <c r="V24" s="295">
        <f>IF(V5&gt;Leadsheet!$E$12,0,IFERROR(V21/U17*U27*(1-Leadsheet!$D$91)+V18,0))</f>
        <v>0</v>
      </c>
      <c r="W24" s="295">
        <f>IF(W5&gt;Leadsheet!$E$12,0,IFERROR(W21/V17*V27*(1-Leadsheet!$D$91)+W18,0))</f>
        <v>0</v>
      </c>
      <c r="X24" s="295">
        <f>IF(X5&gt;Leadsheet!$E$12,0,IFERROR(X21/W17*W27*(1-Leadsheet!$D$91)+X18,0))</f>
        <v>0</v>
      </c>
      <c r="Y24" s="295">
        <f>IF(Y5&gt;Leadsheet!$E$12,0,IFERROR(Y21/X17*X27*(1-Leadsheet!$D$91)+Y18,0))</f>
        <v>0</v>
      </c>
      <c r="Z24" s="295">
        <f>IF(Z5&gt;Leadsheet!$E$12,0,IFERROR(Z21/Y17*Y27*(1-Leadsheet!$D$91)+Z18,0))</f>
        <v>0</v>
      </c>
      <c r="AA24" s="295">
        <f>IF(AA5&gt;Leadsheet!$E$12,0,IFERROR(AA21/Z17*Z27*(1-Leadsheet!$D$91)+AA18,0))</f>
        <v>0</v>
      </c>
      <c r="AB24" s="295">
        <f>IF(AB5&gt;Leadsheet!$E$12,0,IFERROR(AB21/AA17*AA27*(1-Leadsheet!$D$91)+AB18,0))</f>
        <v>0</v>
      </c>
      <c r="AC24" s="295">
        <f>IF(AC5&gt;Leadsheet!$E$12,0,IFERROR(AC21/AB17*AB27*(1-Leadsheet!$D$91)+AC18,0))</f>
        <v>0</v>
      </c>
      <c r="AD24" s="295">
        <f>IF(AD5&gt;Leadsheet!$E$12,0,IFERROR(AD21/AC17*AC27*(1-Leadsheet!$D$91)+AD18,0))</f>
        <v>0</v>
      </c>
      <c r="AE24" s="295">
        <f>IF(AE5&gt;Leadsheet!$E$12,0,IFERROR(AE21/AD17*AD27*(1-Leadsheet!$D$91)+AE18,0))</f>
        <v>0</v>
      </c>
      <c r="AF24" s="295">
        <f>IF(AF5&gt;Leadsheet!$E$12,0,IFERROR(AF21/AE17*AE27*(1-Leadsheet!$D$91)+AF18,0))</f>
        <v>0</v>
      </c>
      <c r="AG24" s="295">
        <f>IF(AG5&gt;Leadsheet!$E$12,0,IFERROR(AG21/AF17*AF27*(1-Leadsheet!$D$91)+AG18,0))</f>
        <v>0</v>
      </c>
      <c r="AH24" s="295">
        <f>IF(AH5&gt;Leadsheet!$E$12,0,IFERROR(AH21/AG17*AG27*(1-Leadsheet!$D$91)+AH18,0))</f>
        <v>0</v>
      </c>
      <c r="AI24" s="295">
        <f>IF(AI5&gt;Leadsheet!$E$12,0,IFERROR(AI21/AH17*AH27*(1-Leadsheet!$D$91)+AI18,0))</f>
        <v>0</v>
      </c>
      <c r="AJ24" s="295">
        <f>IF(AJ5&gt;Leadsheet!$E$12,0,IFERROR(AJ21/AI17*AI27*(1-Leadsheet!$D$91)+AJ18,0))</f>
        <v>0</v>
      </c>
      <c r="AK24" s="295">
        <f>IF(AK5&gt;Leadsheet!$E$12,0,IFERROR(AK21/AJ17*AJ27*(1-Leadsheet!$D$91)+AK18,0))</f>
        <v>0</v>
      </c>
      <c r="AL24" s="295">
        <f>IF(AL5&gt;Leadsheet!$E$12,0,IFERROR(AL21/AK17*AK27*(1-Leadsheet!$D$91)+AL18,0))</f>
        <v>0</v>
      </c>
      <c r="AM24" s="295">
        <f>IF(AM5&gt;Leadsheet!$E$12,0,IFERROR(AM21/AL17*AL27*(1-Leadsheet!$D$91)+AM18,0))</f>
        <v>0</v>
      </c>
      <c r="AN24" s="295">
        <f>IF(AN5&gt;Leadsheet!$E$12,0,IFERROR(AN21/AM17*AM27*(1-Leadsheet!$D$91)+AN18,0))</f>
        <v>0</v>
      </c>
      <c r="AO24" s="295">
        <f>IF(AO5&gt;Leadsheet!$E$12,0,IFERROR(AO21/AN17*AN27*(1-Leadsheet!$D$91)+AO18,0))</f>
        <v>0</v>
      </c>
      <c r="AP24" s="295">
        <f>IF(AP5&gt;Leadsheet!$E$12,0,IFERROR(AP21/AO17*AO27*(1-Leadsheet!$D$91)+AP18,0))</f>
        <v>0</v>
      </c>
      <c r="AQ24" s="295">
        <f>IF(AQ5&gt;Leadsheet!$E$12,0,IFERROR(AQ21/AP17*AP27*(1-Leadsheet!$D$91)+AQ18,0))</f>
        <v>0</v>
      </c>
      <c r="AR24" s="295">
        <f>IF(AR5&gt;Leadsheet!$E$12,0,IFERROR(AR21/AQ17*AQ27*(1-Leadsheet!$D$91)+AR18,0))</f>
        <v>0</v>
      </c>
      <c r="AS24" s="295">
        <f>IF(AS5&gt;Leadsheet!$E$12,0,IFERROR(AS21/AR17*AR27*(1-Leadsheet!$D$91)+AS18,0))</f>
        <v>0</v>
      </c>
      <c r="AT24" s="295">
        <f>IF(AT5&gt;Leadsheet!$E$12,0,IFERROR(AT21/AS17*AS27*(1-Leadsheet!$D$91)+AT18,0))</f>
        <v>0</v>
      </c>
      <c r="AU24" s="295">
        <f>IF(AU5&gt;Leadsheet!$E$12,0,IFERROR(AU21/AT17*AT27*(1-Leadsheet!$D$91)+AU18,0))</f>
        <v>0</v>
      </c>
      <c r="AV24" s="295">
        <f>IF(AV5&gt;Leadsheet!$E$12,0,IFERROR(AV21/AU17*AU27*(1-Leadsheet!$D$91)+AV18,0))</f>
        <v>0</v>
      </c>
      <c r="AW24" s="295">
        <f>IF(AW5&gt;Leadsheet!$E$12,0,IFERROR(AW21/AV17*AV27*(1-Leadsheet!$D$91)+AW18,0))</f>
        <v>0</v>
      </c>
      <c r="AX24" s="295">
        <f>IF(AX5&gt;Leadsheet!$E$12,0,IFERROR(AX21/AW17*AW27*(1-Leadsheet!$D$91)+AX18,0))</f>
        <v>0</v>
      </c>
      <c r="AY24" s="295">
        <f>IF(AY5&gt;Leadsheet!$E$12,0,IFERROR(AY21/AX17*AX27*(1-Leadsheet!$D$91)+AY18,0))</f>
        <v>0</v>
      </c>
      <c r="AZ24" s="295">
        <f>IF(AZ5&gt;Leadsheet!$E$12,0,IFERROR(AZ21/AY17*AY27*(1-Leadsheet!$D$91)+AZ18,0))</f>
        <v>0</v>
      </c>
      <c r="BA24" s="295">
        <f>IF(BA5&gt;Leadsheet!$E$12,0,IFERROR(BA21/AZ17*AZ27*(1-Leadsheet!$D$91)+BA18,0))</f>
        <v>0</v>
      </c>
      <c r="BB24" s="295">
        <f>IF(BB5&gt;Leadsheet!$E$12,0,IFERROR(BB21/BA17*BA27*(1-Leadsheet!$D$91)+BB18,0))</f>
        <v>0</v>
      </c>
      <c r="BC24" s="295">
        <f>IF(BC5&gt;Leadsheet!$E$12,0,IFERROR(BC21/BB17*BB27*(1-Leadsheet!$D$91)+BC18,0))</f>
        <v>0</v>
      </c>
      <c r="BD24" s="295">
        <f>IF(BD5&gt;Leadsheet!$E$12,0,IFERROR(BD21/BC17*BC27*(1-Leadsheet!$D$91)+BD18,0))</f>
        <v>0</v>
      </c>
      <c r="BE24" s="295">
        <f>IF(BE5&gt;Leadsheet!$E$12,0,IFERROR(BE21/BD17*BD27*(1-Leadsheet!$D$91)+BE18,0))</f>
        <v>0</v>
      </c>
      <c r="BF24" s="295">
        <f>IF(BF5&gt;Leadsheet!$E$12,0,IFERROR(BF21/BE17*BE27*(1-Leadsheet!$D$91)+BF18,0))</f>
        <v>0</v>
      </c>
      <c r="BG24" s="295">
        <f>IF(BG5&gt;Leadsheet!$E$12,0,IFERROR(BG21/BF17*BF27*(1-Leadsheet!$D$91)+BG18,0))</f>
        <v>0</v>
      </c>
      <c r="BH24" s="295">
        <f>IF(BH5&gt;Leadsheet!$E$12,0,IFERROR(BH21/BG17*BG27*(1-Leadsheet!$D$91)+BH18,0))</f>
        <v>0</v>
      </c>
      <c r="BI24" s="295">
        <f>IF(BI5&gt;Leadsheet!$E$12,0,IFERROR(BI21/BH17*BH27*(1-Leadsheet!$D$91)+BI18,0))</f>
        <v>0</v>
      </c>
      <c r="BJ24" s="295">
        <f>IF(BJ5&gt;Leadsheet!$E$12,0,IFERROR(BJ21/BI17*BI27*(1-Leadsheet!$D$91)+BJ18,0))</f>
        <v>0</v>
      </c>
      <c r="BK24" s="295">
        <f>IF(BK5&gt;Leadsheet!$E$12,0,IFERROR(BK21/BJ17*BJ27*(1-Leadsheet!$D$91)+BK18,0))</f>
        <v>0</v>
      </c>
      <c r="BL24" s="295">
        <f>IF(BL5&gt;Leadsheet!$E$12,0,IFERROR(BL21/BK17*BK27*(1-Leadsheet!$D$91)+BL18,0))</f>
        <v>0</v>
      </c>
    </row>
    <row r="25" spans="1:64" x14ac:dyDescent="0.15">
      <c r="E25" s="137"/>
      <c r="F25" s="137"/>
      <c r="G25" s="137"/>
      <c r="H25" s="137"/>
      <c r="I25" s="137"/>
      <c r="J25" s="137"/>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71"/>
      <c r="BE25" s="171"/>
      <c r="BF25" s="171"/>
      <c r="BG25" s="171"/>
      <c r="BH25" s="171"/>
      <c r="BI25" s="171"/>
      <c r="BJ25" s="171"/>
      <c r="BK25" s="171"/>
      <c r="BL25" s="171"/>
    </row>
    <row r="26" spans="1:64" s="186" customFormat="1" x14ac:dyDescent="0.15">
      <c r="A26" s="296" t="s">
        <v>408</v>
      </c>
      <c r="B26" s="296" t="s">
        <v>409</v>
      </c>
      <c r="C26" s="282" t="s">
        <v>410</v>
      </c>
      <c r="D26" s="293"/>
      <c r="E26" s="293"/>
      <c r="F26" s="293"/>
      <c r="G26" s="293"/>
      <c r="H26" s="293"/>
      <c r="I26" s="293"/>
      <c r="J26" s="293"/>
      <c r="K26" s="293"/>
      <c r="L26" s="293"/>
      <c r="M26" s="293"/>
      <c r="N26" s="293"/>
      <c r="O26" s="293"/>
      <c r="P26" s="293"/>
      <c r="Q26" s="293"/>
      <c r="R26" s="293"/>
      <c r="S26" s="293"/>
      <c r="T26" s="293"/>
      <c r="U26" s="293"/>
      <c r="V26" s="293"/>
      <c r="W26" s="293"/>
      <c r="X26" s="293"/>
      <c r="Y26" s="293"/>
      <c r="Z26" s="293"/>
      <c r="AA26" s="293"/>
      <c r="AB26" s="293"/>
      <c r="AC26" s="293"/>
      <c r="AD26" s="293"/>
      <c r="AE26" s="293"/>
      <c r="AF26" s="293"/>
      <c r="AG26" s="293"/>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3"/>
      <c r="BD26" s="293"/>
      <c r="BE26" s="293"/>
      <c r="BF26" s="293"/>
      <c r="BG26" s="293"/>
      <c r="BH26" s="293"/>
      <c r="BI26" s="293"/>
      <c r="BJ26" s="293"/>
      <c r="BK26" s="293"/>
      <c r="BL26" s="293"/>
    </row>
    <row r="27" spans="1:64" s="171" customFormat="1" x14ac:dyDescent="0.15">
      <c r="A27" s="297" t="s">
        <v>411</v>
      </c>
      <c r="B27" s="298">
        <v>0</v>
      </c>
      <c r="C27" s="115" t="s">
        <v>412</v>
      </c>
      <c r="D27" s="299">
        <f>Leadsheet!E10</f>
        <v>14.38934503980577</v>
      </c>
      <c r="E27" s="300">
        <f>IF(E5&gt;=Leadsheet!$E$12,0,D44+E24-SUM(E28:E41))</f>
        <v>12.008127596567062</v>
      </c>
      <c r="F27" s="300">
        <f>IF(F5&gt;=Leadsheet!$E$12,0,E44+F24-SUM(F28:F41))</f>
        <v>10.283303461606234</v>
      </c>
      <c r="G27" s="300">
        <f>IF(G5&gt;=Leadsheet!$E$12,0,F44+G24-SUM(G28:G41))</f>
        <v>8.6959318419544758</v>
      </c>
      <c r="H27" s="300">
        <f>IF(H5&gt;=Leadsheet!$E$12,0,G44+H24-SUM(H28:H41))</f>
        <v>7.6310480224809787</v>
      </c>
      <c r="I27" s="300">
        <f>IF(I5&gt;=Leadsheet!$E$12,0,H44+I24-SUM(I28:I41))</f>
        <v>6.6178708525815404</v>
      </c>
      <c r="J27" s="300">
        <f>IF(J5&gt;=Leadsheet!$E$12,0,I44+J24-SUM(J28:J41))</f>
        <v>5.6613224271687228</v>
      </c>
      <c r="K27" s="300">
        <f>IF(K5&gt;=Leadsheet!$E$12,0,J44+K24-SUM(K28:K41))</f>
        <v>4.7606883714990094</v>
      </c>
      <c r="L27" s="300">
        <f>IF(L5&gt;=Leadsheet!$E$12,0,K44+L24-SUM(L28:L41))</f>
        <v>3.9154143761607614</v>
      </c>
      <c r="M27" s="300">
        <f>IF(M5&gt;=Leadsheet!$E$12,0,L44+M24-SUM(M28:M41))</f>
        <v>3.1248572893358872</v>
      </c>
      <c r="N27" s="300">
        <f>IF(N5&gt;=Leadsheet!$E$12,0,M44+N24-SUM(N28:N41))</f>
        <v>2.3885105101379578</v>
      </c>
      <c r="O27" s="300">
        <f>IF(O5&gt;=Leadsheet!$E$12,0,N44+O24-SUM(O28:O41))</f>
        <v>1.7060651080992575</v>
      </c>
      <c r="P27" s="300">
        <f>IF(P5&gt;=Leadsheet!$E$12,0,O44+P24-SUM(P28:P41))</f>
        <v>1.077569033538792</v>
      </c>
      <c r="Q27" s="300">
        <f>IF(Q5&gt;=Leadsheet!$E$12,0,P44+Q24-SUM(Q28:Q41))</f>
        <v>0.50392027770106407</v>
      </c>
      <c r="R27" s="300">
        <f>IF(R5&gt;=Leadsheet!$E$12,0,Q44+R24-SUM(R28:R41))</f>
        <v>0</v>
      </c>
      <c r="S27" s="300">
        <f>IF(S5&gt;=Leadsheet!$E$12,0,R44+S24-SUM(S28:S41))</f>
        <v>0</v>
      </c>
      <c r="T27" s="300">
        <f>IF(T5&gt;=Leadsheet!$E$12,0,S44+T24-SUM(T28:T41))</f>
        <v>0</v>
      </c>
      <c r="U27" s="300">
        <f>IF(U5&gt;=Leadsheet!$E$12,0,T44+U24-SUM(U28:U41))</f>
        <v>0</v>
      </c>
      <c r="V27" s="300">
        <f>IF(V5&gt;=Leadsheet!$E$12,0,U44+V24-SUM(V28:V41))</f>
        <v>0</v>
      </c>
      <c r="W27" s="300">
        <f>IF(W5&gt;=Leadsheet!$E$12,0,V44+W24-SUM(W28:W41))</f>
        <v>0</v>
      </c>
      <c r="X27" s="300">
        <f>IF(X5&gt;=Leadsheet!$E$12,0,W44+X24-SUM(X28:X41))</f>
        <v>0</v>
      </c>
      <c r="Y27" s="300">
        <f>IF(Y5&gt;=Leadsheet!$E$12,0,X44+Y24-SUM(Y28:Y41))</f>
        <v>0</v>
      </c>
      <c r="Z27" s="300">
        <f>IF(Z5&gt;=Leadsheet!$E$12,0,Y44+Z24-SUM(Z28:Z41))</f>
        <v>0</v>
      </c>
      <c r="AA27" s="300">
        <f>IF(AA5&gt;=Leadsheet!$E$12,0,Z44+AA24-SUM(AA28:AA41))</f>
        <v>0</v>
      </c>
      <c r="AB27" s="300">
        <f>IF(AB5&gt;=Leadsheet!$E$12,0,AA44+AB24-SUM(AB28:AB41))</f>
        <v>0</v>
      </c>
      <c r="AC27" s="300">
        <f>IF(AC5&gt;=Leadsheet!$E$12,0,AB44+AC24-SUM(AC28:AC41))</f>
        <v>0</v>
      </c>
      <c r="AD27" s="300">
        <f>IF(AD5&gt;=Leadsheet!$E$12,0,AC44+AD24-SUM(AD28:AD41))</f>
        <v>0</v>
      </c>
      <c r="AE27" s="300">
        <f>IF(AE5&gt;=Leadsheet!$E$12,0,AD44+AE24-SUM(AE28:AE41))</f>
        <v>0</v>
      </c>
      <c r="AF27" s="300">
        <f>IF(AF5&gt;=Leadsheet!$E$12,0,AE44+AF24-SUM(AF28:AF41))</f>
        <v>0</v>
      </c>
      <c r="AG27" s="300">
        <f>IF(AG5&gt;=Leadsheet!$E$12,0,AF44+AG24-SUM(AG28:AG41))</f>
        <v>0</v>
      </c>
      <c r="AH27" s="300">
        <f>IF(AH5&gt;=Leadsheet!$E$12,0,AG44+AH24-SUM(AH28:AH41))</f>
        <v>0</v>
      </c>
      <c r="AI27" s="300">
        <f>IF(AI5&gt;=Leadsheet!$E$12,0,AH44+AI24-SUM(AI28:AI41))</f>
        <v>0</v>
      </c>
      <c r="AJ27" s="300">
        <f>IF(AJ5&gt;=Leadsheet!$E$12,0,AI44+AJ24-SUM(AJ28:AJ41))</f>
        <v>0</v>
      </c>
      <c r="AK27" s="300">
        <f>IF(AK5&gt;=Leadsheet!$E$12,0,AJ44+AK24-SUM(AK28:AK41))</f>
        <v>0</v>
      </c>
      <c r="AL27" s="300">
        <f>IF(AL5&gt;=Leadsheet!$E$12,0,AK44+AL24-SUM(AL28:AL41))</f>
        <v>0</v>
      </c>
      <c r="AM27" s="300">
        <f>IF(AM5&gt;=Leadsheet!$E$12,0,AL44+AM24-SUM(AM28:AM41))</f>
        <v>0</v>
      </c>
      <c r="AN27" s="300">
        <f>IF(AN5&gt;=Leadsheet!$E$12,0,AM44+AN24-SUM(AN28:AN41))</f>
        <v>0</v>
      </c>
      <c r="AO27" s="300">
        <f>IF(AO5&gt;=Leadsheet!$E$12,0,AN44+AO24-SUM(AO28:AO41))</f>
        <v>0</v>
      </c>
      <c r="AP27" s="300">
        <f>IF(AP5&gt;=Leadsheet!$E$12,0,AO44+AP24-SUM(AP28:AP41))</f>
        <v>0</v>
      </c>
      <c r="AQ27" s="300">
        <f>IF(AQ5&gt;=Leadsheet!$E$12,0,AP44+AQ24-SUM(AQ28:AQ41))</f>
        <v>0</v>
      </c>
      <c r="AR27" s="300">
        <f>IF(AR5&gt;=Leadsheet!$E$12,0,AQ44+AR24-SUM(AR28:AR41))</f>
        <v>0</v>
      </c>
      <c r="AS27" s="300">
        <f>IF(AS5&gt;=Leadsheet!$E$12,0,AR44+AS24-SUM(AS28:AS41))</f>
        <v>0</v>
      </c>
      <c r="AT27" s="300">
        <f>IF(AT5&gt;=Leadsheet!$E$12,0,AS44+AT24-SUM(AT28:AT41))</f>
        <v>0</v>
      </c>
      <c r="AU27" s="300">
        <f>IF(AU5&gt;=Leadsheet!$E$12,0,AT44+AU24-SUM(AU28:AU41))</f>
        <v>0</v>
      </c>
      <c r="AV27" s="300">
        <f>IF(AV5&gt;=Leadsheet!$E$12,0,AU44+AV24-SUM(AV28:AV41))</f>
        <v>0</v>
      </c>
      <c r="AW27" s="300">
        <f>IF(AW5&gt;=Leadsheet!$E$12,0,AV44+AW24-SUM(AW28:AW41))</f>
        <v>0</v>
      </c>
      <c r="AX27" s="300">
        <f>IF(AX5&gt;=Leadsheet!$E$12,0,AW44+AX24-SUM(AX28:AX41))</f>
        <v>0</v>
      </c>
      <c r="AY27" s="300">
        <f>IF(AY5&gt;=Leadsheet!$E$12,0,AX44+AY24-SUM(AY28:AY41))</f>
        <v>0</v>
      </c>
      <c r="AZ27" s="300">
        <f>IF(AZ5&gt;=Leadsheet!$E$12,0,AY44+AZ24-SUM(AZ28:AZ41))</f>
        <v>0</v>
      </c>
      <c r="BA27" s="300">
        <f>IF(BA5&gt;=Leadsheet!$E$12,0,AZ44+BA24-SUM(BA28:BA41))</f>
        <v>0</v>
      </c>
      <c r="BB27" s="300">
        <f>IF(BB5&gt;=Leadsheet!$E$12,0,BA44+BB24-SUM(BB28:BB41))</f>
        <v>0</v>
      </c>
      <c r="BC27" s="300">
        <f>IF(BC5&gt;=Leadsheet!$E$12,0,BB44+BC24-SUM(BC28:BC41))</f>
        <v>0</v>
      </c>
      <c r="BD27" s="300">
        <f>IF(BD5&gt;=Leadsheet!$E$12,0,BC44+BD24-SUM(BD28:BD41))</f>
        <v>0</v>
      </c>
      <c r="BE27" s="300">
        <f>IF(BE5&gt;=Leadsheet!$E$12,0,BD44+BE24-SUM(BE28:BE41))</f>
        <v>0</v>
      </c>
      <c r="BF27" s="300">
        <f>IF(BF5&gt;=Leadsheet!$E$12,0,BE44+BF24-SUM(BF28:BF41))</f>
        <v>0</v>
      </c>
      <c r="BG27" s="300">
        <f>IF(BG5&gt;=Leadsheet!$E$12,0,BF44+BG24-SUM(BG28:BG41))</f>
        <v>0</v>
      </c>
      <c r="BH27" s="300">
        <f>IF(BH5&gt;=Leadsheet!$E$12,0,BG44+BH24-SUM(BH28:BH41))</f>
        <v>0</v>
      </c>
      <c r="BI27" s="300">
        <f>IF(BI5&gt;=Leadsheet!$E$12,0,BH44+BI24-SUM(BI28:BI41))</f>
        <v>0</v>
      </c>
      <c r="BJ27" s="300">
        <f>IF(BJ5&gt;=Leadsheet!$E$12,0,BI44+BJ24-SUM(BJ28:BJ41))</f>
        <v>0</v>
      </c>
      <c r="BK27" s="300">
        <f>IF(BK5&gt;=Leadsheet!$E$12,0,BJ44+BK24-SUM(BK28:BK41))</f>
        <v>0</v>
      </c>
      <c r="BL27" s="300">
        <f>IF(BL5&gt;=Leadsheet!$E$12,0,BK44+BL24-SUM(BL28:BL41))</f>
        <v>0</v>
      </c>
    </row>
    <row r="28" spans="1:64" s="171" customFormat="1" x14ac:dyDescent="0.15">
      <c r="A28" s="297" t="s">
        <v>413</v>
      </c>
      <c r="B28" s="298">
        <v>30</v>
      </c>
      <c r="C28" s="115" t="s">
        <v>414</v>
      </c>
      <c r="D28" s="299"/>
      <c r="E28" s="300">
        <f>IF(E$5&gt;$D$7,0,D27*Leadsheet!$D91)</f>
        <v>0.48664753126017535</v>
      </c>
      <c r="F28" s="300">
        <f>IF(F$5&gt;$D$7,0,E27*Leadsheet!$D91)</f>
        <v>0.40611477685473746</v>
      </c>
      <c r="G28" s="300">
        <f>IF(G$5&gt;$D$7,0,F27*Leadsheet!$D91)</f>
        <v>0.34778123875313222</v>
      </c>
      <c r="H28" s="300">
        <f>IF(H$5&gt;$D$7,0,G27*Leadsheet!$D91)</f>
        <v>0.29409634359223186</v>
      </c>
      <c r="I28" s="300">
        <f>IF(I$5&gt;$D$7,0,H27*Leadsheet!$D91)</f>
        <v>0.25808198154919904</v>
      </c>
      <c r="J28" s="300">
        <f>IF(J$5&gt;$D$7,0,I27*Leadsheet!$D91)</f>
        <v>0.22381633797078998</v>
      </c>
      <c r="K28" s="300">
        <f>IF(K$5&gt;$D$7,0,J27*Leadsheet!$D91)</f>
        <v>0.19146587806658857</v>
      </c>
      <c r="L28" s="300">
        <f>IF(L$5&gt;$D$7,0,K27*Leadsheet!$D91)</f>
        <v>0.16100644168862668</v>
      </c>
      <c r="M28" s="300">
        <f>IF(M$5&gt;$D$7,0,L27*Leadsheet!$D91)</f>
        <v>0.13241928209714776</v>
      </c>
      <c r="N28" s="300">
        <f>IF(N$5&gt;$D$7,0,M27*Leadsheet!$D91)</f>
        <v>0.10568264790293748</v>
      </c>
      <c r="O28" s="300">
        <f>IF(O$5&gt;$D$7,0,N27*Leadsheet!$D91)</f>
        <v>8.0779405868170701E-2</v>
      </c>
      <c r="P28" s="300">
        <f>IF(P$5&gt;$D$7,0,O27*Leadsheet!$D91)</f>
        <v>5.7699107966962392E-2</v>
      </c>
      <c r="Q28" s="300">
        <f>IF(Q$5&gt;$D$7,0,P27*Leadsheet!$D91)</f>
        <v>3.6443375878708141E-2</v>
      </c>
      <c r="R28" s="300">
        <f>IF(R$5&gt;$D$7,0,Q27*Leadsheet!$D91)</f>
        <v>1.7042579659933919E-2</v>
      </c>
      <c r="S28" s="300">
        <f>IF(S$5&gt;$D$7,0,R27*Leadsheet!$D91)</f>
        <v>0</v>
      </c>
      <c r="T28" s="299">
        <f>IF(T$5&gt;$D$7,0,S27*Leadsheet!$D91)</f>
        <v>0</v>
      </c>
      <c r="U28" s="299">
        <f>IF(U$5&gt;$D$7,0,T27*Leadsheet!$D91)</f>
        <v>0</v>
      </c>
      <c r="V28" s="299">
        <f>IF(V$5&gt;$D$7,0,U27*Leadsheet!$D91)</f>
        <v>0</v>
      </c>
      <c r="W28" s="299">
        <f>IF(W$5&gt;$D$7,0,V27*Leadsheet!$D91)</f>
        <v>0</v>
      </c>
      <c r="X28" s="299">
        <f>IF(X$5&gt;$D$7,0,W27*Leadsheet!$D91)</f>
        <v>0</v>
      </c>
      <c r="Y28" s="299">
        <f>IF(Y$5&gt;$D$7,0,X27*Leadsheet!$D91)</f>
        <v>0</v>
      </c>
      <c r="Z28" s="299">
        <f>IF(Z$5&gt;$D$7,0,Y27*Leadsheet!$D91)</f>
        <v>0</v>
      </c>
      <c r="AA28" s="299">
        <f>IF(AA$5&gt;$D$7,0,Z27*Leadsheet!$D91)</f>
        <v>0</v>
      </c>
      <c r="AB28" s="299">
        <f>IF(AB$5&gt;$D$7,0,AA27*Leadsheet!$D91)</f>
        <v>0</v>
      </c>
      <c r="AC28" s="299">
        <f>IF(AC$5&gt;$D$7,0,AB27*Leadsheet!$D91)</f>
        <v>0</v>
      </c>
      <c r="AD28" s="299">
        <f>IF(AD$5&gt;$D$7,0,AC27*Leadsheet!$D91)</f>
        <v>0</v>
      </c>
      <c r="AE28" s="299">
        <f>IF(AE$5&gt;$D$7,0,AD27*Leadsheet!$D91)</f>
        <v>0</v>
      </c>
      <c r="AF28" s="299">
        <f>IF(AF$5&gt;$D$7,0,AE27*Leadsheet!$D91)</f>
        <v>0</v>
      </c>
      <c r="AG28" s="299">
        <f>IF(AG$5&gt;$D$7,0,AF27*Leadsheet!$D91)</f>
        <v>0</v>
      </c>
      <c r="AH28" s="299">
        <f>IF(AH$5&gt;$D$7,0,AG27*Leadsheet!$D91)</f>
        <v>0</v>
      </c>
      <c r="AI28" s="299">
        <f>IF(AI$5&gt;$D$7,0,AH27*Leadsheet!$D91)</f>
        <v>0</v>
      </c>
      <c r="AJ28" s="299">
        <f>IF(AJ$5&gt;$D$7,0,AI27*Leadsheet!$D91)</f>
        <v>0</v>
      </c>
      <c r="AK28" s="299">
        <f>IF(AK$5&gt;$D$7,0,AJ27*Leadsheet!$D91)</f>
        <v>0</v>
      </c>
      <c r="AL28" s="299">
        <f>IF(AL$5&gt;$D$7,0,AK27*Leadsheet!$D91)</f>
        <v>0</v>
      </c>
      <c r="AM28" s="299">
        <f>IF(AM$5&gt;$D$7,0,AL27*Leadsheet!$D91)</f>
        <v>0</v>
      </c>
      <c r="AN28" s="299">
        <f>IF(AN$5&gt;$D$7,0,AM27*Leadsheet!$D91)</f>
        <v>0</v>
      </c>
      <c r="AO28" s="299">
        <f>IF(AO$5&gt;$D$7,0,AN27*Leadsheet!$D91)</f>
        <v>0</v>
      </c>
      <c r="AP28" s="299">
        <f>IF(AP$5&gt;$D$7,0,AO27*Leadsheet!$D91)</f>
        <v>0</v>
      </c>
      <c r="AQ28" s="299">
        <f>IF(AQ$5&gt;$D$7,0,AP27*Leadsheet!$D91)</f>
        <v>0</v>
      </c>
      <c r="AR28" s="299">
        <f>IF(AR$5&gt;$D$7,0,AQ27*Leadsheet!$D91)</f>
        <v>0</v>
      </c>
      <c r="AS28" s="299">
        <f>IF(AS$5&gt;$D$7,0,AR27*Leadsheet!$D91)</f>
        <v>0</v>
      </c>
      <c r="AT28" s="299">
        <f>IF(AT$5&gt;$D$7,0,AS27*Leadsheet!$D91)</f>
        <v>0</v>
      </c>
      <c r="AU28" s="299">
        <f>IF(AU$5&gt;$D$7,0,AT27*Leadsheet!$D91)</f>
        <v>0</v>
      </c>
      <c r="AV28" s="299">
        <f>IF(AV$5&gt;$D$7,0,AU27*Leadsheet!$D91)</f>
        <v>0</v>
      </c>
      <c r="AW28" s="299">
        <f>IF(AW$5&gt;$D$7,0,AV27*Leadsheet!$D91)</f>
        <v>0</v>
      </c>
      <c r="AX28" s="299">
        <f>IF(AX$5&gt;$D$7,0,AW27*Leadsheet!$D91)</f>
        <v>0</v>
      </c>
      <c r="AY28" s="299">
        <f>IF(AY$5&gt;$D$7,0,AX27*Leadsheet!$D91)</f>
        <v>0</v>
      </c>
      <c r="AZ28" s="299">
        <f>IF(AZ$5&gt;$D$7,0,AY27*Leadsheet!$D91)</f>
        <v>0</v>
      </c>
      <c r="BA28" s="299">
        <f>IF(BA$5&gt;$D$7,0,AZ27*Leadsheet!$D91)</f>
        <v>0</v>
      </c>
      <c r="BB28" s="299">
        <f>IF(BB$5&gt;$D$7,0,BA27*Leadsheet!$D91)</f>
        <v>0</v>
      </c>
      <c r="BC28" s="299">
        <f>IF(BC$5&gt;$D$7,0,BB27*Leadsheet!$D91)</f>
        <v>0</v>
      </c>
      <c r="BD28" s="299">
        <f>IF(BD$5&gt;$D$7,0,BC27*Leadsheet!$D91)</f>
        <v>0</v>
      </c>
      <c r="BE28" s="299">
        <f>IF(BE$5&gt;$D$7,0,BD27*Leadsheet!$D91)</f>
        <v>0</v>
      </c>
      <c r="BF28" s="299">
        <f>IF(BF$5&gt;$D$7,0,BE27*Leadsheet!$D91)</f>
        <v>0</v>
      </c>
      <c r="BG28" s="299">
        <f>IF(BG$5&gt;$D$7,0,BF27*Leadsheet!$D91)</f>
        <v>0</v>
      </c>
      <c r="BH28" s="299">
        <f>IF(BH$5&gt;$D$7,0,BG27*Leadsheet!$D91)</f>
        <v>0</v>
      </c>
      <c r="BI28" s="299">
        <f>IF(BI$5&gt;$D$7,0,BH27*Leadsheet!$D91)</f>
        <v>0</v>
      </c>
      <c r="BJ28" s="299">
        <f>IF(BJ$5&gt;$D$7,0,BI27*Leadsheet!$D91)</f>
        <v>0</v>
      </c>
      <c r="BK28" s="299">
        <f>IF(BK$5&gt;$D$7,0,BJ27*Leadsheet!$D91)</f>
        <v>0</v>
      </c>
      <c r="BL28" s="299">
        <f>IF(BL$5&gt;$D$7,0,BK27*Leadsheet!$D91)</f>
        <v>0</v>
      </c>
    </row>
    <row r="29" spans="1:64" s="171" customFormat="1" x14ac:dyDescent="0.15">
      <c r="A29" s="297" t="s">
        <v>413</v>
      </c>
      <c r="B29" s="298">
        <v>60</v>
      </c>
      <c r="C29" s="115" t="s">
        <v>415</v>
      </c>
      <c r="D29" s="299"/>
      <c r="E29" s="300">
        <f>IF(E$5&gt;$D$7,0,D28*Leadsheet!$D92)</f>
        <v>0</v>
      </c>
      <c r="F29" s="300">
        <f>IF(F$5&gt;$D$7,0,E28*Leadsheet!$D92)</f>
        <v>0.33844518733562695</v>
      </c>
      <c r="G29" s="300">
        <f>IF(G$5&gt;$D$7,0,F28*Leadsheet!$D92)</f>
        <v>0.28243766361343081</v>
      </c>
      <c r="H29" s="300">
        <f>IF(H$5&gt;$D$7,0,G28*Leadsheet!$D92)</f>
        <v>0.24186886594661861</v>
      </c>
      <c r="I29" s="300">
        <f>IF(I$5&gt;$D$7,0,H28*Leadsheet!$D92)</f>
        <v>0.20453302587202765</v>
      </c>
      <c r="J29" s="300">
        <f>IF(J$5&gt;$D$7,0,I28*Leadsheet!$D92)</f>
        <v>0.17948638179091175</v>
      </c>
      <c r="K29" s="300">
        <f>IF(K$5&gt;$D$7,0,J28*Leadsheet!$D92)</f>
        <v>0.15565590610753594</v>
      </c>
      <c r="L29" s="300">
        <f>IF(L$5&gt;$D$7,0,K28*Leadsheet!$D92)</f>
        <v>0.13315736915961587</v>
      </c>
      <c r="M29" s="300">
        <f>IF(M$5&gt;$D$7,0,L28*Leadsheet!$D92)</f>
        <v>0.11197396846634179</v>
      </c>
      <c r="N29" s="300">
        <f>IF(N$5&gt;$D$7,0,M28*Leadsheet!$D92)</f>
        <v>9.2092666370186857E-2</v>
      </c>
      <c r="O29" s="300">
        <f>IF(O$5&gt;$D$7,0,N28*Leadsheet!$D92)</f>
        <v>7.3498335592115285E-2</v>
      </c>
      <c r="P29" s="300">
        <f>IF(P$5&gt;$D$7,0,O28*Leadsheet!$D92)</f>
        <v>5.6179060604947914E-2</v>
      </c>
      <c r="Q29" s="300">
        <f>IF(Q$5&gt;$D$7,0,P28*Leadsheet!$D92)</f>
        <v>4.0127575196794635E-2</v>
      </c>
      <c r="R29" s="300">
        <f>IF(R$5&gt;$D$7,0,Q28*Leadsheet!$D92)</f>
        <v>2.5345007185124092E-2</v>
      </c>
      <c r="S29" s="300">
        <f>IF(S$5&gt;$D$7,0,R28*Leadsheet!$D92)</f>
        <v>1.1852477810279814E-2</v>
      </c>
      <c r="T29" s="299">
        <f>IF(T$5&gt;$D$7,0,S28*Leadsheet!$D92)</f>
        <v>0</v>
      </c>
      <c r="U29" s="299">
        <f>IF(U$5&gt;$D$7,0,T28*Leadsheet!$D92)</f>
        <v>0</v>
      </c>
      <c r="V29" s="299">
        <f>IF(V$5&gt;$D$7,0,U28*Leadsheet!$D92)</f>
        <v>0</v>
      </c>
      <c r="W29" s="299">
        <f>IF(W$5&gt;$D$7,0,V28*Leadsheet!$D92)</f>
        <v>0</v>
      </c>
      <c r="X29" s="299">
        <f>IF(X$5&gt;$D$7,0,W28*Leadsheet!$D92)</f>
        <v>0</v>
      </c>
      <c r="Y29" s="299">
        <f>IF(Y$5&gt;$D$7,0,X28*Leadsheet!$D92)</f>
        <v>0</v>
      </c>
      <c r="Z29" s="299">
        <f>IF(Z$5&gt;$D$7,0,Y28*Leadsheet!$D92)</f>
        <v>0</v>
      </c>
      <c r="AA29" s="299">
        <f>IF(AA$5&gt;$D$7,0,Z28*Leadsheet!$D92)</f>
        <v>0</v>
      </c>
      <c r="AB29" s="299">
        <f>IF(AB$5&gt;$D$7,0,AA28*Leadsheet!$D92)</f>
        <v>0</v>
      </c>
      <c r="AC29" s="299">
        <f>IF(AC$5&gt;$D$7,0,AB28*Leadsheet!$D92)</f>
        <v>0</v>
      </c>
      <c r="AD29" s="299">
        <f>IF(AD$5&gt;$D$7,0,AC28*Leadsheet!$D92)</f>
        <v>0</v>
      </c>
      <c r="AE29" s="299">
        <f>IF(AE$5&gt;$D$7,0,AD28*Leadsheet!$D92)</f>
        <v>0</v>
      </c>
      <c r="AF29" s="299">
        <f>IF(AF$5&gt;$D$7,0,AE28*Leadsheet!$D92)</f>
        <v>0</v>
      </c>
      <c r="AG29" s="299">
        <f>IF(AG$5&gt;$D$7,0,AF28*Leadsheet!$D92)</f>
        <v>0</v>
      </c>
      <c r="AH29" s="299">
        <f>IF(AH$5&gt;$D$7,0,AG28*Leadsheet!$D92)</f>
        <v>0</v>
      </c>
      <c r="AI29" s="299">
        <f>IF(AI$5&gt;$D$7,0,AH28*Leadsheet!$D92)</f>
        <v>0</v>
      </c>
      <c r="AJ29" s="299">
        <f>IF(AJ$5&gt;$D$7,0,AI28*Leadsheet!$D92)</f>
        <v>0</v>
      </c>
      <c r="AK29" s="299">
        <f>IF(AK$5&gt;$D$7,0,AJ28*Leadsheet!$D92)</f>
        <v>0</v>
      </c>
      <c r="AL29" s="299">
        <f>IF(AL$5&gt;$D$7,0,AK28*Leadsheet!$D92)</f>
        <v>0</v>
      </c>
      <c r="AM29" s="299">
        <f>IF(AM$5&gt;$D$7,0,AL28*Leadsheet!$D92)</f>
        <v>0</v>
      </c>
      <c r="AN29" s="299">
        <f>IF(AN$5&gt;$D$7,0,AM28*Leadsheet!$D92)</f>
        <v>0</v>
      </c>
      <c r="AO29" s="299">
        <f>IF(AO$5&gt;$D$7,0,AN28*Leadsheet!$D92)</f>
        <v>0</v>
      </c>
      <c r="AP29" s="299">
        <f>IF(AP$5&gt;$D$7,0,AO28*Leadsheet!$D92)</f>
        <v>0</v>
      </c>
      <c r="AQ29" s="299">
        <f>IF(AQ$5&gt;$D$7,0,AP28*Leadsheet!$D92)</f>
        <v>0</v>
      </c>
      <c r="AR29" s="299">
        <f>IF(AR$5&gt;$D$7,0,AQ28*Leadsheet!$D92)</f>
        <v>0</v>
      </c>
      <c r="AS29" s="299">
        <f>IF(AS$5&gt;$D$7,0,AR28*Leadsheet!$D92)</f>
        <v>0</v>
      </c>
      <c r="AT29" s="299">
        <f>IF(AT$5&gt;$D$7,0,AS28*Leadsheet!$D92)</f>
        <v>0</v>
      </c>
      <c r="AU29" s="299">
        <f>IF(AU$5&gt;$D$7,0,AT28*Leadsheet!$D92)</f>
        <v>0</v>
      </c>
      <c r="AV29" s="299">
        <f>IF(AV$5&gt;$D$7,0,AU28*Leadsheet!$D92)</f>
        <v>0</v>
      </c>
      <c r="AW29" s="299">
        <f>IF(AW$5&gt;$D$7,0,AV28*Leadsheet!$D92)</f>
        <v>0</v>
      </c>
      <c r="AX29" s="299">
        <f>IF(AX$5&gt;$D$7,0,AW28*Leadsheet!$D92)</f>
        <v>0</v>
      </c>
      <c r="AY29" s="299">
        <f>IF(AY$5&gt;$D$7,0,AX28*Leadsheet!$D92)</f>
        <v>0</v>
      </c>
      <c r="AZ29" s="299">
        <f>IF(AZ$5&gt;$D$7,0,AY28*Leadsheet!$D92)</f>
        <v>0</v>
      </c>
      <c r="BA29" s="299">
        <f>IF(BA$5&gt;$D$7,0,AZ28*Leadsheet!$D92)</f>
        <v>0</v>
      </c>
      <c r="BB29" s="299">
        <f>IF(BB$5&gt;$D$7,0,BA28*Leadsheet!$D92)</f>
        <v>0</v>
      </c>
      <c r="BC29" s="299">
        <f>IF(BC$5&gt;$D$7,0,BB28*Leadsheet!$D92)</f>
        <v>0</v>
      </c>
      <c r="BD29" s="299">
        <f>IF(BD$5&gt;$D$7,0,BC28*Leadsheet!$D92)</f>
        <v>0</v>
      </c>
      <c r="BE29" s="299">
        <f>IF(BE$5&gt;$D$7,0,BD28*Leadsheet!$D92)</f>
        <v>0</v>
      </c>
      <c r="BF29" s="299">
        <f>IF(BF$5&gt;$D$7,0,BE28*Leadsheet!$D92)</f>
        <v>0</v>
      </c>
      <c r="BG29" s="299">
        <f>IF(BG$5&gt;$D$7,0,BF28*Leadsheet!$D92)</f>
        <v>0</v>
      </c>
      <c r="BH29" s="299">
        <f>IF(BH$5&gt;$D$7,0,BG28*Leadsheet!$D92)</f>
        <v>0</v>
      </c>
      <c r="BI29" s="299">
        <f>IF(BI$5&gt;$D$7,0,BH28*Leadsheet!$D92)</f>
        <v>0</v>
      </c>
      <c r="BJ29" s="299">
        <f>IF(BJ$5&gt;$D$7,0,BI28*Leadsheet!$D92)</f>
        <v>0</v>
      </c>
      <c r="BK29" s="299">
        <f>IF(BK$5&gt;$D$7,0,BJ28*Leadsheet!$D92)</f>
        <v>0</v>
      </c>
      <c r="BL29" s="299">
        <f>IF(BL$5&gt;$D$7,0,BK28*Leadsheet!$D92)</f>
        <v>0</v>
      </c>
    </row>
    <row r="30" spans="1:64" s="171" customFormat="1" x14ac:dyDescent="0.15">
      <c r="A30" s="297" t="s">
        <v>413</v>
      </c>
      <c r="B30" s="298">
        <v>90</v>
      </c>
      <c r="C30" s="115" t="s">
        <v>416</v>
      </c>
      <c r="D30" s="299"/>
      <c r="E30" s="300">
        <f>IF(E$5&gt;$D$7,0,D29*Leadsheet!$D93)</f>
        <v>0</v>
      </c>
      <c r="F30" s="300">
        <f>IF(F$5&gt;$D$7,0,E29*Leadsheet!$D93)</f>
        <v>0</v>
      </c>
      <c r="G30" s="300">
        <f>IF(G$5&gt;$D$7,0,F29*Leadsheet!$D93)</f>
        <v>0.33515299013469091</v>
      </c>
      <c r="H30" s="300">
        <f>IF(H$5&gt;$D$7,0,G29*Leadsheet!$D93)</f>
        <v>0.27969027490654119</v>
      </c>
      <c r="I30" s="300">
        <f>IF(I$5&gt;$D$7,0,H29*Leadsheet!$D93)</f>
        <v>0.2395161068197075</v>
      </c>
      <c r="J30" s="300">
        <f>IF(J$5&gt;$D$7,0,I29*Leadsheet!$D93)</f>
        <v>0.20254344800101154</v>
      </c>
      <c r="K30" s="300">
        <f>IF(K$5&gt;$D$7,0,J29*Leadsheet!$D93)</f>
        <v>0.17774044305149575</v>
      </c>
      <c r="L30" s="300">
        <f>IF(L$5&gt;$D$7,0,K29*Leadsheet!$D93)</f>
        <v>0.15414177632353576</v>
      </c>
      <c r="M30" s="300">
        <f>IF(M$5&gt;$D$7,0,L29*Leadsheet!$D93)</f>
        <v>0.13186209200858767</v>
      </c>
      <c r="N30" s="300">
        <f>IF(N$5&gt;$D$7,0,M29*Leadsheet!$D93)</f>
        <v>0.11088475107056592</v>
      </c>
      <c r="O30" s="300">
        <f>IF(O$5&gt;$D$7,0,N29*Leadsheet!$D93)</f>
        <v>9.1196842674664769E-2</v>
      </c>
      <c r="P30" s="300">
        <f>IF(P$5&gt;$D$7,0,O29*Leadsheet!$D93)</f>
        <v>7.2783386691187751E-2</v>
      </c>
      <c r="Q30" s="300">
        <f>IF(Q$5&gt;$D$7,0,P29*Leadsheet!$D93)</f>
        <v>5.5632583500247905E-2</v>
      </c>
      <c r="R30" s="300">
        <f>IF(R$5&gt;$D$7,0,Q29*Leadsheet!$D93)</f>
        <v>3.9737237571422439E-2</v>
      </c>
      <c r="S30" s="300">
        <f>IF(S$5&gt;$D$7,0,R29*Leadsheet!$D93)</f>
        <v>2.5098465751430064E-2</v>
      </c>
      <c r="T30" s="299">
        <f>IF(T$5&gt;$D$7,0,S29*Leadsheet!$D93)</f>
        <v>1.173718382551866E-2</v>
      </c>
      <c r="U30" s="299">
        <f>IF(U$5&gt;$D$7,0,T29*Leadsheet!$D93)</f>
        <v>0</v>
      </c>
      <c r="V30" s="299">
        <f>IF(V$5&gt;$D$7,0,U29*Leadsheet!$D93)</f>
        <v>0</v>
      </c>
      <c r="W30" s="299">
        <f>IF(W$5&gt;$D$7,0,V29*Leadsheet!$D93)</f>
        <v>0</v>
      </c>
      <c r="X30" s="299">
        <f>IF(X$5&gt;$D$7,0,W29*Leadsheet!$D93)</f>
        <v>0</v>
      </c>
      <c r="Y30" s="299">
        <f>IF(Y$5&gt;$D$7,0,X29*Leadsheet!$D93)</f>
        <v>0</v>
      </c>
      <c r="Z30" s="299">
        <f>IF(Z$5&gt;$D$7,0,Y29*Leadsheet!$D93)</f>
        <v>0</v>
      </c>
      <c r="AA30" s="299">
        <f>IF(AA$5&gt;$D$7,0,Z29*Leadsheet!$D93)</f>
        <v>0</v>
      </c>
      <c r="AB30" s="299">
        <f>IF(AB$5&gt;$D$7,0,AA29*Leadsheet!$D93)</f>
        <v>0</v>
      </c>
      <c r="AC30" s="299">
        <f>IF(AC$5&gt;$D$7,0,AB29*Leadsheet!$D93)</f>
        <v>0</v>
      </c>
      <c r="AD30" s="299">
        <f>IF(AD$5&gt;$D$7,0,AC29*Leadsheet!$D93)</f>
        <v>0</v>
      </c>
      <c r="AE30" s="299">
        <f>IF(AE$5&gt;$D$7,0,AD29*Leadsheet!$D93)</f>
        <v>0</v>
      </c>
      <c r="AF30" s="299">
        <f>IF(AF$5&gt;$D$7,0,AE29*Leadsheet!$D93)</f>
        <v>0</v>
      </c>
      <c r="AG30" s="299">
        <f>IF(AG$5&gt;$D$7,0,AF29*Leadsheet!$D93)</f>
        <v>0</v>
      </c>
      <c r="AH30" s="299">
        <f>IF(AH$5&gt;$D$7,0,AG29*Leadsheet!$D93)</f>
        <v>0</v>
      </c>
      <c r="AI30" s="299">
        <f>IF(AI$5&gt;$D$7,0,AH29*Leadsheet!$D93)</f>
        <v>0</v>
      </c>
      <c r="AJ30" s="299">
        <f>IF(AJ$5&gt;$D$7,0,AI29*Leadsheet!$D93)</f>
        <v>0</v>
      </c>
      <c r="AK30" s="299">
        <f>IF(AK$5&gt;$D$7,0,AJ29*Leadsheet!$D93)</f>
        <v>0</v>
      </c>
      <c r="AL30" s="299">
        <f>IF(AL$5&gt;$D$7,0,AK29*Leadsheet!$D93)</f>
        <v>0</v>
      </c>
      <c r="AM30" s="299">
        <f>IF(AM$5&gt;$D$7,0,AL29*Leadsheet!$D93)</f>
        <v>0</v>
      </c>
      <c r="AN30" s="299">
        <f>IF(AN$5&gt;$D$7,0,AM29*Leadsheet!$D93)</f>
        <v>0</v>
      </c>
      <c r="AO30" s="299">
        <f>IF(AO$5&gt;$D$7,0,AN29*Leadsheet!$D93)</f>
        <v>0</v>
      </c>
      <c r="AP30" s="299">
        <f>IF(AP$5&gt;$D$7,0,AO29*Leadsheet!$D93)</f>
        <v>0</v>
      </c>
      <c r="AQ30" s="299">
        <f>IF(AQ$5&gt;$D$7,0,AP29*Leadsheet!$D93)</f>
        <v>0</v>
      </c>
      <c r="AR30" s="299">
        <f>IF(AR$5&gt;$D$7,0,AQ29*Leadsheet!$D93)</f>
        <v>0</v>
      </c>
      <c r="AS30" s="299">
        <f>IF(AS$5&gt;$D$7,0,AR29*Leadsheet!$D93)</f>
        <v>0</v>
      </c>
      <c r="AT30" s="299">
        <f>IF(AT$5&gt;$D$7,0,AS29*Leadsheet!$D93)</f>
        <v>0</v>
      </c>
      <c r="AU30" s="299">
        <f>IF(AU$5&gt;$D$7,0,AT29*Leadsheet!$D93)</f>
        <v>0</v>
      </c>
      <c r="AV30" s="299">
        <v>0</v>
      </c>
      <c r="AW30" s="299">
        <f>IF(AW$5&gt;$D$7,0,AV29*Leadsheet!$D93)</f>
        <v>0</v>
      </c>
      <c r="AX30" s="299">
        <f>IF(AX$5&gt;$D$7,0,AW29*Leadsheet!$D93)</f>
        <v>0</v>
      </c>
      <c r="AY30" s="299">
        <f>IF(AY$5&gt;$D$7,0,AX29*Leadsheet!$D93)</f>
        <v>0</v>
      </c>
      <c r="AZ30" s="299">
        <f>IF(AZ$5&gt;$D$7,0,AY29*Leadsheet!$D93)</f>
        <v>0</v>
      </c>
      <c r="BA30" s="299">
        <f>IF(BA$5&gt;$D$7,0,AZ29*Leadsheet!$D93)</f>
        <v>0</v>
      </c>
      <c r="BB30" s="299">
        <f>IF(BB$5&gt;$D$7,0,BA29*Leadsheet!$D93)</f>
        <v>0</v>
      </c>
      <c r="BC30" s="299">
        <f>IF(BC$5&gt;$D$7,0,BB29*Leadsheet!$D93)</f>
        <v>0</v>
      </c>
      <c r="BD30" s="299">
        <f>IF(BD$5&gt;$D$7,0,BC29*Leadsheet!$D93)</f>
        <v>0</v>
      </c>
      <c r="BE30" s="299">
        <f>IF(BE$5&gt;$D$7,0,BD29*Leadsheet!$D93)</f>
        <v>0</v>
      </c>
      <c r="BF30" s="299">
        <f>IF(BF$5&gt;$D$7,0,BE29*Leadsheet!$D93)</f>
        <v>0</v>
      </c>
      <c r="BG30" s="299">
        <f>IF(BG$5&gt;$D$7,0,BF29*Leadsheet!$D93)</f>
        <v>0</v>
      </c>
      <c r="BH30" s="299">
        <f>IF(BH$5&gt;$D$7,0,BG29*Leadsheet!$D93)</f>
        <v>0</v>
      </c>
      <c r="BI30" s="299">
        <f>IF(BI$5&gt;$D$7,0,BH29*Leadsheet!$D93)</f>
        <v>0</v>
      </c>
      <c r="BJ30" s="299">
        <f>IF(BJ$5&gt;$D$7,0,BI29*Leadsheet!$D93)</f>
        <v>0</v>
      </c>
      <c r="BK30" s="299">
        <f>IF(BK$5&gt;$D$7,0,BJ29*Leadsheet!$D93)</f>
        <v>0</v>
      </c>
      <c r="BL30" s="299">
        <f>IF(BL$5&gt;$D$7,0,BK29*Leadsheet!$D93)</f>
        <v>0</v>
      </c>
    </row>
    <row r="31" spans="1:64" x14ac:dyDescent="0.15">
      <c r="A31" s="301" t="s">
        <v>417</v>
      </c>
      <c r="B31" s="302">
        <v>120</v>
      </c>
      <c r="C31" s="115" t="s">
        <v>418</v>
      </c>
      <c r="D31" s="303"/>
      <c r="E31" s="300">
        <f>IF(E$5&gt;$D$7,0,D30*Leadsheet!$D94)</f>
        <v>0</v>
      </c>
      <c r="F31" s="300">
        <f>IF(F$5&gt;$D$7,0,E30*Leadsheet!$D94)</f>
        <v>0</v>
      </c>
      <c r="G31" s="300">
        <f>IF(G$5&gt;$D$7,0,F30*Leadsheet!$D94)</f>
        <v>0</v>
      </c>
      <c r="H31" s="300">
        <f>IF(H$5&gt;$D$7,0,G30*Leadsheet!$D94)</f>
        <v>0.33018242727950858</v>
      </c>
      <c r="I31" s="300">
        <f>IF(I$5&gt;$D$7,0,H30*Leadsheet!$D94)</f>
        <v>0.2755422644983766</v>
      </c>
      <c r="J31" s="300">
        <f>IF(J$5&gt;$D$7,0,I30*Leadsheet!$D94)</f>
        <v>0.23596390857347535</v>
      </c>
      <c r="K31" s="300">
        <f>IF(K$5&gt;$D$7,0,J30*Leadsheet!$D94)</f>
        <v>0.19953958120337448</v>
      </c>
      <c r="L31" s="300">
        <f>IF(L$5&gt;$D$7,0,K30*Leadsheet!$D94)</f>
        <v>0.17510442287533573</v>
      </c>
      <c r="M31" s="300">
        <f>IF(M$5&gt;$D$7,0,L30*Leadsheet!$D94)</f>
        <v>0.15185574155619661</v>
      </c>
      <c r="N31" s="300">
        <f>IF(N$5&gt;$D$7,0,M30*Leadsheet!$D94)</f>
        <v>0.12990648118058606</v>
      </c>
      <c r="O31" s="300">
        <f>IF(O$5&gt;$D$7,0,N30*Leadsheet!$D94)</f>
        <v>0.10924024948143794</v>
      </c>
      <c r="P31" s="300">
        <f>IF(P$5&gt;$D$7,0,O30*Leadsheet!$D94)</f>
        <v>8.9844327101026536E-2</v>
      </c>
      <c r="Q31" s="300">
        <f>IF(Q$5&gt;$D$7,0,P30*Leadsheet!$D94)</f>
        <v>7.1703956075885172E-2</v>
      </c>
      <c r="R31" s="300">
        <f>IF(R$5&gt;$D$7,0,Q30*Leadsheet!$D94)</f>
        <v>5.480751178308068E-2</v>
      </c>
      <c r="S31" s="300">
        <f>IF(S$5&gt;$D$7,0,R30*Leadsheet!$D94)</f>
        <v>3.9147905407145196E-2</v>
      </c>
      <c r="T31" s="299">
        <f>IF(T$5&gt;$D$7,0,S30*Leadsheet!$D94)</f>
        <v>2.4726237231147467E-2</v>
      </c>
      <c r="U31" s="299">
        <f>IF(U$5&gt;$D$7,0,T30*Leadsheet!$D94)</f>
        <v>1.1563112844012204E-2</v>
      </c>
      <c r="V31" s="299">
        <f>IF(V$5&gt;$D$7,0,U30*Leadsheet!$D94)</f>
        <v>0</v>
      </c>
      <c r="W31" s="299">
        <f>IF(W$5&gt;$D$7,0,V30*Leadsheet!$D94)</f>
        <v>0</v>
      </c>
      <c r="X31" s="299">
        <f>IF(X$5&gt;$D$7,0,W30*Leadsheet!$D94)</f>
        <v>0</v>
      </c>
      <c r="Y31" s="299">
        <f>IF(Y$5&gt;$D$7,0,X30*Leadsheet!$D94)</f>
        <v>0</v>
      </c>
      <c r="Z31" s="299">
        <f>IF(Z$5&gt;$D$7,0,Y30*Leadsheet!$D94)</f>
        <v>0</v>
      </c>
      <c r="AA31" s="299">
        <f>IF(AA$5&gt;$D$7,0,Z30*Leadsheet!$D94)</f>
        <v>0</v>
      </c>
      <c r="AB31" s="299">
        <f>IF(AB$5&gt;$D$7,0,AA30*Leadsheet!$D94)</f>
        <v>0</v>
      </c>
      <c r="AC31" s="299">
        <f>IF(AC$5&gt;$D$7,0,AB30*Leadsheet!$D94)</f>
        <v>0</v>
      </c>
      <c r="AD31" s="299">
        <f>IF(AD$5&gt;$D$7,0,AC30*Leadsheet!$D94)</f>
        <v>0</v>
      </c>
      <c r="AE31" s="299">
        <f>IF(AE$5&gt;$D$7,0,AD30*Leadsheet!$D94)</f>
        <v>0</v>
      </c>
      <c r="AF31" s="299">
        <f>IF(AF$5&gt;$D$7,0,AE30*Leadsheet!$D94)</f>
        <v>0</v>
      </c>
      <c r="AG31" s="299">
        <f>IF(AG$5&gt;$D$7,0,AF30*Leadsheet!$D94)</f>
        <v>0</v>
      </c>
      <c r="AH31" s="299">
        <f>IF(AH$5&gt;$D$7,0,AG30*Leadsheet!$D94)</f>
        <v>0</v>
      </c>
      <c r="AI31" s="299">
        <f>IF(AI$5&gt;$D$7,0,AH30*Leadsheet!$D94)</f>
        <v>0</v>
      </c>
      <c r="AJ31" s="299">
        <f>IF(AJ$5&gt;$D$7,0,AI30*Leadsheet!$D94)</f>
        <v>0</v>
      </c>
      <c r="AK31" s="299">
        <f>IF(AK$5&gt;$D$7,0,AJ30*Leadsheet!$D94)</f>
        <v>0</v>
      </c>
      <c r="AL31" s="299">
        <f>IF(AL$5&gt;$D$7,0,AK30*Leadsheet!$D94)</f>
        <v>0</v>
      </c>
      <c r="AM31" s="299">
        <f>IF(AM$5&gt;$D$7,0,AL30*Leadsheet!$D94)</f>
        <v>0</v>
      </c>
      <c r="AN31" s="299">
        <f>IF(AN$5&gt;$D$7,0,AM30*Leadsheet!$D94)</f>
        <v>0</v>
      </c>
      <c r="AO31" s="299">
        <f>IF(AO$5&gt;$D$7,0,AN30*Leadsheet!$D94)</f>
        <v>0</v>
      </c>
      <c r="AP31" s="299">
        <f>IF(AP$5&gt;$D$7,0,AO30*Leadsheet!$D94)</f>
        <v>0</v>
      </c>
      <c r="AQ31" s="299">
        <f>IF(AQ$5&gt;$D$7,0,AP30*Leadsheet!$D94)</f>
        <v>0</v>
      </c>
      <c r="AR31" s="299">
        <f>IF(AR$5&gt;$D$7,0,AQ30*Leadsheet!$D94)</f>
        <v>0</v>
      </c>
      <c r="AS31" s="299">
        <f>IF(AS$5&gt;$D$7,0,AR30*Leadsheet!$D94)</f>
        <v>0</v>
      </c>
      <c r="AT31" s="299">
        <f>IF(AT$5&gt;$D$7,0,AS30*Leadsheet!$D94)</f>
        <v>0</v>
      </c>
      <c r="AU31" s="299">
        <f>IF(AU$5&gt;$D$7,0,AT30*Leadsheet!$D94)</f>
        <v>0</v>
      </c>
      <c r="AV31" s="299">
        <f>IF(AV$5&gt;$D$7,0,AU30*Leadsheet!$D94)</f>
        <v>0</v>
      </c>
      <c r="AW31" s="299">
        <f>IF(AW$5&gt;$D$7,0,AV30*Leadsheet!$D94)</f>
        <v>0</v>
      </c>
      <c r="AX31" s="299">
        <f>IF(AX$5&gt;$D$7,0,AW30*Leadsheet!$D94)</f>
        <v>0</v>
      </c>
      <c r="AY31" s="299">
        <f>IF(AY$5&gt;$D$7,0,AX30*Leadsheet!$D94)</f>
        <v>0</v>
      </c>
      <c r="AZ31" s="299">
        <f>IF(AZ$5&gt;$D$7,0,AY30*Leadsheet!$D94)</f>
        <v>0</v>
      </c>
      <c r="BA31" s="299">
        <f>IF(BA$5&gt;$D$7,0,AZ30*Leadsheet!$D94)</f>
        <v>0</v>
      </c>
      <c r="BB31" s="299">
        <f>IF(BB$5&gt;$D$7,0,BA30*Leadsheet!$D94)</f>
        <v>0</v>
      </c>
      <c r="BC31" s="299">
        <f>IF(BC$5&gt;$D$7,0,BB30*Leadsheet!$D94)</f>
        <v>0</v>
      </c>
      <c r="BD31" s="299">
        <f>IF(BD$5&gt;$D$7,0,BC30*Leadsheet!$D94)</f>
        <v>0</v>
      </c>
      <c r="BE31" s="299">
        <f>IF(BE$5&gt;$D$7,0,BD30*Leadsheet!$D94)</f>
        <v>0</v>
      </c>
      <c r="BF31" s="299">
        <f>IF(BF$5&gt;$D$7,0,BE30*Leadsheet!$D94)</f>
        <v>0</v>
      </c>
      <c r="BG31" s="299">
        <f>IF(BG$5&gt;$D$7,0,BF30*Leadsheet!$D94)</f>
        <v>0</v>
      </c>
      <c r="BH31" s="299">
        <f>IF(BH$5&gt;$D$7,0,BG30*Leadsheet!$D94)</f>
        <v>0</v>
      </c>
      <c r="BI31" s="299">
        <f>IF(BI$5&gt;$D$7,0,BH30*Leadsheet!$D94)</f>
        <v>0</v>
      </c>
      <c r="BJ31" s="299">
        <f>IF(BJ$5&gt;$D$7,0,BI30*Leadsheet!$D94)</f>
        <v>0</v>
      </c>
      <c r="BK31" s="299">
        <f>IF(BK$5&gt;$D$7,0,BJ30*Leadsheet!$D94)</f>
        <v>0</v>
      </c>
      <c r="BL31" s="299">
        <f>IF(BL$5&gt;$D$7,0,BK30*Leadsheet!$D94)</f>
        <v>0</v>
      </c>
    </row>
    <row r="32" spans="1:64" x14ac:dyDescent="0.15">
      <c r="A32" s="301" t="s">
        <v>417</v>
      </c>
      <c r="B32" s="302">
        <v>150</v>
      </c>
      <c r="C32" s="115" t="s">
        <v>419</v>
      </c>
      <c r="D32" s="303"/>
      <c r="E32" s="300">
        <f>IF(E$5&gt;$D$7,0,D31*Leadsheet!$D95)</f>
        <v>0</v>
      </c>
      <c r="F32" s="300">
        <f>IF(F$5&gt;$D$7,0,E31*Leadsheet!$D95)</f>
        <v>0</v>
      </c>
      <c r="G32" s="300">
        <f>IF(G$5&gt;$D$7,0,F31*Leadsheet!$D95)</f>
        <v>0</v>
      </c>
      <c r="H32" s="300">
        <f>IF(H$5&gt;$D$7,0,G31*Leadsheet!$D95)</f>
        <v>0</v>
      </c>
      <c r="I32" s="300">
        <f>IF(I$5&gt;$D$7,0,H31*Leadsheet!$D95)</f>
        <v>0.33018242727950858</v>
      </c>
      <c r="J32" s="300">
        <f>IF(J$5&gt;$D$7,0,I31*Leadsheet!$D95)</f>
        <v>0.2755422644983766</v>
      </c>
      <c r="K32" s="300">
        <f>IF(K$5&gt;$D$7,0,J31*Leadsheet!$D95)</f>
        <v>0.23596390857347535</v>
      </c>
      <c r="L32" s="300">
        <f>IF(L$5&gt;$D$7,0,K31*Leadsheet!$D95)</f>
        <v>0.19953958120337448</v>
      </c>
      <c r="M32" s="300">
        <f>IF(M$5&gt;$D$7,0,L31*Leadsheet!$D95)</f>
        <v>0.17510442287533573</v>
      </c>
      <c r="N32" s="300">
        <f>IF(N$5&gt;$D$7,0,M31*Leadsheet!$D95)</f>
        <v>0.15185574155619661</v>
      </c>
      <c r="O32" s="300">
        <f>IF(O$5&gt;$D$7,0,N31*Leadsheet!$D95)</f>
        <v>0.12990648118058606</v>
      </c>
      <c r="P32" s="300">
        <f>IF(P$5&gt;$D$7,0,O31*Leadsheet!$D95)</f>
        <v>0.10924024948143794</v>
      </c>
      <c r="Q32" s="300">
        <f>IF(Q$5&gt;$D$7,0,P31*Leadsheet!$D95)</f>
        <v>8.9844327101026536E-2</v>
      </c>
      <c r="R32" s="300">
        <f>IF(R$5&gt;$D$7,0,Q31*Leadsheet!$D95)</f>
        <v>7.1703956075885172E-2</v>
      </c>
      <c r="S32" s="300">
        <f>IF(S$5&gt;$D$7,0,R31*Leadsheet!$D95)</f>
        <v>5.480751178308068E-2</v>
      </c>
      <c r="T32" s="299">
        <f>IF(T$5&gt;$D$7,0,S31*Leadsheet!$D95)</f>
        <v>3.9147905407145196E-2</v>
      </c>
      <c r="U32" s="299">
        <f>IF(U$5&gt;$D$7,0,T31*Leadsheet!$D95)</f>
        <v>2.4726237231147467E-2</v>
      </c>
      <c r="V32" s="299">
        <f>IF(V$5&gt;$D$7,0,U31*Leadsheet!$D95)</f>
        <v>1.1563112844012204E-2</v>
      </c>
      <c r="W32" s="299">
        <f>IF(W$5&gt;$D$7,0,V31*Leadsheet!$D95)</f>
        <v>0</v>
      </c>
      <c r="X32" s="299">
        <f>IF(X$5&gt;$D$7,0,W31*Leadsheet!$D95)</f>
        <v>0</v>
      </c>
      <c r="Y32" s="299">
        <f>IF(Y$5&gt;$D$7,0,X31*Leadsheet!$D95)</f>
        <v>0</v>
      </c>
      <c r="Z32" s="299">
        <f>IF(Z$5&gt;$D$7,0,Y31*Leadsheet!$D95)</f>
        <v>0</v>
      </c>
      <c r="AA32" s="299">
        <f>IF(AA$5&gt;$D$7,0,Z31*Leadsheet!$D95)</f>
        <v>0</v>
      </c>
      <c r="AB32" s="299">
        <f>IF(AB$5&gt;$D$7,0,AA31*Leadsheet!$D95)</f>
        <v>0</v>
      </c>
      <c r="AC32" s="299">
        <f>IF(AC$5&gt;$D$7,0,AB31*Leadsheet!$D95)</f>
        <v>0</v>
      </c>
      <c r="AD32" s="299">
        <f>IF(AD$5&gt;$D$7,0,AC31*Leadsheet!$D95)</f>
        <v>0</v>
      </c>
      <c r="AE32" s="299">
        <f>IF(AE$5&gt;$D$7,0,AD31*Leadsheet!$D95)</f>
        <v>0</v>
      </c>
      <c r="AF32" s="299">
        <f>IF(AF$5&gt;$D$7,0,AE31*Leadsheet!$D95)</f>
        <v>0</v>
      </c>
      <c r="AG32" s="299">
        <f>IF(AG$5&gt;$D$7,0,AF31*Leadsheet!$D95)</f>
        <v>0</v>
      </c>
      <c r="AH32" s="299">
        <f>IF(AH$5&gt;$D$7,0,AG31*Leadsheet!$D95)</f>
        <v>0</v>
      </c>
      <c r="AI32" s="299">
        <f>IF(AI$5&gt;$D$7,0,AH31*Leadsheet!$D95)</f>
        <v>0</v>
      </c>
      <c r="AJ32" s="299">
        <f>IF(AJ$5&gt;$D$7,0,AI31*Leadsheet!$D95)</f>
        <v>0</v>
      </c>
      <c r="AK32" s="299">
        <f>IF(AK$5&gt;$D$7,0,AJ31*Leadsheet!$D95)</f>
        <v>0</v>
      </c>
      <c r="AL32" s="299">
        <f>IF(AL$5&gt;$D$7,0,AK31*Leadsheet!$D95)</f>
        <v>0</v>
      </c>
      <c r="AM32" s="299">
        <f>IF(AM$5&gt;$D$7,0,AL31*Leadsheet!$D95)</f>
        <v>0</v>
      </c>
      <c r="AN32" s="299">
        <f>IF(AN$5&gt;$D$7,0,AM31*Leadsheet!$D95)</f>
        <v>0</v>
      </c>
      <c r="AO32" s="299">
        <f>IF(AO$5&gt;$D$7,0,AN31*Leadsheet!$D95)</f>
        <v>0</v>
      </c>
      <c r="AP32" s="299">
        <f>IF(AP$5&gt;$D$7,0,AO31*Leadsheet!$D95)</f>
        <v>0</v>
      </c>
      <c r="AQ32" s="299">
        <f>IF(AQ$5&gt;$D$7,0,AP31*Leadsheet!$D95)</f>
        <v>0</v>
      </c>
      <c r="AR32" s="299">
        <f>IF(AR$5&gt;$D$7,0,AQ31*Leadsheet!$D95)</f>
        <v>0</v>
      </c>
      <c r="AS32" s="299">
        <f>IF(AS$5&gt;$D$7,0,AR31*Leadsheet!$D95)</f>
        <v>0</v>
      </c>
      <c r="AT32" s="299">
        <f>IF(AT$5&gt;$D$7,0,AS31*Leadsheet!$D95)</f>
        <v>0</v>
      </c>
      <c r="AU32" s="299">
        <f>IF(AU$5&gt;$D$7,0,AT31*Leadsheet!$D95)</f>
        <v>0</v>
      </c>
      <c r="AV32" s="299">
        <f>IF(AV$5&gt;$D$7,0,AU31*Leadsheet!$D95)</f>
        <v>0</v>
      </c>
      <c r="AW32" s="299">
        <f>IF(AW$5&gt;$D$7,0,AV31*Leadsheet!$D95)</f>
        <v>0</v>
      </c>
      <c r="AX32" s="299">
        <f>IF(AX$5&gt;$D$7,0,AW31*Leadsheet!$D95)</f>
        <v>0</v>
      </c>
      <c r="AY32" s="299">
        <f>IF(AY$5&gt;$D$7,0,AX31*Leadsheet!$D95)</f>
        <v>0</v>
      </c>
      <c r="AZ32" s="299">
        <f>IF(AZ$5&gt;$D$7,0,AY31*Leadsheet!$D95)</f>
        <v>0</v>
      </c>
      <c r="BA32" s="299">
        <f>IF(BA$5&gt;$D$7,0,AZ31*Leadsheet!$D95)</f>
        <v>0</v>
      </c>
      <c r="BB32" s="299">
        <f>IF(BB$5&gt;$D$7,0,BA31*Leadsheet!$D95)</f>
        <v>0</v>
      </c>
      <c r="BC32" s="299">
        <f>IF(BC$5&gt;$D$7,0,BB31*Leadsheet!$D95)</f>
        <v>0</v>
      </c>
      <c r="BD32" s="299">
        <f>IF(BD$5&gt;$D$7,0,BC31*Leadsheet!$D95)</f>
        <v>0</v>
      </c>
      <c r="BE32" s="299">
        <f>IF(BE$5&gt;$D$7,0,BD31*Leadsheet!$D95)</f>
        <v>0</v>
      </c>
      <c r="BF32" s="299">
        <f>IF(BF$5&gt;$D$7,0,BE31*Leadsheet!$D95)</f>
        <v>0</v>
      </c>
      <c r="BG32" s="299">
        <f>IF(BG$5&gt;$D$7,0,BF31*Leadsheet!$D95)</f>
        <v>0</v>
      </c>
      <c r="BH32" s="299">
        <f>IF(BH$5&gt;$D$7,0,BG31*Leadsheet!$D95)</f>
        <v>0</v>
      </c>
      <c r="BI32" s="299">
        <f>IF(BI$5&gt;$D$7,0,BH31*Leadsheet!$D95)</f>
        <v>0</v>
      </c>
      <c r="BJ32" s="299">
        <f>IF(BJ$5&gt;$D$7,0,BI31*Leadsheet!$D95)</f>
        <v>0</v>
      </c>
      <c r="BK32" s="299">
        <f>IF(BK$5&gt;$D$7,0,BJ31*Leadsheet!$D95)</f>
        <v>0</v>
      </c>
      <c r="BL32" s="299">
        <f>IF(BL$5&gt;$D$7,0,BK31*Leadsheet!$D95)</f>
        <v>0</v>
      </c>
    </row>
    <row r="33" spans="1:64" s="186" customFormat="1" x14ac:dyDescent="0.15">
      <c r="A33" s="301" t="s">
        <v>417</v>
      </c>
      <c r="B33" s="302">
        <v>180</v>
      </c>
      <c r="C33" s="115" t="s">
        <v>420</v>
      </c>
      <c r="D33" s="304"/>
      <c r="E33" s="300">
        <f>IF(E$5&gt;$D$7,0,D32*Leadsheet!$D96)</f>
        <v>0</v>
      </c>
      <c r="F33" s="300">
        <f>IF(F$5&gt;$D$7,0,E32*Leadsheet!$D96)</f>
        <v>0</v>
      </c>
      <c r="G33" s="300">
        <f>IF(G$5&gt;$D$7,0,F32*Leadsheet!$D96)</f>
        <v>0</v>
      </c>
      <c r="H33" s="300">
        <f>IF(H$5&gt;$D$7,0,G32*Leadsheet!$D96)</f>
        <v>0</v>
      </c>
      <c r="I33" s="300">
        <f>IF(I$5&gt;$D$7,0,H32*Leadsheet!$D96)</f>
        <v>0</v>
      </c>
      <c r="J33" s="300">
        <f>IF(J$5&gt;$D$7,0,I32*Leadsheet!$D96)</f>
        <v>0.33018242727950858</v>
      </c>
      <c r="K33" s="300">
        <f>IF(K$5&gt;$D$7,0,J32*Leadsheet!$D96)</f>
        <v>0.2755422644983766</v>
      </c>
      <c r="L33" s="300">
        <f>IF(L$5&gt;$D$7,0,K32*Leadsheet!$D96)</f>
        <v>0.23596390857347535</v>
      </c>
      <c r="M33" s="300">
        <f>IF(M$5&gt;$D$7,0,L32*Leadsheet!$D96)</f>
        <v>0.19953958120337448</v>
      </c>
      <c r="N33" s="300">
        <f>IF(N$5&gt;$D$7,0,M32*Leadsheet!$D96)</f>
        <v>0.17510442287533573</v>
      </c>
      <c r="O33" s="300">
        <f>IF(O$5&gt;$D$7,0,N32*Leadsheet!$D96)</f>
        <v>0.15185574155619661</v>
      </c>
      <c r="P33" s="300">
        <f>IF(P$5&gt;$D$7,0,O32*Leadsheet!$D96)</f>
        <v>0.12990648118058606</v>
      </c>
      <c r="Q33" s="300">
        <f>IF(Q$5&gt;$D$7,0,P32*Leadsheet!$D96)</f>
        <v>0.10924024948143794</v>
      </c>
      <c r="R33" s="300">
        <f>IF(R$5&gt;$D$7,0,Q32*Leadsheet!$D96)</f>
        <v>8.9844327101026536E-2</v>
      </c>
      <c r="S33" s="300">
        <f>IF(S$5&gt;$D$7,0,R32*Leadsheet!$D96)</f>
        <v>7.1703956075885172E-2</v>
      </c>
      <c r="T33" s="299">
        <f>IF(T$5&gt;$D$7,0,S32*Leadsheet!$D96)</f>
        <v>5.480751178308068E-2</v>
      </c>
      <c r="U33" s="299">
        <f>IF(U$5&gt;$D$7,0,T32*Leadsheet!$D96)</f>
        <v>3.9147905407145196E-2</v>
      </c>
      <c r="V33" s="299">
        <f>IF(V$5&gt;$D$7,0,U32*Leadsheet!$D96)</f>
        <v>2.4726237231147467E-2</v>
      </c>
      <c r="W33" s="299">
        <f>IF(W$5&gt;$D$7,0,V32*Leadsheet!$D96)</f>
        <v>1.1563112844012204E-2</v>
      </c>
      <c r="X33" s="299">
        <f>IF(X$5&gt;$D$7,0,W32*Leadsheet!$D96)</f>
        <v>0</v>
      </c>
      <c r="Y33" s="299">
        <f>IF(Y$5&gt;$D$7,0,X32*Leadsheet!$D96)</f>
        <v>0</v>
      </c>
      <c r="Z33" s="299">
        <f>IF(Z$5&gt;$D$7,0,Y32*Leadsheet!$D96)</f>
        <v>0</v>
      </c>
      <c r="AA33" s="299">
        <f>IF(AA$5&gt;$D$7,0,Z32*Leadsheet!$D96)</f>
        <v>0</v>
      </c>
      <c r="AB33" s="299">
        <f>IF(AB$5&gt;$D$7,0,AA32*Leadsheet!$D96)</f>
        <v>0</v>
      </c>
      <c r="AC33" s="299">
        <f>IF(AC$5&gt;$D$7,0,AB32*Leadsheet!$D96)</f>
        <v>0</v>
      </c>
      <c r="AD33" s="299">
        <f>IF(AD$5&gt;$D$7,0,AC32*Leadsheet!$D96)</f>
        <v>0</v>
      </c>
      <c r="AE33" s="299">
        <f>IF(AE$5&gt;$D$7,0,AD32*Leadsheet!$D96)</f>
        <v>0</v>
      </c>
      <c r="AF33" s="299">
        <f>IF(AF$5&gt;$D$7,0,AE32*Leadsheet!$D96)</f>
        <v>0</v>
      </c>
      <c r="AG33" s="299">
        <f>IF(AG$5&gt;$D$7,0,AF32*Leadsheet!$D96)</f>
        <v>0</v>
      </c>
      <c r="AH33" s="299">
        <f>IF(AH$5&gt;$D$7,0,AG32*Leadsheet!$D96)</f>
        <v>0</v>
      </c>
      <c r="AI33" s="299">
        <f>IF(AI$5&gt;$D$7,0,AH32*Leadsheet!$D96)</f>
        <v>0</v>
      </c>
      <c r="AJ33" s="299">
        <f>IF(AJ$5&gt;$D$7,0,AI32*Leadsheet!$D96)</f>
        <v>0</v>
      </c>
      <c r="AK33" s="299">
        <f>IF(AK$5&gt;$D$7,0,AJ32*Leadsheet!$D96)</f>
        <v>0</v>
      </c>
      <c r="AL33" s="299">
        <f>IF(AL$5&gt;$D$7,0,AK32*Leadsheet!$D96)</f>
        <v>0</v>
      </c>
      <c r="AM33" s="299">
        <f>IF(AM$5&gt;$D$7,0,AL32*Leadsheet!$D96)</f>
        <v>0</v>
      </c>
      <c r="AN33" s="299">
        <f>IF(AN$5&gt;$D$7,0,AM32*Leadsheet!$D96)</f>
        <v>0</v>
      </c>
      <c r="AO33" s="299">
        <f>IF(AO$5&gt;$D$7,0,AN32*Leadsheet!$D96)</f>
        <v>0</v>
      </c>
      <c r="AP33" s="299">
        <f>IF(AP$5&gt;$D$7,0,AO32*Leadsheet!$D96)</f>
        <v>0</v>
      </c>
      <c r="AQ33" s="299">
        <f>IF(AQ$5&gt;$D$7,0,AP32*Leadsheet!$D96)</f>
        <v>0</v>
      </c>
      <c r="AR33" s="299">
        <f>IF(AR$5&gt;$D$7,0,AQ32*Leadsheet!$D96)</f>
        <v>0</v>
      </c>
      <c r="AS33" s="299">
        <f>IF(AS$5&gt;$D$7,0,AR32*Leadsheet!$D96)</f>
        <v>0</v>
      </c>
      <c r="AT33" s="299">
        <f>IF(AT$5&gt;$D$7,0,AS32*Leadsheet!$D96)</f>
        <v>0</v>
      </c>
      <c r="AU33" s="299">
        <f>IF(AU$5&gt;$D$7,0,AT32*Leadsheet!$D96)</f>
        <v>0</v>
      </c>
      <c r="AV33" s="299">
        <f>IF(AV$5&gt;$D$7,0,AU32*Leadsheet!$D96)</f>
        <v>0</v>
      </c>
      <c r="AW33" s="299">
        <f>IF(AW$5&gt;$D$7,0,AV32*Leadsheet!$D96)</f>
        <v>0</v>
      </c>
      <c r="AX33" s="299">
        <f>IF(AX$5&gt;$D$7,0,AW32*Leadsheet!$D96)</f>
        <v>0</v>
      </c>
      <c r="AY33" s="299">
        <f>IF(AY$5&gt;$D$7,0,AX32*Leadsheet!$D96)</f>
        <v>0</v>
      </c>
      <c r="AZ33" s="299">
        <f>IF(AZ$5&gt;$D$7,0,AY32*Leadsheet!$D96)</f>
        <v>0</v>
      </c>
      <c r="BA33" s="299">
        <f>IF(BA$5&gt;$D$7,0,AZ32*Leadsheet!$D96)</f>
        <v>0</v>
      </c>
      <c r="BB33" s="299">
        <f>IF(BB$5&gt;$D$7,0,BA32*Leadsheet!$D96)</f>
        <v>0</v>
      </c>
      <c r="BC33" s="299">
        <f>IF(BC$5&gt;$D$7,0,BB32*Leadsheet!$D96)</f>
        <v>0</v>
      </c>
      <c r="BD33" s="299">
        <f>IF(BD$5&gt;$D$7,0,BC32*Leadsheet!$D96)</f>
        <v>0</v>
      </c>
      <c r="BE33" s="299">
        <f>IF(BE$5&gt;$D$7,0,BD32*Leadsheet!$D96)</f>
        <v>0</v>
      </c>
      <c r="BF33" s="299">
        <f>IF(BF$5&gt;$D$7,0,BE32*Leadsheet!$D96)</f>
        <v>0</v>
      </c>
      <c r="BG33" s="299">
        <f>IF(BG$5&gt;$D$7,0,BF32*Leadsheet!$D96)</f>
        <v>0</v>
      </c>
      <c r="BH33" s="299">
        <f>IF(BH$5&gt;$D$7,0,BG32*Leadsheet!$D96)</f>
        <v>0</v>
      </c>
      <c r="BI33" s="299">
        <f>IF(BI$5&gt;$D$7,0,BH32*Leadsheet!$D96)</f>
        <v>0</v>
      </c>
      <c r="BJ33" s="299">
        <f>IF(BJ$5&gt;$D$7,0,BI32*Leadsheet!$D96)</f>
        <v>0</v>
      </c>
      <c r="BK33" s="299">
        <f>IF(BK$5&gt;$D$7,0,BJ32*Leadsheet!$D96)</f>
        <v>0</v>
      </c>
      <c r="BL33" s="299">
        <f>IF(BL$5&gt;$D$7,0,BK32*Leadsheet!$D96)</f>
        <v>0</v>
      </c>
    </row>
    <row r="34" spans="1:64" s="186" customFormat="1" x14ac:dyDescent="0.15">
      <c r="A34" s="301" t="s">
        <v>421</v>
      </c>
      <c r="B34" s="302">
        <v>210</v>
      </c>
      <c r="C34" s="115" t="s">
        <v>422</v>
      </c>
      <c r="D34" s="304"/>
      <c r="E34" s="300">
        <f>IF(E$5&gt;$D$7,0,D33*Leadsheet!$D97)</f>
        <v>0</v>
      </c>
      <c r="F34" s="300">
        <f>IF(F$5&gt;$D$7,0,E33*Leadsheet!$D97)</f>
        <v>0</v>
      </c>
      <c r="G34" s="300">
        <f>IF(G$5&gt;$D$7,0,F33*Leadsheet!$D97)</f>
        <v>0</v>
      </c>
      <c r="H34" s="300">
        <f>IF(H$5&gt;$D$7,0,G33*Leadsheet!$D97)</f>
        <v>0</v>
      </c>
      <c r="I34" s="300">
        <f>IF(I$5&gt;$D$7,0,H33*Leadsheet!$D97)</f>
        <v>0</v>
      </c>
      <c r="J34" s="300">
        <f>IF(J$5&gt;$D$7,0,I33*Leadsheet!$D97)</f>
        <v>0</v>
      </c>
      <c r="K34" s="300">
        <f>IF(K$5&gt;$D$7,0,J33*Leadsheet!$D97)</f>
        <v>0.33018242727950858</v>
      </c>
      <c r="L34" s="300">
        <f>IF(L$5&gt;$D$7,0,K33*Leadsheet!$D97)</f>
        <v>0.2755422644983766</v>
      </c>
      <c r="M34" s="300">
        <f>IF(M$5&gt;$D$7,0,L33*Leadsheet!$D97)</f>
        <v>0.23596390857347535</v>
      </c>
      <c r="N34" s="300">
        <f>IF(N$5&gt;$D$7,0,M33*Leadsheet!$D97)</f>
        <v>0.19953958120337448</v>
      </c>
      <c r="O34" s="300">
        <f>IF(O$5&gt;$D$7,0,N33*Leadsheet!$D97)</f>
        <v>0.17510442287533573</v>
      </c>
      <c r="P34" s="300">
        <f>IF(P$5&gt;$D$7,0,O33*Leadsheet!$D97)</f>
        <v>0.15185574155619661</v>
      </c>
      <c r="Q34" s="300">
        <f>IF(Q$5&gt;$D$7,0,P33*Leadsheet!$D97)</f>
        <v>0.12990648118058606</v>
      </c>
      <c r="R34" s="300">
        <f>IF(R$5&gt;$D$7,0,Q33*Leadsheet!$D97)</f>
        <v>0.10924024948143794</v>
      </c>
      <c r="S34" s="300">
        <f>IF(S$5&gt;$D$7,0,R33*Leadsheet!$D97)</f>
        <v>8.9844327101026536E-2</v>
      </c>
      <c r="T34" s="299">
        <f>IF(T$5&gt;$D$7,0,S33*Leadsheet!$D97)</f>
        <v>7.1703956075885172E-2</v>
      </c>
      <c r="U34" s="299">
        <f>IF(U$5&gt;$D$7,0,T33*Leadsheet!$D97)</f>
        <v>5.480751178308068E-2</v>
      </c>
      <c r="V34" s="299">
        <f>IF(V$5&gt;$D$7,0,U33*Leadsheet!$D97)</f>
        <v>3.9147905407145196E-2</v>
      </c>
      <c r="W34" s="299">
        <f>IF(W$5&gt;$D$7,0,V33*Leadsheet!$D97)</f>
        <v>2.4726237231147467E-2</v>
      </c>
      <c r="X34" s="299">
        <f>IF(X$5&gt;$D$7,0,W33*Leadsheet!$D97)</f>
        <v>1.1563112844012204E-2</v>
      </c>
      <c r="Y34" s="299">
        <f>IF(Y$5&gt;$D$7,0,X33*Leadsheet!$D97)</f>
        <v>0</v>
      </c>
      <c r="Z34" s="299">
        <f>IF(Z$5&gt;$D$7,0,Y33*Leadsheet!$D97)</f>
        <v>0</v>
      </c>
      <c r="AA34" s="299">
        <f>IF(AA$5&gt;$D$7,0,Z33*Leadsheet!$D97)</f>
        <v>0</v>
      </c>
      <c r="AB34" s="299">
        <f>IF(AB$5&gt;$D$7,0,AA33*Leadsheet!$D97)</f>
        <v>0</v>
      </c>
      <c r="AC34" s="299">
        <f>IF(AC$5&gt;$D$7,0,AB33*Leadsheet!$D97)</f>
        <v>0</v>
      </c>
      <c r="AD34" s="299">
        <f>IF(AD$5&gt;$D$7,0,AC33*Leadsheet!$D97)</f>
        <v>0</v>
      </c>
      <c r="AE34" s="299">
        <f>IF(AE$5&gt;$D$7,0,AD33*Leadsheet!$D97)</f>
        <v>0</v>
      </c>
      <c r="AF34" s="299">
        <f>IF(AF$5&gt;$D$7,0,AE33*Leadsheet!$D97)</f>
        <v>0</v>
      </c>
      <c r="AG34" s="299">
        <f>IF(AG$5&gt;$D$7,0,AF33*Leadsheet!$D97)</f>
        <v>0</v>
      </c>
      <c r="AH34" s="299">
        <f>IF(AH$5&gt;$D$7,0,AG33*Leadsheet!$D97)</f>
        <v>0</v>
      </c>
      <c r="AI34" s="299">
        <f>IF(AI$5&gt;$D$7,0,AH33*Leadsheet!$D97)</f>
        <v>0</v>
      </c>
      <c r="AJ34" s="299">
        <f>IF(AJ$5&gt;$D$7,0,AI33*Leadsheet!$D97)</f>
        <v>0</v>
      </c>
      <c r="AK34" s="299">
        <f>IF(AK$5&gt;$D$7,0,AJ33*Leadsheet!$D97)</f>
        <v>0</v>
      </c>
      <c r="AL34" s="299">
        <f>IF(AL$5&gt;$D$7,0,AK33*Leadsheet!$D97)</f>
        <v>0</v>
      </c>
      <c r="AM34" s="299">
        <f>IF(AM$5&gt;$D$7,0,AL33*Leadsheet!$D97)</f>
        <v>0</v>
      </c>
      <c r="AN34" s="299">
        <f>IF(AN$5&gt;$D$7,0,AM33*Leadsheet!$D97)</f>
        <v>0</v>
      </c>
      <c r="AO34" s="299">
        <f>IF(AO$5&gt;$D$7,0,AN33*Leadsheet!$D97)</f>
        <v>0</v>
      </c>
      <c r="AP34" s="299">
        <f>IF(AP$5&gt;$D$7,0,AO33*Leadsheet!$D97)</f>
        <v>0</v>
      </c>
      <c r="AQ34" s="299">
        <f>IF(AQ$5&gt;$D$7,0,AP33*Leadsheet!$D97)</f>
        <v>0</v>
      </c>
      <c r="AR34" s="299">
        <f>IF(AR$5&gt;$D$7,0,AQ33*Leadsheet!$D97)</f>
        <v>0</v>
      </c>
      <c r="AS34" s="299">
        <f>IF(AS$5&gt;$D$7,0,AR33*Leadsheet!$D97)</f>
        <v>0</v>
      </c>
      <c r="AT34" s="299">
        <f>IF(AT$5&gt;$D$7,0,AS33*Leadsheet!$D97)</f>
        <v>0</v>
      </c>
      <c r="AU34" s="299">
        <f>IF(AU$5&gt;$D$7,0,AT33*Leadsheet!$D97)</f>
        <v>0</v>
      </c>
      <c r="AV34" s="299">
        <f>IF(AV$5&gt;$D$7,0,AU33*Leadsheet!$D97)</f>
        <v>0</v>
      </c>
      <c r="AW34" s="299">
        <f>IF(AW$5&gt;$D$7,0,AV33*Leadsheet!$D97)</f>
        <v>0</v>
      </c>
      <c r="AX34" s="299">
        <f>IF(AX$5&gt;$D$7,0,AW33*Leadsheet!$D97)</f>
        <v>0</v>
      </c>
      <c r="AY34" s="299">
        <f>IF(AY$5&gt;$D$7,0,AX33*Leadsheet!$D97)</f>
        <v>0</v>
      </c>
      <c r="AZ34" s="299">
        <f>IF(AZ$5&gt;$D$7,0,AY33*Leadsheet!$D97)</f>
        <v>0</v>
      </c>
      <c r="BA34" s="299">
        <f>IF(BA$5&gt;$D$7,0,AZ33*Leadsheet!$D97)</f>
        <v>0</v>
      </c>
      <c r="BB34" s="299">
        <f>IF(BB$5&gt;$D$7,0,BA33*Leadsheet!$D97)</f>
        <v>0</v>
      </c>
      <c r="BC34" s="299">
        <f>IF(BC$5&gt;$D$7,0,BB33*Leadsheet!$D97)</f>
        <v>0</v>
      </c>
      <c r="BD34" s="299">
        <f>IF(BD$5&gt;$D$7,0,BC33*Leadsheet!$D97)</f>
        <v>0</v>
      </c>
      <c r="BE34" s="299">
        <f>IF(BE$5&gt;$D$7,0,BD33*Leadsheet!$D97)</f>
        <v>0</v>
      </c>
      <c r="BF34" s="299">
        <f>IF(BF$5&gt;$D$7,0,BE33*Leadsheet!$D97)</f>
        <v>0</v>
      </c>
      <c r="BG34" s="299">
        <f>IF(BG$5&gt;$D$7,0,BF33*Leadsheet!$D97)</f>
        <v>0</v>
      </c>
      <c r="BH34" s="299">
        <f>IF(BH$5&gt;$D$7,0,BG33*Leadsheet!$D97)</f>
        <v>0</v>
      </c>
      <c r="BI34" s="299">
        <f>IF(BI$5&gt;$D$7,0,BH33*Leadsheet!$D97)</f>
        <v>0</v>
      </c>
      <c r="BJ34" s="299">
        <f>IF(BJ$5&gt;$D$7,0,BI33*Leadsheet!$D97)</f>
        <v>0</v>
      </c>
      <c r="BK34" s="299">
        <f>IF(BK$5&gt;$D$7,0,BJ33*Leadsheet!$D97)</f>
        <v>0</v>
      </c>
      <c r="BL34" s="299">
        <f>IF(BL$5&gt;$D$7,0,BK33*Leadsheet!$D97)</f>
        <v>0</v>
      </c>
    </row>
    <row r="35" spans="1:64" s="186" customFormat="1" x14ac:dyDescent="0.15">
      <c r="A35" s="301" t="s">
        <v>421</v>
      </c>
      <c r="B35" s="302">
        <v>240</v>
      </c>
      <c r="C35" s="115" t="s">
        <v>423</v>
      </c>
      <c r="D35" s="304"/>
      <c r="E35" s="300">
        <f>IF(E$5&gt;$D$7,0,D34*Leadsheet!$D98)</f>
        <v>0</v>
      </c>
      <c r="F35" s="300">
        <f>IF(F$5&gt;$D$7,0,E34*Leadsheet!$D98)</f>
        <v>0</v>
      </c>
      <c r="G35" s="300">
        <f>IF(G$5&gt;$D$7,0,F34*Leadsheet!$D98)</f>
        <v>0</v>
      </c>
      <c r="H35" s="300">
        <f>IF(H$5&gt;$D$7,0,G34*Leadsheet!$D98)</f>
        <v>0</v>
      </c>
      <c r="I35" s="300">
        <f>IF(I$5&gt;$D$7,0,H34*Leadsheet!$D98)</f>
        <v>0</v>
      </c>
      <c r="J35" s="300">
        <f>IF(J$5&gt;$D$7,0,I34*Leadsheet!$D98)</f>
        <v>0</v>
      </c>
      <c r="K35" s="300">
        <f>IF(K$5&gt;$D$7,0,J34*Leadsheet!$D98)</f>
        <v>0</v>
      </c>
      <c r="L35" s="300">
        <f>IF(L$5&gt;$D$7,0,K34*Leadsheet!$D98)</f>
        <v>0.33018242727950858</v>
      </c>
      <c r="M35" s="300">
        <f>IF(M$5&gt;$D$7,0,L34*Leadsheet!$D98)</f>
        <v>0.2755422644983766</v>
      </c>
      <c r="N35" s="300">
        <f>IF(N$5&gt;$D$7,0,M34*Leadsheet!$D98)</f>
        <v>0.23596390857347535</v>
      </c>
      <c r="O35" s="300">
        <f>IF(O$5&gt;$D$7,0,N34*Leadsheet!$D98)</f>
        <v>0.19953958120337448</v>
      </c>
      <c r="P35" s="300">
        <f>IF(P$5&gt;$D$7,0,O34*Leadsheet!$D98)</f>
        <v>0.17510442287533573</v>
      </c>
      <c r="Q35" s="300">
        <f>IF(Q$5&gt;$D$7,0,P34*Leadsheet!$D98)</f>
        <v>0.15185574155619661</v>
      </c>
      <c r="R35" s="300">
        <f>IF(R$5&gt;$D$7,0,Q34*Leadsheet!$D98)</f>
        <v>0.12990648118058606</v>
      </c>
      <c r="S35" s="300">
        <f>IF(S$5&gt;$D$7,0,R34*Leadsheet!$D98)</f>
        <v>0.10924024948143794</v>
      </c>
      <c r="T35" s="299">
        <f>IF(T$5&gt;$D$7,0,S34*Leadsheet!$D98)</f>
        <v>8.9844327101026536E-2</v>
      </c>
      <c r="U35" s="299">
        <f>IF(U$5&gt;$D$7,0,T34*Leadsheet!$D98)</f>
        <v>7.1703956075885172E-2</v>
      </c>
      <c r="V35" s="299">
        <f>IF(V$5&gt;$D$7,0,U34*Leadsheet!$D98)</f>
        <v>5.480751178308068E-2</v>
      </c>
      <c r="W35" s="299">
        <f>IF(W$5&gt;$D$7,0,V34*Leadsheet!$D98)</f>
        <v>3.9147905407145196E-2</v>
      </c>
      <c r="X35" s="299">
        <f>IF(X$5&gt;$D$7,0,W34*Leadsheet!$D98)</f>
        <v>2.4726237231147467E-2</v>
      </c>
      <c r="Y35" s="299">
        <f>IF(Y$5&gt;$D$7,0,X34*Leadsheet!$D98)</f>
        <v>0</v>
      </c>
      <c r="Z35" s="299">
        <f>IF(Z$5&gt;$D$7,0,Y34*Leadsheet!$D98)</f>
        <v>0</v>
      </c>
      <c r="AA35" s="299">
        <f>IF(AA$5&gt;$D$7,0,Z34*Leadsheet!$D98)</f>
        <v>0</v>
      </c>
      <c r="AB35" s="299">
        <f>IF(AB$5&gt;$D$7,0,AA34*Leadsheet!$D98)</f>
        <v>0</v>
      </c>
      <c r="AC35" s="299">
        <f>IF(AC$5&gt;$D$7,0,AB34*Leadsheet!$D98)</f>
        <v>0</v>
      </c>
      <c r="AD35" s="299">
        <f>IF(AD$5&gt;$D$7,0,AC34*Leadsheet!$D98)</f>
        <v>0</v>
      </c>
      <c r="AE35" s="299">
        <f>IF(AE$5&gt;$D$7,0,AD34*Leadsheet!$D98)</f>
        <v>0</v>
      </c>
      <c r="AF35" s="299">
        <f>IF(AF$5&gt;$D$7,0,AE34*Leadsheet!$D98)</f>
        <v>0</v>
      </c>
      <c r="AG35" s="299">
        <f>IF(AG$5&gt;$D$7,0,AF34*Leadsheet!$D98)</f>
        <v>0</v>
      </c>
      <c r="AH35" s="299">
        <f>IF(AH$5&gt;$D$7,0,AG34*Leadsheet!$D98)</f>
        <v>0</v>
      </c>
      <c r="AI35" s="299">
        <f>IF(AI$5&gt;$D$7,0,AH34*Leadsheet!$D98)</f>
        <v>0</v>
      </c>
      <c r="AJ35" s="299">
        <f>IF(AJ$5&gt;$D$7,0,AI34*Leadsheet!$D98)</f>
        <v>0</v>
      </c>
      <c r="AK35" s="299">
        <f>IF(AK$5&gt;$D$7,0,AJ34*Leadsheet!$D98)</f>
        <v>0</v>
      </c>
      <c r="AL35" s="299">
        <f>IF(AL$5&gt;$D$7,0,AK34*Leadsheet!$D98)</f>
        <v>0</v>
      </c>
      <c r="AM35" s="299">
        <f>IF(AM$5&gt;$D$7,0,AL34*Leadsheet!$D98)</f>
        <v>0</v>
      </c>
      <c r="AN35" s="299">
        <f>IF(AN$5&gt;$D$7,0,AM34*Leadsheet!$D98)</f>
        <v>0</v>
      </c>
      <c r="AO35" s="299">
        <f>IF(AO$5&gt;$D$7,0,AN34*Leadsheet!$D98)</f>
        <v>0</v>
      </c>
      <c r="AP35" s="299">
        <f>IF(AP$5&gt;$D$7,0,AO34*Leadsheet!$D98)</f>
        <v>0</v>
      </c>
      <c r="AQ35" s="299">
        <f>IF(AQ$5&gt;$D$7,0,AP34*Leadsheet!$D98)</f>
        <v>0</v>
      </c>
      <c r="AR35" s="299">
        <f>IF(AR$5&gt;$D$7,0,AQ34*Leadsheet!$D98)</f>
        <v>0</v>
      </c>
      <c r="AS35" s="299">
        <f>IF(AS$5&gt;$D$7,0,AR34*Leadsheet!$D98)</f>
        <v>0</v>
      </c>
      <c r="AT35" s="299">
        <f>IF(AT$5&gt;$D$7,0,AS34*Leadsheet!$D98)</f>
        <v>0</v>
      </c>
      <c r="AU35" s="299">
        <f>IF(AU$5&gt;$D$7,0,AT34*Leadsheet!$D98)</f>
        <v>0</v>
      </c>
      <c r="AV35" s="299">
        <f>IF(AV$5&gt;$D$7,0,AU34*Leadsheet!$D98)</f>
        <v>0</v>
      </c>
      <c r="AW35" s="299">
        <f>IF(AW$5&gt;$D$7,0,AV34*Leadsheet!$D98)</f>
        <v>0</v>
      </c>
      <c r="AX35" s="299">
        <f>IF(AX$5&gt;$D$7,0,AW34*Leadsheet!$D98)</f>
        <v>0</v>
      </c>
      <c r="AY35" s="299">
        <f>IF(AY$5&gt;$D$7,0,AX34*Leadsheet!$D98)</f>
        <v>0</v>
      </c>
      <c r="AZ35" s="299">
        <f>IF(AZ$5&gt;$D$7,0,AY34*Leadsheet!$D98)</f>
        <v>0</v>
      </c>
      <c r="BA35" s="299">
        <f>IF(BA$5&gt;$D$7,0,AZ34*Leadsheet!$D98)</f>
        <v>0</v>
      </c>
      <c r="BB35" s="299">
        <f>IF(BB$5&gt;$D$7,0,BA34*Leadsheet!$D98)</f>
        <v>0</v>
      </c>
      <c r="BC35" s="299">
        <f>IF(BC$5&gt;$D$7,0,BB34*Leadsheet!$D98)</f>
        <v>0</v>
      </c>
      <c r="BD35" s="299">
        <f>IF(BD$5&gt;$D$7,0,BC34*Leadsheet!$D98)</f>
        <v>0</v>
      </c>
      <c r="BE35" s="299">
        <f>IF(BE$5&gt;$D$7,0,BD34*Leadsheet!$D98)</f>
        <v>0</v>
      </c>
      <c r="BF35" s="299">
        <f>IF(BF$5&gt;$D$7,0,BE34*Leadsheet!$D98)</f>
        <v>0</v>
      </c>
      <c r="BG35" s="299">
        <f>IF(BG$5&gt;$D$7,0,BF34*Leadsheet!$D98)</f>
        <v>0</v>
      </c>
      <c r="BH35" s="299">
        <f>IF(BH$5&gt;$D$7,0,BG34*Leadsheet!$D98)</f>
        <v>0</v>
      </c>
      <c r="BI35" s="299">
        <f>IF(BI$5&gt;$D$7,0,BH34*Leadsheet!$D98)</f>
        <v>0</v>
      </c>
      <c r="BJ35" s="299">
        <f>IF(BJ$5&gt;$D$7,0,BI34*Leadsheet!$D98)</f>
        <v>0</v>
      </c>
      <c r="BK35" s="299">
        <f>IF(BK$5&gt;$D$7,0,BJ34*Leadsheet!$D98)</f>
        <v>0</v>
      </c>
      <c r="BL35" s="299">
        <f>IF(BL$5&gt;$D$7,0,BK34*Leadsheet!$D98)</f>
        <v>0</v>
      </c>
    </row>
    <row r="36" spans="1:64" s="186" customFormat="1" x14ac:dyDescent="0.15">
      <c r="A36" s="301" t="s">
        <v>421</v>
      </c>
      <c r="B36" s="302">
        <v>270</v>
      </c>
      <c r="C36" s="115" t="s">
        <v>424</v>
      </c>
      <c r="D36" s="304"/>
      <c r="E36" s="300">
        <f>IF(E$5&gt;$D$7,0,D35*Leadsheet!$D99)</f>
        <v>0</v>
      </c>
      <c r="F36" s="300">
        <f>IF(F$5&gt;$D$7,0,E35*Leadsheet!$D99)</f>
        <v>0</v>
      </c>
      <c r="G36" s="300">
        <f>IF(G$5&gt;$D$7,0,F35*Leadsheet!$D99)</f>
        <v>0</v>
      </c>
      <c r="H36" s="300">
        <f>IF(H$5&gt;$D$7,0,G35*Leadsheet!$D99)</f>
        <v>0</v>
      </c>
      <c r="I36" s="300">
        <f>IF(I$5&gt;$D$7,0,H35*Leadsheet!$D99)</f>
        <v>0</v>
      </c>
      <c r="J36" s="300">
        <f>IF(J$5&gt;$D$7,0,I35*Leadsheet!$D99)</f>
        <v>0</v>
      </c>
      <c r="K36" s="300">
        <f>IF(K$5&gt;$D$7,0,J35*Leadsheet!$D99)</f>
        <v>0</v>
      </c>
      <c r="L36" s="300">
        <f>IF(L$5&gt;$D$7,0,K35*Leadsheet!$D99)</f>
        <v>0</v>
      </c>
      <c r="M36" s="300">
        <f>IF(M$5&gt;$D$7,0,L35*Leadsheet!$D99)</f>
        <v>0.33018242727950858</v>
      </c>
      <c r="N36" s="300">
        <f>IF(N$5&gt;$D$7,0,M35*Leadsheet!$D99)</f>
        <v>0.2755422644983766</v>
      </c>
      <c r="O36" s="300">
        <f>IF(O$5&gt;$D$7,0,N35*Leadsheet!$D99)</f>
        <v>0.23596390857347535</v>
      </c>
      <c r="P36" s="300">
        <f>IF(P$5&gt;$D$7,0,O35*Leadsheet!$D99)</f>
        <v>0.19953958120337448</v>
      </c>
      <c r="Q36" s="300">
        <f>IF(Q$5&gt;$D$7,0,P35*Leadsheet!$D99)</f>
        <v>0.17510442287533573</v>
      </c>
      <c r="R36" s="300">
        <f>IF(R$5&gt;$D$7,0,Q35*Leadsheet!$D99)</f>
        <v>0.15185574155619661</v>
      </c>
      <c r="S36" s="300">
        <f>IF(S$5&gt;$D$7,0,R35*Leadsheet!$D99)</f>
        <v>0.12990648118058606</v>
      </c>
      <c r="T36" s="299">
        <f>IF(T$5&gt;$D$7,0,S35*Leadsheet!$D99)</f>
        <v>0.10924024948143794</v>
      </c>
      <c r="U36" s="299">
        <f>IF(U$5&gt;$D$7,0,T35*Leadsheet!$D99)</f>
        <v>8.9844327101026536E-2</v>
      </c>
      <c r="V36" s="299">
        <f>IF(V$5&gt;$D$7,0,U35*Leadsheet!$D99)</f>
        <v>7.1703956075885172E-2</v>
      </c>
      <c r="W36" s="299">
        <f>IF(W$5&gt;$D$7,0,V35*Leadsheet!$D99)</f>
        <v>5.480751178308068E-2</v>
      </c>
      <c r="X36" s="299">
        <f>IF(X$5&gt;$D$7,0,W35*Leadsheet!$D99)</f>
        <v>3.9147905407145196E-2</v>
      </c>
      <c r="Y36" s="299">
        <f>IF(Y$5&gt;$D$7,0,X35*Leadsheet!$D99)</f>
        <v>0</v>
      </c>
      <c r="Z36" s="299">
        <f>IF(Z$5&gt;$D$7,0,Y35*Leadsheet!$D99)</f>
        <v>0</v>
      </c>
      <c r="AA36" s="299">
        <f>IF(AA$5&gt;$D$7,0,Z35*Leadsheet!$D99)</f>
        <v>0</v>
      </c>
      <c r="AB36" s="299">
        <f>IF(AB$5&gt;$D$7,0,AA35*Leadsheet!$D99)</f>
        <v>0</v>
      </c>
      <c r="AC36" s="299">
        <f>IF(AC$5&gt;$D$7,0,AB35*Leadsheet!$D99)</f>
        <v>0</v>
      </c>
      <c r="AD36" s="299">
        <f>IF(AD$5&gt;$D$7,0,AC35*Leadsheet!$D99)</f>
        <v>0</v>
      </c>
      <c r="AE36" s="299">
        <f>IF(AE$5&gt;$D$7,0,AD35*Leadsheet!$D99)</f>
        <v>0</v>
      </c>
      <c r="AF36" s="299">
        <f>IF(AF$5&gt;$D$7,0,AE35*Leadsheet!$D99)</f>
        <v>0</v>
      </c>
      <c r="AG36" s="299">
        <f>IF(AG$5&gt;$D$7,0,AF35*Leadsheet!$D99)</f>
        <v>0</v>
      </c>
      <c r="AH36" s="299">
        <f>IF(AH$5&gt;$D$7,0,AG35*Leadsheet!$D99)</f>
        <v>0</v>
      </c>
      <c r="AI36" s="299">
        <f>IF(AI$5&gt;$D$7,0,AH35*Leadsheet!$D99)</f>
        <v>0</v>
      </c>
      <c r="AJ36" s="299">
        <f>IF(AJ$5&gt;$D$7,0,AI35*Leadsheet!$D99)</f>
        <v>0</v>
      </c>
      <c r="AK36" s="299">
        <f>IF(AK$5&gt;$D$7,0,AJ35*Leadsheet!$D99)</f>
        <v>0</v>
      </c>
      <c r="AL36" s="299">
        <f>IF(AL$5&gt;$D$7,0,AK35*Leadsheet!$D99)</f>
        <v>0</v>
      </c>
      <c r="AM36" s="299">
        <f>IF(AM$5&gt;$D$7,0,AL35*Leadsheet!$D99)</f>
        <v>0</v>
      </c>
      <c r="AN36" s="299">
        <f>IF(AN$5&gt;$D$7,0,AM35*Leadsheet!$D99)</f>
        <v>0</v>
      </c>
      <c r="AO36" s="299">
        <f>IF(AO$5&gt;$D$7,0,AN35*Leadsheet!$D99)</f>
        <v>0</v>
      </c>
      <c r="AP36" s="299">
        <f>IF(AP$5&gt;$D$7,0,AO35*Leadsheet!$D99)</f>
        <v>0</v>
      </c>
      <c r="AQ36" s="299">
        <f>IF(AQ$5&gt;$D$7,0,AP35*Leadsheet!$D99)</f>
        <v>0</v>
      </c>
      <c r="AR36" s="299">
        <f>IF(AR$5&gt;$D$7,0,AQ35*Leadsheet!$D99)</f>
        <v>0</v>
      </c>
      <c r="AS36" s="299">
        <f>IF(AS$5&gt;$D$7,0,AR35*Leadsheet!$D99)</f>
        <v>0</v>
      </c>
      <c r="AT36" s="299">
        <f>IF(AT$5&gt;$D$7,0,AS35*Leadsheet!$D99)</f>
        <v>0</v>
      </c>
      <c r="AU36" s="299">
        <f>IF(AU$5&gt;$D$7,0,AT35*Leadsheet!$D99)</f>
        <v>0</v>
      </c>
      <c r="AV36" s="299">
        <f>IF(AV$5&gt;$D$7,0,AU35*Leadsheet!$D99)</f>
        <v>0</v>
      </c>
      <c r="AW36" s="299">
        <f>IF(AW$5&gt;$D$7,0,AV35*Leadsheet!$D99)</f>
        <v>0</v>
      </c>
      <c r="AX36" s="299">
        <f>IF(AX$5&gt;$D$7,0,AW35*Leadsheet!$D99)</f>
        <v>0</v>
      </c>
      <c r="AY36" s="299">
        <f>IF(AY$5&gt;$D$7,0,AX35*Leadsheet!$D99)</f>
        <v>0</v>
      </c>
      <c r="AZ36" s="299">
        <f>IF(AZ$5&gt;$D$7,0,AY35*Leadsheet!$D99)</f>
        <v>0</v>
      </c>
      <c r="BA36" s="299">
        <f>IF(BA$5&gt;$D$7,0,AZ35*Leadsheet!$D99)</f>
        <v>0</v>
      </c>
      <c r="BB36" s="299">
        <f>IF(BB$5&gt;$D$7,0,BA35*Leadsheet!$D99)</f>
        <v>0</v>
      </c>
      <c r="BC36" s="299">
        <f>IF(BC$5&gt;$D$7,0,BB35*Leadsheet!$D99)</f>
        <v>0</v>
      </c>
      <c r="BD36" s="299">
        <f>IF(BD$5&gt;$D$7,0,BC35*Leadsheet!$D99)</f>
        <v>0</v>
      </c>
      <c r="BE36" s="299">
        <f>IF(BE$5&gt;$D$7,0,BD35*Leadsheet!$D99)</f>
        <v>0</v>
      </c>
      <c r="BF36" s="299">
        <f>IF(BF$5&gt;$D$7,0,BE35*Leadsheet!$D99)</f>
        <v>0</v>
      </c>
      <c r="BG36" s="299">
        <f>IF(BG$5&gt;$D$7,0,BF35*Leadsheet!$D99)</f>
        <v>0</v>
      </c>
      <c r="BH36" s="299">
        <f>IF(BH$5&gt;$D$7,0,BG35*Leadsheet!$D99)</f>
        <v>0</v>
      </c>
      <c r="BI36" s="299">
        <f>IF(BI$5&gt;$D$7,0,BH35*Leadsheet!$D99)</f>
        <v>0</v>
      </c>
      <c r="BJ36" s="299">
        <f>IF(BJ$5&gt;$D$7,0,BI35*Leadsheet!$D99)</f>
        <v>0</v>
      </c>
      <c r="BK36" s="299">
        <f>IF(BK$5&gt;$D$7,0,BJ35*Leadsheet!$D99)</f>
        <v>0</v>
      </c>
      <c r="BL36" s="299">
        <f>IF(BL$5&gt;$D$7,0,BK35*Leadsheet!$D99)</f>
        <v>0</v>
      </c>
    </row>
    <row r="37" spans="1:64" s="186" customFormat="1" x14ac:dyDescent="0.15">
      <c r="A37" s="301" t="s">
        <v>421</v>
      </c>
      <c r="B37" s="302">
        <v>300</v>
      </c>
      <c r="C37" s="115" t="s">
        <v>425</v>
      </c>
      <c r="D37" s="304"/>
      <c r="E37" s="300">
        <f>IF(E$5&gt;$D$7,0,D36*Leadsheet!$D100)</f>
        <v>0</v>
      </c>
      <c r="F37" s="300">
        <f>IF(F$5&gt;$D$7,0,E36*Leadsheet!$D100)</f>
        <v>0</v>
      </c>
      <c r="G37" s="300">
        <f>IF(G$5&gt;$D$7,0,F36*Leadsheet!$D100)</f>
        <v>0</v>
      </c>
      <c r="H37" s="300">
        <f>IF(H$5&gt;$D$7,0,G36*Leadsheet!$D100)</f>
        <v>0</v>
      </c>
      <c r="I37" s="300">
        <f>IF(I$5&gt;$D$7,0,H36*Leadsheet!$D100)</f>
        <v>0</v>
      </c>
      <c r="J37" s="300">
        <f>IF(J$5&gt;$D$7,0,I36*Leadsheet!$D100)</f>
        <v>0</v>
      </c>
      <c r="K37" s="300">
        <f>IF(K$5&gt;$D$7,0,J36*Leadsheet!$D100)</f>
        <v>0</v>
      </c>
      <c r="L37" s="300">
        <f>IF(L$5&gt;$D$7,0,K36*Leadsheet!$D100)</f>
        <v>0</v>
      </c>
      <c r="M37" s="300">
        <f>IF(M$5&gt;$D$7,0,L36*Leadsheet!$D100)</f>
        <v>0</v>
      </c>
      <c r="N37" s="300">
        <f>IF(N$5&gt;$D$7,0,M36*Leadsheet!$D100)</f>
        <v>0.33018242727950858</v>
      </c>
      <c r="O37" s="300">
        <f>IF(O$5&gt;$D$7,0,N36*Leadsheet!$D100)</f>
        <v>0.2755422644983766</v>
      </c>
      <c r="P37" s="300">
        <f>IF(P$5&gt;$D$7,0,O36*Leadsheet!$D100)</f>
        <v>0.23596390857347535</v>
      </c>
      <c r="Q37" s="300">
        <f>IF(Q$5&gt;$D$7,0,P36*Leadsheet!$D100)</f>
        <v>0.19953958120337448</v>
      </c>
      <c r="R37" s="300">
        <f>IF(R$5&gt;$D$7,0,Q36*Leadsheet!$D100)</f>
        <v>0.17510442287533573</v>
      </c>
      <c r="S37" s="300">
        <f>IF(S$5&gt;$D$7,0,R36*Leadsheet!$D100)</f>
        <v>0.15185574155619661</v>
      </c>
      <c r="T37" s="299">
        <f>IF(T$5&gt;$D$7,0,S36*Leadsheet!$D100)</f>
        <v>0.12990648118058606</v>
      </c>
      <c r="U37" s="299">
        <f>IF(U$5&gt;$D$7,0,T36*Leadsheet!$D100)</f>
        <v>0.10924024948143794</v>
      </c>
      <c r="V37" s="299">
        <f>IF(V$5&gt;$D$7,0,U36*Leadsheet!$D100)</f>
        <v>8.9844327101026536E-2</v>
      </c>
      <c r="W37" s="299">
        <f>IF(W$5&gt;$D$7,0,V36*Leadsheet!$D100)</f>
        <v>7.1703956075885172E-2</v>
      </c>
      <c r="X37" s="299">
        <f>IF(X$5&gt;$D$7,0,W36*Leadsheet!$D100)</f>
        <v>5.480751178308068E-2</v>
      </c>
      <c r="Y37" s="299">
        <f>IF(Y$5&gt;$D$7,0,X36*Leadsheet!$D100)</f>
        <v>0</v>
      </c>
      <c r="Z37" s="299">
        <f>IF(Z$5&gt;$D$7,0,Y36*Leadsheet!$D100)</f>
        <v>0</v>
      </c>
      <c r="AA37" s="299">
        <f>IF(AA$5&gt;$D$7,0,Z36*Leadsheet!$D100)</f>
        <v>0</v>
      </c>
      <c r="AB37" s="299">
        <f>IF(AB$5&gt;$D$7,0,AA36*Leadsheet!$D100)</f>
        <v>0</v>
      </c>
      <c r="AC37" s="299">
        <f>IF(AC$5&gt;$D$7,0,AB36*Leadsheet!$D100)</f>
        <v>0</v>
      </c>
      <c r="AD37" s="299">
        <f>IF(AD$5&gt;$D$7,0,AC36*Leadsheet!$D100)</f>
        <v>0</v>
      </c>
      <c r="AE37" s="299">
        <f>IF(AE$5&gt;$D$7,0,AD36*Leadsheet!$D100)</f>
        <v>0</v>
      </c>
      <c r="AF37" s="299">
        <f>IF(AF$5&gt;$D$7,0,AE36*Leadsheet!$D100)</f>
        <v>0</v>
      </c>
      <c r="AG37" s="299">
        <f>IF(AG$5&gt;$D$7,0,AF36*Leadsheet!$D100)</f>
        <v>0</v>
      </c>
      <c r="AH37" s="299">
        <f>IF(AH$5&gt;$D$7,0,AG36*Leadsheet!$D100)</f>
        <v>0</v>
      </c>
      <c r="AI37" s="299">
        <f>IF(AI$5&gt;$D$7,0,AH36*Leadsheet!$D100)</f>
        <v>0</v>
      </c>
      <c r="AJ37" s="299">
        <f>IF(AJ$5&gt;$D$7,0,AI36*Leadsheet!$D100)</f>
        <v>0</v>
      </c>
      <c r="AK37" s="299">
        <f>IF(AK$5&gt;$D$7,0,AJ36*Leadsheet!$D100)</f>
        <v>0</v>
      </c>
      <c r="AL37" s="299">
        <f>IF(AL$5&gt;$D$7,0,AK36*Leadsheet!$D100)</f>
        <v>0</v>
      </c>
      <c r="AM37" s="299">
        <f>IF(AM$5&gt;$D$7,0,AL36*Leadsheet!$D100)</f>
        <v>0</v>
      </c>
      <c r="AN37" s="299">
        <f>IF(AN$5&gt;$D$7,0,AM36*Leadsheet!$D100)</f>
        <v>0</v>
      </c>
      <c r="AO37" s="299">
        <f>IF(AO$5&gt;$D$7,0,AN36*Leadsheet!$D100)</f>
        <v>0</v>
      </c>
      <c r="AP37" s="299">
        <f>IF(AP$5&gt;$D$7,0,AO36*Leadsheet!$D100)</f>
        <v>0</v>
      </c>
      <c r="AQ37" s="299">
        <f>IF(AQ$5&gt;$D$7,0,AP36*Leadsheet!$D100)</f>
        <v>0</v>
      </c>
      <c r="AR37" s="299">
        <f>IF(AR$5&gt;$D$7,0,AQ36*Leadsheet!$D100)</f>
        <v>0</v>
      </c>
      <c r="AS37" s="299">
        <f>IF(AS$5&gt;$D$7,0,AR36*Leadsheet!$D100)</f>
        <v>0</v>
      </c>
      <c r="AT37" s="299">
        <f>IF(AT$5&gt;$D$7,0,AS36*Leadsheet!$D100)</f>
        <v>0</v>
      </c>
      <c r="AU37" s="299">
        <f>IF(AU$5&gt;$D$7,0,AT36*Leadsheet!$D100)</f>
        <v>0</v>
      </c>
      <c r="AV37" s="299">
        <f>IF(AV$5&gt;$D$7,0,AU36*Leadsheet!$D100)</f>
        <v>0</v>
      </c>
      <c r="AW37" s="299">
        <f>IF(AW$5&gt;$D$7,0,AV36*Leadsheet!$D100)</f>
        <v>0</v>
      </c>
      <c r="AX37" s="299">
        <f>IF(AX$5&gt;$D$7,0,AW36*Leadsheet!$D100)</f>
        <v>0</v>
      </c>
      <c r="AY37" s="299">
        <f>IF(AY$5&gt;$D$7,0,AX36*Leadsheet!$D100)</f>
        <v>0</v>
      </c>
      <c r="AZ37" s="299">
        <f>IF(AZ$5&gt;$D$7,0,AY36*Leadsheet!$D100)</f>
        <v>0</v>
      </c>
      <c r="BA37" s="299">
        <f>IF(BA$5&gt;$D$7,0,AZ36*Leadsheet!$D100)</f>
        <v>0</v>
      </c>
      <c r="BB37" s="299">
        <f>IF(BB$5&gt;$D$7,0,BA36*Leadsheet!$D100)</f>
        <v>0</v>
      </c>
      <c r="BC37" s="299">
        <f>IF(BC$5&gt;$D$7,0,BB36*Leadsheet!$D100)</f>
        <v>0</v>
      </c>
      <c r="BD37" s="299">
        <f>IF(BD$5&gt;$D$7,0,BC36*Leadsheet!$D100)</f>
        <v>0</v>
      </c>
      <c r="BE37" s="299">
        <f>IF(BE$5&gt;$D$7,0,BD36*Leadsheet!$D100)</f>
        <v>0</v>
      </c>
      <c r="BF37" s="299">
        <f>IF(BF$5&gt;$D$7,0,BE36*Leadsheet!$D100)</f>
        <v>0</v>
      </c>
      <c r="BG37" s="299">
        <f>IF(BG$5&gt;$D$7,0,BF36*Leadsheet!$D100)</f>
        <v>0</v>
      </c>
      <c r="BH37" s="299">
        <f>IF(BH$5&gt;$D$7,0,BG36*Leadsheet!$D100)</f>
        <v>0</v>
      </c>
      <c r="BI37" s="299">
        <f>IF(BI$5&gt;$D$7,0,BH36*Leadsheet!$D100)</f>
        <v>0</v>
      </c>
      <c r="BJ37" s="299">
        <f>IF(BJ$5&gt;$D$7,0,BI36*Leadsheet!$D100)</f>
        <v>0</v>
      </c>
      <c r="BK37" s="299">
        <f>IF(BK$5&gt;$D$7,0,BJ36*Leadsheet!$D100)</f>
        <v>0</v>
      </c>
      <c r="BL37" s="299">
        <f>IF(BL$5&gt;$D$7,0,BK36*Leadsheet!$D100)</f>
        <v>0</v>
      </c>
    </row>
    <row r="38" spans="1:64" s="186" customFormat="1" x14ac:dyDescent="0.15">
      <c r="A38" s="301" t="s">
        <v>421</v>
      </c>
      <c r="B38" s="302">
        <v>330</v>
      </c>
      <c r="C38" s="115" t="s">
        <v>426</v>
      </c>
      <c r="D38" s="304"/>
      <c r="E38" s="300">
        <f>IF(E$5&gt;$D$7,0,D37*Leadsheet!$D101)</f>
        <v>0</v>
      </c>
      <c r="F38" s="300">
        <f>IF(F$5&gt;$D$7,0,E37*Leadsheet!$D101)</f>
        <v>0</v>
      </c>
      <c r="G38" s="300">
        <f>IF(G$5&gt;$D$7,0,F37*Leadsheet!$D101)</f>
        <v>0</v>
      </c>
      <c r="H38" s="300">
        <f>IF(H$5&gt;$D$7,0,G37*Leadsheet!$D101)</f>
        <v>0</v>
      </c>
      <c r="I38" s="300">
        <f>IF(I$5&gt;$D$7,0,H37*Leadsheet!$D101)</f>
        <v>0</v>
      </c>
      <c r="J38" s="300">
        <f>IF(J$5&gt;$D$7,0,I37*Leadsheet!$D101)</f>
        <v>0</v>
      </c>
      <c r="K38" s="300">
        <f>IF(K$5&gt;$D$7,0,J37*Leadsheet!$D101)</f>
        <v>0</v>
      </c>
      <c r="L38" s="300">
        <f>IF(L$5&gt;$D$7,0,K37*Leadsheet!$D101)</f>
        <v>0</v>
      </c>
      <c r="M38" s="300">
        <f>IF(M$5&gt;$D$7,0,L37*Leadsheet!$D101)</f>
        <v>0</v>
      </c>
      <c r="N38" s="300">
        <f>IF(N$5&gt;$D$7,0,M37*Leadsheet!$D101)</f>
        <v>0</v>
      </c>
      <c r="O38" s="300">
        <f>IF(O$5&gt;$D$7,0,N37*Leadsheet!$D101)</f>
        <v>0.33018242727950858</v>
      </c>
      <c r="P38" s="300">
        <f>IF(P$5&gt;$D$7,0,O37*Leadsheet!$D101)</f>
        <v>0.2755422644983766</v>
      </c>
      <c r="Q38" s="300">
        <f>IF(Q$5&gt;$D$7,0,P37*Leadsheet!$D101)</f>
        <v>0.23596390857347535</v>
      </c>
      <c r="R38" s="300">
        <f>IF(R$5&gt;$D$7,0,Q37*Leadsheet!$D101)</f>
        <v>0.19953958120337448</v>
      </c>
      <c r="S38" s="300">
        <f>IF(S$5&gt;$D$7,0,R37*Leadsheet!$D101)</f>
        <v>0.17510442287533573</v>
      </c>
      <c r="T38" s="299">
        <f>IF(T$5&gt;$D$7,0,S37*Leadsheet!$D101)</f>
        <v>0.15185574155619661</v>
      </c>
      <c r="U38" s="299">
        <f>IF(U$5&gt;$D$7,0,T37*Leadsheet!$D101)</f>
        <v>0.12990648118058606</v>
      </c>
      <c r="V38" s="299">
        <f>IF(V$5&gt;$D$7,0,U37*Leadsheet!$D101)</f>
        <v>0.10924024948143794</v>
      </c>
      <c r="W38" s="299">
        <f>IF(W$5&gt;$D$7,0,V37*Leadsheet!$D101)</f>
        <v>8.9844327101026536E-2</v>
      </c>
      <c r="X38" s="299">
        <f>IF(X$5&gt;$D$7,0,W37*Leadsheet!$D101)</f>
        <v>7.1703956075885172E-2</v>
      </c>
      <c r="Y38" s="299">
        <f>IF(Y$5&gt;$D$7,0,X37*Leadsheet!$D101)</f>
        <v>0</v>
      </c>
      <c r="Z38" s="299">
        <f>IF(Z$5&gt;$D$7,0,Y37*Leadsheet!$D101)</f>
        <v>0</v>
      </c>
      <c r="AA38" s="299">
        <f>IF(AA$5&gt;$D$7,0,Z37*Leadsheet!$D101)</f>
        <v>0</v>
      </c>
      <c r="AB38" s="299">
        <f>IF(AB$5&gt;$D$7,0,AA37*Leadsheet!$D101)</f>
        <v>0</v>
      </c>
      <c r="AC38" s="299">
        <f>IF(AC$5&gt;$D$7,0,AB37*Leadsheet!$D101)</f>
        <v>0</v>
      </c>
      <c r="AD38" s="299">
        <f>IF(AD$5&gt;$D$7,0,AC37*Leadsheet!$D101)</f>
        <v>0</v>
      </c>
      <c r="AE38" s="299">
        <f>IF(AE$5&gt;$D$7,0,AD37*Leadsheet!$D101)</f>
        <v>0</v>
      </c>
      <c r="AF38" s="299">
        <f>IF(AF$5&gt;$D$7,0,AE37*Leadsheet!$D101)</f>
        <v>0</v>
      </c>
      <c r="AG38" s="299">
        <f>IF(AG$5&gt;$D$7,0,AF37*Leadsheet!$D101)</f>
        <v>0</v>
      </c>
      <c r="AH38" s="299">
        <f>IF(AH$5&gt;$D$7,0,AG37*Leadsheet!$D101)</f>
        <v>0</v>
      </c>
      <c r="AI38" s="299">
        <f>IF(AI$5&gt;$D$7,0,AH37*Leadsheet!$D101)</f>
        <v>0</v>
      </c>
      <c r="AJ38" s="299">
        <f>IF(AJ$5&gt;$D$7,0,AI37*Leadsheet!$D101)</f>
        <v>0</v>
      </c>
      <c r="AK38" s="299">
        <f>IF(AK$5&gt;$D$7,0,AJ37*Leadsheet!$D101)</f>
        <v>0</v>
      </c>
      <c r="AL38" s="299">
        <f>IF(AL$5&gt;$D$7,0,AK37*Leadsheet!$D101)</f>
        <v>0</v>
      </c>
      <c r="AM38" s="299">
        <f>IF(AM$5&gt;$D$7,0,AL37*Leadsheet!$D101)</f>
        <v>0</v>
      </c>
      <c r="AN38" s="299">
        <f>IF(AN$5&gt;$D$7,0,AM37*Leadsheet!$D101)</f>
        <v>0</v>
      </c>
      <c r="AO38" s="299">
        <f>IF(AO$5&gt;$D$7,0,AN37*Leadsheet!$D101)</f>
        <v>0</v>
      </c>
      <c r="AP38" s="299">
        <f>IF(AP$5&gt;$D$7,0,AO37*Leadsheet!$D101)</f>
        <v>0</v>
      </c>
      <c r="AQ38" s="299">
        <f>IF(AQ$5&gt;$D$7,0,AP37*Leadsheet!$D101)</f>
        <v>0</v>
      </c>
      <c r="AR38" s="299">
        <f>IF(AR$5&gt;$D$7,0,AQ37*Leadsheet!$D101)</f>
        <v>0</v>
      </c>
      <c r="AS38" s="299">
        <f>IF(AS$5&gt;$D$7,0,AR37*Leadsheet!$D101)</f>
        <v>0</v>
      </c>
      <c r="AT38" s="299">
        <f>IF(AT$5&gt;$D$7,0,AS37*Leadsheet!$D101)</f>
        <v>0</v>
      </c>
      <c r="AU38" s="299">
        <f>IF(AU$5&gt;$D$7,0,AT37*Leadsheet!$D101)</f>
        <v>0</v>
      </c>
      <c r="AV38" s="299">
        <f>IF(AV$5&gt;$D$7,0,AU37*Leadsheet!$D101)</f>
        <v>0</v>
      </c>
      <c r="AW38" s="299">
        <f>IF(AW$5&gt;$D$7,0,AV37*Leadsheet!$D101)</f>
        <v>0</v>
      </c>
      <c r="AX38" s="299">
        <f>IF(AX$5&gt;$D$7,0,AW37*Leadsheet!$D101)</f>
        <v>0</v>
      </c>
      <c r="AY38" s="299">
        <f>IF(AY$5&gt;$D$7,0,AX37*Leadsheet!$D101)</f>
        <v>0</v>
      </c>
      <c r="AZ38" s="299">
        <f>IF(AZ$5&gt;$D$7,0,AY37*Leadsheet!$D101)</f>
        <v>0</v>
      </c>
      <c r="BA38" s="299">
        <f>IF(BA$5&gt;$D$7,0,AZ37*Leadsheet!$D101)</f>
        <v>0</v>
      </c>
      <c r="BB38" s="299">
        <f>IF(BB$5&gt;$D$7,0,BA37*Leadsheet!$D101)</f>
        <v>0</v>
      </c>
      <c r="BC38" s="299">
        <f>IF(BC$5&gt;$D$7,0,BB37*Leadsheet!$D101)</f>
        <v>0</v>
      </c>
      <c r="BD38" s="299">
        <f>IF(BD$5&gt;$D$7,0,BC37*Leadsheet!$D101)</f>
        <v>0</v>
      </c>
      <c r="BE38" s="299">
        <f>IF(BE$5&gt;$D$7,0,BD37*Leadsheet!$D101)</f>
        <v>0</v>
      </c>
      <c r="BF38" s="299">
        <f>IF(BF$5&gt;$D$7,0,BE37*Leadsheet!$D101)</f>
        <v>0</v>
      </c>
      <c r="BG38" s="299">
        <f>IF(BG$5&gt;$D$7,0,BF37*Leadsheet!$D101)</f>
        <v>0</v>
      </c>
      <c r="BH38" s="299">
        <f>IF(BH$5&gt;$D$7,0,BG37*Leadsheet!$D101)</f>
        <v>0</v>
      </c>
      <c r="BI38" s="299">
        <f>IF(BI$5&gt;$D$7,0,BH37*Leadsheet!$D101)</f>
        <v>0</v>
      </c>
      <c r="BJ38" s="299">
        <f>IF(BJ$5&gt;$D$7,0,BI37*Leadsheet!$D101)</f>
        <v>0</v>
      </c>
      <c r="BK38" s="299">
        <f>IF(BK$5&gt;$D$7,0,BJ37*Leadsheet!$D101)</f>
        <v>0</v>
      </c>
      <c r="BL38" s="299">
        <f>IF(BL$5&gt;$D$7,0,BK37*Leadsheet!$D101)</f>
        <v>0</v>
      </c>
    </row>
    <row r="39" spans="1:64" s="186" customFormat="1" x14ac:dyDescent="0.15">
      <c r="A39" s="301" t="s">
        <v>421</v>
      </c>
      <c r="B39" s="302">
        <v>360</v>
      </c>
      <c r="C39" s="115" t="s">
        <v>427</v>
      </c>
      <c r="D39" s="304"/>
      <c r="E39" s="300">
        <f>IF(E$5&gt;$D$7,0,D38*Leadsheet!$D102)</f>
        <v>0</v>
      </c>
      <c r="F39" s="300">
        <f>IF(F$5&gt;$D$7,0,E38*Leadsheet!$D102)</f>
        <v>0</v>
      </c>
      <c r="G39" s="300">
        <f>IF(G$5&gt;$D$7,0,F38*Leadsheet!$D102)</f>
        <v>0</v>
      </c>
      <c r="H39" s="300">
        <f>IF(H$5&gt;$D$7,0,G38*Leadsheet!$D102)</f>
        <v>0</v>
      </c>
      <c r="I39" s="300">
        <f>IF(I$5&gt;$D$7,0,H38*Leadsheet!$D102)</f>
        <v>0</v>
      </c>
      <c r="J39" s="300">
        <f>IF(J$5&gt;$D$7,0,I38*Leadsheet!$D102)</f>
        <v>0</v>
      </c>
      <c r="K39" s="300">
        <f>IF(K$5&gt;$D$7,0,J38*Leadsheet!$D102)</f>
        <v>0</v>
      </c>
      <c r="L39" s="300">
        <f>IF(L$5&gt;$D$7,0,K38*Leadsheet!$D102)</f>
        <v>0</v>
      </c>
      <c r="M39" s="300">
        <f>IF(M$5&gt;$D$7,0,L38*Leadsheet!$D102)</f>
        <v>0</v>
      </c>
      <c r="N39" s="300">
        <f>IF(N$5&gt;$D$7,0,M38*Leadsheet!$D102)</f>
        <v>0</v>
      </c>
      <c r="O39" s="300">
        <f>IF(O$5&gt;$D$7,0,N38*Leadsheet!$D102)</f>
        <v>0</v>
      </c>
      <c r="P39" s="300">
        <f>IF(P$5&gt;$D$7,0,O38*Leadsheet!$D102)</f>
        <v>0.33018242727950858</v>
      </c>
      <c r="Q39" s="300">
        <f>IF(Q$5&gt;$D$7,0,P38*Leadsheet!$D102)</f>
        <v>0.2755422644983766</v>
      </c>
      <c r="R39" s="300">
        <f>IF(R$5&gt;$D$7,0,Q38*Leadsheet!$D102)</f>
        <v>0.23596390857347535</v>
      </c>
      <c r="S39" s="300">
        <f>IF(S$5&gt;$D$7,0,R38*Leadsheet!$D102)</f>
        <v>0.19953958120337448</v>
      </c>
      <c r="T39" s="299">
        <f>IF(T$5&gt;$D$7,0,S38*Leadsheet!$D102)</f>
        <v>0.17510442287533573</v>
      </c>
      <c r="U39" s="299">
        <f>IF(U$5&gt;$D$7,0,T38*Leadsheet!$D102)</f>
        <v>0.15185574155619661</v>
      </c>
      <c r="V39" s="299">
        <f>IF(V$5&gt;$D$7,0,U38*Leadsheet!$D102)</f>
        <v>0.12990648118058606</v>
      </c>
      <c r="W39" s="299">
        <f>IF(W$5&gt;$D$7,0,V38*Leadsheet!$D102)</f>
        <v>0.10924024948143794</v>
      </c>
      <c r="X39" s="299">
        <f>IF(X$5&gt;$D$7,0,W38*Leadsheet!$D102)</f>
        <v>8.9844327101026536E-2</v>
      </c>
      <c r="Y39" s="299">
        <f>IF(Y$5&gt;$D$7,0,X38*Leadsheet!$D102)</f>
        <v>0</v>
      </c>
      <c r="Z39" s="299">
        <f>IF(Z$5&gt;$D$7,0,Y38*Leadsheet!$D102)</f>
        <v>0</v>
      </c>
      <c r="AA39" s="299">
        <f>IF(AA$5&gt;$D$7,0,Z38*Leadsheet!$D102)</f>
        <v>0</v>
      </c>
      <c r="AB39" s="299">
        <f>IF(AB$5&gt;$D$7,0,AA38*Leadsheet!$D102)</f>
        <v>0</v>
      </c>
      <c r="AC39" s="299">
        <f>IF(AC$5&gt;$D$7,0,AB38*Leadsheet!$D102)</f>
        <v>0</v>
      </c>
      <c r="AD39" s="299">
        <f>IF(AD$5&gt;$D$7,0,AC38*Leadsheet!$D102)</f>
        <v>0</v>
      </c>
      <c r="AE39" s="299">
        <f>IF(AE$5&gt;$D$7,0,AD38*Leadsheet!$D102)</f>
        <v>0</v>
      </c>
      <c r="AF39" s="299">
        <f>IF(AF$5&gt;$D$7,0,AE38*Leadsheet!$D102)</f>
        <v>0</v>
      </c>
      <c r="AG39" s="299">
        <f>IF(AG$5&gt;$D$7,0,AF38*Leadsheet!$D102)</f>
        <v>0</v>
      </c>
      <c r="AH39" s="299">
        <f>IF(AH$5&gt;$D$7,0,AG38*Leadsheet!$D102)</f>
        <v>0</v>
      </c>
      <c r="AI39" s="299">
        <f>IF(AI$5&gt;$D$7,0,AH38*Leadsheet!$D102)</f>
        <v>0</v>
      </c>
      <c r="AJ39" s="299">
        <f>IF(AJ$5&gt;$D$7,0,AI38*Leadsheet!$D102)</f>
        <v>0</v>
      </c>
      <c r="AK39" s="299">
        <f>IF(AK$5&gt;$D$7,0,AJ38*Leadsheet!$D102)</f>
        <v>0</v>
      </c>
      <c r="AL39" s="299">
        <f>IF(AL$5&gt;$D$7,0,AK38*Leadsheet!$D102)</f>
        <v>0</v>
      </c>
      <c r="AM39" s="299">
        <f>IF(AM$5&gt;$D$7,0,AL38*Leadsheet!$D102)</f>
        <v>0</v>
      </c>
      <c r="AN39" s="299">
        <f>IF(AN$5&gt;$D$7,0,AM38*Leadsheet!$D102)</f>
        <v>0</v>
      </c>
      <c r="AO39" s="299">
        <f>IF(AO$5&gt;$D$7,0,AN38*Leadsheet!$D102)</f>
        <v>0</v>
      </c>
      <c r="AP39" s="299">
        <f>IF(AP$5&gt;$D$7,0,AO38*Leadsheet!$D102)</f>
        <v>0</v>
      </c>
      <c r="AQ39" s="299">
        <f>IF(AQ$5&gt;$D$7,0,AP38*Leadsheet!$D102)</f>
        <v>0</v>
      </c>
      <c r="AR39" s="299">
        <f>IF(AR$5&gt;$D$7,0,AQ38*Leadsheet!$D102)</f>
        <v>0</v>
      </c>
      <c r="AS39" s="299">
        <f>IF(AS$5&gt;$D$7,0,AR38*Leadsheet!$D102)</f>
        <v>0</v>
      </c>
      <c r="AT39" s="299">
        <f>IF(AT$5&gt;$D$7,0,AS38*Leadsheet!$D102)</f>
        <v>0</v>
      </c>
      <c r="AU39" s="299">
        <f>IF(AU$5&gt;$D$7,0,AT38*Leadsheet!$D102)</f>
        <v>0</v>
      </c>
      <c r="AV39" s="299">
        <f>IF(AV$5&gt;$D$7,0,AU38*Leadsheet!$D102)</f>
        <v>0</v>
      </c>
      <c r="AW39" s="299">
        <f>IF(AW$5&gt;$D$7,0,AV38*Leadsheet!$D102)</f>
        <v>0</v>
      </c>
      <c r="AX39" s="299">
        <f>IF(AX$5&gt;$D$7,0,AW38*Leadsheet!$D102)</f>
        <v>0</v>
      </c>
      <c r="AY39" s="299">
        <f>IF(AY$5&gt;$D$7,0,AX38*Leadsheet!$D102)</f>
        <v>0</v>
      </c>
      <c r="AZ39" s="299">
        <f>IF(AZ$5&gt;$D$7,0,AY38*Leadsheet!$D102)</f>
        <v>0</v>
      </c>
      <c r="BA39" s="299">
        <f>IF(BA$5&gt;$D$7,0,AZ38*Leadsheet!$D102)</f>
        <v>0</v>
      </c>
      <c r="BB39" s="299">
        <f>IF(BB$5&gt;$D$7,0,BA38*Leadsheet!$D102)</f>
        <v>0</v>
      </c>
      <c r="BC39" s="299">
        <f>IF(BC$5&gt;$D$7,0,BB38*Leadsheet!$D102)</f>
        <v>0</v>
      </c>
      <c r="BD39" s="299">
        <f>IF(BD$5&gt;$D$7,0,BC38*Leadsheet!$D102)</f>
        <v>0</v>
      </c>
      <c r="BE39" s="299">
        <f>IF(BE$5&gt;$D$7,0,BD38*Leadsheet!$D102)</f>
        <v>0</v>
      </c>
      <c r="BF39" s="299">
        <f>IF(BF$5&gt;$D$7,0,BE38*Leadsheet!$D102)</f>
        <v>0</v>
      </c>
      <c r="BG39" s="299">
        <f>IF(BG$5&gt;$D$7,0,BF38*Leadsheet!$D102)</f>
        <v>0</v>
      </c>
      <c r="BH39" s="299">
        <f>IF(BH$5&gt;$D$7,0,BG38*Leadsheet!$D102)</f>
        <v>0</v>
      </c>
      <c r="BI39" s="299">
        <f>IF(BI$5&gt;$D$7,0,BH38*Leadsheet!$D102)</f>
        <v>0</v>
      </c>
      <c r="BJ39" s="299">
        <f>IF(BJ$5&gt;$D$7,0,BI38*Leadsheet!$D102)</f>
        <v>0</v>
      </c>
      <c r="BK39" s="299">
        <f>IF(BK$5&gt;$D$7,0,BJ38*Leadsheet!$D102)</f>
        <v>0</v>
      </c>
      <c r="BL39" s="299">
        <f>IF(BL$5&gt;$D$7,0,BK38*Leadsheet!$D102)</f>
        <v>0</v>
      </c>
    </row>
    <row r="40" spans="1:64" x14ac:dyDescent="0.15">
      <c r="A40" s="301" t="s">
        <v>428</v>
      </c>
      <c r="B40" s="302">
        <v>390</v>
      </c>
      <c r="C40" s="115" t="s">
        <v>429</v>
      </c>
      <c r="D40" s="303"/>
      <c r="E40" s="300">
        <f>IF(E$5&gt;$D$7,0,D39*Leadsheet!$D103)</f>
        <v>0</v>
      </c>
      <c r="F40" s="300">
        <f>IF(F$5&gt;$D$7,0,E39*Leadsheet!$D103)</f>
        <v>0</v>
      </c>
      <c r="G40" s="300">
        <f>IF(G$5&gt;$D$7,0,F39*Leadsheet!$D103)</f>
        <v>0</v>
      </c>
      <c r="H40" s="300">
        <f>IF(H$5&gt;$D$7,0,G39*Leadsheet!$D103)</f>
        <v>0</v>
      </c>
      <c r="I40" s="300">
        <f>IF(I$5&gt;$D$7,0,H39*Leadsheet!$D103)</f>
        <v>0</v>
      </c>
      <c r="J40" s="300">
        <f>IF(J$5&gt;$D$7,0,I39*Leadsheet!$D103)</f>
        <v>0</v>
      </c>
      <c r="K40" s="300">
        <f>IF(K$5&gt;$D$7,0,J39*Leadsheet!$D103)</f>
        <v>0</v>
      </c>
      <c r="L40" s="300">
        <f>IF(L$5&gt;$D$7,0,K39*Leadsheet!$D103)</f>
        <v>0</v>
      </c>
      <c r="M40" s="300">
        <f>IF(M$5&gt;$D$7,0,L39*Leadsheet!$D103)</f>
        <v>0</v>
      </c>
      <c r="N40" s="300">
        <f>IF(N$5&gt;$D$7,0,M39*Leadsheet!$D103)</f>
        <v>0</v>
      </c>
      <c r="O40" s="300">
        <f>IF(O$5&gt;$D$7,0,N39*Leadsheet!$D103)</f>
        <v>0</v>
      </c>
      <c r="P40" s="300">
        <f>IF(P$5&gt;$D$7,0,O39*Leadsheet!$D103)</f>
        <v>0</v>
      </c>
      <c r="Q40" s="300">
        <f>IF(Q$5&gt;$D$7,0,P39*Leadsheet!$D103)</f>
        <v>0.33018242727950858</v>
      </c>
      <c r="R40" s="300">
        <f>IF(R$5&gt;$D$7,0,Q39*Leadsheet!$D103)</f>
        <v>0.2755422644983766</v>
      </c>
      <c r="S40" s="300">
        <f>IF(S$5&gt;$D$7,0,R39*Leadsheet!$D103)</f>
        <v>0.23596390857347535</v>
      </c>
      <c r="T40" s="299">
        <f>IF(T$5&gt;$D$7,0,S39*Leadsheet!$D103)</f>
        <v>0.19953958120337448</v>
      </c>
      <c r="U40" s="299">
        <f>IF(U$5&gt;$D$7,0,T39*Leadsheet!$D103)</f>
        <v>0.17510442287533573</v>
      </c>
      <c r="V40" s="299">
        <f>IF(V$5&gt;$D$7,0,U39*Leadsheet!$D103)</f>
        <v>0.15185574155619661</v>
      </c>
      <c r="W40" s="299">
        <f>IF(W$5&gt;$D$7,0,V39*Leadsheet!$D103)</f>
        <v>0.12990648118058606</v>
      </c>
      <c r="X40" s="299">
        <f>IF(X$5&gt;$D$7,0,W39*Leadsheet!$D103)</f>
        <v>0.10924024948143794</v>
      </c>
      <c r="Y40" s="299">
        <f>IF(Y$5&gt;$D$7,0,X39*Leadsheet!$D103)</f>
        <v>0</v>
      </c>
      <c r="Z40" s="299">
        <f>IF(Z$5&gt;$D$7,0,Y39*Leadsheet!$D103)</f>
        <v>0</v>
      </c>
      <c r="AA40" s="299">
        <f>IF(AA$5&gt;$D$7,0,Z39*Leadsheet!$D103)</f>
        <v>0</v>
      </c>
      <c r="AB40" s="299">
        <f>IF(AB$5&gt;$D$7,0,AA39*Leadsheet!$D103)</f>
        <v>0</v>
      </c>
      <c r="AC40" s="299">
        <f>IF(AC$5&gt;$D$7,0,AB39*Leadsheet!$D103)</f>
        <v>0</v>
      </c>
      <c r="AD40" s="299">
        <f>IF(AD$5&gt;$D$7,0,AC39*Leadsheet!$D103)</f>
        <v>0</v>
      </c>
      <c r="AE40" s="299">
        <f>IF(AE$5&gt;$D$7,0,AD39*Leadsheet!$D103)</f>
        <v>0</v>
      </c>
      <c r="AF40" s="299">
        <f>IF(AF$5&gt;$D$7,0,AE39*Leadsheet!$D103)</f>
        <v>0</v>
      </c>
      <c r="AG40" s="299">
        <f>IF(AG$5&gt;$D$7,0,AF39*Leadsheet!$D103)</f>
        <v>0</v>
      </c>
      <c r="AH40" s="299">
        <f>IF(AH$5&gt;$D$7,0,AG39*Leadsheet!$D103)</f>
        <v>0</v>
      </c>
      <c r="AI40" s="299">
        <f>IF(AI$5&gt;$D$7,0,AH39*Leadsheet!$D103)</f>
        <v>0</v>
      </c>
      <c r="AJ40" s="299">
        <f>IF(AJ$5&gt;$D$7,0,AI39*Leadsheet!$D103)</f>
        <v>0</v>
      </c>
      <c r="AK40" s="299">
        <f>IF(AK$5&gt;$D$7,0,AJ39*Leadsheet!$D103)</f>
        <v>0</v>
      </c>
      <c r="AL40" s="299">
        <f>IF(AL$5&gt;$D$7,0,AK39*Leadsheet!$D103)</f>
        <v>0</v>
      </c>
      <c r="AM40" s="299">
        <f>IF(AM$5&gt;$D$7,0,AL39*Leadsheet!$D103)</f>
        <v>0</v>
      </c>
      <c r="AN40" s="299">
        <f>IF(AN$5&gt;$D$7,0,AM39*Leadsheet!$D103)</f>
        <v>0</v>
      </c>
      <c r="AO40" s="299">
        <f>IF(AO$5&gt;$D$7,0,AN39*Leadsheet!$D103)</f>
        <v>0</v>
      </c>
      <c r="AP40" s="299">
        <f>IF(AP$5&gt;$D$7,0,AO39*Leadsheet!$D103)</f>
        <v>0</v>
      </c>
      <c r="AQ40" s="299">
        <f>IF(AQ$5&gt;$D$7,0,AP39*Leadsheet!$D103)</f>
        <v>0</v>
      </c>
      <c r="AR40" s="299">
        <f>IF(AR$5&gt;$D$7,0,AQ39*Leadsheet!$D103)</f>
        <v>0</v>
      </c>
      <c r="AS40" s="299">
        <f>IF(AS$5&gt;$D$7,0,AR39*Leadsheet!$D103)</f>
        <v>0</v>
      </c>
      <c r="AT40" s="299">
        <f>IF(AT$5&gt;$D$7,0,AS39*Leadsheet!$D103)</f>
        <v>0</v>
      </c>
      <c r="AU40" s="299">
        <f>IF(AU$5&gt;$D$7,0,AT39*Leadsheet!$D103)</f>
        <v>0</v>
      </c>
      <c r="AV40" s="299">
        <f>IF(AV$5&gt;$D$7,0,AU39*Leadsheet!$D103)</f>
        <v>0</v>
      </c>
      <c r="AW40" s="299">
        <f>IF(AW$5&gt;$D$7,0,AV39*Leadsheet!$D103)</f>
        <v>0</v>
      </c>
      <c r="AX40" s="299">
        <f>IF(AX$5&gt;$D$7,0,AW39*Leadsheet!$D103)</f>
        <v>0</v>
      </c>
      <c r="AY40" s="299">
        <f>IF(AY$5&gt;$D$7,0,AX39*Leadsheet!$D103)</f>
        <v>0</v>
      </c>
      <c r="AZ40" s="299">
        <f>IF(AZ$5&gt;$D$7,0,AY39*Leadsheet!$D103)</f>
        <v>0</v>
      </c>
      <c r="BA40" s="299">
        <f>IF(BA$5&gt;$D$7,0,AZ39*Leadsheet!$D103)</f>
        <v>0</v>
      </c>
      <c r="BB40" s="299">
        <f>IF(BB$5&gt;$D$7,0,BA39*Leadsheet!$D103)</f>
        <v>0</v>
      </c>
      <c r="BC40" s="299">
        <f>IF(BC$5&gt;$D$7,0,BB39*Leadsheet!$D103)</f>
        <v>0</v>
      </c>
      <c r="BD40" s="299">
        <f>IF(BD$5&gt;$D$7,0,BC39*Leadsheet!$D103)</f>
        <v>0</v>
      </c>
      <c r="BE40" s="299">
        <f>IF(BE$5&gt;$D$7,0,BD39*Leadsheet!$D103)</f>
        <v>0</v>
      </c>
      <c r="BF40" s="299">
        <f>IF(BF$5&gt;$D$7,0,BE39*Leadsheet!$D103)</f>
        <v>0</v>
      </c>
      <c r="BG40" s="299">
        <f>IF(BG$5&gt;$D$7,0,BF39*Leadsheet!$D103)</f>
        <v>0</v>
      </c>
      <c r="BH40" s="299">
        <f>IF(BH$5&gt;$D$7,0,BG39*Leadsheet!$D103)</f>
        <v>0</v>
      </c>
      <c r="BI40" s="299">
        <f>IF(BI$5&gt;$D$7,0,BH39*Leadsheet!$D103)</f>
        <v>0</v>
      </c>
      <c r="BJ40" s="299">
        <f>IF(BJ$5&gt;$D$7,0,BI39*Leadsheet!$D103)</f>
        <v>0</v>
      </c>
      <c r="BK40" s="299">
        <f>IF(BK$5&gt;$D$7,0,BJ39*Leadsheet!$D103)</f>
        <v>0</v>
      </c>
      <c r="BL40" s="299">
        <f>IF(BL$5&gt;$D$7,0,BK39*Leadsheet!$D103)</f>
        <v>0</v>
      </c>
    </row>
    <row r="41" spans="1:64" x14ac:dyDescent="0.15">
      <c r="A41" s="301" t="s">
        <v>428</v>
      </c>
      <c r="B41" s="302" t="s">
        <v>430</v>
      </c>
      <c r="C41" s="115" t="s">
        <v>431</v>
      </c>
      <c r="D41" s="303"/>
      <c r="E41" s="299">
        <f t="shared" ref="E41:BL41" si="6">IF(E5&gt;$D$7,0,D40+D41)</f>
        <v>0</v>
      </c>
      <c r="F41" s="299">
        <f t="shared" si="6"/>
        <v>0</v>
      </c>
      <c r="G41" s="299">
        <f t="shared" si="6"/>
        <v>0</v>
      </c>
      <c r="H41" s="299">
        <f t="shared" si="6"/>
        <v>0</v>
      </c>
      <c r="I41" s="299">
        <f t="shared" si="6"/>
        <v>0</v>
      </c>
      <c r="J41" s="299">
        <f t="shared" si="6"/>
        <v>0</v>
      </c>
      <c r="K41" s="299">
        <f t="shared" si="6"/>
        <v>0</v>
      </c>
      <c r="L41" s="299">
        <f t="shared" si="6"/>
        <v>0</v>
      </c>
      <c r="M41" s="299">
        <f t="shared" si="6"/>
        <v>0</v>
      </c>
      <c r="N41" s="299">
        <f t="shared" si="6"/>
        <v>0</v>
      </c>
      <c r="O41" s="299">
        <f t="shared" si="6"/>
        <v>0</v>
      </c>
      <c r="P41" s="299">
        <f t="shared" si="6"/>
        <v>0</v>
      </c>
      <c r="Q41" s="299">
        <f t="shared" si="6"/>
        <v>0</v>
      </c>
      <c r="R41" s="299">
        <f t="shared" si="6"/>
        <v>0.33018242727950858</v>
      </c>
      <c r="S41" s="299">
        <f t="shared" si="6"/>
        <v>0.60572469177788513</v>
      </c>
      <c r="T41" s="299">
        <f t="shared" si="6"/>
        <v>0.84168860035136051</v>
      </c>
      <c r="U41" s="299">
        <f t="shared" si="6"/>
        <v>1.0412281815547351</v>
      </c>
      <c r="V41" s="299">
        <f t="shared" si="6"/>
        <v>1.2163326044300709</v>
      </c>
      <c r="W41" s="299">
        <f t="shared" si="6"/>
        <v>1.3681883459862674</v>
      </c>
      <c r="X41" s="299">
        <f t="shared" si="6"/>
        <v>1.4980948271668535</v>
      </c>
      <c r="Y41" s="299">
        <f t="shared" si="6"/>
        <v>0</v>
      </c>
      <c r="Z41" s="299">
        <f t="shared" si="6"/>
        <v>0</v>
      </c>
      <c r="AA41" s="299">
        <f t="shared" si="6"/>
        <v>0</v>
      </c>
      <c r="AB41" s="299">
        <f t="shared" si="6"/>
        <v>0</v>
      </c>
      <c r="AC41" s="299">
        <f t="shared" si="6"/>
        <v>0</v>
      </c>
      <c r="AD41" s="299">
        <f t="shared" si="6"/>
        <v>0</v>
      </c>
      <c r="AE41" s="299">
        <f t="shared" si="6"/>
        <v>0</v>
      </c>
      <c r="AF41" s="299">
        <f t="shared" si="6"/>
        <v>0</v>
      </c>
      <c r="AG41" s="299">
        <f t="shared" si="6"/>
        <v>0</v>
      </c>
      <c r="AH41" s="299">
        <f t="shared" si="6"/>
        <v>0</v>
      </c>
      <c r="AI41" s="299">
        <f t="shared" si="6"/>
        <v>0</v>
      </c>
      <c r="AJ41" s="299">
        <f t="shared" si="6"/>
        <v>0</v>
      </c>
      <c r="AK41" s="299">
        <f t="shared" si="6"/>
        <v>0</v>
      </c>
      <c r="AL41" s="299">
        <f t="shared" si="6"/>
        <v>0</v>
      </c>
      <c r="AM41" s="299">
        <f t="shared" si="6"/>
        <v>0</v>
      </c>
      <c r="AN41" s="299">
        <f t="shared" si="6"/>
        <v>0</v>
      </c>
      <c r="AO41" s="299">
        <f t="shared" si="6"/>
        <v>0</v>
      </c>
      <c r="AP41" s="299">
        <f t="shared" si="6"/>
        <v>0</v>
      </c>
      <c r="AQ41" s="299">
        <f t="shared" si="6"/>
        <v>0</v>
      </c>
      <c r="AR41" s="299">
        <f t="shared" si="6"/>
        <v>0</v>
      </c>
      <c r="AS41" s="299">
        <f t="shared" si="6"/>
        <v>0</v>
      </c>
      <c r="AT41" s="299">
        <f t="shared" si="6"/>
        <v>0</v>
      </c>
      <c r="AU41" s="299">
        <f t="shared" si="6"/>
        <v>0</v>
      </c>
      <c r="AV41" s="299">
        <f t="shared" si="6"/>
        <v>0</v>
      </c>
      <c r="AW41" s="299">
        <f t="shared" si="6"/>
        <v>0</v>
      </c>
      <c r="AX41" s="299">
        <f t="shared" si="6"/>
        <v>0</v>
      </c>
      <c r="AY41" s="299">
        <f t="shared" si="6"/>
        <v>0</v>
      </c>
      <c r="AZ41" s="299">
        <f t="shared" si="6"/>
        <v>0</v>
      </c>
      <c r="BA41" s="299">
        <f t="shared" si="6"/>
        <v>0</v>
      </c>
      <c r="BB41" s="299">
        <f t="shared" si="6"/>
        <v>0</v>
      </c>
      <c r="BC41" s="299">
        <f t="shared" si="6"/>
        <v>0</v>
      </c>
      <c r="BD41" s="299">
        <f t="shared" si="6"/>
        <v>0</v>
      </c>
      <c r="BE41" s="299">
        <f t="shared" si="6"/>
        <v>0</v>
      </c>
      <c r="BF41" s="299">
        <f t="shared" si="6"/>
        <v>0</v>
      </c>
      <c r="BG41" s="299">
        <f t="shared" si="6"/>
        <v>0</v>
      </c>
      <c r="BH41" s="299">
        <f t="shared" si="6"/>
        <v>0</v>
      </c>
      <c r="BI41" s="299">
        <f t="shared" si="6"/>
        <v>0</v>
      </c>
      <c r="BJ41" s="299">
        <f t="shared" si="6"/>
        <v>0</v>
      </c>
      <c r="BK41" s="299">
        <f t="shared" si="6"/>
        <v>0</v>
      </c>
      <c r="BL41" s="299">
        <f t="shared" si="6"/>
        <v>0</v>
      </c>
    </row>
    <row r="42" spans="1:64" x14ac:dyDescent="0.15">
      <c r="E42" s="137"/>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71"/>
      <c r="BE42" s="171"/>
      <c r="BF42" s="171"/>
      <c r="BG42" s="171"/>
      <c r="BH42" s="171"/>
      <c r="BI42" s="171"/>
      <c r="BJ42" s="171"/>
      <c r="BK42" s="171"/>
      <c r="BL42" s="171"/>
    </row>
    <row r="43" spans="1:64" x14ac:dyDescent="0.15">
      <c r="B43" s="186" t="s">
        <v>432</v>
      </c>
      <c r="C43" s="282"/>
      <c r="E43" s="305"/>
      <c r="F43" s="305"/>
      <c r="G43" s="305"/>
      <c r="H43" s="305"/>
      <c r="I43" s="305"/>
      <c r="J43" s="305"/>
      <c r="K43" s="305"/>
      <c r="L43" s="305"/>
      <c r="M43" s="305"/>
      <c r="N43" s="305"/>
      <c r="O43" s="305"/>
      <c r="P43" s="305"/>
      <c r="Q43" s="305"/>
      <c r="R43" s="305"/>
      <c r="S43" s="305"/>
      <c r="T43" s="178"/>
      <c r="U43" s="178"/>
      <c r="V43" s="178"/>
      <c r="W43" s="178"/>
      <c r="X43" s="178"/>
      <c r="Y43" s="178"/>
      <c r="Z43" s="178"/>
      <c r="AA43" s="178"/>
      <c r="AB43" s="178"/>
    </row>
    <row r="44" spans="1:64" s="171" customFormat="1" x14ac:dyDescent="0.15">
      <c r="C44" s="186" t="s">
        <v>433</v>
      </c>
      <c r="D44" s="293">
        <f>SUM(D27:D41)</f>
        <v>14.38934503980577</v>
      </c>
      <c r="E44" s="293">
        <f>SUM(E27:E41)</f>
        <v>12.494775127827237</v>
      </c>
      <c r="F44" s="293">
        <f t="shared" ref="F44:BL44" si="7">SUM(F27:F41)</f>
        <v>11.027863425796598</v>
      </c>
      <c r="G44" s="293">
        <f t="shared" si="7"/>
        <v>9.6613037344557302</v>
      </c>
      <c r="H44" s="293">
        <f t="shared" si="7"/>
        <v>8.7768859342058789</v>
      </c>
      <c r="I44" s="293">
        <f t="shared" si="7"/>
        <v>7.9257266586003601</v>
      </c>
      <c r="J44" s="293">
        <f t="shared" si="7"/>
        <v>7.1088571952827966</v>
      </c>
      <c r="K44" s="293">
        <f t="shared" si="7"/>
        <v>6.3267787802793647</v>
      </c>
      <c r="L44" s="293">
        <f t="shared" si="7"/>
        <v>5.5800525677626096</v>
      </c>
      <c r="M44" s="293">
        <f t="shared" si="7"/>
        <v>4.8693009778942322</v>
      </c>
      <c r="N44" s="293">
        <f t="shared" si="7"/>
        <v>4.1952654026485012</v>
      </c>
      <c r="O44" s="293">
        <f t="shared" si="7"/>
        <v>3.5588747688824998</v>
      </c>
      <c r="P44" s="293">
        <f t="shared" si="7"/>
        <v>2.9614099925512081</v>
      </c>
      <c r="Q44" s="293">
        <f t="shared" si="7"/>
        <v>2.4050071721020174</v>
      </c>
      <c r="R44" s="293">
        <f t="shared" si="7"/>
        <v>1.9058156960247643</v>
      </c>
      <c r="S44" s="293">
        <f t="shared" si="7"/>
        <v>1.8997897205771386</v>
      </c>
      <c r="T44" s="293">
        <f t="shared" si="7"/>
        <v>1.8993021980720952</v>
      </c>
      <c r="U44" s="293">
        <f t="shared" si="7"/>
        <v>1.8991281270905886</v>
      </c>
      <c r="V44" s="293">
        <f t="shared" si="7"/>
        <v>1.8991281270905889</v>
      </c>
      <c r="W44" s="293">
        <f t="shared" si="7"/>
        <v>1.8991281270905886</v>
      </c>
      <c r="X44" s="293">
        <f t="shared" si="7"/>
        <v>1.8991281270905886</v>
      </c>
      <c r="Y44" s="293">
        <f>SUM(Y27:Y41)</f>
        <v>0</v>
      </c>
      <c r="Z44" s="293">
        <f t="shared" si="7"/>
        <v>0</v>
      </c>
      <c r="AA44" s="293">
        <f t="shared" si="7"/>
        <v>0</v>
      </c>
      <c r="AB44" s="293">
        <f t="shared" si="7"/>
        <v>0</v>
      </c>
      <c r="AC44" s="293">
        <f t="shared" si="7"/>
        <v>0</v>
      </c>
      <c r="AD44" s="293">
        <f t="shared" si="7"/>
        <v>0</v>
      </c>
      <c r="AE44" s="293">
        <f t="shared" si="7"/>
        <v>0</v>
      </c>
      <c r="AF44" s="293">
        <f t="shared" si="7"/>
        <v>0</v>
      </c>
      <c r="AG44" s="293">
        <f t="shared" si="7"/>
        <v>0</v>
      </c>
      <c r="AH44" s="293">
        <f t="shared" si="7"/>
        <v>0</v>
      </c>
      <c r="AI44" s="293">
        <f t="shared" si="7"/>
        <v>0</v>
      </c>
      <c r="AJ44" s="293">
        <f t="shared" si="7"/>
        <v>0</v>
      </c>
      <c r="AK44" s="293">
        <f t="shared" si="7"/>
        <v>0</v>
      </c>
      <c r="AL44" s="293">
        <f t="shared" si="7"/>
        <v>0</v>
      </c>
      <c r="AM44" s="293">
        <f t="shared" si="7"/>
        <v>0</v>
      </c>
      <c r="AN44" s="293">
        <f t="shared" si="7"/>
        <v>0</v>
      </c>
      <c r="AO44" s="293">
        <f t="shared" si="7"/>
        <v>0</v>
      </c>
      <c r="AP44" s="293">
        <f t="shared" si="7"/>
        <v>0</v>
      </c>
      <c r="AQ44" s="293">
        <f t="shared" si="7"/>
        <v>0</v>
      </c>
      <c r="AR44" s="293">
        <f t="shared" si="7"/>
        <v>0</v>
      </c>
      <c r="AS44" s="293">
        <f t="shared" si="7"/>
        <v>0</v>
      </c>
      <c r="AT44" s="293">
        <f t="shared" si="7"/>
        <v>0</v>
      </c>
      <c r="AU44" s="293">
        <f t="shared" si="7"/>
        <v>0</v>
      </c>
      <c r="AV44" s="293">
        <f t="shared" si="7"/>
        <v>0</v>
      </c>
      <c r="AW44" s="293">
        <f t="shared" si="7"/>
        <v>0</v>
      </c>
      <c r="AX44" s="293">
        <f t="shared" si="7"/>
        <v>0</v>
      </c>
      <c r="AY44" s="293">
        <f t="shared" si="7"/>
        <v>0</v>
      </c>
      <c r="AZ44" s="293">
        <f t="shared" si="7"/>
        <v>0</v>
      </c>
      <c r="BA44" s="293">
        <f t="shared" si="7"/>
        <v>0</v>
      </c>
      <c r="BB44" s="293">
        <f t="shared" si="7"/>
        <v>0</v>
      </c>
      <c r="BC44" s="293">
        <f t="shared" si="7"/>
        <v>0</v>
      </c>
      <c r="BD44" s="293">
        <f t="shared" si="7"/>
        <v>0</v>
      </c>
      <c r="BE44" s="293">
        <f t="shared" si="7"/>
        <v>0</v>
      </c>
      <c r="BF44" s="293">
        <f t="shared" si="7"/>
        <v>0</v>
      </c>
      <c r="BG44" s="293">
        <f t="shared" si="7"/>
        <v>0</v>
      </c>
      <c r="BH44" s="293">
        <f t="shared" si="7"/>
        <v>0</v>
      </c>
      <c r="BI44" s="293">
        <f t="shared" si="7"/>
        <v>0</v>
      </c>
      <c r="BJ44" s="293">
        <f t="shared" si="7"/>
        <v>0</v>
      </c>
      <c r="BK44" s="293">
        <f t="shared" si="7"/>
        <v>0</v>
      </c>
      <c r="BL44" s="293">
        <f t="shared" si="7"/>
        <v>0</v>
      </c>
    </row>
    <row r="45" spans="1:64" s="186" customFormat="1" x14ac:dyDescent="0.15">
      <c r="C45" s="294" t="s">
        <v>434</v>
      </c>
      <c r="D45" s="171" cm="1">
        <f t="array" ref="D45">IF(D5=$D$7,0,_xlfn.IFS(Leadsheet!$G$5="DPD360+",SUM(SAP_Speadsheet!D27:D40),Leadsheet!$G$5="DPD180+",SUM(SAP_Speadsheet!D27:D34)))</f>
        <v>14.38934503980577</v>
      </c>
      <c r="E45" s="171" cm="1">
        <f t="array" ref="E45">IF(E5=$D$7,0,_xlfn.IFS(Leadsheet!$G$5="DPD360+",SUM(SAP_Speadsheet!E27:E40),Leadsheet!$G$5="DPD180+",SUM(SAP_Speadsheet!E27:E34)))</f>
        <v>12.494775127827237</v>
      </c>
      <c r="F45" s="171" cm="1">
        <f t="array" ref="F45">IF(F5=$D$7,0,_xlfn.IFS(Leadsheet!$G$5="DPD360+",SUM(SAP_Speadsheet!F27:F40),Leadsheet!$G$5="DPD180+",SUM(SAP_Speadsheet!F27:F34)))</f>
        <v>11.027863425796598</v>
      </c>
      <c r="G45" s="171" cm="1">
        <f t="array" ref="G45">IF(G5=$D$7,0,_xlfn.IFS(Leadsheet!$G$5="DPD360+",SUM(SAP_Speadsheet!G27:G40),Leadsheet!$G$5="DPD180+",SUM(SAP_Speadsheet!G27:G34)))</f>
        <v>9.6613037344557302</v>
      </c>
      <c r="H45" s="171" cm="1">
        <f t="array" ref="H45">IF(H5=$D$7,0,_xlfn.IFS(Leadsheet!$G$5="DPD360+",SUM(SAP_Speadsheet!H27:H40),Leadsheet!$G$5="DPD180+",SUM(SAP_Speadsheet!H27:H34)))</f>
        <v>8.7768859342058789</v>
      </c>
      <c r="I45" s="171" cm="1">
        <f t="array" ref="I45">IF(I5=$D$7,0,_xlfn.IFS(Leadsheet!$G$5="DPD360+",SUM(SAP_Speadsheet!I27:I40),Leadsheet!$G$5="DPD180+",SUM(SAP_Speadsheet!I27:I34)))</f>
        <v>7.9257266586003601</v>
      </c>
      <c r="J45" s="171" cm="1">
        <f t="array" ref="J45">IF(J5=$D$7,0,_xlfn.IFS(Leadsheet!$G$5="DPD360+",SUM(SAP_Speadsheet!J27:J40),Leadsheet!$G$5="DPD180+",SUM(SAP_Speadsheet!J27:J34)))</f>
        <v>7.1088571952827966</v>
      </c>
      <c r="K45" s="171" cm="1">
        <f t="array" ref="K45">IF(K5=$D$7,0,_xlfn.IFS(Leadsheet!$G$5="DPD360+",SUM(SAP_Speadsheet!K27:K40),Leadsheet!$G$5="DPD180+",SUM(SAP_Speadsheet!K27:K34)))</f>
        <v>6.3267787802793647</v>
      </c>
      <c r="L45" s="171" cm="1">
        <f t="array" ref="L45">IF(L5=$D$7,0,_xlfn.IFS(Leadsheet!$G$5="DPD360+",SUM(SAP_Speadsheet!L27:L40),Leadsheet!$G$5="DPD180+",SUM(SAP_Speadsheet!L27:L34)))</f>
        <v>5.2498701404831012</v>
      </c>
      <c r="M45" s="171" cm="1">
        <f t="array" ref="M45">IF(M5=$D$7,0,_xlfn.IFS(Leadsheet!$G$5="DPD360+",SUM(SAP_Speadsheet!M27:M40),Leadsheet!$G$5="DPD180+",SUM(SAP_Speadsheet!M27:M34)))</f>
        <v>4.2635762861163471</v>
      </c>
      <c r="N45" s="171" cm="1">
        <f t="array" ref="N45">IF(N5=$D$7,0,_xlfn.IFS(Leadsheet!$G$5="DPD360+",SUM(SAP_Speadsheet!N27:N40),Leadsheet!$G$5="DPD180+",SUM(SAP_Speadsheet!N27:N34)))</f>
        <v>3.3535768022971406</v>
      </c>
      <c r="O45" s="171" cm="1">
        <f t="array" ref="O45">IF(O5=$D$7,0,_xlfn.IFS(Leadsheet!$G$5="DPD360+",SUM(SAP_Speadsheet!O27:O40),Leadsheet!$G$5="DPD180+",SUM(SAP_Speadsheet!O27:O34)))</f>
        <v>2.5176465873277647</v>
      </c>
      <c r="P45" s="171" cm="1">
        <f t="array" ref="P45">IF(P5=$D$7,0,_xlfn.IFS(Leadsheet!$G$5="DPD360+",SUM(SAP_Speadsheet!P27:P40),Leadsheet!$G$5="DPD180+",SUM(SAP_Speadsheet!P27:P34)))</f>
        <v>1.7450773881211372</v>
      </c>
      <c r="Q45" s="171" cm="1">
        <f t="array" ref="Q45">IF(Q5=$D$7,0,_xlfn.IFS(Leadsheet!$G$5="DPD360+",SUM(SAP_Speadsheet!Q27:Q40),Leadsheet!$G$5="DPD180+",SUM(SAP_Speadsheet!Q27:Q34)))</f>
        <v>1.0368188261157505</v>
      </c>
      <c r="R45" s="171" cm="1">
        <f t="array" ref="R45">IF(R5=$D$7,0,_xlfn.IFS(Leadsheet!$G$5="DPD360+",SUM(SAP_Speadsheet!R27:R40),Leadsheet!$G$5="DPD180+",SUM(SAP_Speadsheet!R27:R34)))</f>
        <v>0.40772086885791081</v>
      </c>
      <c r="S45" s="171" cm="1">
        <f t="array" ref="S45">IF(S5=$D$7,0,_xlfn.IFS(Leadsheet!$G$5="DPD360+",SUM(SAP_Speadsheet!S27:S40),Leadsheet!$G$5="DPD180+",SUM(SAP_Speadsheet!S27:S34)))</f>
        <v>0.29245464392884746</v>
      </c>
      <c r="T45" s="171" cm="1">
        <f t="array" ref="T45">IF(T5=$D$7,0,_xlfn.IFS(Leadsheet!$G$5="DPD360+",SUM(SAP_Speadsheet!T27:T40),Leadsheet!$G$5="DPD180+",SUM(SAP_Speadsheet!T27:T34)))</f>
        <v>0.20212279432277719</v>
      </c>
      <c r="U45" s="171" cm="1">
        <f t="array" ref="U45">IF(U5=$D$7,0,_xlfn.IFS(Leadsheet!$G$5="DPD360+",SUM(SAP_Speadsheet!U27:U40),Leadsheet!$G$5="DPD180+",SUM(SAP_Speadsheet!U27:U34)))</f>
        <v>0.13024476726538556</v>
      </c>
      <c r="V45" s="171" cm="1">
        <f t="array" ref="V45">IF(V5=$D$7,0,_xlfn.IFS(Leadsheet!$G$5="DPD360+",SUM(SAP_Speadsheet!V27:V40),Leadsheet!$G$5="DPD180+",SUM(SAP_Speadsheet!V27:V34)))</f>
        <v>7.5437255482304871E-2</v>
      </c>
      <c r="W45" s="171" cm="1">
        <f t="array" ref="W45">IF(W5=$D$7,0,_xlfn.IFS(Leadsheet!$G$5="DPD360+",SUM(SAP_Speadsheet!W27:W40),Leadsheet!$G$5="DPD180+",SUM(SAP_Speadsheet!W27:W34)))</f>
        <v>3.6289350075159668E-2</v>
      </c>
      <c r="X45" s="171" cm="1">
        <f t="array" ref="X45">IF(X5=$D$7,0,_xlfn.IFS(Leadsheet!$G$5="DPD360+",SUM(SAP_Speadsheet!X27:X40),Leadsheet!$G$5="DPD180+",SUM(SAP_Speadsheet!X27:X34)))</f>
        <v>0</v>
      </c>
      <c r="Y45" s="171" cm="1">
        <f t="array" ref="Y45">IF(Y5=$D$7,0,_xlfn.IFS(Leadsheet!$G$5="DPD360+",SUM(SAP_Speadsheet!Y27:Y40),Leadsheet!$G$5="DPD180+",SUM(SAP_Speadsheet!Y27:Y34)))</f>
        <v>0</v>
      </c>
      <c r="Z45" s="171" cm="1">
        <f t="array" ref="Z45">IF(Z5=$D$7,0,_xlfn.IFS(Leadsheet!$G$5="DPD360+",SUM(SAP_Speadsheet!Z27:Z40),Leadsheet!$G$5="DPD180+",SUM(SAP_Speadsheet!Z27:Z34)))</f>
        <v>0</v>
      </c>
      <c r="AA45" s="171" cm="1">
        <f t="array" ref="AA45">IF(AA5=$D$7,0,_xlfn.IFS(Leadsheet!$G$5="DPD360+",SUM(SAP_Speadsheet!AA27:AA40),Leadsheet!$G$5="DPD180+",SUM(SAP_Speadsheet!AA27:AA34)))</f>
        <v>0</v>
      </c>
      <c r="AB45" s="171" cm="1">
        <f t="array" ref="AB45">IF(AB5=$D$7,0,_xlfn.IFS(Leadsheet!$G$5="DPD360+",SUM(SAP_Speadsheet!AB27:AB40),Leadsheet!$G$5="DPD180+",SUM(SAP_Speadsheet!AB27:AB34)))</f>
        <v>0</v>
      </c>
      <c r="AC45" s="171" cm="1">
        <f t="array" ref="AC45">IF(AC5=$D$7,0,_xlfn.IFS(Leadsheet!$G$5="DPD360+",SUM(SAP_Speadsheet!AC27:AC40),Leadsheet!$G$5="DPD180+",SUM(SAP_Speadsheet!AC27:AC34)))</f>
        <v>0</v>
      </c>
      <c r="AD45" s="171" cm="1">
        <f t="array" ref="AD45">IF(AD5=$D$7,0,_xlfn.IFS(Leadsheet!$G$5="DPD360+",SUM(SAP_Speadsheet!AD27:AD40),Leadsheet!$G$5="DPD180+",SUM(SAP_Speadsheet!AD27:AD34)))</f>
        <v>0</v>
      </c>
      <c r="AE45" s="171" cm="1">
        <f t="array" ref="AE45">IF(AE5=$D$7,0,_xlfn.IFS(Leadsheet!$G$5="DPD360+",SUM(SAP_Speadsheet!AE27:AE40),Leadsheet!$G$5="DPD180+",SUM(SAP_Speadsheet!AE27:AE34)))</f>
        <v>0</v>
      </c>
      <c r="AF45" s="171" cm="1">
        <f t="array" ref="AF45">IF(AF5=$D$7,0,_xlfn.IFS(Leadsheet!$G$5="DPD360+",SUM(SAP_Speadsheet!AF27:AF40),Leadsheet!$G$5="DPD180+",SUM(SAP_Speadsheet!AF27:AF34)))</f>
        <v>0</v>
      </c>
      <c r="AG45" s="171" cm="1">
        <f t="array" ref="AG45">IF(AG5=$D$7,0,_xlfn.IFS(Leadsheet!$G$5="DPD360+",SUM(SAP_Speadsheet!AG27:AG40),Leadsheet!$G$5="DPD180+",SUM(SAP_Speadsheet!AG27:AG34)))</f>
        <v>0</v>
      </c>
      <c r="AH45" s="171" cm="1">
        <f t="array" ref="AH45">IF(AH5=$D$7,0,_xlfn.IFS(Leadsheet!$G$5="DPD360+",SUM(SAP_Speadsheet!AH27:AH40),Leadsheet!$G$5="DPD180+",SUM(SAP_Speadsheet!AH27:AH34)))</f>
        <v>0</v>
      </c>
      <c r="AI45" s="171" cm="1">
        <f t="array" ref="AI45">IF(AI5=$D$7,0,_xlfn.IFS(Leadsheet!$G$5="DPD360+",SUM(SAP_Speadsheet!AI27:AI40),Leadsheet!$G$5="DPD180+",SUM(SAP_Speadsheet!AI27:AI34)))</f>
        <v>0</v>
      </c>
      <c r="AJ45" s="171" cm="1">
        <f t="array" ref="AJ45">IF(AJ5=$D$7,0,_xlfn.IFS(Leadsheet!$G$5="DPD360+",SUM(SAP_Speadsheet!AJ27:AJ40),Leadsheet!$G$5="DPD180+",SUM(SAP_Speadsheet!AJ27:AJ34)))</f>
        <v>0</v>
      </c>
      <c r="AK45" s="171" cm="1">
        <f t="array" ref="AK45">IF(AK5=$D$7,0,_xlfn.IFS(Leadsheet!$G$5="DPD360+",SUM(SAP_Speadsheet!AK27:AK40),Leadsheet!$G$5="DPD180+",SUM(SAP_Speadsheet!AK27:AK34)))</f>
        <v>0</v>
      </c>
      <c r="AL45" s="171" cm="1">
        <f t="array" ref="AL45">IF(AL5=$D$7,0,_xlfn.IFS(Leadsheet!$G$5="DPD360+",SUM(SAP_Speadsheet!AL27:AL40),Leadsheet!$G$5="DPD180+",SUM(SAP_Speadsheet!AL27:AL34)))</f>
        <v>0</v>
      </c>
      <c r="AM45" s="171" cm="1">
        <f t="array" ref="AM45">IF(AM5=$D$7,0,_xlfn.IFS(Leadsheet!$G$5="DPD360+",SUM(SAP_Speadsheet!AM27:AM40),Leadsheet!$G$5="DPD180+",SUM(SAP_Speadsheet!AM27:AM34)))</f>
        <v>0</v>
      </c>
      <c r="AN45" s="171" cm="1">
        <f t="array" ref="AN45">IF(AN5=$D$7,0,_xlfn.IFS(Leadsheet!$G$5="DPD360+",SUM(SAP_Speadsheet!AN27:AN40),Leadsheet!$G$5="DPD180+",SUM(SAP_Speadsheet!AN27:AN34)))</f>
        <v>0</v>
      </c>
      <c r="AO45" s="171" cm="1">
        <f t="array" ref="AO45">IF(AO5=$D$7,0,_xlfn.IFS(Leadsheet!$G$5="DPD360+",SUM(SAP_Speadsheet!AO27:AO40),Leadsheet!$G$5="DPD180+",SUM(SAP_Speadsheet!AO27:AO34)))</f>
        <v>0</v>
      </c>
      <c r="AP45" s="171" cm="1">
        <f t="array" ref="AP45">IF(AP5=$D$7,0,_xlfn.IFS(Leadsheet!$G$5="DPD360+",SUM(SAP_Speadsheet!AP27:AP40),Leadsheet!$G$5="DPD180+",SUM(SAP_Speadsheet!AP27:AP34)))</f>
        <v>0</v>
      </c>
      <c r="AQ45" s="171" cm="1">
        <f t="array" ref="AQ45">IF(AQ5=$D$7,0,_xlfn.IFS(Leadsheet!$G$5="DPD360+",SUM(SAP_Speadsheet!AQ27:AQ40),Leadsheet!$G$5="DPD180+",SUM(SAP_Speadsheet!AQ27:AQ34)))</f>
        <v>0</v>
      </c>
      <c r="AR45" s="171" cm="1">
        <f t="array" ref="AR45">IF(AR5=$D$7,0,_xlfn.IFS(Leadsheet!$G$5="DPD360+",SUM(SAP_Speadsheet!AR27:AR40),Leadsheet!$G$5="DPD180+",SUM(SAP_Speadsheet!AR27:AR34)))</f>
        <v>0</v>
      </c>
      <c r="AS45" s="171" cm="1">
        <f t="array" ref="AS45">IF(AS5=$D$7,0,_xlfn.IFS(Leadsheet!$G$5="DPD360+",SUM(SAP_Speadsheet!AS27:AS40),Leadsheet!$G$5="DPD180+",SUM(SAP_Speadsheet!AS27:AS34)))</f>
        <v>0</v>
      </c>
      <c r="AT45" s="171" cm="1">
        <f t="array" ref="AT45">IF(AT5=$D$7,0,_xlfn.IFS(Leadsheet!$G$5="DPD360+",SUM(SAP_Speadsheet!AT27:AT40),Leadsheet!$G$5="DPD180+",SUM(SAP_Speadsheet!AT27:AT34)))</f>
        <v>0</v>
      </c>
      <c r="AU45" s="171" cm="1">
        <f t="array" ref="AU45">IF(AU5=$D$7,0,_xlfn.IFS(Leadsheet!$G$5="DPD360+",SUM(SAP_Speadsheet!AU27:AU40),Leadsheet!$G$5="DPD180+",SUM(SAP_Speadsheet!AU27:AU34)))</f>
        <v>0</v>
      </c>
      <c r="AV45" s="171" cm="1">
        <f t="array" ref="AV45">IF(AV5=$D$7,0,_xlfn.IFS(Leadsheet!$G$5="DPD360+",SUM(SAP_Speadsheet!AV27:AV40),Leadsheet!$G$5="DPD180+",SUM(SAP_Speadsheet!AV27:AV34)))</f>
        <v>0</v>
      </c>
      <c r="AW45" s="171" cm="1">
        <f t="array" ref="AW45">IF(AW5=$D$7,0,_xlfn.IFS(Leadsheet!$G$5="DPD360+",SUM(SAP_Speadsheet!AW27:AW40),Leadsheet!$G$5="DPD180+",SUM(SAP_Speadsheet!AW27:AW34)))</f>
        <v>0</v>
      </c>
      <c r="AX45" s="171" cm="1">
        <f t="array" ref="AX45">IF(AX5=$D$7,0,_xlfn.IFS(Leadsheet!$G$5="DPD360+",SUM(SAP_Speadsheet!AX27:AX40),Leadsheet!$G$5="DPD180+",SUM(SAP_Speadsheet!AX27:AX34)))</f>
        <v>0</v>
      </c>
      <c r="AY45" s="171" cm="1">
        <f t="array" ref="AY45">IF(AY5=$D$7,0,_xlfn.IFS(Leadsheet!$G$5="DPD360+",SUM(SAP_Speadsheet!AY27:AY40),Leadsheet!$G$5="DPD180+",SUM(SAP_Speadsheet!AY27:AY34)))</f>
        <v>0</v>
      </c>
      <c r="AZ45" s="171" cm="1">
        <f t="array" ref="AZ45">IF(AZ5=$D$7,0,_xlfn.IFS(Leadsheet!$G$5="DPD360+",SUM(SAP_Speadsheet!AZ27:AZ40),Leadsheet!$G$5="DPD180+",SUM(SAP_Speadsheet!AZ27:AZ34)))</f>
        <v>0</v>
      </c>
      <c r="BA45" s="171" cm="1">
        <f t="array" ref="BA45">IF(BA5=$D$7,0,_xlfn.IFS(Leadsheet!$G$5="DPD360+",SUM(SAP_Speadsheet!BA27:BA40),Leadsheet!$G$5="DPD180+",SUM(SAP_Speadsheet!BA27:BA34)))</f>
        <v>0</v>
      </c>
      <c r="BB45" s="171" cm="1">
        <f t="array" ref="BB45">IF(BB5=$D$7,0,_xlfn.IFS(Leadsheet!$G$5="DPD360+",SUM(SAP_Speadsheet!BB27:BB40),Leadsheet!$G$5="DPD180+",SUM(SAP_Speadsheet!BB27:BB34)))</f>
        <v>0</v>
      </c>
      <c r="BC45" s="171" cm="1">
        <f t="array" ref="BC45">IF(BC5=$D$7,0,_xlfn.IFS(Leadsheet!$G$5="DPD360+",SUM(SAP_Speadsheet!BC27:BC40),Leadsheet!$G$5="DPD180+",SUM(SAP_Speadsheet!BC27:BC34)))</f>
        <v>0</v>
      </c>
      <c r="BD45" s="171" cm="1">
        <f t="array" ref="BD45">IF(BD5=$D$7,0,_xlfn.IFS(Leadsheet!$G$5="DPD360+",SUM(SAP_Speadsheet!BD27:BD40),Leadsheet!$G$5="DPD180+",SUM(SAP_Speadsheet!BD27:BD34)))</f>
        <v>0</v>
      </c>
      <c r="BE45" s="171" cm="1">
        <f t="array" ref="BE45">IF(BE5=$D$7,0,_xlfn.IFS(Leadsheet!$G$5="DPD360+",SUM(SAP_Speadsheet!BE27:BE40),Leadsheet!$G$5="DPD180+",SUM(SAP_Speadsheet!BE27:BE34)))</f>
        <v>0</v>
      </c>
      <c r="BF45" s="171" cm="1">
        <f t="array" ref="BF45">IF(BF5=$D$7,0,_xlfn.IFS(Leadsheet!$G$5="DPD360+",SUM(SAP_Speadsheet!BF27:BF40),Leadsheet!$G$5="DPD180+",SUM(SAP_Speadsheet!BF27:BF34)))</f>
        <v>0</v>
      </c>
      <c r="BG45" s="171" cm="1">
        <f t="array" ref="BG45">IF(BG5=$D$7,0,_xlfn.IFS(Leadsheet!$G$5="DPD360+",SUM(SAP_Speadsheet!BG27:BG40),Leadsheet!$G$5="DPD180+",SUM(SAP_Speadsheet!BG27:BG34)))</f>
        <v>0</v>
      </c>
      <c r="BH45" s="171" cm="1">
        <f t="array" ref="BH45">IF(BH5=$D$7,0,_xlfn.IFS(Leadsheet!$G$5="DPD360+",SUM(SAP_Speadsheet!BH27:BH40),Leadsheet!$G$5="DPD180+",SUM(SAP_Speadsheet!BH27:BH34)))</f>
        <v>0</v>
      </c>
      <c r="BI45" s="171" cm="1">
        <f t="array" ref="BI45">IF(BI5=$D$7,0,_xlfn.IFS(Leadsheet!$G$5="DPD360+",SUM(SAP_Speadsheet!BI27:BI40),Leadsheet!$G$5="DPD180+",SUM(SAP_Speadsheet!BI27:BI34)))</f>
        <v>0</v>
      </c>
      <c r="BJ45" s="171" cm="1">
        <f t="array" ref="BJ45">IF(BJ5=$D$7,0,_xlfn.IFS(Leadsheet!$G$5="DPD360+",SUM(SAP_Speadsheet!BJ27:BJ40),Leadsheet!$G$5="DPD180+",SUM(SAP_Speadsheet!BJ27:BJ34)))</f>
        <v>0</v>
      </c>
      <c r="BK45" s="171" cm="1">
        <f t="array" ref="BK45">IF(BK5=$D$7,0,_xlfn.IFS(Leadsheet!$G$5="DPD360+",SUM(SAP_Speadsheet!BK27:BK40),Leadsheet!$G$5="DPD180+",SUM(SAP_Speadsheet!BK27:BK34)))</f>
        <v>0</v>
      </c>
      <c r="BL45" s="171" cm="1">
        <f t="array" ref="BL45">IF(BL5=$D$7,0,_xlfn.IFS(Leadsheet!$G$5="DPD360+",SUM(SAP_Speadsheet!BL27:BL40),Leadsheet!$G$5="DPD180+",SUM(SAP_Speadsheet!BL27:BL34)))</f>
        <v>0</v>
      </c>
    </row>
    <row r="46" spans="1:64" s="186" customFormat="1" x14ac:dyDescent="0.15">
      <c r="C46" s="294" t="s">
        <v>435</v>
      </c>
      <c r="D46" s="171">
        <f>D44-D45</f>
        <v>0</v>
      </c>
      <c r="E46" s="171">
        <f t="shared" ref="E46:BL46" si="8">E44-E45</f>
        <v>0</v>
      </c>
      <c r="F46" s="171">
        <f t="shared" si="8"/>
        <v>0</v>
      </c>
      <c r="G46" s="171">
        <f t="shared" si="8"/>
        <v>0</v>
      </c>
      <c r="H46" s="171">
        <f t="shared" si="8"/>
        <v>0</v>
      </c>
      <c r="I46" s="171">
        <f t="shared" si="8"/>
        <v>0</v>
      </c>
      <c r="J46" s="171">
        <f t="shared" si="8"/>
        <v>0</v>
      </c>
      <c r="K46" s="171">
        <f t="shared" si="8"/>
        <v>0</v>
      </c>
      <c r="L46" s="171">
        <f t="shared" si="8"/>
        <v>0.33018242727950842</v>
      </c>
      <c r="M46" s="171">
        <f t="shared" si="8"/>
        <v>0.60572469177788513</v>
      </c>
      <c r="N46" s="171">
        <f t="shared" si="8"/>
        <v>0.84168860035136062</v>
      </c>
      <c r="O46" s="171">
        <f t="shared" si="8"/>
        <v>1.0412281815547351</v>
      </c>
      <c r="P46" s="171">
        <f t="shared" si="8"/>
        <v>1.2163326044300709</v>
      </c>
      <c r="Q46" s="171">
        <f t="shared" si="8"/>
        <v>1.3681883459862669</v>
      </c>
      <c r="R46" s="171">
        <f t="shared" si="8"/>
        <v>1.4980948271668535</v>
      </c>
      <c r="S46" s="171">
        <f t="shared" si="8"/>
        <v>1.6073350766482912</v>
      </c>
      <c r="T46" s="171">
        <f t="shared" si="8"/>
        <v>1.697179403749318</v>
      </c>
      <c r="U46" s="171">
        <f t="shared" si="8"/>
        <v>1.7688833598252032</v>
      </c>
      <c r="V46" s="171">
        <f t="shared" si="8"/>
        <v>1.823690871608284</v>
      </c>
      <c r="W46" s="171">
        <f t="shared" si="8"/>
        <v>1.8628387770154289</v>
      </c>
      <c r="X46" s="171">
        <f t="shared" si="8"/>
        <v>1.8991281270905886</v>
      </c>
      <c r="Y46" s="171">
        <f>Y44-Y45</f>
        <v>0</v>
      </c>
      <c r="Z46" s="171">
        <f t="shared" si="8"/>
        <v>0</v>
      </c>
      <c r="AA46" s="171">
        <f t="shared" si="8"/>
        <v>0</v>
      </c>
      <c r="AB46" s="171">
        <f t="shared" si="8"/>
        <v>0</v>
      </c>
      <c r="AC46" s="171">
        <f t="shared" si="8"/>
        <v>0</v>
      </c>
      <c r="AD46" s="171">
        <f t="shared" si="8"/>
        <v>0</v>
      </c>
      <c r="AE46" s="171">
        <f t="shared" si="8"/>
        <v>0</v>
      </c>
      <c r="AF46" s="171">
        <f t="shared" si="8"/>
        <v>0</v>
      </c>
      <c r="AG46" s="171">
        <f t="shared" si="8"/>
        <v>0</v>
      </c>
      <c r="AH46" s="171">
        <f t="shared" si="8"/>
        <v>0</v>
      </c>
      <c r="AI46" s="171">
        <f t="shared" si="8"/>
        <v>0</v>
      </c>
      <c r="AJ46" s="171">
        <f t="shared" si="8"/>
        <v>0</v>
      </c>
      <c r="AK46" s="171">
        <f t="shared" si="8"/>
        <v>0</v>
      </c>
      <c r="AL46" s="171">
        <f t="shared" si="8"/>
        <v>0</v>
      </c>
      <c r="AM46" s="171">
        <f t="shared" si="8"/>
        <v>0</v>
      </c>
      <c r="AN46" s="171">
        <f t="shared" si="8"/>
        <v>0</v>
      </c>
      <c r="AO46" s="171">
        <f t="shared" si="8"/>
        <v>0</v>
      </c>
      <c r="AP46" s="171">
        <f t="shared" si="8"/>
        <v>0</v>
      </c>
      <c r="AQ46" s="171">
        <f t="shared" si="8"/>
        <v>0</v>
      </c>
      <c r="AR46" s="171">
        <f t="shared" si="8"/>
        <v>0</v>
      </c>
      <c r="AS46" s="171">
        <f t="shared" si="8"/>
        <v>0</v>
      </c>
      <c r="AT46" s="171">
        <f t="shared" si="8"/>
        <v>0</v>
      </c>
      <c r="AU46" s="171">
        <f t="shared" si="8"/>
        <v>0</v>
      </c>
      <c r="AV46" s="171">
        <f t="shared" si="8"/>
        <v>0</v>
      </c>
      <c r="AW46" s="171">
        <f t="shared" si="8"/>
        <v>0</v>
      </c>
      <c r="AX46" s="171">
        <f t="shared" si="8"/>
        <v>0</v>
      </c>
      <c r="AY46" s="171">
        <f t="shared" si="8"/>
        <v>0</v>
      </c>
      <c r="AZ46" s="171">
        <f t="shared" si="8"/>
        <v>0</v>
      </c>
      <c r="BA46" s="171">
        <f t="shared" si="8"/>
        <v>0</v>
      </c>
      <c r="BB46" s="171">
        <f t="shared" si="8"/>
        <v>0</v>
      </c>
      <c r="BC46" s="171">
        <f t="shared" si="8"/>
        <v>0</v>
      </c>
      <c r="BD46" s="171">
        <f t="shared" si="8"/>
        <v>0</v>
      </c>
      <c r="BE46" s="171">
        <f t="shared" si="8"/>
        <v>0</v>
      </c>
      <c r="BF46" s="171">
        <f t="shared" si="8"/>
        <v>0</v>
      </c>
      <c r="BG46" s="171">
        <f t="shared" si="8"/>
        <v>0</v>
      </c>
      <c r="BH46" s="171">
        <f t="shared" si="8"/>
        <v>0</v>
      </c>
      <c r="BI46" s="171">
        <f t="shared" si="8"/>
        <v>0</v>
      </c>
      <c r="BJ46" s="171">
        <f t="shared" si="8"/>
        <v>0</v>
      </c>
      <c r="BK46" s="171">
        <f t="shared" si="8"/>
        <v>0</v>
      </c>
      <c r="BL46" s="171">
        <f t="shared" si="8"/>
        <v>0</v>
      </c>
    </row>
    <row r="47" spans="1:64" s="186" customFormat="1" x14ac:dyDescent="0.15">
      <c r="C47" s="294" t="s">
        <v>436</v>
      </c>
      <c r="D47" s="306">
        <f>IFERROR(D45/D44,"")</f>
        <v>1</v>
      </c>
      <c r="E47" s="306">
        <f t="shared" ref="E47:BL47" si="9">IFERROR(E45/E44,"")</f>
        <v>1</v>
      </c>
      <c r="F47" s="306">
        <f t="shared" si="9"/>
        <v>1</v>
      </c>
      <c r="G47" s="306">
        <f t="shared" si="9"/>
        <v>1</v>
      </c>
      <c r="H47" s="306">
        <f t="shared" si="9"/>
        <v>1</v>
      </c>
      <c r="I47" s="306">
        <f t="shared" si="9"/>
        <v>1</v>
      </c>
      <c r="J47" s="306">
        <f t="shared" si="9"/>
        <v>1</v>
      </c>
      <c r="K47" s="306">
        <f t="shared" si="9"/>
        <v>1</v>
      </c>
      <c r="L47" s="306">
        <f t="shared" si="9"/>
        <v>0.94082807943655289</v>
      </c>
      <c r="M47" s="306">
        <f t="shared" si="9"/>
        <v>0.87560335774523523</v>
      </c>
      <c r="N47" s="306">
        <f t="shared" si="9"/>
        <v>0.79937178710553169</v>
      </c>
      <c r="O47" s="306">
        <f t="shared" si="9"/>
        <v>0.70742769859202304</v>
      </c>
      <c r="P47" s="306">
        <f t="shared" si="9"/>
        <v>0.58927247240689584</v>
      </c>
      <c r="Q47" s="306">
        <f t="shared" si="9"/>
        <v>0.43110841337306827</v>
      </c>
      <c r="R47" s="306">
        <f t="shared" si="9"/>
        <v>0.21393509860809376</v>
      </c>
      <c r="S47" s="306">
        <f t="shared" si="9"/>
        <v>0.15394053392393472</v>
      </c>
      <c r="T47" s="306">
        <f t="shared" si="9"/>
        <v>0.10641950213501772</v>
      </c>
      <c r="U47" s="306">
        <f t="shared" si="9"/>
        <v>6.8581348149962321E-2</v>
      </c>
      <c r="V47" s="306">
        <f t="shared" si="9"/>
        <v>3.9722046346537261E-2</v>
      </c>
      <c r="W47" s="306">
        <f t="shared" si="9"/>
        <v>1.9108426418155335E-2</v>
      </c>
      <c r="X47" s="306">
        <f t="shared" si="9"/>
        <v>0</v>
      </c>
      <c r="Y47" s="306" t="str">
        <f t="shared" si="9"/>
        <v/>
      </c>
      <c r="Z47" s="306" t="str">
        <f t="shared" si="9"/>
        <v/>
      </c>
      <c r="AA47" s="306" t="str">
        <f t="shared" si="9"/>
        <v/>
      </c>
      <c r="AB47" s="306" t="str">
        <f t="shared" si="9"/>
        <v/>
      </c>
      <c r="AC47" s="306" t="str">
        <f t="shared" si="9"/>
        <v/>
      </c>
      <c r="AD47" s="306" t="str">
        <f t="shared" si="9"/>
        <v/>
      </c>
      <c r="AE47" s="306" t="str">
        <f t="shared" si="9"/>
        <v/>
      </c>
      <c r="AF47" s="306" t="str">
        <f t="shared" si="9"/>
        <v/>
      </c>
      <c r="AG47" s="306" t="str">
        <f t="shared" si="9"/>
        <v/>
      </c>
      <c r="AH47" s="306" t="str">
        <f t="shared" si="9"/>
        <v/>
      </c>
      <c r="AI47" s="306" t="str">
        <f t="shared" si="9"/>
        <v/>
      </c>
      <c r="AJ47" s="306" t="str">
        <f t="shared" si="9"/>
        <v/>
      </c>
      <c r="AK47" s="306" t="str">
        <f t="shared" si="9"/>
        <v/>
      </c>
      <c r="AL47" s="306" t="str">
        <f t="shared" si="9"/>
        <v/>
      </c>
      <c r="AM47" s="306" t="str">
        <f t="shared" si="9"/>
        <v/>
      </c>
      <c r="AN47" s="306" t="str">
        <f t="shared" si="9"/>
        <v/>
      </c>
      <c r="AO47" s="306" t="str">
        <f t="shared" si="9"/>
        <v/>
      </c>
      <c r="AP47" s="306" t="str">
        <f t="shared" si="9"/>
        <v/>
      </c>
      <c r="AQ47" s="306" t="str">
        <f t="shared" si="9"/>
        <v/>
      </c>
      <c r="AR47" s="306" t="str">
        <f t="shared" si="9"/>
        <v/>
      </c>
      <c r="AS47" s="306" t="str">
        <f t="shared" si="9"/>
        <v/>
      </c>
      <c r="AT47" s="306" t="str">
        <f t="shared" si="9"/>
        <v/>
      </c>
      <c r="AU47" s="306" t="str">
        <f t="shared" si="9"/>
        <v/>
      </c>
      <c r="AV47" s="306" t="str">
        <f t="shared" si="9"/>
        <v/>
      </c>
      <c r="AW47" s="306" t="str">
        <f t="shared" si="9"/>
        <v/>
      </c>
      <c r="AX47" s="306" t="str">
        <f t="shared" si="9"/>
        <v/>
      </c>
      <c r="AY47" s="306" t="str">
        <f t="shared" si="9"/>
        <v/>
      </c>
      <c r="AZ47" s="306" t="str">
        <f t="shared" si="9"/>
        <v/>
      </c>
      <c r="BA47" s="306" t="str">
        <f t="shared" si="9"/>
        <v/>
      </c>
      <c r="BB47" s="306" t="str">
        <f t="shared" si="9"/>
        <v/>
      </c>
      <c r="BC47" s="306" t="str">
        <f t="shared" si="9"/>
        <v/>
      </c>
      <c r="BD47" s="306" t="str">
        <f t="shared" si="9"/>
        <v/>
      </c>
      <c r="BE47" s="306" t="str">
        <f t="shared" si="9"/>
        <v/>
      </c>
      <c r="BF47" s="306" t="str">
        <f t="shared" si="9"/>
        <v/>
      </c>
      <c r="BG47" s="306" t="str">
        <f t="shared" si="9"/>
        <v/>
      </c>
      <c r="BH47" s="306" t="str">
        <f t="shared" si="9"/>
        <v/>
      </c>
      <c r="BI47" s="306" t="str">
        <f t="shared" si="9"/>
        <v/>
      </c>
      <c r="BJ47" s="306" t="str">
        <f t="shared" si="9"/>
        <v/>
      </c>
      <c r="BK47" s="306" t="str">
        <f t="shared" si="9"/>
        <v/>
      </c>
      <c r="BL47" s="306" t="str">
        <f t="shared" si="9"/>
        <v/>
      </c>
    </row>
    <row r="48" spans="1:64" s="186" customFormat="1" x14ac:dyDescent="0.15">
      <c r="D48" s="293"/>
      <c r="E48" s="293"/>
      <c r="F48" s="293"/>
      <c r="G48" s="293"/>
      <c r="H48" s="293"/>
      <c r="I48" s="293"/>
      <c r="J48" s="293"/>
      <c r="K48" s="293"/>
      <c r="L48" s="307"/>
      <c r="M48" s="307"/>
      <c r="N48" s="307"/>
      <c r="O48" s="307"/>
      <c r="P48" s="307"/>
      <c r="Q48" s="307"/>
      <c r="R48" s="307"/>
      <c r="S48" s="307"/>
      <c r="T48" s="307"/>
      <c r="U48" s="307"/>
      <c r="V48" s="307"/>
      <c r="W48" s="307"/>
      <c r="X48" s="307"/>
      <c r="Y48" s="307"/>
      <c r="Z48" s="293"/>
      <c r="AA48" s="308"/>
      <c r="AB48" s="293"/>
      <c r="AC48" s="293"/>
      <c r="AD48" s="293"/>
      <c r="AE48" s="293"/>
      <c r="AF48" s="293"/>
      <c r="AG48" s="293"/>
      <c r="AH48" s="293"/>
      <c r="AI48" s="293"/>
      <c r="AJ48" s="293"/>
      <c r="AK48" s="293"/>
      <c r="AL48" s="293"/>
      <c r="AM48" s="293"/>
      <c r="AN48" s="293"/>
      <c r="AO48" s="293"/>
      <c r="AP48" s="293"/>
      <c r="AQ48" s="293"/>
      <c r="AR48" s="293"/>
      <c r="AS48" s="293"/>
      <c r="AT48" s="293"/>
      <c r="AU48" s="293"/>
      <c r="AV48" s="293"/>
      <c r="AW48" s="293"/>
      <c r="AX48" s="293"/>
      <c r="AY48" s="293"/>
      <c r="AZ48" s="293"/>
      <c r="BA48" s="293"/>
      <c r="BB48" s="293"/>
      <c r="BC48" s="293"/>
      <c r="BD48" s="293"/>
      <c r="BE48" s="293"/>
      <c r="BF48" s="293"/>
      <c r="BG48" s="293"/>
      <c r="BH48" s="293"/>
      <c r="BI48" s="293"/>
      <c r="BJ48" s="293"/>
      <c r="BK48" s="293"/>
      <c r="BL48" s="293"/>
    </row>
    <row r="49" spans="1:64" x14ac:dyDescent="0.15">
      <c r="B49" s="186" t="s">
        <v>271</v>
      </c>
      <c r="L49" s="290"/>
    </row>
    <row r="50" spans="1:64" x14ac:dyDescent="0.15">
      <c r="C50" s="115" t="s">
        <v>434</v>
      </c>
      <c r="D50" s="171"/>
      <c r="E50" s="293">
        <f>IF(E5&gt;$D$7,0,AVERAGE(D45:E45))</f>
        <v>13.442060083816504</v>
      </c>
      <c r="F50" s="293">
        <f t="shared" ref="F50:BL50" si="10">IF(F5&gt;$D$7,0,AVERAGE(E45:F45))</f>
        <v>11.761319276811918</v>
      </c>
      <c r="G50" s="293">
        <f t="shared" si="10"/>
        <v>10.344583580126164</v>
      </c>
      <c r="H50" s="293">
        <f t="shared" si="10"/>
        <v>9.2190948343308037</v>
      </c>
      <c r="I50" s="293">
        <f t="shared" si="10"/>
        <v>8.3513062964031199</v>
      </c>
      <c r="J50" s="293">
        <f t="shared" si="10"/>
        <v>7.5172919269415779</v>
      </c>
      <c r="K50" s="293">
        <f t="shared" si="10"/>
        <v>6.7178179877810802</v>
      </c>
      <c r="L50" s="293">
        <f t="shared" si="10"/>
        <v>5.7883244603812329</v>
      </c>
      <c r="M50" s="293">
        <f t="shared" si="10"/>
        <v>4.7567232132997237</v>
      </c>
      <c r="N50" s="293">
        <f t="shared" si="10"/>
        <v>3.8085765442067441</v>
      </c>
      <c r="O50" s="293">
        <f t="shared" si="10"/>
        <v>2.9356116948124527</v>
      </c>
      <c r="P50" s="293">
        <f t="shared" si="10"/>
        <v>2.1313619877244507</v>
      </c>
      <c r="Q50" s="293">
        <f t="shared" si="10"/>
        <v>1.3909481071184437</v>
      </c>
      <c r="R50" s="293">
        <f t="shared" si="10"/>
        <v>0.72226984748683065</v>
      </c>
      <c r="S50" s="293">
        <f t="shared" si="10"/>
        <v>0.35008775639337913</v>
      </c>
      <c r="T50" s="293">
        <f t="shared" si="10"/>
        <v>0.24728871912581232</v>
      </c>
      <c r="U50" s="293">
        <f t="shared" si="10"/>
        <v>0.16618378079408136</v>
      </c>
      <c r="V50" s="293">
        <f t="shared" si="10"/>
        <v>0.10284101137384521</v>
      </c>
      <c r="W50" s="293">
        <f t="shared" si="10"/>
        <v>5.586330277873227E-2</v>
      </c>
      <c r="X50" s="293">
        <f t="shared" si="10"/>
        <v>1.8144675037579834E-2</v>
      </c>
      <c r="Y50" s="293">
        <f t="shared" si="10"/>
        <v>0</v>
      </c>
      <c r="Z50" s="293">
        <f t="shared" si="10"/>
        <v>0</v>
      </c>
      <c r="AA50" s="293">
        <f t="shared" si="10"/>
        <v>0</v>
      </c>
      <c r="AB50" s="293">
        <f t="shared" si="10"/>
        <v>0</v>
      </c>
      <c r="AC50" s="293">
        <f t="shared" si="10"/>
        <v>0</v>
      </c>
      <c r="AD50" s="293">
        <f t="shared" si="10"/>
        <v>0</v>
      </c>
      <c r="AE50" s="293">
        <f t="shared" si="10"/>
        <v>0</v>
      </c>
      <c r="AF50" s="293">
        <f t="shared" si="10"/>
        <v>0</v>
      </c>
      <c r="AG50" s="293">
        <f t="shared" si="10"/>
        <v>0</v>
      </c>
      <c r="AH50" s="293">
        <f t="shared" si="10"/>
        <v>0</v>
      </c>
      <c r="AI50" s="293">
        <f t="shared" si="10"/>
        <v>0</v>
      </c>
      <c r="AJ50" s="293">
        <f t="shared" si="10"/>
        <v>0</v>
      </c>
      <c r="AK50" s="293">
        <f t="shared" si="10"/>
        <v>0</v>
      </c>
      <c r="AL50" s="293">
        <f t="shared" si="10"/>
        <v>0</v>
      </c>
      <c r="AM50" s="293">
        <f t="shared" si="10"/>
        <v>0</v>
      </c>
      <c r="AN50" s="293">
        <f t="shared" si="10"/>
        <v>0</v>
      </c>
      <c r="AO50" s="293">
        <f t="shared" si="10"/>
        <v>0</v>
      </c>
      <c r="AP50" s="293">
        <f t="shared" si="10"/>
        <v>0</v>
      </c>
      <c r="AQ50" s="293">
        <f t="shared" si="10"/>
        <v>0</v>
      </c>
      <c r="AR50" s="293">
        <f t="shared" si="10"/>
        <v>0</v>
      </c>
      <c r="AS50" s="293">
        <f t="shared" si="10"/>
        <v>0</v>
      </c>
      <c r="AT50" s="293">
        <f t="shared" si="10"/>
        <v>0</v>
      </c>
      <c r="AU50" s="293">
        <f t="shared" si="10"/>
        <v>0</v>
      </c>
      <c r="AV50" s="293">
        <f t="shared" si="10"/>
        <v>0</v>
      </c>
      <c r="AW50" s="293">
        <f t="shared" si="10"/>
        <v>0</v>
      </c>
      <c r="AX50" s="293">
        <f t="shared" si="10"/>
        <v>0</v>
      </c>
      <c r="AY50" s="293">
        <f t="shared" si="10"/>
        <v>0</v>
      </c>
      <c r="AZ50" s="293">
        <f t="shared" si="10"/>
        <v>0</v>
      </c>
      <c r="BA50" s="293">
        <f t="shared" si="10"/>
        <v>0</v>
      </c>
      <c r="BB50" s="293">
        <f t="shared" si="10"/>
        <v>0</v>
      </c>
      <c r="BC50" s="293">
        <f t="shared" si="10"/>
        <v>0</v>
      </c>
      <c r="BD50" s="293">
        <f t="shared" si="10"/>
        <v>0</v>
      </c>
      <c r="BE50" s="293">
        <f t="shared" si="10"/>
        <v>0</v>
      </c>
      <c r="BF50" s="293">
        <f t="shared" si="10"/>
        <v>0</v>
      </c>
      <c r="BG50" s="293">
        <f t="shared" si="10"/>
        <v>0</v>
      </c>
      <c r="BH50" s="293">
        <f t="shared" si="10"/>
        <v>0</v>
      </c>
      <c r="BI50" s="293">
        <f t="shared" si="10"/>
        <v>0</v>
      </c>
      <c r="BJ50" s="293">
        <f t="shared" si="10"/>
        <v>0</v>
      </c>
      <c r="BK50" s="293">
        <f t="shared" si="10"/>
        <v>0</v>
      </c>
      <c r="BL50" s="293">
        <f t="shared" si="10"/>
        <v>0</v>
      </c>
    </row>
    <row r="51" spans="1:64" x14ac:dyDescent="0.15">
      <c r="C51" s="115" t="s">
        <v>437</v>
      </c>
      <c r="D51" s="171"/>
      <c r="E51" s="171">
        <f>D27*(1-Leadsheet!$D$91)+D28*Leadsheet!$E$117</f>
        <v>13.902697508545595</v>
      </c>
      <c r="F51" s="171">
        <f>E27*(1-Leadsheet!$D$91)+E28*Leadsheet!$E$117</f>
        <v>11.750215163636874</v>
      </c>
      <c r="G51" s="171">
        <f>F27*(1-Leadsheet!$D$91)+F28*Leadsheet!$E$117</f>
        <v>10.059199336094409</v>
      </c>
      <c r="H51" s="171">
        <f>G27*(1-Leadsheet!$D$91)+G28*Leadsheet!$E$117</f>
        <v>8.5077478711687569</v>
      </c>
      <c r="I51" s="171">
        <f>H27*(1-Leadsheet!$D$91)+H28*Leadsheet!$E$117</f>
        <v>7.4625293586519836</v>
      </c>
      <c r="J51" s="171">
        <f>I27*(1-Leadsheet!$D$91)+I28*Leadsheet!$E$117</f>
        <v>6.4726501143690385</v>
      </c>
      <c r="K51" s="171">
        <f>J27*(1-Leadsheet!$D$91)+J28*Leadsheet!$E$117</f>
        <v>5.5380169809653887</v>
      </c>
      <c r="L51" s="171">
        <f>K27*(1-Leadsheet!$D$91)+K28*Leadsheet!$E$117</f>
        <v>4.6579904387173556</v>
      </c>
      <c r="M51" s="171">
        <f>L27*(1-Leadsheet!$D$91)+L28*Leadsheet!$E$117</f>
        <v>3.8320275672858988</v>
      </c>
      <c r="N51" s="171">
        <f>M27*(1-Leadsheet!$D$91)+M28*Leadsheet!$E$117</f>
        <v>3.0595012571599107</v>
      </c>
      <c r="O51" s="171">
        <f>N27*(1-Leadsheet!$D$91)+N28*Leadsheet!$E$117</f>
        <v>2.3399154165806091</v>
      </c>
      <c r="P51" s="171">
        <f>O27*(1-Leadsheet!$D$91)+O28*Leadsheet!$E$117</f>
        <v>1.6729663453955179</v>
      </c>
      <c r="Q51" s="171">
        <f>P27*(1-Leadsheet!$D$91)+P28*Leadsheet!$E$117</f>
        <v>1.0586971904302516</v>
      </c>
      <c r="R51" s="171">
        <f>Q27*(1-Leadsheet!$D$91)+Q28*Leadsheet!$E$117</f>
        <v>0.49797606673471423</v>
      </c>
      <c r="S51" s="171">
        <f>R27*(1-Leadsheet!$D$91)+R28*Leadsheet!$E$117</f>
        <v>5.1901018496541039E-3</v>
      </c>
      <c r="T51" s="171">
        <f>S27*(1-Leadsheet!$D$91)+S28*Leadsheet!$E$117</f>
        <v>0</v>
      </c>
      <c r="U51" s="171">
        <f>T27*(1-Leadsheet!$D$91)+T28*Leadsheet!$E$117</f>
        <v>0</v>
      </c>
      <c r="V51" s="171">
        <f>U27*(1-Leadsheet!$D$91)+U28*Leadsheet!$E$117</f>
        <v>0</v>
      </c>
      <c r="W51" s="171">
        <f>V27*(1-Leadsheet!$D$91)+V28*Leadsheet!$E$117</f>
        <v>0</v>
      </c>
      <c r="X51" s="171">
        <f>W27*(1-Leadsheet!$D$91)+W28*Leadsheet!$E$117</f>
        <v>0</v>
      </c>
      <c r="Y51" s="171">
        <f>X27*(1-Leadsheet!$D$91)+X28*Leadsheet!$E$117</f>
        <v>0</v>
      </c>
      <c r="Z51" s="171">
        <f>Y27*(1-Leadsheet!$D$91)+Y28*Leadsheet!$E$117</f>
        <v>0</v>
      </c>
      <c r="AA51" s="171">
        <f>Z27*(1-Leadsheet!$D$91)+Z28*Leadsheet!$E$117</f>
        <v>0</v>
      </c>
      <c r="AB51" s="171">
        <f>AA27*(1-Leadsheet!$D$91)+AA28*Leadsheet!$E$117</f>
        <v>0</v>
      </c>
      <c r="AC51" s="171">
        <f>AB27*(1-Leadsheet!$D$91)+AB28*Leadsheet!$E$117</f>
        <v>0</v>
      </c>
      <c r="AD51" s="171">
        <f>AC27*(1-Leadsheet!$D$91)+AC28*Leadsheet!$E$117</f>
        <v>0</v>
      </c>
      <c r="AE51" s="171">
        <f>AD27*(1-Leadsheet!$D$91)+AD28*Leadsheet!$E$117</f>
        <v>0</v>
      </c>
      <c r="AF51" s="171">
        <f>AE27*(1-Leadsheet!$D$91)+AE28*Leadsheet!$E$117</f>
        <v>0</v>
      </c>
      <c r="AG51" s="171">
        <f>AF27*(1-Leadsheet!$D$91)+AF28*Leadsheet!$E$117</f>
        <v>0</v>
      </c>
      <c r="AH51" s="171">
        <f>AG27*(1-Leadsheet!$D$91)+AG28*Leadsheet!$E$117</f>
        <v>0</v>
      </c>
      <c r="AI51" s="171">
        <f>AH27*(1-Leadsheet!$D$91)+AH28*Leadsheet!$E$117</f>
        <v>0</v>
      </c>
      <c r="AJ51" s="171">
        <f>AI27*(1-Leadsheet!$D$91)+AI28*Leadsheet!$E$117</f>
        <v>0</v>
      </c>
      <c r="AK51" s="171">
        <f>AJ27*(1-Leadsheet!$D$91)+AJ28*Leadsheet!$E$117</f>
        <v>0</v>
      </c>
      <c r="AL51" s="171">
        <f>AK27*(1-Leadsheet!$D$91)+AK28*Leadsheet!$E$117</f>
        <v>0</v>
      </c>
      <c r="AM51" s="171">
        <f>AL27*(1-Leadsheet!$D$91)+AL28*Leadsheet!$E$117</f>
        <v>0</v>
      </c>
      <c r="AN51" s="171">
        <f>AM27*(1-Leadsheet!$D$91)+AM28*Leadsheet!$E$117</f>
        <v>0</v>
      </c>
      <c r="AO51" s="171">
        <f>AN27*(1-Leadsheet!$D$91)+AN28*Leadsheet!$E$117</f>
        <v>0</v>
      </c>
      <c r="AP51" s="171">
        <f>AO27*(1-Leadsheet!$D$91)+AO28*Leadsheet!$E$117</f>
        <v>0</v>
      </c>
      <c r="AQ51" s="171">
        <f>AP27*(1-Leadsheet!$D$91)+AP28*Leadsheet!$E$117</f>
        <v>0</v>
      </c>
      <c r="AR51" s="171">
        <f>AQ27*(1-Leadsheet!$D$91)+AQ28*Leadsheet!$E$117</f>
        <v>0</v>
      </c>
      <c r="AS51" s="171">
        <f>AR27*(1-Leadsheet!$D$91)+AR28*Leadsheet!$E$117</f>
        <v>0</v>
      </c>
      <c r="AT51" s="171">
        <f>AS27*(1-Leadsheet!$D$91)+AS28*Leadsheet!$E$117</f>
        <v>0</v>
      </c>
      <c r="AU51" s="171">
        <f>AT27*(1-Leadsheet!$D$91)+AT28*Leadsheet!$E$117</f>
        <v>0</v>
      </c>
      <c r="AV51" s="171">
        <f>AU27*(1-Leadsheet!$D$91)+AU28*Leadsheet!$E$117</f>
        <v>0</v>
      </c>
      <c r="AW51" s="171">
        <f>AV27*(1-Leadsheet!$D$91)+AV28*Leadsheet!$E$117</f>
        <v>0</v>
      </c>
      <c r="AX51" s="171">
        <f>AW27*(1-Leadsheet!$D$91)+AW28*Leadsheet!$E$117</f>
        <v>0</v>
      </c>
      <c r="AY51" s="171">
        <f>AX27*(1-Leadsheet!$D$91)+AX28*Leadsheet!$E$117</f>
        <v>0</v>
      </c>
      <c r="AZ51" s="171">
        <f>AY27*(1-Leadsheet!$D$91)+AY28*Leadsheet!$E$117</f>
        <v>0</v>
      </c>
      <c r="BA51" s="171">
        <f>AZ27*(1-Leadsheet!$D$91)+AZ28*Leadsheet!$E$117</f>
        <v>0</v>
      </c>
      <c r="BB51" s="171">
        <f>BA27*(1-Leadsheet!$D$91)+BA28*Leadsheet!$E$117</f>
        <v>0</v>
      </c>
      <c r="BC51" s="171">
        <f>BB27*(1-Leadsheet!$D$91)+BB28*Leadsheet!$E$117</f>
        <v>0</v>
      </c>
      <c r="BD51" s="171">
        <f>BC27*(1-Leadsheet!$D$91)+BC28*Leadsheet!$E$117</f>
        <v>0</v>
      </c>
      <c r="BE51" s="171">
        <f>BD27*(1-Leadsheet!$D$91)+BD28*Leadsheet!$E$117</f>
        <v>0</v>
      </c>
      <c r="BF51" s="171">
        <f>BE27*(1-Leadsheet!$D$91)+BE28*Leadsheet!$E$117</f>
        <v>0</v>
      </c>
      <c r="BG51" s="171">
        <f>BF27*(1-Leadsheet!$D$91)+BF28*Leadsheet!$E$117</f>
        <v>0</v>
      </c>
      <c r="BH51" s="171">
        <f>BG27*(1-Leadsheet!$D$91)+BG28*Leadsheet!$E$117</f>
        <v>0</v>
      </c>
      <c r="BI51" s="171">
        <f>BH27*(1-Leadsheet!$D$91)+BH28*Leadsheet!$E$117</f>
        <v>0</v>
      </c>
      <c r="BJ51" s="171">
        <f>BI27*(1-Leadsheet!$D$91)+BI28*Leadsheet!$E$117</f>
        <v>0</v>
      </c>
      <c r="BK51" s="171">
        <f>BJ27*(1-Leadsheet!$D$91)+BJ28*Leadsheet!$E$117</f>
        <v>0</v>
      </c>
      <c r="BL51" s="171">
        <f>BK27*(1-Leadsheet!$D$91)+BK28*Leadsheet!$E$117</f>
        <v>0</v>
      </c>
    </row>
    <row r="52" spans="1:64" x14ac:dyDescent="0.15">
      <c r="BC52" s="171"/>
      <c r="BD52" s="171"/>
      <c r="BE52" s="171"/>
      <c r="BF52" s="280"/>
      <c r="BG52" s="280"/>
      <c r="BH52" s="280"/>
      <c r="BI52" s="280"/>
      <c r="BJ52" s="280"/>
      <c r="BK52" s="280"/>
      <c r="BL52" s="280"/>
    </row>
    <row r="53" spans="1:64" ht="13" thickBot="1" x14ac:dyDescent="0.2">
      <c r="A53" s="186"/>
      <c r="B53" s="286" t="s">
        <v>438</v>
      </c>
      <c r="C53" s="287"/>
      <c r="D53" s="288"/>
      <c r="E53" s="289"/>
      <c r="F53" s="288"/>
      <c r="G53" s="288"/>
      <c r="H53" s="288"/>
      <c r="I53" s="288"/>
      <c r="J53" s="288"/>
      <c r="K53" s="288"/>
      <c r="L53" s="288"/>
      <c r="M53" s="288"/>
      <c r="N53" s="288"/>
      <c r="O53" s="288"/>
      <c r="P53" s="288"/>
      <c r="Q53" s="288"/>
      <c r="R53" s="288"/>
      <c r="S53" s="288"/>
      <c r="T53" s="288"/>
      <c r="U53" s="288"/>
      <c r="V53" s="288"/>
      <c r="W53" s="288"/>
      <c r="X53" s="288"/>
      <c r="Y53" s="288"/>
      <c r="Z53" s="288"/>
      <c r="AA53" s="288"/>
      <c r="AB53" s="288"/>
      <c r="AC53" s="288"/>
      <c r="AD53" s="288"/>
      <c r="AE53" s="288"/>
      <c r="AF53" s="288"/>
      <c r="AG53" s="288"/>
      <c r="AH53" s="288"/>
      <c r="AI53" s="288"/>
      <c r="AJ53" s="288"/>
      <c r="AK53" s="288"/>
      <c r="AL53" s="288"/>
      <c r="AM53" s="288"/>
      <c r="AN53" s="288"/>
      <c r="AO53" s="288"/>
      <c r="AP53" s="288"/>
      <c r="AQ53" s="288"/>
      <c r="AR53" s="288"/>
      <c r="AS53" s="288"/>
      <c r="AT53" s="288"/>
      <c r="AU53" s="288"/>
      <c r="AV53" s="288"/>
      <c r="AW53" s="288"/>
      <c r="AX53" s="288"/>
      <c r="AY53" s="288"/>
      <c r="AZ53" s="288"/>
      <c r="BA53" s="288"/>
      <c r="BB53" s="288"/>
      <c r="BC53" s="288"/>
      <c r="BD53" s="288"/>
      <c r="BE53" s="288"/>
      <c r="BF53" s="288"/>
      <c r="BG53" s="288"/>
      <c r="BH53" s="288"/>
      <c r="BI53" s="288"/>
      <c r="BJ53" s="288"/>
      <c r="BK53" s="288"/>
      <c r="BL53" s="288"/>
    </row>
    <row r="54" spans="1:64" ht="13" thickTop="1" x14ac:dyDescent="0.15">
      <c r="A54" s="186"/>
      <c r="B54" s="309"/>
      <c r="C54" s="186"/>
      <c r="E54" s="310"/>
    </row>
    <row r="55" spans="1:64" x14ac:dyDescent="0.15">
      <c r="B55" s="186" t="s">
        <v>272</v>
      </c>
      <c r="E55" s="311">
        <f>E57+E61+E68</f>
        <v>0.96074524328708355</v>
      </c>
      <c r="F55" s="311">
        <f t="shared" ref="F55:BL55" si="11">F57+F61+F68</f>
        <v>0.46233331271798761</v>
      </c>
      <c r="G55" s="311">
        <f t="shared" si="11"/>
        <v>0.39558943726825624</v>
      </c>
      <c r="H55" s="311">
        <f t="shared" si="11"/>
        <v>0.32176930929150482</v>
      </c>
      <c r="I55" s="311">
        <f t="shared" si="11"/>
        <v>0.28091924712149252</v>
      </c>
      <c r="J55" s="311">
        <f t="shared" si="11"/>
        <v>0.2422632780006079</v>
      </c>
      <c r="K55" s="311">
        <f t="shared" si="11"/>
        <v>0.20579802920797263</v>
      </c>
      <c r="L55" s="311">
        <f t="shared" si="11"/>
        <v>0.17246082424513121</v>
      </c>
      <c r="M55" s="311">
        <f t="shared" si="11"/>
        <v>0.14206449890882478</v>
      </c>
      <c r="N55" s="311">
        <f t="shared" si="11"/>
        <v>0.11349355291341193</v>
      </c>
      <c r="O55" s="311">
        <f t="shared" si="11"/>
        <v>8.6775107358302558E-2</v>
      </c>
      <c r="P55" s="311">
        <f t="shared" si="11"/>
        <v>6.1934259882473794E-2</v>
      </c>
      <c r="Q55" s="311">
        <f t="shared" si="11"/>
        <v>3.9002305551802285E-2</v>
      </c>
      <c r="R55" s="311">
        <f t="shared" si="11"/>
        <v>1.728538833188574E-2</v>
      </c>
      <c r="S55" s="311">
        <f t="shared" si="11"/>
        <v>-1.8289050091279669E-3</v>
      </c>
      <c r="T55" s="311">
        <f t="shared" si="11"/>
        <v>-1.450309241034949E-3</v>
      </c>
      <c r="U55" s="311">
        <f t="shared" si="11"/>
        <v>-9.7464160050568472E-4</v>
      </c>
      <c r="V55" s="311">
        <f t="shared" si="11"/>
        <v>-6.0314627242249888E-4</v>
      </c>
      <c r="W55" s="311">
        <f t="shared" si="11"/>
        <v>-3.2762943874325669E-4</v>
      </c>
      <c r="X55" s="311">
        <f t="shared" si="11"/>
        <v>-1.0641565040089754E-4</v>
      </c>
      <c r="Y55" s="311">
        <f t="shared" si="11"/>
        <v>0</v>
      </c>
      <c r="Z55" s="311">
        <f t="shared" si="11"/>
        <v>0</v>
      </c>
      <c r="AA55" s="311">
        <f t="shared" si="11"/>
        <v>0</v>
      </c>
      <c r="AB55" s="311">
        <f t="shared" si="11"/>
        <v>0</v>
      </c>
      <c r="AC55" s="311">
        <f t="shared" si="11"/>
        <v>0</v>
      </c>
      <c r="AD55" s="311">
        <f t="shared" si="11"/>
        <v>0</v>
      </c>
      <c r="AE55" s="311">
        <f t="shared" si="11"/>
        <v>0</v>
      </c>
      <c r="AF55" s="311">
        <f t="shared" si="11"/>
        <v>0</v>
      </c>
      <c r="AG55" s="311">
        <f t="shared" si="11"/>
        <v>0</v>
      </c>
      <c r="AH55" s="311">
        <f t="shared" si="11"/>
        <v>0</v>
      </c>
      <c r="AI55" s="311">
        <f t="shared" si="11"/>
        <v>0</v>
      </c>
      <c r="AJ55" s="311">
        <f t="shared" si="11"/>
        <v>0</v>
      </c>
      <c r="AK55" s="311">
        <f t="shared" si="11"/>
        <v>0</v>
      </c>
      <c r="AL55" s="311">
        <f t="shared" si="11"/>
        <v>0</v>
      </c>
      <c r="AM55" s="311">
        <f t="shared" si="11"/>
        <v>0</v>
      </c>
      <c r="AN55" s="311">
        <f t="shared" si="11"/>
        <v>0</v>
      </c>
      <c r="AO55" s="311">
        <f t="shared" si="11"/>
        <v>0</v>
      </c>
      <c r="AP55" s="311">
        <f t="shared" si="11"/>
        <v>0</v>
      </c>
      <c r="AQ55" s="311">
        <f t="shared" si="11"/>
        <v>0</v>
      </c>
      <c r="AR55" s="311">
        <f t="shared" si="11"/>
        <v>0</v>
      </c>
      <c r="AS55" s="311">
        <f t="shared" si="11"/>
        <v>0</v>
      </c>
      <c r="AT55" s="311">
        <f t="shared" si="11"/>
        <v>0</v>
      </c>
      <c r="AU55" s="311">
        <f t="shared" si="11"/>
        <v>0</v>
      </c>
      <c r="AV55" s="311">
        <f t="shared" si="11"/>
        <v>0</v>
      </c>
      <c r="AW55" s="311">
        <f t="shared" si="11"/>
        <v>0</v>
      </c>
      <c r="AX55" s="311">
        <f t="shared" si="11"/>
        <v>0</v>
      </c>
      <c r="AY55" s="311">
        <f t="shared" si="11"/>
        <v>0</v>
      </c>
      <c r="AZ55" s="311">
        <f t="shared" si="11"/>
        <v>0</v>
      </c>
      <c r="BA55" s="311">
        <f t="shared" si="11"/>
        <v>0</v>
      </c>
      <c r="BB55" s="311">
        <f t="shared" si="11"/>
        <v>0</v>
      </c>
      <c r="BC55" s="311">
        <f t="shared" si="11"/>
        <v>0</v>
      </c>
      <c r="BD55" s="311">
        <f t="shared" si="11"/>
        <v>0</v>
      </c>
      <c r="BE55" s="311">
        <f t="shared" si="11"/>
        <v>0</v>
      </c>
      <c r="BF55" s="311">
        <f t="shared" si="11"/>
        <v>0</v>
      </c>
      <c r="BG55" s="311">
        <f t="shared" si="11"/>
        <v>0</v>
      </c>
      <c r="BH55" s="311">
        <f t="shared" si="11"/>
        <v>0</v>
      </c>
      <c r="BI55" s="311">
        <f t="shared" si="11"/>
        <v>0</v>
      </c>
      <c r="BJ55" s="311">
        <f t="shared" si="11"/>
        <v>0</v>
      </c>
      <c r="BK55" s="311">
        <f t="shared" si="11"/>
        <v>0</v>
      </c>
      <c r="BL55" s="311">
        <f t="shared" si="11"/>
        <v>0</v>
      </c>
    </row>
    <row r="56" spans="1:64" x14ac:dyDescent="0.15">
      <c r="E56" s="178"/>
      <c r="F56" s="178"/>
      <c r="G56" s="178"/>
      <c r="H56" s="178"/>
      <c r="I56" s="178"/>
      <c r="J56" s="178"/>
      <c r="K56" s="178"/>
      <c r="L56" s="178"/>
      <c r="M56" s="178"/>
      <c r="N56" s="178"/>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row>
    <row r="57" spans="1:64" x14ac:dyDescent="0.15">
      <c r="B57" s="186"/>
      <c r="C57" s="186" t="s">
        <v>273</v>
      </c>
      <c r="E57" s="311">
        <f t="shared" ref="E57:BL57" si="12">E58+E59</f>
        <v>0.52200723541380267</v>
      </c>
      <c r="F57" s="311">
        <f t="shared" si="12"/>
        <v>0.43883915002905205</v>
      </c>
      <c r="G57" s="311">
        <f t="shared" si="12"/>
        <v>0.37406624397652227</v>
      </c>
      <c r="H57" s="311">
        <f t="shared" si="12"/>
        <v>0.31361687318967252</v>
      </c>
      <c r="I57" s="311">
        <f t="shared" si="12"/>
        <v>0.27353436193844638</v>
      </c>
      <c r="J57" s="311">
        <f t="shared" si="12"/>
        <v>0.23564540714802634</v>
      </c>
      <c r="K57" s="311">
        <f t="shared" si="12"/>
        <v>0.19994148876607395</v>
      </c>
      <c r="L57" s="311">
        <f t="shared" si="12"/>
        <v>0.16736008670423941</v>
      </c>
      <c r="M57" s="311">
        <f t="shared" si="12"/>
        <v>0.13771403849086838</v>
      </c>
      <c r="N57" s="311">
        <f t="shared" si="12"/>
        <v>0.10988794834879359</v>
      </c>
      <c r="O57" s="311">
        <f t="shared" si="12"/>
        <v>8.3908894746137011E-2</v>
      </c>
      <c r="P57" s="311">
        <f t="shared" si="12"/>
        <v>5.9801678497349721E-2</v>
      </c>
      <c r="Q57" s="311">
        <f t="shared" si="12"/>
        <v>3.7596780725447337E-2</v>
      </c>
      <c r="R57" s="311">
        <f t="shared" si="12"/>
        <v>1.728538833188574E-2</v>
      </c>
      <c r="S57" s="311">
        <f t="shared" si="12"/>
        <v>-1.8289050091279669E-3</v>
      </c>
      <c r="T57" s="311">
        <f t="shared" si="12"/>
        <v>-1.450309241034949E-3</v>
      </c>
      <c r="U57" s="311">
        <f t="shared" si="12"/>
        <v>-9.7464160050568472E-4</v>
      </c>
      <c r="V57" s="311">
        <f t="shared" si="12"/>
        <v>-6.0314627242249888E-4</v>
      </c>
      <c r="W57" s="311">
        <f t="shared" si="12"/>
        <v>-3.2762943874325669E-4</v>
      </c>
      <c r="X57" s="311">
        <f t="shared" si="12"/>
        <v>-1.0641565040089754E-4</v>
      </c>
      <c r="Y57" s="311">
        <f t="shared" si="12"/>
        <v>0</v>
      </c>
      <c r="Z57" s="311">
        <f t="shared" si="12"/>
        <v>0</v>
      </c>
      <c r="AA57" s="311">
        <f t="shared" si="12"/>
        <v>0</v>
      </c>
      <c r="AB57" s="311">
        <f t="shared" si="12"/>
        <v>0</v>
      </c>
      <c r="AC57" s="311">
        <f t="shared" si="12"/>
        <v>0</v>
      </c>
      <c r="AD57" s="311">
        <f t="shared" si="12"/>
        <v>0</v>
      </c>
      <c r="AE57" s="311">
        <f t="shared" si="12"/>
        <v>0</v>
      </c>
      <c r="AF57" s="311">
        <f t="shared" si="12"/>
        <v>0</v>
      </c>
      <c r="AG57" s="311">
        <f t="shared" si="12"/>
        <v>0</v>
      </c>
      <c r="AH57" s="311">
        <f t="shared" si="12"/>
        <v>0</v>
      </c>
      <c r="AI57" s="311">
        <f t="shared" si="12"/>
        <v>0</v>
      </c>
      <c r="AJ57" s="311">
        <f t="shared" si="12"/>
        <v>0</v>
      </c>
      <c r="AK57" s="311">
        <f t="shared" si="12"/>
        <v>0</v>
      </c>
      <c r="AL57" s="311">
        <f t="shared" si="12"/>
        <v>0</v>
      </c>
      <c r="AM57" s="311">
        <f t="shared" si="12"/>
        <v>0</v>
      </c>
      <c r="AN57" s="311">
        <f t="shared" si="12"/>
        <v>0</v>
      </c>
      <c r="AO57" s="311">
        <f t="shared" si="12"/>
        <v>0</v>
      </c>
      <c r="AP57" s="311">
        <f t="shared" si="12"/>
        <v>0</v>
      </c>
      <c r="AQ57" s="311">
        <f t="shared" si="12"/>
        <v>0</v>
      </c>
      <c r="AR57" s="311">
        <f t="shared" si="12"/>
        <v>0</v>
      </c>
      <c r="AS57" s="311">
        <f t="shared" si="12"/>
        <v>0</v>
      </c>
      <c r="AT57" s="311">
        <f t="shared" si="12"/>
        <v>0</v>
      </c>
      <c r="AU57" s="311">
        <f t="shared" si="12"/>
        <v>0</v>
      </c>
      <c r="AV57" s="311">
        <f t="shared" si="12"/>
        <v>0</v>
      </c>
      <c r="AW57" s="311">
        <f t="shared" si="12"/>
        <v>0</v>
      </c>
      <c r="AX57" s="311">
        <f t="shared" si="12"/>
        <v>0</v>
      </c>
      <c r="AY57" s="311">
        <f t="shared" si="12"/>
        <v>0</v>
      </c>
      <c r="AZ57" s="311">
        <f t="shared" si="12"/>
        <v>0</v>
      </c>
      <c r="BA57" s="311">
        <f t="shared" si="12"/>
        <v>0</v>
      </c>
      <c r="BB57" s="311">
        <f t="shared" si="12"/>
        <v>0</v>
      </c>
      <c r="BC57" s="311">
        <f t="shared" si="12"/>
        <v>0</v>
      </c>
      <c r="BD57" s="311">
        <f t="shared" si="12"/>
        <v>0</v>
      </c>
      <c r="BE57" s="311">
        <f t="shared" si="12"/>
        <v>0</v>
      </c>
      <c r="BF57" s="311">
        <f t="shared" si="12"/>
        <v>0</v>
      </c>
      <c r="BG57" s="311">
        <f t="shared" si="12"/>
        <v>0</v>
      </c>
      <c r="BH57" s="311">
        <f t="shared" si="12"/>
        <v>0</v>
      </c>
      <c r="BI57" s="311">
        <f t="shared" si="12"/>
        <v>0</v>
      </c>
      <c r="BJ57" s="311">
        <f t="shared" si="12"/>
        <v>0</v>
      </c>
      <c r="BK57" s="311">
        <f t="shared" si="12"/>
        <v>0</v>
      </c>
      <c r="BL57" s="311">
        <f t="shared" si="12"/>
        <v>0</v>
      </c>
    </row>
    <row r="58" spans="1:64" s="186" customFormat="1" x14ac:dyDescent="0.15">
      <c r="C58" s="115" t="s">
        <v>287</v>
      </c>
      <c r="D58" s="311"/>
      <c r="E58" s="171">
        <f>IFERROR(E$51*D$11/12,0)</f>
        <v>0.60084279259984485</v>
      </c>
      <c r="F58" s="171">
        <f t="shared" ref="F58:BL58" si="13">IFERROR(F$51*E$11/12,0)</f>
        <v>0.50781742810911479</v>
      </c>
      <c r="G58" s="171">
        <f t="shared" si="13"/>
        <v>0.4347355911831064</v>
      </c>
      <c r="H58" s="171">
        <f t="shared" si="13"/>
        <v>0.36768540684326406</v>
      </c>
      <c r="I58" s="171">
        <f t="shared" si="13"/>
        <v>0.32251345301548262</v>
      </c>
      <c r="J58" s="171">
        <f t="shared" si="13"/>
        <v>0.27973313580682541</v>
      </c>
      <c r="K58" s="171">
        <f t="shared" si="13"/>
        <v>0.23934042916946871</v>
      </c>
      <c r="L58" s="171">
        <f t="shared" si="13"/>
        <v>0.2013076945234562</v>
      </c>
      <c r="M58" s="171">
        <f t="shared" si="13"/>
        <v>0.16561146809332511</v>
      </c>
      <c r="N58" s="171">
        <f t="shared" si="13"/>
        <v>0.13222464764012584</v>
      </c>
      <c r="O58" s="171">
        <f t="shared" si="13"/>
        <v>0.10112579321254328</v>
      </c>
      <c r="P58" s="171">
        <f t="shared" si="13"/>
        <v>7.2301779584511408E-2</v>
      </c>
      <c r="Q58" s="171">
        <f t="shared" si="13"/>
        <v>4.5754471463161944E-2</v>
      </c>
      <c r="R58" s="171">
        <f t="shared" si="13"/>
        <v>2.1521386795681871E-2</v>
      </c>
      <c r="S58" s="171">
        <f t="shared" si="13"/>
        <v>2.2430433283231386E-4</v>
      </c>
      <c r="T58" s="171">
        <f t="shared" si="13"/>
        <v>0</v>
      </c>
      <c r="U58" s="171">
        <f t="shared" si="13"/>
        <v>0</v>
      </c>
      <c r="V58" s="171">
        <f t="shared" si="13"/>
        <v>0</v>
      </c>
      <c r="W58" s="171">
        <f t="shared" si="13"/>
        <v>0</v>
      </c>
      <c r="X58" s="171">
        <f t="shared" si="13"/>
        <v>0</v>
      </c>
      <c r="Y58" s="171">
        <f t="shared" si="13"/>
        <v>0</v>
      </c>
      <c r="Z58" s="171">
        <f t="shared" si="13"/>
        <v>0</v>
      </c>
      <c r="AA58" s="171">
        <f t="shared" si="13"/>
        <v>0</v>
      </c>
      <c r="AB58" s="171">
        <f t="shared" si="13"/>
        <v>0</v>
      </c>
      <c r="AC58" s="171">
        <f t="shared" si="13"/>
        <v>0</v>
      </c>
      <c r="AD58" s="171">
        <f t="shared" si="13"/>
        <v>0</v>
      </c>
      <c r="AE58" s="171">
        <f t="shared" si="13"/>
        <v>0</v>
      </c>
      <c r="AF58" s="171">
        <f t="shared" si="13"/>
        <v>0</v>
      </c>
      <c r="AG58" s="171">
        <f t="shared" si="13"/>
        <v>0</v>
      </c>
      <c r="AH58" s="171">
        <f t="shared" si="13"/>
        <v>0</v>
      </c>
      <c r="AI58" s="171">
        <f t="shared" si="13"/>
        <v>0</v>
      </c>
      <c r="AJ58" s="171">
        <f t="shared" si="13"/>
        <v>0</v>
      </c>
      <c r="AK58" s="171">
        <f t="shared" si="13"/>
        <v>0</v>
      </c>
      <c r="AL58" s="171">
        <f t="shared" si="13"/>
        <v>0</v>
      </c>
      <c r="AM58" s="171">
        <f t="shared" si="13"/>
        <v>0</v>
      </c>
      <c r="AN58" s="171">
        <f t="shared" si="13"/>
        <v>0</v>
      </c>
      <c r="AO58" s="171">
        <f t="shared" si="13"/>
        <v>0</v>
      </c>
      <c r="AP58" s="171">
        <f t="shared" si="13"/>
        <v>0</v>
      </c>
      <c r="AQ58" s="171">
        <f t="shared" si="13"/>
        <v>0</v>
      </c>
      <c r="AR58" s="171">
        <f t="shared" si="13"/>
        <v>0</v>
      </c>
      <c r="AS58" s="171">
        <f t="shared" si="13"/>
        <v>0</v>
      </c>
      <c r="AT58" s="171">
        <f t="shared" si="13"/>
        <v>0</v>
      </c>
      <c r="AU58" s="171">
        <f t="shared" si="13"/>
        <v>0</v>
      </c>
      <c r="AV58" s="171">
        <f t="shared" si="13"/>
        <v>0</v>
      </c>
      <c r="AW58" s="171">
        <f t="shared" si="13"/>
        <v>0</v>
      </c>
      <c r="AX58" s="171">
        <f t="shared" si="13"/>
        <v>0</v>
      </c>
      <c r="AY58" s="171">
        <f t="shared" si="13"/>
        <v>0</v>
      </c>
      <c r="AZ58" s="171">
        <f t="shared" si="13"/>
        <v>0</v>
      </c>
      <c r="BA58" s="171">
        <f t="shared" si="13"/>
        <v>0</v>
      </c>
      <c r="BB58" s="171">
        <f t="shared" si="13"/>
        <v>0</v>
      </c>
      <c r="BC58" s="171">
        <f t="shared" si="13"/>
        <v>0</v>
      </c>
      <c r="BD58" s="171">
        <f t="shared" si="13"/>
        <v>0</v>
      </c>
      <c r="BE58" s="171">
        <f t="shared" si="13"/>
        <v>0</v>
      </c>
      <c r="BF58" s="171">
        <f t="shared" si="13"/>
        <v>0</v>
      </c>
      <c r="BG58" s="171">
        <f t="shared" si="13"/>
        <v>0</v>
      </c>
      <c r="BH58" s="171">
        <f t="shared" si="13"/>
        <v>0</v>
      </c>
      <c r="BI58" s="171">
        <f t="shared" si="13"/>
        <v>0</v>
      </c>
      <c r="BJ58" s="171">
        <f t="shared" si="13"/>
        <v>0</v>
      </c>
      <c r="BK58" s="171">
        <f t="shared" si="13"/>
        <v>0</v>
      </c>
      <c r="BL58" s="171">
        <f t="shared" si="13"/>
        <v>0</v>
      </c>
    </row>
    <row r="59" spans="1:64" s="186" customFormat="1" x14ac:dyDescent="0.15">
      <c r="C59" s="205" t="s">
        <v>289</v>
      </c>
      <c r="E59" s="171">
        <f t="shared" ref="E59:BL59" si="14">-IFERROR(E50*D12/12,0)</f>
        <v>-7.8835557186042168E-2</v>
      </c>
      <c r="F59" s="171">
        <f t="shared" si="14"/>
        <v>-6.8978278080062724E-2</v>
      </c>
      <c r="G59" s="171">
        <f t="shared" si="14"/>
        <v>-6.0669347206584144E-2</v>
      </c>
      <c r="H59" s="171">
        <f t="shared" si="14"/>
        <v>-5.4068533653591523E-2</v>
      </c>
      <c r="I59" s="171">
        <f t="shared" si="14"/>
        <v>-4.8979091077036248E-2</v>
      </c>
      <c r="J59" s="171">
        <f t="shared" si="14"/>
        <v>-4.4087728658799064E-2</v>
      </c>
      <c r="K59" s="171">
        <f t="shared" si="14"/>
        <v>-3.9398940403394762E-2</v>
      </c>
      <c r="L59" s="171">
        <f t="shared" si="14"/>
        <v>-3.394760781921681E-2</v>
      </c>
      <c r="M59" s="171">
        <f t="shared" si="14"/>
        <v>-2.7897429602456735E-2</v>
      </c>
      <c r="N59" s="171">
        <f t="shared" si="14"/>
        <v>-2.2336699291332248E-2</v>
      </c>
      <c r="O59" s="171">
        <f t="shared" si="14"/>
        <v>-1.7216898466406266E-2</v>
      </c>
      <c r="P59" s="171">
        <f t="shared" si="14"/>
        <v>-1.2500101087161689E-2</v>
      </c>
      <c r="Q59" s="171">
        <f t="shared" si="14"/>
        <v>-8.1576907377146103E-3</v>
      </c>
      <c r="R59" s="171">
        <f t="shared" si="14"/>
        <v>-4.2359984637961303E-3</v>
      </c>
      <c r="S59" s="171">
        <f t="shared" si="14"/>
        <v>-2.0532093419602807E-3</v>
      </c>
      <c r="T59" s="171">
        <f t="shared" si="14"/>
        <v>-1.450309241034949E-3</v>
      </c>
      <c r="U59" s="171">
        <f t="shared" si="14"/>
        <v>-9.7464160050568472E-4</v>
      </c>
      <c r="V59" s="171">
        <f t="shared" si="14"/>
        <v>-6.0314627242249888E-4</v>
      </c>
      <c r="W59" s="171">
        <f t="shared" si="14"/>
        <v>-3.2762943874325669E-4</v>
      </c>
      <c r="X59" s="171">
        <f t="shared" si="14"/>
        <v>-1.0641565040089754E-4</v>
      </c>
      <c r="Y59" s="171">
        <f t="shared" si="14"/>
        <v>0</v>
      </c>
      <c r="Z59" s="171">
        <f t="shared" si="14"/>
        <v>0</v>
      </c>
      <c r="AA59" s="171">
        <f t="shared" si="14"/>
        <v>0</v>
      </c>
      <c r="AB59" s="171">
        <f t="shared" si="14"/>
        <v>0</v>
      </c>
      <c r="AC59" s="171">
        <f t="shared" si="14"/>
        <v>0</v>
      </c>
      <c r="AD59" s="171">
        <f t="shared" si="14"/>
        <v>0</v>
      </c>
      <c r="AE59" s="171">
        <f t="shared" si="14"/>
        <v>0</v>
      </c>
      <c r="AF59" s="171">
        <f t="shared" si="14"/>
        <v>0</v>
      </c>
      <c r="AG59" s="171">
        <f t="shared" si="14"/>
        <v>0</v>
      </c>
      <c r="AH59" s="171">
        <f t="shared" si="14"/>
        <v>0</v>
      </c>
      <c r="AI59" s="171">
        <f t="shared" si="14"/>
        <v>0</v>
      </c>
      <c r="AJ59" s="171">
        <f t="shared" si="14"/>
        <v>0</v>
      </c>
      <c r="AK59" s="171">
        <f t="shared" si="14"/>
        <v>0</v>
      </c>
      <c r="AL59" s="171">
        <f t="shared" si="14"/>
        <v>0</v>
      </c>
      <c r="AM59" s="171">
        <f t="shared" si="14"/>
        <v>0</v>
      </c>
      <c r="AN59" s="171">
        <f t="shared" si="14"/>
        <v>0</v>
      </c>
      <c r="AO59" s="171">
        <f t="shared" si="14"/>
        <v>0</v>
      </c>
      <c r="AP59" s="171">
        <f t="shared" si="14"/>
        <v>0</v>
      </c>
      <c r="AQ59" s="171">
        <f t="shared" si="14"/>
        <v>0</v>
      </c>
      <c r="AR59" s="171">
        <f t="shared" si="14"/>
        <v>0</v>
      </c>
      <c r="AS59" s="171">
        <f t="shared" si="14"/>
        <v>0</v>
      </c>
      <c r="AT59" s="171">
        <f t="shared" si="14"/>
        <v>0</v>
      </c>
      <c r="AU59" s="171">
        <f t="shared" si="14"/>
        <v>0</v>
      </c>
      <c r="AV59" s="171">
        <f t="shared" si="14"/>
        <v>0</v>
      </c>
      <c r="AW59" s="171">
        <f t="shared" si="14"/>
        <v>0</v>
      </c>
      <c r="AX59" s="171">
        <f t="shared" si="14"/>
        <v>0</v>
      </c>
      <c r="AY59" s="171">
        <f t="shared" si="14"/>
        <v>0</v>
      </c>
      <c r="AZ59" s="171">
        <f t="shared" si="14"/>
        <v>0</v>
      </c>
      <c r="BA59" s="171">
        <f t="shared" si="14"/>
        <v>0</v>
      </c>
      <c r="BB59" s="171">
        <f t="shared" si="14"/>
        <v>0</v>
      </c>
      <c r="BC59" s="171">
        <f t="shared" si="14"/>
        <v>0</v>
      </c>
      <c r="BD59" s="171">
        <f t="shared" si="14"/>
        <v>0</v>
      </c>
      <c r="BE59" s="171">
        <f t="shared" si="14"/>
        <v>0</v>
      </c>
      <c r="BF59" s="171">
        <f t="shared" si="14"/>
        <v>0</v>
      </c>
      <c r="BG59" s="171">
        <f t="shared" si="14"/>
        <v>0</v>
      </c>
      <c r="BH59" s="171">
        <f t="shared" si="14"/>
        <v>0</v>
      </c>
      <c r="BI59" s="171">
        <f t="shared" si="14"/>
        <v>0</v>
      </c>
      <c r="BJ59" s="171">
        <f t="shared" si="14"/>
        <v>0</v>
      </c>
      <c r="BK59" s="171">
        <f t="shared" si="14"/>
        <v>0</v>
      </c>
      <c r="BL59" s="171">
        <f t="shared" si="14"/>
        <v>0</v>
      </c>
    </row>
    <row r="61" spans="1:64" x14ac:dyDescent="0.15">
      <c r="B61" s="186"/>
      <c r="C61" s="186" t="s">
        <v>274</v>
      </c>
      <c r="E61" s="311">
        <f>SUM(E62:E64)</f>
        <v>0.43873800787328088</v>
      </c>
      <c r="F61" s="311">
        <f t="shared" ref="F61:BL61" si="15">SUM(F62:F64)</f>
        <v>2.3494162688935533E-2</v>
      </c>
      <c r="G61" s="311">
        <f t="shared" si="15"/>
        <v>2.1523193291733994E-2</v>
      </c>
      <c r="H61" s="311">
        <f t="shared" si="15"/>
        <v>8.152436101832328E-3</v>
      </c>
      <c r="I61" s="311">
        <f t="shared" si="15"/>
        <v>7.3848851830461137E-3</v>
      </c>
      <c r="J61" s="311">
        <f t="shared" si="15"/>
        <v>6.6178708525815467E-3</v>
      </c>
      <c r="K61" s="311">
        <f t="shared" si="15"/>
        <v>5.8565404418986838E-3</v>
      </c>
      <c r="L61" s="311">
        <f t="shared" si="15"/>
        <v>5.1007375408918003E-3</v>
      </c>
      <c r="M61" s="311">
        <f t="shared" si="15"/>
        <v>4.3504604179564052E-3</v>
      </c>
      <c r="N61" s="311">
        <f t="shared" si="15"/>
        <v>3.6056045646183353E-3</v>
      </c>
      <c r="O61" s="311">
        <f t="shared" si="15"/>
        <v>2.8662126121655521E-3</v>
      </c>
      <c r="P61" s="311">
        <f t="shared" si="15"/>
        <v>2.1325813851240738E-3</v>
      </c>
      <c r="Q61" s="311">
        <f t="shared" si="15"/>
        <v>1.4055248263549476E-3</v>
      </c>
      <c r="R61" s="311">
        <f t="shared" si="15"/>
        <v>0</v>
      </c>
      <c r="S61" s="311">
        <f t="shared" si="15"/>
        <v>0</v>
      </c>
      <c r="T61" s="311">
        <f t="shared" si="15"/>
        <v>0</v>
      </c>
      <c r="U61" s="311">
        <f t="shared" si="15"/>
        <v>0</v>
      </c>
      <c r="V61" s="311">
        <f t="shared" si="15"/>
        <v>0</v>
      </c>
      <c r="W61" s="311">
        <f t="shared" si="15"/>
        <v>0</v>
      </c>
      <c r="X61" s="311">
        <f t="shared" si="15"/>
        <v>0</v>
      </c>
      <c r="Y61" s="311">
        <f t="shared" si="15"/>
        <v>0</v>
      </c>
      <c r="Z61" s="311">
        <f t="shared" si="15"/>
        <v>0</v>
      </c>
      <c r="AA61" s="311">
        <f t="shared" si="15"/>
        <v>0</v>
      </c>
      <c r="AB61" s="311">
        <f t="shared" si="15"/>
        <v>0</v>
      </c>
      <c r="AC61" s="311">
        <f t="shared" si="15"/>
        <v>0</v>
      </c>
      <c r="AD61" s="311">
        <f t="shared" si="15"/>
        <v>0</v>
      </c>
      <c r="AE61" s="311">
        <f t="shared" si="15"/>
        <v>0</v>
      </c>
      <c r="AF61" s="311">
        <f t="shared" si="15"/>
        <v>0</v>
      </c>
      <c r="AG61" s="311">
        <f t="shared" si="15"/>
        <v>0</v>
      </c>
      <c r="AH61" s="311">
        <f t="shared" si="15"/>
        <v>0</v>
      </c>
      <c r="AI61" s="311">
        <f t="shared" si="15"/>
        <v>0</v>
      </c>
      <c r="AJ61" s="311">
        <f t="shared" si="15"/>
        <v>0</v>
      </c>
      <c r="AK61" s="311">
        <f t="shared" si="15"/>
        <v>0</v>
      </c>
      <c r="AL61" s="311">
        <f t="shared" si="15"/>
        <v>0</v>
      </c>
      <c r="AM61" s="311">
        <f t="shared" si="15"/>
        <v>0</v>
      </c>
      <c r="AN61" s="311">
        <f t="shared" si="15"/>
        <v>0</v>
      </c>
      <c r="AO61" s="311">
        <f t="shared" si="15"/>
        <v>0</v>
      </c>
      <c r="AP61" s="311">
        <f t="shared" si="15"/>
        <v>0</v>
      </c>
      <c r="AQ61" s="311">
        <f t="shared" si="15"/>
        <v>0</v>
      </c>
      <c r="AR61" s="311">
        <f t="shared" si="15"/>
        <v>0</v>
      </c>
      <c r="AS61" s="311">
        <f t="shared" si="15"/>
        <v>0</v>
      </c>
      <c r="AT61" s="311">
        <f t="shared" si="15"/>
        <v>0</v>
      </c>
      <c r="AU61" s="311">
        <f t="shared" si="15"/>
        <v>0</v>
      </c>
      <c r="AV61" s="311">
        <f t="shared" si="15"/>
        <v>0</v>
      </c>
      <c r="AW61" s="311">
        <f t="shared" si="15"/>
        <v>0</v>
      </c>
      <c r="AX61" s="311">
        <f t="shared" si="15"/>
        <v>0</v>
      </c>
      <c r="AY61" s="311">
        <f t="shared" si="15"/>
        <v>0</v>
      </c>
      <c r="AZ61" s="311">
        <f t="shared" si="15"/>
        <v>0</v>
      </c>
      <c r="BA61" s="311">
        <f t="shared" si="15"/>
        <v>0</v>
      </c>
      <c r="BB61" s="311">
        <f t="shared" si="15"/>
        <v>0</v>
      </c>
      <c r="BC61" s="311">
        <f t="shared" si="15"/>
        <v>0</v>
      </c>
      <c r="BD61" s="311">
        <f t="shared" si="15"/>
        <v>0</v>
      </c>
      <c r="BE61" s="311">
        <f t="shared" si="15"/>
        <v>0</v>
      </c>
      <c r="BF61" s="311">
        <f t="shared" si="15"/>
        <v>0</v>
      </c>
      <c r="BG61" s="311">
        <f t="shared" si="15"/>
        <v>0</v>
      </c>
      <c r="BH61" s="311">
        <f t="shared" si="15"/>
        <v>0</v>
      </c>
      <c r="BI61" s="311">
        <f t="shared" si="15"/>
        <v>0</v>
      </c>
      <c r="BJ61" s="311">
        <f t="shared" si="15"/>
        <v>0</v>
      </c>
      <c r="BK61" s="311">
        <f t="shared" si="15"/>
        <v>0</v>
      </c>
      <c r="BL61" s="311">
        <f t="shared" si="15"/>
        <v>0</v>
      </c>
    </row>
    <row r="62" spans="1:64" x14ac:dyDescent="0.15">
      <c r="C62" s="205" t="s">
        <v>290</v>
      </c>
      <c r="E62" s="171">
        <f t="shared" ref="E62:BL62" si="16">-E18*E14</f>
        <v>3.453442809553383E-2</v>
      </c>
      <c r="F62" s="171">
        <f t="shared" si="16"/>
        <v>2.3494162688935533E-2</v>
      </c>
      <c r="G62" s="171">
        <f t="shared" si="16"/>
        <v>2.1523193291733994E-2</v>
      </c>
      <c r="H62" s="171">
        <f t="shared" si="16"/>
        <v>8.152436101832328E-3</v>
      </c>
      <c r="I62" s="171">
        <f t="shared" si="16"/>
        <v>7.3848851830461137E-3</v>
      </c>
      <c r="J62" s="171">
        <f t="shared" si="16"/>
        <v>6.6178708525815467E-3</v>
      </c>
      <c r="K62" s="171">
        <f t="shared" si="16"/>
        <v>5.8565404418986838E-3</v>
      </c>
      <c r="L62" s="171">
        <f t="shared" si="16"/>
        <v>5.1007375408918003E-3</v>
      </c>
      <c r="M62" s="171">
        <f t="shared" si="16"/>
        <v>4.3504604179564052E-3</v>
      </c>
      <c r="N62" s="171">
        <f t="shared" si="16"/>
        <v>3.6056045646183353E-3</v>
      </c>
      <c r="O62" s="171">
        <f t="shared" si="16"/>
        <v>2.8662126121655521E-3</v>
      </c>
      <c r="P62" s="171">
        <f t="shared" si="16"/>
        <v>2.1325813851240738E-3</v>
      </c>
      <c r="Q62" s="171">
        <f t="shared" si="16"/>
        <v>1.4055248263549476E-3</v>
      </c>
      <c r="R62" s="171">
        <f t="shared" si="16"/>
        <v>0</v>
      </c>
      <c r="S62" s="171">
        <f t="shared" si="16"/>
        <v>0</v>
      </c>
      <c r="T62" s="171">
        <f t="shared" si="16"/>
        <v>0</v>
      </c>
      <c r="U62" s="171">
        <f t="shared" si="16"/>
        <v>0</v>
      </c>
      <c r="V62" s="171">
        <f t="shared" si="16"/>
        <v>0</v>
      </c>
      <c r="W62" s="171">
        <f t="shared" si="16"/>
        <v>0</v>
      </c>
      <c r="X62" s="171">
        <f t="shared" si="16"/>
        <v>0</v>
      </c>
      <c r="Y62" s="171">
        <f t="shared" si="16"/>
        <v>0</v>
      </c>
      <c r="Z62" s="171">
        <f t="shared" si="16"/>
        <v>0</v>
      </c>
      <c r="AA62" s="171">
        <f t="shared" si="16"/>
        <v>0</v>
      </c>
      <c r="AB62" s="171">
        <f t="shared" si="16"/>
        <v>0</v>
      </c>
      <c r="AC62" s="171">
        <f t="shared" si="16"/>
        <v>0</v>
      </c>
      <c r="AD62" s="171">
        <f t="shared" si="16"/>
        <v>0</v>
      </c>
      <c r="AE62" s="171">
        <f t="shared" si="16"/>
        <v>0</v>
      </c>
      <c r="AF62" s="171">
        <f t="shared" si="16"/>
        <v>0</v>
      </c>
      <c r="AG62" s="171">
        <f t="shared" si="16"/>
        <v>0</v>
      </c>
      <c r="AH62" s="171">
        <f t="shared" si="16"/>
        <v>0</v>
      </c>
      <c r="AI62" s="171">
        <f t="shared" si="16"/>
        <v>0</v>
      </c>
      <c r="AJ62" s="171">
        <f t="shared" si="16"/>
        <v>0</v>
      </c>
      <c r="AK62" s="171">
        <f t="shared" si="16"/>
        <v>0</v>
      </c>
      <c r="AL62" s="171">
        <f t="shared" si="16"/>
        <v>0</v>
      </c>
      <c r="AM62" s="171">
        <f t="shared" si="16"/>
        <v>0</v>
      </c>
      <c r="AN62" s="171">
        <f t="shared" si="16"/>
        <v>0</v>
      </c>
      <c r="AO62" s="171">
        <f t="shared" si="16"/>
        <v>0</v>
      </c>
      <c r="AP62" s="171">
        <f t="shared" si="16"/>
        <v>0</v>
      </c>
      <c r="AQ62" s="171">
        <f t="shared" si="16"/>
        <v>0</v>
      </c>
      <c r="AR62" s="171">
        <f t="shared" si="16"/>
        <v>0</v>
      </c>
      <c r="AS62" s="171">
        <f t="shared" si="16"/>
        <v>0</v>
      </c>
      <c r="AT62" s="171">
        <f t="shared" si="16"/>
        <v>0</v>
      </c>
      <c r="AU62" s="171">
        <f t="shared" si="16"/>
        <v>0</v>
      </c>
      <c r="AV62" s="171">
        <f t="shared" si="16"/>
        <v>0</v>
      </c>
      <c r="AW62" s="171">
        <f t="shared" si="16"/>
        <v>0</v>
      </c>
      <c r="AX62" s="171">
        <f t="shared" si="16"/>
        <v>0</v>
      </c>
      <c r="AY62" s="171">
        <f t="shared" si="16"/>
        <v>0</v>
      </c>
      <c r="AZ62" s="171">
        <f t="shared" si="16"/>
        <v>0</v>
      </c>
      <c r="BA62" s="171">
        <f t="shared" si="16"/>
        <v>0</v>
      </c>
      <c r="BB62" s="171">
        <f t="shared" si="16"/>
        <v>0</v>
      </c>
      <c r="BC62" s="171">
        <f t="shared" si="16"/>
        <v>0</v>
      </c>
      <c r="BD62" s="171">
        <f t="shared" si="16"/>
        <v>0</v>
      </c>
      <c r="BE62" s="171">
        <f t="shared" si="16"/>
        <v>0</v>
      </c>
      <c r="BF62" s="171">
        <f t="shared" si="16"/>
        <v>0</v>
      </c>
      <c r="BG62" s="171">
        <f t="shared" si="16"/>
        <v>0</v>
      </c>
      <c r="BH62" s="171">
        <f t="shared" si="16"/>
        <v>0</v>
      </c>
      <c r="BI62" s="171">
        <f t="shared" si="16"/>
        <v>0</v>
      </c>
      <c r="BJ62" s="171">
        <f t="shared" si="16"/>
        <v>0</v>
      </c>
      <c r="BK62" s="171">
        <f t="shared" si="16"/>
        <v>0</v>
      </c>
      <c r="BL62" s="171">
        <f t="shared" si="16"/>
        <v>0</v>
      </c>
    </row>
    <row r="63" spans="1:64" x14ac:dyDescent="0.15">
      <c r="A63" s="186"/>
      <c r="C63" s="205" t="s">
        <v>439</v>
      </c>
      <c r="E63" s="171">
        <f>Leadsheet!E10*Leadsheet!E33*Leadsheet!E35*Leadsheet!E36+Leadsheet!E10/(1+Leadsheet!E34*Leadsheet!E35)*Leadsheet!E34*Leadsheet!E35*Leadsheet!E36</f>
        <v>0.40420357977774707</v>
      </c>
    </row>
    <row r="64" spans="1:64" x14ac:dyDescent="0.15">
      <c r="C64" s="115" t="s">
        <v>169</v>
      </c>
      <c r="E64" s="171">
        <f>SUM(E65:E66)</f>
        <v>0</v>
      </c>
      <c r="F64" s="171">
        <f t="shared" ref="F64:BL64" si="17">SUM(F65:F66)</f>
        <v>0</v>
      </c>
      <c r="G64" s="171">
        <f t="shared" si="17"/>
        <v>0</v>
      </c>
      <c r="H64" s="171">
        <f t="shared" si="17"/>
        <v>0</v>
      </c>
      <c r="I64" s="171">
        <f t="shared" si="17"/>
        <v>0</v>
      </c>
      <c r="J64" s="171">
        <f t="shared" si="17"/>
        <v>0</v>
      </c>
      <c r="K64" s="171">
        <f t="shared" si="17"/>
        <v>0</v>
      </c>
      <c r="L64" s="171">
        <f t="shared" si="17"/>
        <v>0</v>
      </c>
      <c r="M64" s="171">
        <f t="shared" si="17"/>
        <v>0</v>
      </c>
      <c r="N64" s="171">
        <f t="shared" si="17"/>
        <v>0</v>
      </c>
      <c r="O64" s="171">
        <f t="shared" si="17"/>
        <v>0</v>
      </c>
      <c r="P64" s="171">
        <f t="shared" si="17"/>
        <v>0</v>
      </c>
      <c r="Q64" s="171">
        <f t="shared" si="17"/>
        <v>0</v>
      </c>
      <c r="R64" s="171">
        <f t="shared" si="17"/>
        <v>0</v>
      </c>
      <c r="S64" s="171">
        <f t="shared" si="17"/>
        <v>0</v>
      </c>
      <c r="T64" s="171">
        <f t="shared" si="17"/>
        <v>0</v>
      </c>
      <c r="U64" s="171">
        <f t="shared" si="17"/>
        <v>0</v>
      </c>
      <c r="V64" s="171">
        <f t="shared" si="17"/>
        <v>0</v>
      </c>
      <c r="W64" s="171">
        <f t="shared" si="17"/>
        <v>0</v>
      </c>
      <c r="X64" s="171">
        <f t="shared" si="17"/>
        <v>0</v>
      </c>
      <c r="Y64" s="171">
        <f t="shared" si="17"/>
        <v>0</v>
      </c>
      <c r="Z64" s="171">
        <f t="shared" si="17"/>
        <v>0</v>
      </c>
      <c r="AA64" s="171">
        <f t="shared" si="17"/>
        <v>0</v>
      </c>
      <c r="AB64" s="171">
        <f t="shared" si="17"/>
        <v>0</v>
      </c>
      <c r="AC64" s="171">
        <f t="shared" si="17"/>
        <v>0</v>
      </c>
      <c r="AD64" s="171">
        <f t="shared" si="17"/>
        <v>0</v>
      </c>
      <c r="AE64" s="171">
        <f t="shared" si="17"/>
        <v>0</v>
      </c>
      <c r="AF64" s="171">
        <f t="shared" si="17"/>
        <v>0</v>
      </c>
      <c r="AG64" s="171">
        <f t="shared" si="17"/>
        <v>0</v>
      </c>
      <c r="AH64" s="171">
        <f t="shared" si="17"/>
        <v>0</v>
      </c>
      <c r="AI64" s="171">
        <f t="shared" si="17"/>
        <v>0</v>
      </c>
      <c r="AJ64" s="171">
        <f t="shared" si="17"/>
        <v>0</v>
      </c>
      <c r="AK64" s="171">
        <f t="shared" si="17"/>
        <v>0</v>
      </c>
      <c r="AL64" s="171">
        <f t="shared" si="17"/>
        <v>0</v>
      </c>
      <c r="AM64" s="171">
        <f t="shared" si="17"/>
        <v>0</v>
      </c>
      <c r="AN64" s="171">
        <f t="shared" si="17"/>
        <v>0</v>
      </c>
      <c r="AO64" s="171">
        <f t="shared" si="17"/>
        <v>0</v>
      </c>
      <c r="AP64" s="171">
        <f t="shared" si="17"/>
        <v>0</v>
      </c>
      <c r="AQ64" s="171">
        <f t="shared" si="17"/>
        <v>0</v>
      </c>
      <c r="AR64" s="171">
        <f t="shared" si="17"/>
        <v>0</v>
      </c>
      <c r="AS64" s="171">
        <f t="shared" si="17"/>
        <v>0</v>
      </c>
      <c r="AT64" s="171">
        <f t="shared" si="17"/>
        <v>0</v>
      </c>
      <c r="AU64" s="171">
        <f t="shared" si="17"/>
        <v>0</v>
      </c>
      <c r="AV64" s="171">
        <f t="shared" si="17"/>
        <v>0</v>
      </c>
      <c r="AW64" s="171">
        <f t="shared" si="17"/>
        <v>0</v>
      </c>
      <c r="AX64" s="171">
        <f t="shared" si="17"/>
        <v>0</v>
      </c>
      <c r="AY64" s="171">
        <f t="shared" si="17"/>
        <v>0</v>
      </c>
      <c r="AZ64" s="171">
        <f t="shared" si="17"/>
        <v>0</v>
      </c>
      <c r="BA64" s="171">
        <f t="shared" si="17"/>
        <v>0</v>
      </c>
      <c r="BB64" s="171">
        <f t="shared" si="17"/>
        <v>0</v>
      </c>
      <c r="BC64" s="171">
        <f t="shared" si="17"/>
        <v>0</v>
      </c>
      <c r="BD64" s="171">
        <f t="shared" si="17"/>
        <v>0</v>
      </c>
      <c r="BE64" s="171">
        <f t="shared" si="17"/>
        <v>0</v>
      </c>
      <c r="BF64" s="171">
        <f t="shared" si="17"/>
        <v>0</v>
      </c>
      <c r="BG64" s="171">
        <f t="shared" si="17"/>
        <v>0</v>
      </c>
      <c r="BH64" s="171">
        <f t="shared" si="17"/>
        <v>0</v>
      </c>
      <c r="BI64" s="171">
        <f t="shared" si="17"/>
        <v>0</v>
      </c>
      <c r="BJ64" s="171">
        <f t="shared" si="17"/>
        <v>0</v>
      </c>
      <c r="BK64" s="171">
        <f t="shared" si="17"/>
        <v>0</v>
      </c>
      <c r="BL64" s="171">
        <f t="shared" si="17"/>
        <v>0</v>
      </c>
    </row>
    <row r="65" spans="2:64" x14ac:dyDescent="0.15">
      <c r="C65" s="212" t="s">
        <v>293</v>
      </c>
      <c r="E65" s="171">
        <f>Leadsheet!E10*Leadsheet!E39+Leadsheet!E38</f>
        <v>0</v>
      </c>
      <c r="F65" s="171"/>
      <c r="G65" s="171"/>
      <c r="H65" s="171"/>
      <c r="I65" s="171"/>
      <c r="J65" s="171"/>
      <c r="K65" s="171"/>
      <c r="L65" s="171"/>
      <c r="M65" s="171"/>
      <c r="N65" s="171"/>
      <c r="O65" s="171"/>
      <c r="P65" s="171"/>
      <c r="Q65" s="171"/>
      <c r="R65" s="171"/>
      <c r="S65" s="171"/>
      <c r="T65" s="171"/>
      <c r="U65" s="171"/>
      <c r="V65" s="171"/>
      <c r="W65" s="171"/>
      <c r="X65" s="171"/>
      <c r="Y65" s="171"/>
      <c r="Z65" s="171"/>
      <c r="AA65" s="171"/>
      <c r="AB65" s="171"/>
      <c r="AC65" s="171"/>
      <c r="AD65" s="171"/>
      <c r="AE65" s="171"/>
      <c r="AF65" s="171"/>
      <c r="AG65" s="171"/>
      <c r="AH65" s="171"/>
      <c r="AI65" s="171"/>
      <c r="AJ65" s="171"/>
      <c r="AK65" s="171"/>
      <c r="AL65" s="171"/>
      <c r="AM65" s="171"/>
      <c r="AN65" s="171"/>
      <c r="AO65" s="171"/>
      <c r="AP65" s="171"/>
      <c r="AQ65" s="171"/>
      <c r="AR65" s="171"/>
      <c r="AS65" s="171"/>
      <c r="AT65" s="171"/>
      <c r="AU65" s="171"/>
      <c r="AV65" s="171"/>
      <c r="AW65" s="171"/>
      <c r="AX65" s="171"/>
      <c r="AY65" s="171"/>
      <c r="AZ65" s="171"/>
      <c r="BA65" s="171"/>
      <c r="BB65" s="171"/>
      <c r="BC65" s="171"/>
      <c r="BD65" s="171"/>
      <c r="BE65" s="171"/>
      <c r="BF65" s="171"/>
      <c r="BG65" s="171"/>
      <c r="BH65" s="171"/>
      <c r="BI65" s="171"/>
      <c r="BJ65" s="171"/>
      <c r="BK65" s="171"/>
      <c r="BL65" s="171"/>
    </row>
    <row r="66" spans="2:64" x14ac:dyDescent="0.15">
      <c r="C66" s="212" t="s">
        <v>296</v>
      </c>
      <c r="E66" s="171">
        <f>IF(E5&gt;$D$6,0,$D$17*Leadsheet!$E$40*D16*((D27*(1-Leadsheet!$D$91)+D28*Leadsheet!$E$117)/D45))</f>
        <v>0</v>
      </c>
      <c r="F66" s="171">
        <f>IF(F5&gt;$D$6,0,$D$17*Leadsheet!$E$40*E16*((E27*(1-Leadsheet!$D$91)+E28*Leadsheet!$E$117)/E45))</f>
        <v>0</v>
      </c>
      <c r="G66" s="171">
        <f>IF(G5&gt;$D$6,0,$D$17*Leadsheet!$E$40*F16*((F27*(1-Leadsheet!$D$91)+F28*Leadsheet!$E$117)/F45))</f>
        <v>0</v>
      </c>
      <c r="H66" s="171">
        <f>IF(H5&gt;$D$6,0,$D$17*Leadsheet!$E$40*G16*((G27*(1-Leadsheet!$D$91)+G28*Leadsheet!$E$117)/G45))</f>
        <v>0</v>
      </c>
      <c r="I66" s="171">
        <f>IF(I5&gt;$D$6,0,$D$17*Leadsheet!$E$40*H16*((H27*(1-Leadsheet!$D$91)+H28*Leadsheet!$E$117)/H45))</f>
        <v>0</v>
      </c>
      <c r="J66" s="171">
        <f>IF(J5&gt;$D$6,0,$D$17*Leadsheet!$E$40*I16*((I27*(1-Leadsheet!$D$91)+I28*Leadsheet!$E$117)/I45))</f>
        <v>0</v>
      </c>
      <c r="K66" s="171">
        <f>IF(K5&gt;$D$6,0,$D$17*Leadsheet!$E$40*J16*((J27*(1-Leadsheet!$D$91)+J28*Leadsheet!$E$117)/J45))</f>
        <v>0</v>
      </c>
      <c r="L66" s="171">
        <f>IF(L5&gt;$D$6,0,$D$17*Leadsheet!$E$40*K16*((K27*(1-Leadsheet!$D$91)+K28*Leadsheet!$E$117)/K45))</f>
        <v>0</v>
      </c>
      <c r="M66" s="171">
        <f>IF(M5&gt;$D$6,0,$D$17*Leadsheet!$E$40*L16*((L27*(1-Leadsheet!$D$91)+L28*Leadsheet!$E$117)/L45))</f>
        <v>0</v>
      </c>
      <c r="N66" s="171">
        <f>IF(N5&gt;$D$6,0,$D$17*Leadsheet!$E$40*M16*((M27*(1-Leadsheet!$D$91)+M28*Leadsheet!$E$117)/M45))</f>
        <v>0</v>
      </c>
      <c r="O66" s="171">
        <f>IF(O5&gt;$D$6,0,$D$17*Leadsheet!$E$40*N16*((N27*(1-Leadsheet!$D$91)+N28*Leadsheet!$E$117)/N45))</f>
        <v>0</v>
      </c>
      <c r="P66" s="171">
        <f>IF(P5&gt;$D$6,0,$D$17*Leadsheet!$E$40*O16*((O27*(1-Leadsheet!$D$91)+O28*Leadsheet!$E$117)/O45))</f>
        <v>0</v>
      </c>
      <c r="Q66" s="171">
        <f>IF(Q5&gt;$D$6,0,$D$17*Leadsheet!$E$40*P16*((P27*(1-Leadsheet!$D$91)+P28*Leadsheet!$E$117)/P45))</f>
        <v>0</v>
      </c>
      <c r="R66" s="171">
        <f>IF(R5&gt;$D$6,0,$D$17*Leadsheet!$E$40*Q16*((Q27*(1-Leadsheet!$D$91)+Q28*Leadsheet!$E$117)/Q45))</f>
        <v>0</v>
      </c>
      <c r="S66" s="171">
        <f>IF(S5&gt;$D$6,0,$D$17*Leadsheet!$E$40*R16*((R27*(1-Leadsheet!$D$91)+R28*Leadsheet!$E$117)/R45))</f>
        <v>0</v>
      </c>
      <c r="T66" s="171">
        <f>IF(T5&gt;$D$6,0,$D$17*Leadsheet!$E$40*S16*((S27*(1-Leadsheet!$D$91)+S28*Leadsheet!$E$117)/S45))</f>
        <v>0</v>
      </c>
      <c r="U66" s="171">
        <f>IF(U5&gt;$D$6,0,$D$17*Leadsheet!$E$40*T16*((T27*(1-Leadsheet!$D$91)+T28*Leadsheet!$E$117)/T45))</f>
        <v>0</v>
      </c>
      <c r="V66" s="171">
        <f>IF(V5&gt;$D$6,0,$D$17*Leadsheet!$E$40*U16*((U27*(1-Leadsheet!$D$91)+U28*Leadsheet!$E$117)/U45))</f>
        <v>0</v>
      </c>
      <c r="W66" s="171">
        <f>IF(W5&gt;$D$6,0,$D$17*Leadsheet!$E$40*V16*((V27*(1-Leadsheet!$D$91)+V28*Leadsheet!$E$117)/V45))</f>
        <v>0</v>
      </c>
      <c r="X66" s="171">
        <f>IF(X5&gt;$D$6,0,$D$17*Leadsheet!$E$40*W16*((W27*(1-Leadsheet!$D$91)+W28*Leadsheet!$E$117)/W45))</f>
        <v>0</v>
      </c>
      <c r="Y66" s="171">
        <f>IF(Y5&gt;$D$6,0,$D$17*Leadsheet!$E$40*X16*((X27*(1-Leadsheet!$D$91)+X28*Leadsheet!$E$117)/X45))</f>
        <v>0</v>
      </c>
      <c r="Z66" s="171">
        <f>IF(Z5&gt;$D$6,0,$D$17*Leadsheet!$E$40*Y16*((Y27*(1-Leadsheet!$D$91)+Y28*Leadsheet!$E$117)/Y45))</f>
        <v>0</v>
      </c>
      <c r="AA66" s="171">
        <f>IF(AA5&gt;$D$6,0,$D$17*Leadsheet!$E$40*Z16*((Z27*(1-Leadsheet!$D$91)+Z28*Leadsheet!$E$117)/Z45))</f>
        <v>0</v>
      </c>
      <c r="AB66" s="171">
        <f>IF(AB5&gt;$D$6,0,$D$17*Leadsheet!$E$40*AA16*((AA27*(1-Leadsheet!$D$91)+AA28*Leadsheet!$E$117)/AA45))</f>
        <v>0</v>
      </c>
      <c r="AC66" s="171">
        <f>IF(AC5&gt;$D$6,0,$D$17*Leadsheet!$E$40*AB16*((AB27*(1-Leadsheet!$D$91)+AB28*Leadsheet!$E$117)/AB45))</f>
        <v>0</v>
      </c>
      <c r="AD66" s="171">
        <f>IF(AD5&gt;$D$6,0,$D$17*Leadsheet!$E$40*AC16*((AC27*(1-Leadsheet!$D$91)+AC28*Leadsheet!$E$117)/AC45))</f>
        <v>0</v>
      </c>
      <c r="AE66" s="171">
        <f>IF(AE5&gt;$D$6,0,$D$17*Leadsheet!$E$40*AD16*((AD27*(1-Leadsheet!$D$91)+AD28*Leadsheet!$E$117)/AD45))</f>
        <v>0</v>
      </c>
      <c r="AF66" s="171">
        <f>IF(AF5&gt;$D$6,0,$D$17*Leadsheet!$E$40*AE16*((AE27*(1-Leadsheet!$D$91)+AE28*Leadsheet!$E$117)/AE45))</f>
        <v>0</v>
      </c>
      <c r="AG66" s="171">
        <f>IF(AG5&gt;$D$6,0,$D$17*Leadsheet!$E$40*AF16*((AF27*(1-Leadsheet!$D$91)+AF28*Leadsheet!$E$117)/AF45))</f>
        <v>0</v>
      </c>
      <c r="AH66" s="171">
        <f>IF(AH5&gt;$D$6,0,$D$17*Leadsheet!$E$40*AG16*((AG27*(1-Leadsheet!$D$91)+AG28*Leadsheet!$E$117)/AG45))</f>
        <v>0</v>
      </c>
      <c r="AI66" s="171">
        <f>IF(AI5&gt;$D$6,0,$D$17*Leadsheet!$E$40*AH16*((AH27*(1-Leadsheet!$D$91)+AH28*Leadsheet!$E$117)/AH45))</f>
        <v>0</v>
      </c>
      <c r="AJ66" s="171">
        <f>IF(AJ5&gt;$D$6,0,$D$17*Leadsheet!$E$40*AI16*((AI27*(1-Leadsheet!$D$91)+AI28*Leadsheet!$E$117)/AI45))</f>
        <v>0</v>
      </c>
      <c r="AK66" s="171">
        <f>IF(AK5&gt;$D$6,0,$D$17*Leadsheet!$E$40*AJ16*((AJ27*(1-Leadsheet!$D$91)+AJ28*Leadsheet!$E$117)/AJ45))</f>
        <v>0</v>
      </c>
      <c r="AL66" s="171">
        <f>IF(AL5&gt;$D$6,0,$D$17*Leadsheet!$E$40*AK16*((AK27*(1-Leadsheet!$D$91)+AK28*Leadsheet!$E$117)/AK45))</f>
        <v>0</v>
      </c>
      <c r="AM66" s="171">
        <f>IF(AM5&gt;$D$6,0,$D$17*Leadsheet!$E$40*AL16*((AL27*(1-Leadsheet!$D$91)+AL28*Leadsheet!$E$117)/AL45))</f>
        <v>0</v>
      </c>
      <c r="AN66" s="171">
        <f>IF(AN5&gt;$D$6,0,$D$17*Leadsheet!$E$40*AM16*((AM27*(1-Leadsheet!$D$91)+AM28*Leadsheet!$E$117)/AM45))</f>
        <v>0</v>
      </c>
      <c r="AO66" s="171">
        <f>IF(AO5&gt;$D$6,0,$D$17*Leadsheet!$E$40*AN16*((AN27*(1-Leadsheet!$D$91)+AN28*Leadsheet!$E$117)/AN45))</f>
        <v>0</v>
      </c>
      <c r="AP66" s="171">
        <f>IF(AP5&gt;$D$6,0,$D$17*Leadsheet!$E$40*AO16*((AO27*(1-Leadsheet!$D$91)+AO28*Leadsheet!$E$117)/AO45))</f>
        <v>0</v>
      </c>
      <c r="AQ66" s="171">
        <f>IF(AQ5&gt;$D$6,0,$D$17*Leadsheet!$E$40*AP16*((AP27*(1-Leadsheet!$D$91)+AP28*Leadsheet!$E$117)/AP45))</f>
        <v>0</v>
      </c>
      <c r="AR66" s="171">
        <f>IF(AR5&gt;$D$6,0,$D$17*Leadsheet!$E$40*AQ16*((AQ27*(1-Leadsheet!$D$91)+AQ28*Leadsheet!$E$117)/AQ45))</f>
        <v>0</v>
      </c>
      <c r="AS66" s="171">
        <f>IF(AS5&gt;$D$6,0,$D$17*Leadsheet!$E$40*AR16*((AR27*(1-Leadsheet!$D$91)+AR28*Leadsheet!$E$117)/AR45))</f>
        <v>0</v>
      </c>
      <c r="AT66" s="171">
        <f>IF(AT5&gt;$D$6,0,$D$17*Leadsheet!$E$40*AS16*((AS27*(1-Leadsheet!$D$91)+AS28*Leadsheet!$E$117)/AS45))</f>
        <v>0</v>
      </c>
      <c r="AU66" s="171">
        <f>IF(AU5&gt;$D$6,0,$D$17*Leadsheet!$E$40*AT16*((AT27*(1-Leadsheet!$D$91)+AT28*Leadsheet!$E$117)/AT45))</f>
        <v>0</v>
      </c>
      <c r="AV66" s="171">
        <f>IF(AV5&gt;$D$6,0,$D$17*Leadsheet!$E$40*AU16*((AU27*(1-Leadsheet!$D$91)+AU28*Leadsheet!$E$117)/AU45))</f>
        <v>0</v>
      </c>
      <c r="AW66" s="171">
        <f>IF(AW5&gt;$D$6,0,$D$17*Leadsheet!$E$40*AV16*((AV27*(1-Leadsheet!$D$91)+AV28*Leadsheet!$E$117)/AV45))</f>
        <v>0</v>
      </c>
      <c r="AX66" s="171">
        <f>IF(AX5&gt;$D$6,0,$D$17*Leadsheet!$E$40*AW16*((AW27*(1-Leadsheet!$D$91)+AW28*Leadsheet!$E$117)/AW45))</f>
        <v>0</v>
      </c>
      <c r="AY66" s="171">
        <f>IF(AY5&gt;$D$6,0,$D$17*Leadsheet!$E$40*AX16*((AX27*(1-Leadsheet!$D$91)+AX28*Leadsheet!$E$117)/AX45))</f>
        <v>0</v>
      </c>
      <c r="AZ66" s="171">
        <f>IF(AZ5&gt;$D$6,0,$D$17*Leadsheet!$E$40*AY16*((AY27*(1-Leadsheet!$D$91)+AY28*Leadsheet!$E$117)/AY45))</f>
        <v>0</v>
      </c>
      <c r="BA66" s="171">
        <f>IF(BA5&gt;$D$6,0,$D$17*Leadsheet!$E$40*AZ16*((AZ27*(1-Leadsheet!$D$91)+AZ28*Leadsheet!$E$117)/AZ45))</f>
        <v>0</v>
      </c>
      <c r="BB66" s="171">
        <f>IF(BB5&gt;$D$6,0,$D$17*Leadsheet!$E$40*BA16*((BA27*(1-Leadsheet!$D$91)+BA28*Leadsheet!$E$117)/BA45))</f>
        <v>0</v>
      </c>
      <c r="BC66" s="171">
        <f>IF(BC5&gt;$D$6,0,$D$17*Leadsheet!$E$40*BB16*((BB27*(1-Leadsheet!$D$91)+BB28*Leadsheet!$E$117)/BB45))</f>
        <v>0</v>
      </c>
      <c r="BD66" s="171">
        <f>IF(BD5&gt;$D$6,0,$D$17*Leadsheet!$E$40*BC16*((BC27*(1-Leadsheet!$D$91)+BC28*Leadsheet!$E$117)/BC45))</f>
        <v>0</v>
      </c>
      <c r="BE66" s="171">
        <f>IF(BE5&gt;$D$6,0,$D$17*Leadsheet!$E$40*BD16*((BD27*(1-Leadsheet!$D$91)+BD28*Leadsheet!$E$117)/BD45))</f>
        <v>0</v>
      </c>
      <c r="BF66" s="171">
        <f>IF(BF5&gt;$D$6,0,$D$17*Leadsheet!$E$40*BE16*((BE27*(1-Leadsheet!$D$91)+BE28*Leadsheet!$E$117)/BE45))</f>
        <v>0</v>
      </c>
      <c r="BG66" s="171">
        <f>IF(BG5&gt;$D$6,0,$D$17*Leadsheet!$E$40*BF16*((BF27*(1-Leadsheet!$D$91)+BF28*Leadsheet!$E$117)/BF45))</f>
        <v>0</v>
      </c>
      <c r="BH66" s="171">
        <f>IF(BH5&gt;$D$6,0,$D$17*Leadsheet!$E$40*BG16*((BG27*(1-Leadsheet!$D$91)+BG28*Leadsheet!$E$117)/BG45))</f>
        <v>0</v>
      </c>
      <c r="BI66" s="171">
        <f>IF(BI5&gt;$D$6,0,$D$17*Leadsheet!$E$40*BH16*((BH27*(1-Leadsheet!$D$91)+BH28*Leadsheet!$E$117)/BH45))</f>
        <v>0</v>
      </c>
      <c r="BJ66" s="171">
        <f>IF(BJ5&gt;$D$6,0,$D$17*Leadsheet!$E$40*BI16*((BI27*(1-Leadsheet!$D$91)+BI28*Leadsheet!$E$117)/BI45))</f>
        <v>0</v>
      </c>
      <c r="BK66" s="171">
        <f>IF(BK5&gt;$D$6,0,$D$17*Leadsheet!$E$40*BJ16*((BJ27*(1-Leadsheet!$D$91)+BJ28*Leadsheet!$E$117)/BJ45))</f>
        <v>0</v>
      </c>
      <c r="BL66" s="171">
        <f>IF(BL5&gt;$D$6,0,$D$17*Leadsheet!$E$40*BK16*((BK27*(1-Leadsheet!$D$91)+BK28*Leadsheet!$E$117)/BK45))</f>
        <v>0</v>
      </c>
    </row>
    <row r="67" spans="2:64" x14ac:dyDescent="0.15">
      <c r="C67" s="214"/>
      <c r="E67" s="171"/>
      <c r="F67" s="312"/>
      <c r="G67" s="312"/>
      <c r="H67" s="312"/>
      <c r="I67" s="312"/>
      <c r="J67" s="312"/>
      <c r="K67" s="312"/>
      <c r="L67" s="312"/>
      <c r="M67" s="312"/>
      <c r="N67" s="312"/>
      <c r="O67" s="312"/>
      <c r="P67" s="312"/>
      <c r="Q67" s="312"/>
      <c r="R67" s="312"/>
      <c r="S67" s="312"/>
      <c r="T67" s="312"/>
      <c r="U67" s="312"/>
      <c r="V67" s="312"/>
      <c r="W67" s="312"/>
      <c r="X67" s="312"/>
      <c r="Y67" s="312"/>
      <c r="Z67" s="312"/>
      <c r="AA67" s="312"/>
      <c r="AB67" s="312"/>
      <c r="AC67" s="312"/>
      <c r="AD67" s="312"/>
      <c r="AE67" s="312"/>
      <c r="AF67" s="312"/>
      <c r="AG67" s="312"/>
      <c r="AH67" s="312"/>
      <c r="AI67" s="312"/>
      <c r="AJ67" s="312"/>
      <c r="AK67" s="312"/>
      <c r="AL67" s="312"/>
      <c r="AM67" s="312"/>
      <c r="AN67" s="312"/>
      <c r="AO67" s="312"/>
      <c r="AP67" s="312"/>
      <c r="AQ67" s="312"/>
      <c r="AR67" s="312"/>
      <c r="AS67" s="312"/>
      <c r="AT67" s="312"/>
      <c r="AU67" s="312"/>
      <c r="AV67" s="312"/>
      <c r="AW67" s="312"/>
      <c r="AX67" s="312"/>
      <c r="AY67" s="312"/>
      <c r="AZ67" s="312"/>
      <c r="BA67" s="312"/>
      <c r="BB67" s="312"/>
      <c r="BC67" s="312"/>
      <c r="BD67" s="312"/>
      <c r="BE67" s="312"/>
      <c r="BF67" s="312"/>
      <c r="BG67" s="312"/>
      <c r="BH67" s="312"/>
      <c r="BI67" s="312"/>
      <c r="BJ67" s="312"/>
      <c r="BK67" s="312"/>
      <c r="BL67" s="312"/>
    </row>
    <row r="68" spans="2:64" x14ac:dyDescent="0.15">
      <c r="B68" s="313" t="s">
        <v>440</v>
      </c>
      <c r="C68" s="314"/>
      <c r="D68" s="314"/>
      <c r="E68" s="315" cm="1">
        <f t="array" ref="E68">IF(E5=$D$7,_xlfn.IFS(Leadsheet!$G$4="IFRS",0,Leadsheet!$G$5="DPD180+",(E180-E145)*(1+Leadsheet!$E$115),Leadsheet!$G$5="DPD360+",(E165-E145)*(1+Leadsheet!$E$115)),0)</f>
        <v>0</v>
      </c>
      <c r="F68" s="315" cm="1">
        <f t="array" ref="F68">IF(F5=$D$7,_xlfn.IFS(Leadsheet!$G$4="IFRS",0,Leadsheet!$G$5="DPD180+",(F180-F145)*(1+Leadsheet!$E$115),Leadsheet!$G$5="DPD360+",(F165-F145)*(1+Leadsheet!$E$115)),0)</f>
        <v>0</v>
      </c>
      <c r="G68" s="315" cm="1">
        <f t="array" ref="G68">IF(G5=$D$7,_xlfn.IFS(Leadsheet!$G$4="IFRS",0,Leadsheet!$G$5="DPD180+",(G180-G145)*(1+Leadsheet!$E$115),Leadsheet!$G$5="DPD360+",(G165-G145)*(1+Leadsheet!$E$115)),0)</f>
        <v>0</v>
      </c>
      <c r="H68" s="315" cm="1">
        <f t="array" ref="H68">IF(H5=$D$7,_xlfn.IFS(Leadsheet!$G$4="IFRS",0,Leadsheet!$G$5="DPD180+",(H180-H145)*(1+Leadsheet!$E$115),Leadsheet!$G$5="DPD360+",(H165-H145)*(1+Leadsheet!$E$115)),0)</f>
        <v>0</v>
      </c>
      <c r="I68" s="315" cm="1">
        <f t="array" ref="I68">IF(I5=$D$7,_xlfn.IFS(Leadsheet!$G$4="IFRS",0,Leadsheet!$G$5="DPD180+",(I180-I145)*(1+Leadsheet!$E$115),Leadsheet!$G$5="DPD360+",(I165-I145)*(1+Leadsheet!$E$115)),0)</f>
        <v>0</v>
      </c>
      <c r="J68" s="315" cm="1">
        <f t="array" ref="J68">IF(J5=$D$7,_xlfn.IFS(Leadsheet!$G$4="IFRS",0,Leadsheet!$G$5="DPD180+",(J180-J145)*(1+Leadsheet!$E$115),Leadsheet!$G$5="DPD360+",(J165-J145)*(1+Leadsheet!$E$115)),0)</f>
        <v>0</v>
      </c>
      <c r="K68" s="315" cm="1">
        <f t="array" ref="K68">IF(K5=$D$7,_xlfn.IFS(Leadsheet!$G$4="IFRS",0,Leadsheet!$G$5="DPD180+",(K180-K145)*(1+Leadsheet!$E$115),Leadsheet!$G$5="DPD360+",(K165-K145)*(1+Leadsheet!$E$115)),0)</f>
        <v>0</v>
      </c>
      <c r="L68" s="315" cm="1">
        <f t="array" ref="L68">IF(L5=$D$7,_xlfn.IFS(Leadsheet!$G$4="IFRS",0,Leadsheet!$G$5="DPD180+",(L180-L145)*(1+Leadsheet!$E$115),Leadsheet!$G$5="DPD360+",(L165-L145)*(1+Leadsheet!$E$115)),0)</f>
        <v>0</v>
      </c>
      <c r="M68" s="315" cm="1">
        <f t="array" ref="M68">IF(M5=$D$7,_xlfn.IFS(Leadsheet!$G$4="IFRS",0,Leadsheet!$G$5="DPD180+",(M180-M145)*(1+Leadsheet!$E$115),Leadsheet!$G$5="DPD360+",(M165-M145)*(1+Leadsheet!$E$115)),0)</f>
        <v>0</v>
      </c>
      <c r="N68" s="315" cm="1">
        <f t="array" ref="N68">IF(N5=$D$7,_xlfn.IFS(Leadsheet!$G$4="IFRS",0,Leadsheet!$G$5="DPD180+",(N180-N145)*(1+Leadsheet!$E$115),Leadsheet!$G$5="DPD360+",(N165-N145)*(1+Leadsheet!$E$115)),0)</f>
        <v>0</v>
      </c>
      <c r="O68" s="315" cm="1">
        <f t="array" ref="O68">IF(O5=$D$7,_xlfn.IFS(Leadsheet!$G$4="IFRS",0,Leadsheet!$G$5="DPD180+",(O180-O145)*(1+Leadsheet!$E$115),Leadsheet!$G$5="DPD360+",(O165-O145)*(1+Leadsheet!$E$115)),0)</f>
        <v>0</v>
      </c>
      <c r="P68" s="315" cm="1">
        <f t="array" ref="P68">IF(P5=$D$7,_xlfn.IFS(Leadsheet!$G$4="IFRS",0,Leadsheet!$G$5="DPD180+",(P180-P145)*(1+Leadsheet!$E$115),Leadsheet!$G$5="DPD360+",(P165-P145)*(1+Leadsheet!$E$115)),0)</f>
        <v>0</v>
      </c>
      <c r="Q68" s="315" cm="1">
        <f t="array" ref="Q68">IF(Q5=$D$7,_xlfn.IFS(Leadsheet!$G$4="IFRS",0,Leadsheet!$G$5="DPD180+",(Q180-Q145)*(1+Leadsheet!$E$115),Leadsheet!$G$5="DPD360+",(Q165-Q145)*(1+Leadsheet!$E$115)),0)</f>
        <v>0</v>
      </c>
      <c r="R68" s="315" cm="1">
        <f t="array" ref="R68">IF(R5=$D$7,_xlfn.IFS(Leadsheet!$G$4="IFRS",0,Leadsheet!$G$5="DPD180+",(R180-R145)*(1+Leadsheet!$E$115),Leadsheet!$G$5="DPD360+",(R165-R145)*(1+Leadsheet!$E$115)),0)</f>
        <v>0</v>
      </c>
      <c r="S68" s="315" cm="1">
        <f t="array" ref="S68">IF(S5=$D$7,_xlfn.IFS(Leadsheet!$G$4="IFRS",0,Leadsheet!$G$5="DPD180+",(S180-S145)*(1+Leadsheet!$E$115),Leadsheet!$G$5="DPD360+",(S165-S145)*(1+Leadsheet!$E$115)),0)</f>
        <v>0</v>
      </c>
      <c r="T68" s="315" cm="1">
        <f t="array" ref="T68">IF(T5=$D$7,_xlfn.IFS(Leadsheet!$G$4="IFRS",0,Leadsheet!$G$5="DPD180+",(T180-T145)*(1+Leadsheet!$E$115),Leadsheet!$G$5="DPD360+",(T165-T145)*(1+Leadsheet!$E$115)),0)</f>
        <v>0</v>
      </c>
      <c r="U68" s="315" cm="1">
        <f t="array" ref="U68">IF(U5=$D$7,_xlfn.IFS(Leadsheet!$G$4="IFRS",0,Leadsheet!$G$5="DPD180+",(U180-U145)*(1+Leadsheet!$E$115),Leadsheet!$G$5="DPD360+",(U165-U145)*(1+Leadsheet!$E$115)),0)</f>
        <v>0</v>
      </c>
      <c r="V68" s="315" cm="1">
        <f t="array" ref="V68">IF(V5=$D$7,_xlfn.IFS(Leadsheet!$G$4="IFRS",0,Leadsheet!$G$5="DPD180+",(V180-V145)*(1+Leadsheet!$E$115),Leadsheet!$G$5="DPD360+",(V165-V145)*(1+Leadsheet!$E$115)),0)</f>
        <v>0</v>
      </c>
      <c r="W68" s="315" cm="1">
        <f t="array" ref="W68">IF(W5=$D$7,_xlfn.IFS(Leadsheet!$G$4="IFRS",0,Leadsheet!$G$5="DPD180+",(W180-W145)*(1+Leadsheet!$E$115),Leadsheet!$G$5="DPD360+",(W165-W145)*(1+Leadsheet!$E$115)),0)</f>
        <v>0</v>
      </c>
      <c r="X68" s="315" cm="1">
        <f t="array" ref="X68">IF(X5=$D$7,_xlfn.IFS(Leadsheet!$G$4="IFRS",0,Leadsheet!$G$5="DPD180+",(X180-X145)*(1+Leadsheet!$E$115),Leadsheet!$G$5="DPD360+",(X165-X145)*(1+Leadsheet!$E$115)),0)</f>
        <v>0</v>
      </c>
      <c r="Y68" s="315" cm="1">
        <f t="array" ref="Y68">IF(Y5=$D$7,_xlfn.IFS(Leadsheet!$G$4="IFRS",0,Leadsheet!$G$5="DPD180+",(Y180-Y145)*(1+Leadsheet!$E$115),Leadsheet!$G$5="DPD360+",(Y165-Y145)*(1+Leadsheet!$E$115)),0)</f>
        <v>0</v>
      </c>
      <c r="Z68" s="315" cm="1">
        <f t="array" ref="Z68">IF(Z5=$D$7,_xlfn.IFS(Leadsheet!$G$4="IFRS",0,Leadsheet!$G$5="DPD180+",(Z180-Z145)*(1+Leadsheet!$E$115),Leadsheet!$G$5="DPD360+",(Z165-Z145)*(1+Leadsheet!$E$115)),0)</f>
        <v>0</v>
      </c>
      <c r="AA68" s="315" cm="1">
        <f t="array" ref="AA68">IF(AA5=$D$7,_xlfn.IFS(Leadsheet!$G$4="IFRS",0,Leadsheet!$G$5="DPD180+",(AA180-AA145)*(1+Leadsheet!$E$115),Leadsheet!$G$5="DPD360+",(AA165-AA145)*(1+Leadsheet!$E$115)),0)</f>
        <v>0</v>
      </c>
      <c r="AB68" s="315" cm="1">
        <f t="array" ref="AB68">IF(AB5=$D$7,_xlfn.IFS(Leadsheet!$G$4="IFRS",0,Leadsheet!$G$5="DPD180+",(AB180-AB145)*(1+Leadsheet!$E$115),Leadsheet!$G$5="DPD360+",(AB165-AB145)*(1+Leadsheet!$E$115)),0)</f>
        <v>0</v>
      </c>
      <c r="AC68" s="315" cm="1">
        <f t="array" ref="AC68">IF(AC5=$D$7,_xlfn.IFS(Leadsheet!$G$4="IFRS",0,Leadsheet!$G$5="DPD180+",(AC180-AC145)*(1+Leadsheet!$E$115),Leadsheet!$G$5="DPD360+",(AC165-AC145)*(1+Leadsheet!$E$115)),0)</f>
        <v>0</v>
      </c>
      <c r="AD68" s="315" cm="1">
        <f t="array" ref="AD68">IF(AD5=$D$7,_xlfn.IFS(Leadsheet!$G$4="IFRS",0,Leadsheet!$G$5="DPD180+",(AD180-AD145)*(1+Leadsheet!$E$115),Leadsheet!$G$5="DPD360+",(AD165-AD145)*(1+Leadsheet!$E$115)),0)</f>
        <v>0</v>
      </c>
      <c r="AE68" s="315" cm="1">
        <f t="array" ref="AE68">IF(AE5=$D$7,_xlfn.IFS(Leadsheet!$G$4="IFRS",0,Leadsheet!$G$5="DPD180+",(AE180-AE145)*(1+Leadsheet!$E$115),Leadsheet!$G$5="DPD360+",(AE165-AE145)*(1+Leadsheet!$E$115)),0)</f>
        <v>0</v>
      </c>
      <c r="AF68" s="315" cm="1">
        <f t="array" ref="AF68">IF(AF5=$D$7,_xlfn.IFS(Leadsheet!$G$4="IFRS",0,Leadsheet!$G$5="DPD180+",(AF180-AF145)*(1+Leadsheet!$E$115),Leadsheet!$G$5="DPD360+",(AF165-AF145)*(1+Leadsheet!$E$115)),0)</f>
        <v>0</v>
      </c>
      <c r="AG68" s="315" cm="1">
        <f t="array" ref="AG68">IF(AG5=$D$7,_xlfn.IFS(Leadsheet!$G$4="IFRS",0,Leadsheet!$G$5="DPD180+",(AG180-AG145)*(1+Leadsheet!$E$115),Leadsheet!$G$5="DPD360+",(AG165-AG145)*(1+Leadsheet!$E$115)),0)</f>
        <v>0</v>
      </c>
      <c r="AH68" s="315" cm="1">
        <f t="array" ref="AH68">IF(AH5=$D$7,_xlfn.IFS(Leadsheet!$G$4="IFRS",0,Leadsheet!$G$5="DPD180+",(AH180-AH145)*(1+Leadsheet!$E$115),Leadsheet!$G$5="DPD360+",(AH165-AH145)*(1+Leadsheet!$E$115)),0)</f>
        <v>0</v>
      </c>
      <c r="AI68" s="315" cm="1">
        <f t="array" ref="AI68">IF(AI5=$D$7,_xlfn.IFS(Leadsheet!$G$4="IFRS",0,Leadsheet!$G$5="DPD180+",(AI180-AI145)*(1+Leadsheet!$E$115),Leadsheet!$G$5="DPD360+",(AI165-AI145)*(1+Leadsheet!$E$115)),0)</f>
        <v>0</v>
      </c>
      <c r="AJ68" s="315" cm="1">
        <f t="array" ref="AJ68">IF(AJ5=$D$7,_xlfn.IFS(Leadsheet!$G$4="IFRS",0,Leadsheet!$G$5="DPD180+",(AJ180-AJ145)*(1+Leadsheet!$E$115),Leadsheet!$G$5="DPD360+",(AJ165-AJ145)*(1+Leadsheet!$E$115)),0)</f>
        <v>0</v>
      </c>
      <c r="AK68" s="315" cm="1">
        <f t="array" ref="AK68">IF(AK5=$D$7,_xlfn.IFS(Leadsheet!$G$4="IFRS",0,Leadsheet!$G$5="DPD180+",(AK180-AK145)*(1+Leadsheet!$E$115),Leadsheet!$G$5="DPD360+",(AK165-AK145)*(1+Leadsheet!$E$115)),0)</f>
        <v>0</v>
      </c>
      <c r="AL68" s="315" cm="1">
        <f t="array" ref="AL68">IF(AL5=$D$7,_xlfn.IFS(Leadsheet!$G$4="IFRS",0,Leadsheet!$G$5="DPD180+",(AL180-AL145)*(1+Leadsheet!$E$115),Leadsheet!$G$5="DPD360+",(AL165-AL145)*(1+Leadsheet!$E$115)),0)</f>
        <v>0</v>
      </c>
      <c r="AM68" s="315" cm="1">
        <f t="array" ref="AM68">IF(AM5=$D$7,_xlfn.IFS(Leadsheet!$G$4="IFRS",0,Leadsheet!$G$5="DPD180+",(AM180-AM145)*(1+Leadsheet!$E$115),Leadsheet!$G$5="DPD360+",(AM165-AM145)*(1+Leadsheet!$E$115)),0)</f>
        <v>0</v>
      </c>
      <c r="AN68" s="315" cm="1">
        <f t="array" ref="AN68">IF(AN5=$D$7,_xlfn.IFS(Leadsheet!$G$4="IFRS",0,Leadsheet!$G$5="DPD180+",(AN180-AN145)*(1+Leadsheet!$E$115),Leadsheet!$G$5="DPD360+",(AN165-AN145)*(1+Leadsheet!$E$115)),0)</f>
        <v>0</v>
      </c>
      <c r="AO68" s="315" cm="1">
        <f t="array" ref="AO68">IF(AO5=$D$7,_xlfn.IFS(Leadsheet!$G$4="IFRS",0,Leadsheet!$G$5="DPD180+",(AO180-AO145)*(1+Leadsheet!$E$115),Leadsheet!$G$5="DPD360+",(AO165-AO145)*(1+Leadsheet!$E$115)),0)</f>
        <v>0</v>
      </c>
      <c r="AP68" s="315" cm="1">
        <f t="array" ref="AP68">IF(AP5=$D$7,_xlfn.IFS(Leadsheet!$G$4="IFRS",0,Leadsheet!$G$5="DPD180+",(AP180-AP145)*(1+Leadsheet!$E$115),Leadsheet!$G$5="DPD360+",(AP165-AP145)*(1+Leadsheet!$E$115)),0)</f>
        <v>0</v>
      </c>
      <c r="AQ68" s="315" cm="1">
        <f t="array" ref="AQ68">IF(AQ5=$D$7,_xlfn.IFS(Leadsheet!$G$4="IFRS",0,Leadsheet!$G$5="DPD180+",(AQ180-AQ145)*(1+Leadsheet!$E$115),Leadsheet!$G$5="DPD360+",(AQ165-AQ145)*(1+Leadsheet!$E$115)),0)</f>
        <v>0</v>
      </c>
      <c r="AR68" s="315" cm="1">
        <f t="array" ref="AR68">IF(AR5=$D$7,_xlfn.IFS(Leadsheet!$G$4="IFRS",0,Leadsheet!$G$5="DPD180+",(AR180-AR145)*(1+Leadsheet!$E$115),Leadsheet!$G$5="DPD360+",(AR165-AR145)*(1+Leadsheet!$E$115)),0)</f>
        <v>0</v>
      </c>
      <c r="AS68" s="315" cm="1">
        <f t="array" ref="AS68">IF(AS5=$D$7,_xlfn.IFS(Leadsheet!$G$4="IFRS",0,Leadsheet!$G$5="DPD180+",(AS180-AS145)*(1+Leadsheet!$E$115),Leadsheet!$G$5="DPD360+",(AS165-AS145)*(1+Leadsheet!$E$115)),0)</f>
        <v>0</v>
      </c>
      <c r="AT68" s="315" cm="1">
        <f t="array" ref="AT68">IF(AT5=$D$7,_xlfn.IFS(Leadsheet!$G$4="IFRS",0,Leadsheet!$G$5="DPD180+",(AT180-AT145)*(1+Leadsheet!$E$115),Leadsheet!$G$5="DPD360+",(AT165-AT145)*(1+Leadsheet!$E$115)),0)</f>
        <v>0</v>
      </c>
      <c r="AU68" s="315" cm="1">
        <f t="array" ref="AU68">IF(AU5=$D$7,_xlfn.IFS(Leadsheet!$G$4="IFRS",0,Leadsheet!$G$5="DPD180+",(AU180-AU145)*(1+Leadsheet!$E$115),Leadsheet!$G$5="DPD360+",(AU165-AU145)*(1+Leadsheet!$E$115)),0)</f>
        <v>0</v>
      </c>
      <c r="AV68" s="315" cm="1">
        <f t="array" ref="AV68">IF(AV5=$D$7,_xlfn.IFS(Leadsheet!$G$4="IFRS",0,Leadsheet!$G$5="DPD180+",(AV180-AV145)*(1+Leadsheet!$E$115),Leadsheet!$G$5="DPD360+",(AV165-AV145)*(1+Leadsheet!$E$115)),0)</f>
        <v>0</v>
      </c>
      <c r="AW68" s="315" cm="1">
        <f t="array" ref="AW68">IF(AW5=$D$7,_xlfn.IFS(Leadsheet!$G$4="IFRS",0,Leadsheet!$G$5="DPD180+",(AW180-AW145)*(1+Leadsheet!$E$115),Leadsheet!$G$5="DPD360+",(AW165-AW145)*(1+Leadsheet!$E$115)),0)</f>
        <v>0</v>
      </c>
      <c r="AX68" s="315" cm="1">
        <f t="array" ref="AX68">IF(AX5=$D$7,_xlfn.IFS(Leadsheet!$G$4="IFRS",0,Leadsheet!$G$5="DPD180+",(AX180-AX145)*(1+Leadsheet!$E$115),Leadsheet!$G$5="DPD360+",(AX165-AX145)*(1+Leadsheet!$E$115)),0)</f>
        <v>0</v>
      </c>
      <c r="AY68" s="315" cm="1">
        <f t="array" ref="AY68">IF(AY5=$D$7,_xlfn.IFS(Leadsheet!$G$4="IFRS",0,Leadsheet!$G$5="DPD180+",(AY180-AY145)*(1+Leadsheet!$E$115),Leadsheet!$G$5="DPD360+",(AY165-AY145)*(1+Leadsheet!$E$115)),0)</f>
        <v>0</v>
      </c>
      <c r="AZ68" s="315" cm="1">
        <f t="array" ref="AZ68">IF(AZ5=$D$7,_xlfn.IFS(Leadsheet!$G$4="IFRS",0,Leadsheet!$G$5="DPD180+",(AZ180-AZ145)*(1+Leadsheet!$E$115),Leadsheet!$G$5="DPD360+",(AZ165-AZ145)*(1+Leadsheet!$E$115)),0)</f>
        <v>0</v>
      </c>
      <c r="BA68" s="315" cm="1">
        <f t="array" ref="BA68">IF(BA5=$D$7,_xlfn.IFS(Leadsheet!$G$4="IFRS",0,Leadsheet!$G$5="DPD180+",(BA180-BA145)*(1+Leadsheet!$E$115),Leadsheet!$G$5="DPD360+",(BA165-BA145)*(1+Leadsheet!$E$115)),0)</f>
        <v>0</v>
      </c>
      <c r="BB68" s="315" cm="1">
        <f t="array" ref="BB68">IF(BB5=$D$7,_xlfn.IFS(Leadsheet!$G$4="IFRS",0,Leadsheet!$G$5="DPD180+",(BB180-BB145)*(1+Leadsheet!$E$115),Leadsheet!$G$5="DPD360+",(BB165-BB145)*(1+Leadsheet!$E$115)),0)</f>
        <v>0</v>
      </c>
      <c r="BC68" s="315" cm="1">
        <f t="array" ref="BC68">IF(BC5=$D$7,_xlfn.IFS(Leadsheet!$G$4="IFRS",0,Leadsheet!$G$5="DPD180+",(BC180-BC145)*(1+Leadsheet!$E$115),Leadsheet!$G$5="DPD360+",(BC165-BC145)*(1+Leadsheet!$E$115)),0)</f>
        <v>0</v>
      </c>
      <c r="BD68" s="315" cm="1">
        <f t="array" ref="BD68">IF(BD5=$D$7,_xlfn.IFS(Leadsheet!$G$4="IFRS",0,Leadsheet!$G$5="DPD180+",(BD180-BD145)*(1+Leadsheet!$E$115),Leadsheet!$G$5="DPD360+",(BD165-BD145)*(1+Leadsheet!$E$115)),0)</f>
        <v>0</v>
      </c>
      <c r="BE68" s="315" cm="1">
        <f t="array" ref="BE68">IF(BE5=$D$7,_xlfn.IFS(Leadsheet!$G$4="IFRS",0,Leadsheet!$G$5="DPD180+",(BE180-BE145)*(1+Leadsheet!$E$115),Leadsheet!$G$5="DPD360+",(BE165-BE145)*(1+Leadsheet!$E$115)),0)</f>
        <v>0</v>
      </c>
      <c r="BF68" s="315" cm="1">
        <f t="array" ref="BF68">IF(BF5=$D$7,_xlfn.IFS(Leadsheet!$G$4="IFRS",0,Leadsheet!$G$5="DPD180+",(BF180-BF145)*(1+Leadsheet!$E$115),Leadsheet!$G$5="DPD360+",(BF165-BF145)*(1+Leadsheet!$E$115)),0)</f>
        <v>0</v>
      </c>
      <c r="BG68" s="315" cm="1">
        <f t="array" ref="BG68">IF(BG5=$D$7,_xlfn.IFS(Leadsheet!$G$4="IFRS",0,Leadsheet!$G$5="DPD180+",(BG180-BG145)*(1+Leadsheet!$E$115),Leadsheet!$G$5="DPD360+",(BG165-BG145)*(1+Leadsheet!$E$115)),0)</f>
        <v>0</v>
      </c>
      <c r="BH68" s="315" cm="1">
        <f t="array" ref="BH68">IF(BH5=$D$7,_xlfn.IFS(Leadsheet!$G$4="IFRS",0,Leadsheet!$G$5="DPD180+",(BH180-BH145)*(1+Leadsheet!$E$115),Leadsheet!$G$5="DPD360+",(BH165-BH145)*(1+Leadsheet!$E$115)),0)</f>
        <v>0</v>
      </c>
      <c r="BI68" s="315" cm="1">
        <f t="array" ref="BI68">IF(BI5=$D$7,_xlfn.IFS(Leadsheet!$G$4="IFRS",0,Leadsheet!$G$5="DPD180+",(BI180-BI145)*(1+Leadsheet!$E$115),Leadsheet!$G$5="DPD360+",(BI165-BI145)*(1+Leadsheet!$E$115)),0)</f>
        <v>0</v>
      </c>
      <c r="BJ68" s="315" cm="1">
        <f t="array" ref="BJ68">IF(BJ5=$D$7,_xlfn.IFS(Leadsheet!$G$4="IFRS",0,Leadsheet!$G$5="DPD180+",(BJ180-BJ145)*(1+Leadsheet!$E$115),Leadsheet!$G$5="DPD360+",(BJ165-BJ145)*(1+Leadsheet!$E$115)),0)</f>
        <v>0</v>
      </c>
      <c r="BK68" s="315" cm="1">
        <f t="array" ref="BK68">IF(BK5=$D$7,_xlfn.IFS(Leadsheet!$G$4="IFRS",0,Leadsheet!$G$5="DPD180+",(BK180-BK145)*(1+Leadsheet!$E$115),Leadsheet!$G$5="DPD360+",(BK165-BK145)*(1+Leadsheet!$E$115)),0)</f>
        <v>0</v>
      </c>
      <c r="BL68" s="315" cm="1">
        <f t="array" ref="BL68">IF(BL5=$D$7,_xlfn.IFS(Leadsheet!$G$4="IFRS",0,Leadsheet!$G$5="DPD180+",(BL180-BL145)*(1+Leadsheet!$E$115),Leadsheet!$G$5="DPD360+",(BL165-BL145)*(1+Leadsheet!$E$115)),0)</f>
        <v>0</v>
      </c>
    </row>
    <row r="69" spans="2:64" x14ac:dyDescent="0.15">
      <c r="E69" s="171"/>
      <c r="F69" s="171"/>
      <c r="G69" s="171"/>
      <c r="H69" s="171"/>
      <c r="I69" s="171"/>
      <c r="J69" s="171"/>
      <c r="K69" s="171"/>
      <c r="L69" s="171"/>
      <c r="M69" s="171"/>
      <c r="N69" s="171"/>
      <c r="O69" s="171"/>
      <c r="P69" s="171"/>
      <c r="Q69" s="171"/>
      <c r="R69" s="171"/>
      <c r="S69" s="171"/>
      <c r="T69" s="171"/>
      <c r="U69" s="171"/>
      <c r="V69" s="171"/>
      <c r="W69" s="171"/>
      <c r="X69" s="171"/>
      <c r="Y69" s="171"/>
      <c r="Z69" s="171"/>
      <c r="AA69" s="171"/>
      <c r="AB69" s="171"/>
      <c r="AC69" s="171"/>
      <c r="AD69" s="171"/>
      <c r="AE69" s="171"/>
      <c r="AF69" s="171"/>
      <c r="AG69" s="171"/>
      <c r="AH69" s="171"/>
      <c r="AI69" s="171"/>
      <c r="AJ69" s="171"/>
      <c r="AK69" s="171"/>
      <c r="AL69" s="171"/>
      <c r="AM69" s="171"/>
      <c r="AN69" s="171"/>
      <c r="AO69" s="171"/>
      <c r="AP69" s="171"/>
      <c r="AQ69" s="171"/>
      <c r="AR69" s="171"/>
      <c r="AS69" s="171"/>
      <c r="AT69" s="171"/>
      <c r="AU69" s="171"/>
      <c r="AV69" s="171"/>
      <c r="AW69" s="171"/>
      <c r="AX69" s="171"/>
      <c r="AY69" s="171"/>
      <c r="AZ69" s="171"/>
      <c r="BA69" s="171"/>
      <c r="BB69" s="171"/>
      <c r="BC69" s="171"/>
      <c r="BD69" s="171"/>
      <c r="BE69" s="171"/>
      <c r="BF69" s="171"/>
      <c r="BG69" s="171"/>
      <c r="BH69" s="171"/>
      <c r="BI69" s="171"/>
      <c r="BJ69" s="171"/>
      <c r="BK69" s="171"/>
      <c r="BL69" s="171"/>
    </row>
    <row r="71" spans="2:64" x14ac:dyDescent="0.15">
      <c r="B71" s="186" t="s">
        <v>441</v>
      </c>
      <c r="E71" s="311">
        <f t="shared" ref="E71:BL71" si="18">E72+E85+E88+E95+E99</f>
        <v>-0.40657602002385579</v>
      </c>
      <c r="F71" s="311">
        <f t="shared" si="18"/>
        <v>-7.9620000000000003E-3</v>
      </c>
      <c r="G71" s="311">
        <f t="shared" si="18"/>
        <v>-7.4400000000000004E-3</v>
      </c>
      <c r="H71" s="311">
        <f t="shared" si="18"/>
        <v>-6.9425000000000008E-3</v>
      </c>
      <c r="I71" s="311">
        <f t="shared" si="18"/>
        <v>-6.7250000000000009E-3</v>
      </c>
      <c r="J71" s="311">
        <f t="shared" si="18"/>
        <v>-6.5075000000000003E-3</v>
      </c>
      <c r="K71" s="311">
        <f t="shared" si="18"/>
        <v>-6.2899999999999996E-3</v>
      </c>
      <c r="L71" s="311">
        <f t="shared" si="18"/>
        <v>-6.0724999999999998E-3</v>
      </c>
      <c r="M71" s="311">
        <f t="shared" si="18"/>
        <v>-5.8549999999999991E-3</v>
      </c>
      <c r="N71" s="311">
        <f t="shared" si="18"/>
        <v>-5.6374999999999993E-3</v>
      </c>
      <c r="O71" s="311">
        <f t="shared" si="18"/>
        <v>-5.4199999999999995E-3</v>
      </c>
      <c r="P71" s="311">
        <f t="shared" si="18"/>
        <v>-5.3704999999999985E-3</v>
      </c>
      <c r="Q71" s="311">
        <f t="shared" si="18"/>
        <v>-5.1459999999999978E-3</v>
      </c>
      <c r="R71" s="311">
        <f t="shared" si="18"/>
        <v>-4.9389999999999981E-3</v>
      </c>
      <c r="S71" s="311">
        <f t="shared" si="18"/>
        <v>-1.0931879694915591E-3</v>
      </c>
      <c r="T71" s="311">
        <f t="shared" si="18"/>
        <v>-1.0929074364769851E-3</v>
      </c>
      <c r="U71" s="311">
        <f t="shared" si="18"/>
        <v>-1.0928072715478043E-3</v>
      </c>
      <c r="V71" s="311">
        <f t="shared" si="18"/>
        <v>-1.0928072715478043E-3</v>
      </c>
      <c r="W71" s="311">
        <f t="shared" si="18"/>
        <v>-1.0928072715478043E-3</v>
      </c>
      <c r="X71" s="311">
        <f t="shared" si="18"/>
        <v>-1.0928072715478043E-3</v>
      </c>
      <c r="Y71" s="311">
        <f t="shared" si="18"/>
        <v>0</v>
      </c>
      <c r="Z71" s="311">
        <f t="shared" si="18"/>
        <v>0</v>
      </c>
      <c r="AA71" s="311">
        <f t="shared" si="18"/>
        <v>0</v>
      </c>
      <c r="AB71" s="311">
        <f t="shared" si="18"/>
        <v>0</v>
      </c>
      <c r="AC71" s="311">
        <f t="shared" si="18"/>
        <v>0</v>
      </c>
      <c r="AD71" s="311">
        <f t="shared" si="18"/>
        <v>0</v>
      </c>
      <c r="AE71" s="311">
        <f t="shared" si="18"/>
        <v>0</v>
      </c>
      <c r="AF71" s="311">
        <f t="shared" si="18"/>
        <v>0</v>
      </c>
      <c r="AG71" s="311">
        <f t="shared" si="18"/>
        <v>0</v>
      </c>
      <c r="AH71" s="311">
        <f t="shared" si="18"/>
        <v>0</v>
      </c>
      <c r="AI71" s="311">
        <f t="shared" si="18"/>
        <v>0</v>
      </c>
      <c r="AJ71" s="311">
        <f t="shared" si="18"/>
        <v>0</v>
      </c>
      <c r="AK71" s="311">
        <f t="shared" si="18"/>
        <v>0</v>
      </c>
      <c r="AL71" s="311">
        <f t="shared" si="18"/>
        <v>0</v>
      </c>
      <c r="AM71" s="311">
        <f t="shared" si="18"/>
        <v>0</v>
      </c>
      <c r="AN71" s="311">
        <f t="shared" si="18"/>
        <v>0</v>
      </c>
      <c r="AO71" s="311">
        <f t="shared" si="18"/>
        <v>0</v>
      </c>
      <c r="AP71" s="311">
        <f t="shared" si="18"/>
        <v>0</v>
      </c>
      <c r="AQ71" s="311">
        <f t="shared" si="18"/>
        <v>0</v>
      </c>
      <c r="AR71" s="311">
        <f t="shared" si="18"/>
        <v>0</v>
      </c>
      <c r="AS71" s="311">
        <f t="shared" si="18"/>
        <v>0</v>
      </c>
      <c r="AT71" s="311">
        <f t="shared" si="18"/>
        <v>0</v>
      </c>
      <c r="AU71" s="311">
        <f t="shared" si="18"/>
        <v>0</v>
      </c>
      <c r="AV71" s="311">
        <f t="shared" si="18"/>
        <v>0</v>
      </c>
      <c r="AW71" s="311">
        <f t="shared" si="18"/>
        <v>0</v>
      </c>
      <c r="AX71" s="311">
        <f t="shared" si="18"/>
        <v>0</v>
      </c>
      <c r="AY71" s="311">
        <f t="shared" si="18"/>
        <v>0</v>
      </c>
      <c r="AZ71" s="311">
        <f t="shared" si="18"/>
        <v>0</v>
      </c>
      <c r="BA71" s="311">
        <f t="shared" si="18"/>
        <v>0</v>
      </c>
      <c r="BB71" s="311">
        <f t="shared" si="18"/>
        <v>0</v>
      </c>
      <c r="BC71" s="311">
        <f t="shared" si="18"/>
        <v>0</v>
      </c>
      <c r="BD71" s="311">
        <f t="shared" si="18"/>
        <v>0</v>
      </c>
      <c r="BE71" s="311">
        <f t="shared" si="18"/>
        <v>0</v>
      </c>
      <c r="BF71" s="311">
        <f t="shared" si="18"/>
        <v>0</v>
      </c>
      <c r="BG71" s="311">
        <f t="shared" si="18"/>
        <v>0</v>
      </c>
      <c r="BH71" s="311">
        <f t="shared" si="18"/>
        <v>0</v>
      </c>
      <c r="BI71" s="311">
        <f t="shared" si="18"/>
        <v>0</v>
      </c>
      <c r="BJ71" s="311">
        <f t="shared" si="18"/>
        <v>0</v>
      </c>
      <c r="BK71" s="311">
        <f t="shared" si="18"/>
        <v>0</v>
      </c>
      <c r="BL71" s="311">
        <f t="shared" si="18"/>
        <v>0</v>
      </c>
    </row>
    <row r="72" spans="2:64" x14ac:dyDescent="0.15">
      <c r="B72" s="186" t="s">
        <v>177</v>
      </c>
      <c r="C72" s="186"/>
      <c r="D72" s="186"/>
      <c r="E72" s="293">
        <f>E73+E74</f>
        <v>-0.35973362599514425</v>
      </c>
      <c r="F72" s="293">
        <f t="shared" ref="F72:BL72" si="19">F73+F74</f>
        <v>0</v>
      </c>
      <c r="G72" s="293">
        <f t="shared" si="19"/>
        <v>0</v>
      </c>
      <c r="H72" s="293">
        <f t="shared" si="19"/>
        <v>0</v>
      </c>
      <c r="I72" s="293">
        <f t="shared" si="19"/>
        <v>0</v>
      </c>
      <c r="J72" s="293">
        <f t="shared" si="19"/>
        <v>0</v>
      </c>
      <c r="K72" s="293">
        <f t="shared" si="19"/>
        <v>0</v>
      </c>
      <c r="L72" s="293">
        <f t="shared" si="19"/>
        <v>0</v>
      </c>
      <c r="M72" s="293">
        <f t="shared" si="19"/>
        <v>0</v>
      </c>
      <c r="N72" s="293">
        <f t="shared" si="19"/>
        <v>0</v>
      </c>
      <c r="O72" s="293">
        <f t="shared" si="19"/>
        <v>0</v>
      </c>
      <c r="P72" s="293">
        <f t="shared" si="19"/>
        <v>0</v>
      </c>
      <c r="Q72" s="293">
        <f t="shared" si="19"/>
        <v>0</v>
      </c>
      <c r="R72" s="293">
        <f t="shared" si="19"/>
        <v>0</v>
      </c>
      <c r="S72" s="293">
        <f t="shared" si="19"/>
        <v>0</v>
      </c>
      <c r="T72" s="293">
        <f t="shared" si="19"/>
        <v>0</v>
      </c>
      <c r="U72" s="293">
        <f t="shared" si="19"/>
        <v>0</v>
      </c>
      <c r="V72" s="293">
        <f t="shared" si="19"/>
        <v>0</v>
      </c>
      <c r="W72" s="293">
        <f t="shared" si="19"/>
        <v>0</v>
      </c>
      <c r="X72" s="293">
        <f t="shared" si="19"/>
        <v>0</v>
      </c>
      <c r="Y72" s="293">
        <f t="shared" si="19"/>
        <v>0</v>
      </c>
      <c r="Z72" s="293">
        <f t="shared" si="19"/>
        <v>0</v>
      </c>
      <c r="AA72" s="293">
        <f t="shared" si="19"/>
        <v>0</v>
      </c>
      <c r="AB72" s="293">
        <f t="shared" si="19"/>
        <v>0</v>
      </c>
      <c r="AC72" s="293">
        <f t="shared" si="19"/>
        <v>0</v>
      </c>
      <c r="AD72" s="293">
        <f t="shared" si="19"/>
        <v>0</v>
      </c>
      <c r="AE72" s="293">
        <f t="shared" si="19"/>
        <v>0</v>
      </c>
      <c r="AF72" s="293">
        <f t="shared" si="19"/>
        <v>0</v>
      </c>
      <c r="AG72" s="293">
        <f t="shared" si="19"/>
        <v>0</v>
      </c>
      <c r="AH72" s="293">
        <f t="shared" si="19"/>
        <v>0</v>
      </c>
      <c r="AI72" s="293">
        <f t="shared" si="19"/>
        <v>0</v>
      </c>
      <c r="AJ72" s="293">
        <f t="shared" si="19"/>
        <v>0</v>
      </c>
      <c r="AK72" s="293">
        <f t="shared" si="19"/>
        <v>0</v>
      </c>
      <c r="AL72" s="293">
        <f t="shared" si="19"/>
        <v>0</v>
      </c>
      <c r="AM72" s="293">
        <f t="shared" si="19"/>
        <v>0</v>
      </c>
      <c r="AN72" s="293">
        <f t="shared" si="19"/>
        <v>0</v>
      </c>
      <c r="AO72" s="293">
        <f t="shared" si="19"/>
        <v>0</v>
      </c>
      <c r="AP72" s="293">
        <f t="shared" si="19"/>
        <v>0</v>
      </c>
      <c r="AQ72" s="293">
        <f t="shared" si="19"/>
        <v>0</v>
      </c>
      <c r="AR72" s="293">
        <f t="shared" si="19"/>
        <v>0</v>
      </c>
      <c r="AS72" s="293">
        <f t="shared" si="19"/>
        <v>0</v>
      </c>
      <c r="AT72" s="293">
        <f t="shared" si="19"/>
        <v>0</v>
      </c>
      <c r="AU72" s="293">
        <f t="shared" si="19"/>
        <v>0</v>
      </c>
      <c r="AV72" s="293">
        <f t="shared" si="19"/>
        <v>0</v>
      </c>
      <c r="AW72" s="293">
        <f t="shared" si="19"/>
        <v>0</v>
      </c>
      <c r="AX72" s="293">
        <f t="shared" si="19"/>
        <v>0</v>
      </c>
      <c r="AY72" s="293">
        <f t="shared" si="19"/>
        <v>0</v>
      </c>
      <c r="AZ72" s="293">
        <f t="shared" si="19"/>
        <v>0</v>
      </c>
      <c r="BA72" s="293">
        <f t="shared" si="19"/>
        <v>0</v>
      </c>
      <c r="BB72" s="293">
        <f t="shared" si="19"/>
        <v>0</v>
      </c>
      <c r="BC72" s="293">
        <f t="shared" si="19"/>
        <v>0</v>
      </c>
      <c r="BD72" s="293">
        <f t="shared" si="19"/>
        <v>0</v>
      </c>
      <c r="BE72" s="293">
        <f t="shared" si="19"/>
        <v>0</v>
      </c>
      <c r="BF72" s="293">
        <f t="shared" si="19"/>
        <v>0</v>
      </c>
      <c r="BG72" s="293">
        <f t="shared" si="19"/>
        <v>0</v>
      </c>
      <c r="BH72" s="293">
        <f t="shared" si="19"/>
        <v>0</v>
      </c>
      <c r="BI72" s="293">
        <f t="shared" si="19"/>
        <v>0</v>
      </c>
      <c r="BJ72" s="293">
        <f t="shared" si="19"/>
        <v>0</v>
      </c>
      <c r="BK72" s="293">
        <f t="shared" si="19"/>
        <v>0</v>
      </c>
      <c r="BL72" s="293">
        <f t="shared" si="19"/>
        <v>0</v>
      </c>
    </row>
    <row r="73" spans="2:64" s="194" customFormat="1" x14ac:dyDescent="0.15">
      <c r="C73" s="115" t="s">
        <v>442</v>
      </c>
      <c r="E73" s="171">
        <f>-Leadsheet!E56-Leadsheet!E57*Leadsheet!E10</f>
        <v>-0.35973362599514425</v>
      </c>
    </row>
    <row r="74" spans="2:64" x14ac:dyDescent="0.15">
      <c r="C74" s="186" t="s">
        <v>443</v>
      </c>
      <c r="E74" s="293">
        <f t="shared" ref="E74:BL74" si="20">SUM(E75:E82)</f>
        <v>0</v>
      </c>
      <c r="F74" s="293">
        <f t="shared" si="20"/>
        <v>0</v>
      </c>
      <c r="G74" s="293">
        <f t="shared" si="20"/>
        <v>0</v>
      </c>
      <c r="H74" s="293">
        <f t="shared" si="20"/>
        <v>0</v>
      </c>
      <c r="I74" s="293">
        <f t="shared" si="20"/>
        <v>0</v>
      </c>
      <c r="J74" s="293">
        <f t="shared" si="20"/>
        <v>0</v>
      </c>
      <c r="K74" s="293">
        <f t="shared" si="20"/>
        <v>0</v>
      </c>
      <c r="L74" s="293">
        <f t="shared" si="20"/>
        <v>0</v>
      </c>
      <c r="M74" s="293">
        <f t="shared" si="20"/>
        <v>0</v>
      </c>
      <c r="N74" s="293">
        <f t="shared" si="20"/>
        <v>0</v>
      </c>
      <c r="O74" s="293">
        <f t="shared" si="20"/>
        <v>0</v>
      </c>
      <c r="P74" s="293">
        <f t="shared" si="20"/>
        <v>0</v>
      </c>
      <c r="Q74" s="293">
        <f t="shared" si="20"/>
        <v>0</v>
      </c>
      <c r="R74" s="293">
        <f t="shared" si="20"/>
        <v>0</v>
      </c>
      <c r="S74" s="293">
        <f t="shared" si="20"/>
        <v>0</v>
      </c>
      <c r="T74" s="293">
        <f t="shared" si="20"/>
        <v>0</v>
      </c>
      <c r="U74" s="293">
        <f t="shared" si="20"/>
        <v>0</v>
      </c>
      <c r="V74" s="293">
        <f t="shared" si="20"/>
        <v>0</v>
      </c>
      <c r="W74" s="293">
        <f t="shared" si="20"/>
        <v>0</v>
      </c>
      <c r="X74" s="293">
        <f t="shared" si="20"/>
        <v>0</v>
      </c>
      <c r="Y74" s="293">
        <f t="shared" si="20"/>
        <v>0</v>
      </c>
      <c r="Z74" s="293">
        <f t="shared" si="20"/>
        <v>0</v>
      </c>
      <c r="AA74" s="293">
        <f t="shared" si="20"/>
        <v>0</v>
      </c>
      <c r="AB74" s="293">
        <f t="shared" si="20"/>
        <v>0</v>
      </c>
      <c r="AC74" s="293">
        <f t="shared" si="20"/>
        <v>0</v>
      </c>
      <c r="AD74" s="293">
        <f t="shared" si="20"/>
        <v>0</v>
      </c>
      <c r="AE74" s="293">
        <f t="shared" si="20"/>
        <v>0</v>
      </c>
      <c r="AF74" s="293">
        <f t="shared" si="20"/>
        <v>0</v>
      </c>
      <c r="AG74" s="293">
        <f t="shared" si="20"/>
        <v>0</v>
      </c>
      <c r="AH74" s="293">
        <f t="shared" si="20"/>
        <v>0</v>
      </c>
      <c r="AI74" s="293">
        <f t="shared" si="20"/>
        <v>0</v>
      </c>
      <c r="AJ74" s="293">
        <f t="shared" si="20"/>
        <v>0</v>
      </c>
      <c r="AK74" s="293">
        <f t="shared" si="20"/>
        <v>0</v>
      </c>
      <c r="AL74" s="293">
        <f t="shared" si="20"/>
        <v>0</v>
      </c>
      <c r="AM74" s="293">
        <f t="shared" si="20"/>
        <v>0</v>
      </c>
      <c r="AN74" s="293">
        <f t="shared" si="20"/>
        <v>0</v>
      </c>
      <c r="AO74" s="293">
        <f t="shared" si="20"/>
        <v>0</v>
      </c>
      <c r="AP74" s="293">
        <f t="shared" si="20"/>
        <v>0</v>
      </c>
      <c r="AQ74" s="293">
        <f t="shared" si="20"/>
        <v>0</v>
      </c>
      <c r="AR74" s="293">
        <f t="shared" si="20"/>
        <v>0</v>
      </c>
      <c r="AS74" s="293">
        <f t="shared" si="20"/>
        <v>0</v>
      </c>
      <c r="AT74" s="293">
        <f t="shared" si="20"/>
        <v>0</v>
      </c>
      <c r="AU74" s="293">
        <f t="shared" si="20"/>
        <v>0</v>
      </c>
      <c r="AV74" s="293">
        <f t="shared" si="20"/>
        <v>0</v>
      </c>
      <c r="AW74" s="293">
        <f t="shared" si="20"/>
        <v>0</v>
      </c>
      <c r="AX74" s="293">
        <f t="shared" si="20"/>
        <v>0</v>
      </c>
      <c r="AY74" s="293">
        <f t="shared" si="20"/>
        <v>0</v>
      </c>
      <c r="AZ74" s="293">
        <f t="shared" si="20"/>
        <v>0</v>
      </c>
      <c r="BA74" s="293">
        <f t="shared" si="20"/>
        <v>0</v>
      </c>
      <c r="BB74" s="293">
        <f t="shared" si="20"/>
        <v>0</v>
      </c>
      <c r="BC74" s="293">
        <f t="shared" si="20"/>
        <v>0</v>
      </c>
      <c r="BD74" s="293">
        <f t="shared" si="20"/>
        <v>0</v>
      </c>
      <c r="BE74" s="293">
        <f t="shared" si="20"/>
        <v>0</v>
      </c>
      <c r="BF74" s="293">
        <f t="shared" si="20"/>
        <v>0</v>
      </c>
      <c r="BG74" s="293">
        <f t="shared" si="20"/>
        <v>0</v>
      </c>
      <c r="BH74" s="293">
        <f t="shared" si="20"/>
        <v>0</v>
      </c>
      <c r="BI74" s="293">
        <f t="shared" si="20"/>
        <v>0</v>
      </c>
      <c r="BJ74" s="293">
        <f t="shared" si="20"/>
        <v>0</v>
      </c>
      <c r="BK74" s="293">
        <f t="shared" si="20"/>
        <v>0</v>
      </c>
      <c r="BL74" s="293">
        <f t="shared" si="20"/>
        <v>0</v>
      </c>
    </row>
    <row r="75" spans="2:64" x14ac:dyDescent="0.15">
      <c r="C75" s="192" t="s">
        <v>184</v>
      </c>
      <c r="E75" s="171">
        <f>-SUM(E58:E58)*Leadsheet!$E$50</f>
        <v>0</v>
      </c>
      <c r="F75" s="171">
        <f>-SUM(F58:F58)*Leadsheet!$E$50</f>
        <v>0</v>
      </c>
      <c r="G75" s="171">
        <f>-SUM(G58:G58)*Leadsheet!$E$50</f>
        <v>0</v>
      </c>
      <c r="H75" s="171">
        <f>-SUM(H58:H58)*Leadsheet!$E$50</f>
        <v>0</v>
      </c>
      <c r="I75" s="171">
        <f>-SUM(I58:I58)*Leadsheet!$E$50</f>
        <v>0</v>
      </c>
      <c r="J75" s="171">
        <f>-SUM(J58:J58)*Leadsheet!$E$50</f>
        <v>0</v>
      </c>
      <c r="K75" s="171">
        <f>-SUM(K58:K58)*Leadsheet!$E$50</f>
        <v>0</v>
      </c>
      <c r="L75" s="171">
        <f>-SUM(L58:L58)*Leadsheet!$E$50</f>
        <v>0</v>
      </c>
      <c r="M75" s="171">
        <f>-SUM(M58:M58)*Leadsheet!$E$50</f>
        <v>0</v>
      </c>
      <c r="N75" s="171">
        <f>-SUM(N58:N58)*Leadsheet!$E$50</f>
        <v>0</v>
      </c>
      <c r="O75" s="171">
        <f>-SUM(O58:O58)*Leadsheet!$E$50</f>
        <v>0</v>
      </c>
      <c r="P75" s="171">
        <f>-SUM(P58:P58)*Leadsheet!$E$50</f>
        <v>0</v>
      </c>
      <c r="Q75" s="171">
        <f>-SUM(Q58:Q58)*Leadsheet!$E$50</f>
        <v>0</v>
      </c>
      <c r="R75" s="171">
        <f>-SUM(R58:R58)*Leadsheet!$E$50</f>
        <v>0</v>
      </c>
      <c r="S75" s="171">
        <f>-SUM(S58:S58)*Leadsheet!$E$50</f>
        <v>0</v>
      </c>
      <c r="T75" s="171">
        <f>-SUM(T58:T58)*Leadsheet!$E$50</f>
        <v>0</v>
      </c>
      <c r="U75" s="171">
        <f>-SUM(U58:U58)*Leadsheet!$E$50</f>
        <v>0</v>
      </c>
      <c r="V75" s="171">
        <f>-SUM(V58:V58)*Leadsheet!$E$50</f>
        <v>0</v>
      </c>
      <c r="W75" s="171">
        <f>-SUM(W58:W58)*Leadsheet!$E$50</f>
        <v>0</v>
      </c>
      <c r="X75" s="171">
        <f>-SUM(X58:X58)*Leadsheet!$E$50</f>
        <v>0</v>
      </c>
      <c r="Y75" s="171">
        <f>-SUM(Y58:Y58)*Leadsheet!$E$50</f>
        <v>0</v>
      </c>
      <c r="Z75" s="171">
        <f>-SUM(Z58:Z58)*Leadsheet!$E$50</f>
        <v>0</v>
      </c>
      <c r="AA75" s="171">
        <f>-SUM(AA58:AA58)*Leadsheet!$E$50</f>
        <v>0</v>
      </c>
      <c r="AB75" s="171">
        <f>-SUM(AB58:AB58)*Leadsheet!$E$50</f>
        <v>0</v>
      </c>
      <c r="AC75" s="171">
        <f>-SUM(AC58:AC58)*Leadsheet!$E$50</f>
        <v>0</v>
      </c>
      <c r="AD75" s="171">
        <f>-SUM(AD58:AD58)*Leadsheet!$E$50</f>
        <v>0</v>
      </c>
      <c r="AE75" s="171">
        <f>-SUM(AE58:AE58)*Leadsheet!$E$50</f>
        <v>0</v>
      </c>
      <c r="AF75" s="171">
        <f>-SUM(AF58:AF58)*Leadsheet!$E$50</f>
        <v>0</v>
      </c>
      <c r="AG75" s="171">
        <f>-SUM(AG58:AG58)*Leadsheet!$E$50</f>
        <v>0</v>
      </c>
      <c r="AH75" s="171">
        <f>-SUM(AH58:AH58)*Leadsheet!$E$50</f>
        <v>0</v>
      </c>
      <c r="AI75" s="171">
        <f>-SUM(AI58:AI58)*Leadsheet!$E$50</f>
        <v>0</v>
      </c>
      <c r="AJ75" s="171">
        <f>-SUM(AJ58:AJ58)*Leadsheet!$E$50</f>
        <v>0</v>
      </c>
      <c r="AK75" s="171">
        <f>-SUM(AK58:AK58)*Leadsheet!$E$50</f>
        <v>0</v>
      </c>
      <c r="AL75" s="171">
        <f>-SUM(AL58:AL58)*Leadsheet!$E$50</f>
        <v>0</v>
      </c>
      <c r="AM75" s="171">
        <f>-SUM(AM58:AM58)*Leadsheet!$E$50</f>
        <v>0</v>
      </c>
      <c r="AN75" s="171">
        <f>-SUM(AN58:AN58)*Leadsheet!$E$50</f>
        <v>0</v>
      </c>
      <c r="AO75" s="171">
        <f>-SUM(AO58:AO58)*Leadsheet!$E$50</f>
        <v>0</v>
      </c>
      <c r="AP75" s="171">
        <f>-SUM(AP58:AP58)*Leadsheet!$E$50</f>
        <v>0</v>
      </c>
      <c r="AQ75" s="171">
        <f>-SUM(AQ58:AQ58)*Leadsheet!$E$50</f>
        <v>0</v>
      </c>
      <c r="AR75" s="171">
        <f>-SUM(AR58:AR58)*Leadsheet!$E$50</f>
        <v>0</v>
      </c>
      <c r="AS75" s="171">
        <f>-SUM(AS58:AS58)*Leadsheet!$E$50</f>
        <v>0</v>
      </c>
      <c r="AT75" s="171">
        <f>-SUM(AT58:AT58)*Leadsheet!$E$50</f>
        <v>0</v>
      </c>
      <c r="AU75" s="171">
        <f>-SUM(AU58:AU58)*Leadsheet!$E$50</f>
        <v>0</v>
      </c>
      <c r="AV75" s="171">
        <f>-SUM(AV58:AV58)*Leadsheet!$E$50</f>
        <v>0</v>
      </c>
      <c r="AW75" s="171">
        <f>-SUM(AW58:AW58)*Leadsheet!$E$50</f>
        <v>0</v>
      </c>
      <c r="AX75" s="171">
        <f>-SUM(AX58:AX58)*Leadsheet!$E$50</f>
        <v>0</v>
      </c>
      <c r="AY75" s="171">
        <f>-SUM(AY58:AY58)*Leadsheet!$E$50</f>
        <v>0</v>
      </c>
      <c r="AZ75" s="171">
        <f>-SUM(AZ58:AZ58)*Leadsheet!$E$50</f>
        <v>0</v>
      </c>
      <c r="BA75" s="171">
        <f>-SUM(BA58:BA58)*Leadsheet!$E$50</f>
        <v>0</v>
      </c>
      <c r="BB75" s="171">
        <f>-SUM(BB58:BB58)*Leadsheet!$E$50</f>
        <v>0</v>
      </c>
      <c r="BC75" s="171">
        <f>-SUM(BC58:BC58)*Leadsheet!$E$50</f>
        <v>0</v>
      </c>
      <c r="BD75" s="171">
        <f>-SUM(BD58:BD58)*Leadsheet!$E$50</f>
        <v>0</v>
      </c>
      <c r="BE75" s="171">
        <f>-SUM(BE58:BE58)*Leadsheet!$E$50</f>
        <v>0</v>
      </c>
      <c r="BF75" s="171">
        <f>-SUM(BF58:BF58)*Leadsheet!$E$50</f>
        <v>0</v>
      </c>
      <c r="BG75" s="171">
        <f>-SUM(BG58:BG58)*Leadsheet!$E$50</f>
        <v>0</v>
      </c>
      <c r="BH75" s="171">
        <f>-SUM(BH58:BH58)*Leadsheet!$E$50</f>
        <v>0</v>
      </c>
      <c r="BI75" s="171">
        <f>-SUM(BI58:BI58)*Leadsheet!$E$50</f>
        <v>0</v>
      </c>
      <c r="BJ75" s="171">
        <f>-SUM(BJ58:BJ58)*Leadsheet!$E$50</f>
        <v>0</v>
      </c>
      <c r="BK75" s="171">
        <f>-SUM(BK58:BK58)*Leadsheet!$E$50</f>
        <v>0</v>
      </c>
      <c r="BL75" s="171">
        <f>-SUM(BL58:BL58)*Leadsheet!$E$50</f>
        <v>0</v>
      </c>
    </row>
    <row r="76" spans="2:64" x14ac:dyDescent="0.15">
      <c r="C76" s="192" t="s">
        <v>186</v>
      </c>
      <c r="E76" s="171">
        <f>-E59*Leadsheet!$E$51</f>
        <v>0</v>
      </c>
      <c r="F76" s="171">
        <f>-F59*Leadsheet!$E$51</f>
        <v>0</v>
      </c>
      <c r="G76" s="171">
        <f>-G59*Leadsheet!$E$51</f>
        <v>0</v>
      </c>
      <c r="H76" s="171">
        <f>-H59*Leadsheet!$E$51</f>
        <v>0</v>
      </c>
      <c r="I76" s="171">
        <f>-I59*Leadsheet!$E$51</f>
        <v>0</v>
      </c>
      <c r="J76" s="171">
        <f>-J59*Leadsheet!$E$51</f>
        <v>0</v>
      </c>
      <c r="K76" s="171">
        <f>-K59*Leadsheet!$E$51</f>
        <v>0</v>
      </c>
      <c r="L76" s="171">
        <f>-L59*Leadsheet!$E$51</f>
        <v>0</v>
      </c>
      <c r="M76" s="171">
        <f>-M59*Leadsheet!$E$51</f>
        <v>0</v>
      </c>
      <c r="N76" s="171">
        <f>-N59*Leadsheet!$E$51</f>
        <v>0</v>
      </c>
      <c r="O76" s="171">
        <f>-O59*Leadsheet!$E$51</f>
        <v>0</v>
      </c>
      <c r="P76" s="171">
        <f>-P59*Leadsheet!$E$51</f>
        <v>0</v>
      </c>
      <c r="Q76" s="171">
        <f>-Q59*Leadsheet!$E$51</f>
        <v>0</v>
      </c>
      <c r="R76" s="171">
        <f>-R59*Leadsheet!$E$51</f>
        <v>0</v>
      </c>
      <c r="S76" s="171">
        <f>-S59*Leadsheet!$E$51</f>
        <v>0</v>
      </c>
      <c r="T76" s="171">
        <f>-T59*Leadsheet!$E$51</f>
        <v>0</v>
      </c>
      <c r="U76" s="171">
        <f>-U59*Leadsheet!$E$51</f>
        <v>0</v>
      </c>
      <c r="V76" s="171">
        <f>-V59*Leadsheet!$E$51</f>
        <v>0</v>
      </c>
      <c r="W76" s="171">
        <f>-W59*Leadsheet!$E$51</f>
        <v>0</v>
      </c>
      <c r="X76" s="171">
        <f>-X59*Leadsheet!$E$51</f>
        <v>0</v>
      </c>
      <c r="Y76" s="171">
        <f>-Y59*Leadsheet!$E$51</f>
        <v>0</v>
      </c>
      <c r="Z76" s="171">
        <f>-Z59*Leadsheet!$E$51</f>
        <v>0</v>
      </c>
      <c r="AA76" s="171">
        <f>-AA59*Leadsheet!$E$51</f>
        <v>0</v>
      </c>
      <c r="AB76" s="171">
        <f>-AB59*Leadsheet!$E$51</f>
        <v>0</v>
      </c>
      <c r="AC76" s="171">
        <f>-AC59*Leadsheet!$E$51</f>
        <v>0</v>
      </c>
      <c r="AD76" s="171">
        <f>-AD59*Leadsheet!$E$51</f>
        <v>0</v>
      </c>
      <c r="AE76" s="171">
        <f>-AE59*Leadsheet!$E$51</f>
        <v>0</v>
      </c>
      <c r="AF76" s="171">
        <f>-AF59*Leadsheet!$E$51</f>
        <v>0</v>
      </c>
      <c r="AG76" s="171">
        <f>-AG59*Leadsheet!$E$51</f>
        <v>0</v>
      </c>
      <c r="AH76" s="171">
        <f>-AH59*Leadsheet!$E$51</f>
        <v>0</v>
      </c>
      <c r="AI76" s="171">
        <f>-AI59*Leadsheet!$E$51</f>
        <v>0</v>
      </c>
      <c r="AJ76" s="171">
        <f>-AJ59*Leadsheet!$E$51</f>
        <v>0</v>
      </c>
      <c r="AK76" s="171">
        <f>-AK59*Leadsheet!$E$51</f>
        <v>0</v>
      </c>
      <c r="AL76" s="171">
        <f>-AL59*Leadsheet!$E$51</f>
        <v>0</v>
      </c>
      <c r="AM76" s="171">
        <f>-AM59*Leadsheet!$E$51</f>
        <v>0</v>
      </c>
      <c r="AN76" s="171">
        <f>-AN59*Leadsheet!$E$51</f>
        <v>0</v>
      </c>
      <c r="AO76" s="171">
        <f>-AO59*Leadsheet!$E$51</f>
        <v>0</v>
      </c>
      <c r="AP76" s="171">
        <f>-AP59*Leadsheet!$E$51</f>
        <v>0</v>
      </c>
      <c r="AQ76" s="171">
        <f>-AQ59*Leadsheet!$E$51</f>
        <v>0</v>
      </c>
      <c r="AR76" s="171">
        <f>-AR59*Leadsheet!$E$51</f>
        <v>0</v>
      </c>
      <c r="AS76" s="171">
        <f>-AS59*Leadsheet!$E$51</f>
        <v>0</v>
      </c>
      <c r="AT76" s="171">
        <f>-AT59*Leadsheet!$E$51</f>
        <v>0</v>
      </c>
      <c r="AU76" s="171">
        <f>-AU59*Leadsheet!$E$51</f>
        <v>0</v>
      </c>
      <c r="AV76" s="171">
        <f>-AV59*Leadsheet!$E$51</f>
        <v>0</v>
      </c>
      <c r="AW76" s="171">
        <f>-AW59*Leadsheet!$E$51</f>
        <v>0</v>
      </c>
      <c r="AX76" s="171">
        <f>-AX59*Leadsheet!$E$51</f>
        <v>0</v>
      </c>
      <c r="AY76" s="171">
        <f>-AY59*Leadsheet!$E$51</f>
        <v>0</v>
      </c>
      <c r="AZ76" s="171">
        <f>-AZ59*Leadsheet!$E$51</f>
        <v>0</v>
      </c>
      <c r="BA76" s="171">
        <f>-BA59*Leadsheet!$E$51</f>
        <v>0</v>
      </c>
      <c r="BB76" s="171">
        <f>-BB59*Leadsheet!$E$51</f>
        <v>0</v>
      </c>
      <c r="BC76" s="171">
        <f>-BC59*Leadsheet!$E$51</f>
        <v>0</v>
      </c>
      <c r="BD76" s="171">
        <f>-BD59*Leadsheet!$E$51</f>
        <v>0</v>
      </c>
      <c r="BE76" s="171">
        <f>-BE59*Leadsheet!$E$51</f>
        <v>0</v>
      </c>
      <c r="BF76" s="171">
        <f>-BF59*Leadsheet!$E$51</f>
        <v>0</v>
      </c>
      <c r="BG76" s="171">
        <f>-BG59*Leadsheet!$E$51</f>
        <v>0</v>
      </c>
      <c r="BH76" s="171">
        <f>-BH59*Leadsheet!$E$51</f>
        <v>0</v>
      </c>
      <c r="BI76" s="171">
        <f>-BI59*Leadsheet!$E$51</f>
        <v>0</v>
      </c>
      <c r="BJ76" s="171">
        <f>-BJ59*Leadsheet!$E$51</f>
        <v>0</v>
      </c>
      <c r="BK76" s="171">
        <f>-BK59*Leadsheet!$E$51</f>
        <v>0</v>
      </c>
      <c r="BL76" s="171">
        <f>-BL59*Leadsheet!$E$51</f>
        <v>0</v>
      </c>
    </row>
    <row r="77" spans="2:64" x14ac:dyDescent="0.15">
      <c r="C77" s="192" t="s">
        <v>188</v>
      </c>
      <c r="E77" s="171">
        <f>-E61*Leadsheet!$E$52</f>
        <v>0</v>
      </c>
      <c r="F77" s="171">
        <f>-F61*Leadsheet!$E$52</f>
        <v>0</v>
      </c>
      <c r="G77" s="171">
        <f>-G61*Leadsheet!$E$52</f>
        <v>0</v>
      </c>
      <c r="H77" s="171">
        <f>-H61*Leadsheet!$E$52</f>
        <v>0</v>
      </c>
      <c r="I77" s="171">
        <f>-I61*Leadsheet!$E$52</f>
        <v>0</v>
      </c>
      <c r="J77" s="171">
        <f>-J61*Leadsheet!$E$52</f>
        <v>0</v>
      </c>
      <c r="K77" s="171">
        <f>-K61*Leadsheet!$E$52</f>
        <v>0</v>
      </c>
      <c r="L77" s="171">
        <f>-L61*Leadsheet!$E$52</f>
        <v>0</v>
      </c>
      <c r="M77" s="171">
        <f>-M61*Leadsheet!$E$52</f>
        <v>0</v>
      </c>
      <c r="N77" s="171">
        <f>-N61*Leadsheet!$E$52</f>
        <v>0</v>
      </c>
      <c r="O77" s="171">
        <f>-O61*Leadsheet!$E$52</f>
        <v>0</v>
      </c>
      <c r="P77" s="171">
        <f>-P61*Leadsheet!$E$52</f>
        <v>0</v>
      </c>
      <c r="Q77" s="171">
        <f>-Q61*Leadsheet!$E$52</f>
        <v>0</v>
      </c>
      <c r="R77" s="171">
        <f>-R61*Leadsheet!$E$52</f>
        <v>0</v>
      </c>
      <c r="S77" s="171">
        <f>-S61*Leadsheet!$E$52</f>
        <v>0</v>
      </c>
      <c r="T77" s="171">
        <f>-T61*Leadsheet!$E$52</f>
        <v>0</v>
      </c>
      <c r="U77" s="171">
        <f>-U61*Leadsheet!$E$52</f>
        <v>0</v>
      </c>
      <c r="V77" s="171">
        <f>-V61*Leadsheet!$E$52</f>
        <v>0</v>
      </c>
      <c r="W77" s="171">
        <f>-W61*Leadsheet!$E$52</f>
        <v>0</v>
      </c>
      <c r="X77" s="171">
        <f>-X61*Leadsheet!$E$52</f>
        <v>0</v>
      </c>
      <c r="Y77" s="171">
        <f>-Y61*Leadsheet!$E$52</f>
        <v>0</v>
      </c>
      <c r="Z77" s="171">
        <f>-Z61*Leadsheet!$E$52</f>
        <v>0</v>
      </c>
      <c r="AA77" s="171">
        <f>-AA61*Leadsheet!$E$52</f>
        <v>0</v>
      </c>
      <c r="AB77" s="171">
        <f>-AB61*Leadsheet!$E$52</f>
        <v>0</v>
      </c>
      <c r="AC77" s="171">
        <f>-AC61*Leadsheet!$E$52</f>
        <v>0</v>
      </c>
      <c r="AD77" s="171">
        <f>-AD61*Leadsheet!$E$52</f>
        <v>0</v>
      </c>
      <c r="AE77" s="171">
        <f>-AE61*Leadsheet!$E$52</f>
        <v>0</v>
      </c>
      <c r="AF77" s="171">
        <f>-AF61*Leadsheet!$E$52</f>
        <v>0</v>
      </c>
      <c r="AG77" s="171">
        <f>-AG61*Leadsheet!$E$52</f>
        <v>0</v>
      </c>
      <c r="AH77" s="171">
        <f>-AH61*Leadsheet!$E$52</f>
        <v>0</v>
      </c>
      <c r="AI77" s="171">
        <f>-AI61*Leadsheet!$E$52</f>
        <v>0</v>
      </c>
      <c r="AJ77" s="171">
        <f>-AJ61*Leadsheet!$E$52</f>
        <v>0</v>
      </c>
      <c r="AK77" s="171">
        <f>-AK61*Leadsheet!$E$52</f>
        <v>0</v>
      </c>
      <c r="AL77" s="171">
        <f>-AL61*Leadsheet!$E$52</f>
        <v>0</v>
      </c>
      <c r="AM77" s="171">
        <f>-AM61*Leadsheet!$E$52</f>
        <v>0</v>
      </c>
      <c r="AN77" s="171">
        <f>-AN61*Leadsheet!$E$52</f>
        <v>0</v>
      </c>
      <c r="AO77" s="171">
        <f>-AO61*Leadsheet!$E$52</f>
        <v>0</v>
      </c>
      <c r="AP77" s="171">
        <f>-AP61*Leadsheet!$E$52</f>
        <v>0</v>
      </c>
      <c r="AQ77" s="171">
        <f>-AQ61*Leadsheet!$E$52</f>
        <v>0</v>
      </c>
      <c r="AR77" s="171">
        <f>-AR61*Leadsheet!$E$52</f>
        <v>0</v>
      </c>
      <c r="AS77" s="171">
        <f>-AS61*Leadsheet!$E$52</f>
        <v>0</v>
      </c>
      <c r="AT77" s="171">
        <f>-AT61*Leadsheet!$E$52</f>
        <v>0</v>
      </c>
      <c r="AU77" s="171">
        <f>-AU61*Leadsheet!$E$52</f>
        <v>0</v>
      </c>
      <c r="AV77" s="171">
        <f>-AV61*Leadsheet!$E$52</f>
        <v>0</v>
      </c>
      <c r="AW77" s="171">
        <f>-AW61*Leadsheet!$E$52</f>
        <v>0</v>
      </c>
      <c r="AX77" s="171">
        <f>-AX61*Leadsheet!$E$52</f>
        <v>0</v>
      </c>
      <c r="AY77" s="171">
        <f>-AY61*Leadsheet!$E$52</f>
        <v>0</v>
      </c>
      <c r="AZ77" s="171">
        <f>-AZ61*Leadsheet!$E$52</f>
        <v>0</v>
      </c>
      <c r="BA77" s="171">
        <f>-BA61*Leadsheet!$E$52</f>
        <v>0</v>
      </c>
      <c r="BB77" s="171">
        <f>-BB61*Leadsheet!$E$52</f>
        <v>0</v>
      </c>
      <c r="BC77" s="171">
        <f>-BC61*Leadsheet!$E$52</f>
        <v>0</v>
      </c>
      <c r="BD77" s="171">
        <f>-BD61*Leadsheet!$E$52</f>
        <v>0</v>
      </c>
      <c r="BE77" s="171">
        <f>-BE61*Leadsheet!$E$52</f>
        <v>0</v>
      </c>
      <c r="BF77" s="171">
        <f>-BF61*Leadsheet!$E$52</f>
        <v>0</v>
      </c>
      <c r="BG77" s="171">
        <f>-BG61*Leadsheet!$E$52</f>
        <v>0</v>
      </c>
      <c r="BH77" s="171">
        <f>-BH61*Leadsheet!$E$52</f>
        <v>0</v>
      </c>
      <c r="BI77" s="171">
        <f>-BI61*Leadsheet!$E$52</f>
        <v>0</v>
      </c>
      <c r="BJ77" s="171">
        <f>-BJ61*Leadsheet!$E$52</f>
        <v>0</v>
      </c>
      <c r="BK77" s="171">
        <f>-BK61*Leadsheet!$E$52</f>
        <v>0</v>
      </c>
      <c r="BL77" s="171">
        <f>-BL61*Leadsheet!$E$52</f>
        <v>0</v>
      </c>
    </row>
    <row r="78" spans="2:64" x14ac:dyDescent="0.15">
      <c r="C78" s="192" t="s">
        <v>190</v>
      </c>
      <c r="E78" s="171">
        <f>IF(E5&gt;$D$7,0,Leadsheet!$E$53*(E31-SUM(D31:D39)+SUM(E32:E40)))</f>
        <v>0</v>
      </c>
      <c r="F78" s="171">
        <f>IF(F5&gt;$D$7,0,Leadsheet!$E$53*(F31-SUM(E31:E39)+SUM(F32:F40)))</f>
        <v>0</v>
      </c>
      <c r="G78" s="171">
        <f>IF(G5&gt;$D$7,0,Leadsheet!$E$53*(G31-SUM(F31:F39)+SUM(G32:G40)))</f>
        <v>0</v>
      </c>
      <c r="H78" s="171">
        <f>IF(H5&gt;$D$7,0,Leadsheet!$E$53*(H31-SUM(G31:G39)+SUM(H32:H40)))</f>
        <v>0</v>
      </c>
      <c r="I78" s="171">
        <f>IF(I5&gt;$D$7,0,Leadsheet!$E$53*(I31-SUM(H31:H39)+SUM(I32:I40)))</f>
        <v>0</v>
      </c>
      <c r="J78" s="171">
        <f>IF(J5&gt;$D$7,0,Leadsheet!$E$53*(J31-SUM(I31:I39)+SUM(J32:J40)))</f>
        <v>0</v>
      </c>
      <c r="K78" s="171">
        <f>IF(K5&gt;$D$7,0,Leadsheet!$E$53*(K31-SUM(J31:J39)+SUM(K32:K40)))</f>
        <v>0</v>
      </c>
      <c r="L78" s="171">
        <f>IF(L5&gt;$D$7,0,Leadsheet!$E$53*(L31-SUM(K31:K39)+SUM(L32:L40)))</f>
        <v>0</v>
      </c>
      <c r="M78" s="171">
        <f>IF(M5&gt;$D$7,0,Leadsheet!$E$53*(M31-SUM(L31:L39)+SUM(M32:M40)))</f>
        <v>0</v>
      </c>
      <c r="N78" s="171">
        <f>IF(N5&gt;$D$7,0,Leadsheet!$E$53*(N31-SUM(M31:M39)+SUM(N32:N40)))</f>
        <v>0</v>
      </c>
      <c r="O78" s="171">
        <f>IF(O5&gt;$D$7,0,Leadsheet!$E$53*(O31-SUM(N31:N39)+SUM(O32:O40)))</f>
        <v>0</v>
      </c>
      <c r="P78" s="171">
        <f>IF(P5&gt;$D$7,0,Leadsheet!$E$53*(P31-SUM(O31:O39)+SUM(P32:P40)))</f>
        <v>0</v>
      </c>
      <c r="Q78" s="171">
        <f>IF(Q5&gt;$D$7,0,Leadsheet!$E$53*(Q31-SUM(P31:P39)+SUM(Q32:Q40)))</f>
        <v>0</v>
      </c>
      <c r="R78" s="171">
        <f>IF(R5&gt;$D$7,0,Leadsheet!$E$53*(R31-SUM(Q31:Q39)+SUM(R32:R40)))</f>
        <v>0</v>
      </c>
      <c r="S78" s="171">
        <f>IF(S5&gt;$D$7,0,Leadsheet!$E$53*(S31-SUM(R31:R39)+SUM(S32:S40)))</f>
        <v>0</v>
      </c>
      <c r="T78" s="171">
        <f>IF(T5&gt;$D$7,0,Leadsheet!$E$53*(T31-SUM(S31:S39)+SUM(T32:T40)))</f>
        <v>0</v>
      </c>
      <c r="U78" s="171">
        <f>IF(U5&gt;$D$7,0,Leadsheet!$E$53*(U31-SUM(T31:T39)+SUM(U32:U40)))</f>
        <v>0</v>
      </c>
      <c r="V78" s="171">
        <f>IF(V5&gt;$D$7,0,Leadsheet!$E$53*(V31-SUM(U31:U39)+SUM(V32:V40)))</f>
        <v>0</v>
      </c>
      <c r="W78" s="171">
        <f>IF(W5&gt;$D$7,0,Leadsheet!$E$53*(W31-SUM(V31:V39)+SUM(W32:W40)))</f>
        <v>0</v>
      </c>
      <c r="X78" s="171">
        <f>IF(X5&gt;$D$7,0,Leadsheet!$E$53*(X31-SUM(W31:W39)+SUM(X32:X40)))</f>
        <v>0</v>
      </c>
      <c r="Y78" s="171">
        <f>IF(Y5&gt;$D$7,0,Leadsheet!$E$53*(Y31-SUM(X31:X39)+SUM(Y32:Y40)))</f>
        <v>0</v>
      </c>
      <c r="Z78" s="171">
        <f>IF(Z5&gt;$D$7,0,Leadsheet!$E$53*(Z31-SUM(Y31:Y39)+SUM(Z32:Z40)))</f>
        <v>0</v>
      </c>
      <c r="AA78" s="171">
        <f>IF(AA5&gt;$D$7,0,Leadsheet!$E$53*(AA31-SUM(Z31:Z39)+SUM(AA32:AA40)))</f>
        <v>0</v>
      </c>
      <c r="AB78" s="171">
        <f>IF(AB5&gt;$D$7,0,Leadsheet!$E$53*(AB31-SUM(AA31:AA39)+SUM(AB32:AB40)))</f>
        <v>0</v>
      </c>
      <c r="AC78" s="171">
        <f>IF(AC5&gt;$D$7,0,Leadsheet!$E$53*(AC31-SUM(AB31:AB39)+SUM(AC32:AC40)))</f>
        <v>0</v>
      </c>
      <c r="AD78" s="171">
        <f>IF(AD5&gt;$D$7,0,Leadsheet!$E$53*(AD31-SUM(AC31:AC39)+SUM(AD32:AD40)))</f>
        <v>0</v>
      </c>
      <c r="AE78" s="171">
        <f>IF(AE5&gt;$D$7,0,Leadsheet!$E$53*(AE31-SUM(AD31:AD39)+SUM(AE32:AE40)))</f>
        <v>0</v>
      </c>
      <c r="AF78" s="171">
        <f>IF(AF5&gt;$D$7,0,Leadsheet!$E$53*(AF31-SUM(AE31:AE39)+SUM(AF32:AF40)))</f>
        <v>0</v>
      </c>
      <c r="AG78" s="171">
        <f>IF(AG5&gt;$D$7,0,Leadsheet!$E$53*(AG31-SUM(AF31:AF39)+SUM(AG32:AG40)))</f>
        <v>0</v>
      </c>
      <c r="AH78" s="171">
        <f>IF(AH5&gt;$D$7,0,Leadsheet!$E$53*(AH31-SUM(AG31:AG39)+SUM(AH32:AH40)))</f>
        <v>0</v>
      </c>
      <c r="AI78" s="171">
        <f>IF(AI5&gt;$D$7,0,Leadsheet!$E$53*(AI31-SUM(AH31:AH39)+SUM(AI32:AI40)))</f>
        <v>0</v>
      </c>
      <c r="AJ78" s="171">
        <f>IF(AJ5&gt;$D$7,0,Leadsheet!$E$53*(AJ31-SUM(AI31:AI39)+SUM(AJ32:AJ40)))</f>
        <v>0</v>
      </c>
      <c r="AK78" s="171">
        <f>IF(AK5&gt;$D$7,0,Leadsheet!$E$53*(AK31-SUM(AJ31:AJ39)+SUM(AK32:AK40)))</f>
        <v>0</v>
      </c>
      <c r="AL78" s="171">
        <f>IF(AL5&gt;$D$7,0,Leadsheet!$E$53*(AL31-SUM(AK31:AK39)+SUM(AL32:AL40)))</f>
        <v>0</v>
      </c>
      <c r="AM78" s="171">
        <f>IF(AM5&gt;$D$7,0,Leadsheet!$E$53*(AM31-SUM(AL31:AL39)+SUM(AM32:AM40)))</f>
        <v>0</v>
      </c>
      <c r="AN78" s="171">
        <f>IF(AN5&gt;$D$7,0,Leadsheet!$E$53*(AN31-SUM(AM31:AM39)+SUM(AN32:AN40)))</f>
        <v>0</v>
      </c>
      <c r="AO78" s="171">
        <f>IF(AO5&gt;$D$7,0,Leadsheet!$E$53*(AO31-SUM(AN31:AN39)+SUM(AO32:AO40)))</f>
        <v>0</v>
      </c>
      <c r="AP78" s="171">
        <f>IF(AP5&gt;$D$7,0,Leadsheet!$E$53*(AP31-SUM(AO31:AO39)+SUM(AP32:AP40)))</f>
        <v>0</v>
      </c>
      <c r="AQ78" s="171">
        <f>IF(AQ5&gt;$D$7,0,Leadsheet!$E$53*(AQ31-SUM(AP31:AP39)+SUM(AQ32:AQ40)))</f>
        <v>0</v>
      </c>
      <c r="AR78" s="171">
        <f>IF(AR5&gt;$D$7,0,Leadsheet!$E$53*(AR31-SUM(AQ31:AQ39)+SUM(AR32:AR40)))</f>
        <v>0</v>
      </c>
      <c r="AS78" s="171">
        <f>IF(AS5&gt;$D$7,0,Leadsheet!$E$53*(AS31-SUM(AR31:AR39)+SUM(AS32:AS40)))</f>
        <v>0</v>
      </c>
      <c r="AT78" s="171">
        <f>IF(AT5&gt;$D$7,0,Leadsheet!$E$53*(AT31-SUM(AS31:AS39)+SUM(AT32:AT40)))</f>
        <v>0</v>
      </c>
      <c r="AU78" s="171">
        <f>IF(AU5&gt;$D$7,0,Leadsheet!$E$53*(AU31-SUM(AT31:AT39)+SUM(AU32:AU40)))</f>
        <v>0</v>
      </c>
      <c r="AV78" s="171">
        <f>IF(AV5&gt;$D$7,0,Leadsheet!$E$53*(AV31-SUM(AU31:AU39)+SUM(AV32:AV40)))</f>
        <v>0</v>
      </c>
      <c r="AW78" s="171">
        <f>IF(AW5&gt;$D$7,0,Leadsheet!$E$53*(AW31-SUM(AV31:AV39)+SUM(AW32:AW40)))</f>
        <v>0</v>
      </c>
      <c r="AX78" s="171">
        <f>IF(AX5&gt;$D$7,0,Leadsheet!$E$53*(AX31-SUM(AW31:AW39)+SUM(AX32:AX40)))</f>
        <v>0</v>
      </c>
      <c r="AY78" s="171">
        <f>IF(AY5&gt;$D$7,0,Leadsheet!$E$53*(AY31-SUM(AX31:AX39)+SUM(AY32:AY40)))</f>
        <v>0</v>
      </c>
      <c r="AZ78" s="171">
        <f>IF(AZ5&gt;$D$7,0,Leadsheet!$E$53*(AZ31-SUM(AY31:AY39)+SUM(AZ32:AZ40)))</f>
        <v>0</v>
      </c>
      <c r="BA78" s="171">
        <f>IF(BA5&gt;$D$7,0,Leadsheet!$E$53*(BA31-SUM(AZ31:AZ39)+SUM(BA32:BA40)))</f>
        <v>0</v>
      </c>
      <c r="BB78" s="171">
        <f>IF(BB5&gt;$D$7,0,Leadsheet!$E$53*(BB31-SUM(BA31:BA39)+SUM(BB32:BB40)))</f>
        <v>0</v>
      </c>
      <c r="BC78" s="171">
        <f>IF(BC5&gt;$D$7,0,Leadsheet!$E$53*(BC31-SUM(BB31:BB39)+SUM(BC32:BC40)))</f>
        <v>0</v>
      </c>
      <c r="BD78" s="171">
        <f>IF(BD5&gt;$D$7,0,Leadsheet!$E$53*(BD31-SUM(BC31:BC39)+SUM(BD32:BD40)))</f>
        <v>0</v>
      </c>
      <c r="BE78" s="171">
        <f>IF(BE5&gt;$D$7,0,Leadsheet!$E$53*(BE31-SUM(BD31:BD39)+SUM(BE32:BE40)))</f>
        <v>0</v>
      </c>
      <c r="BF78" s="171">
        <f>IF(BF5&gt;$D$7,0,Leadsheet!$E$53*(BF31-SUM(BE31:BE39)+SUM(BF32:BF40)))</f>
        <v>0</v>
      </c>
      <c r="BG78" s="171">
        <f>IF(BG5&gt;$D$7,0,Leadsheet!$E$53*(BG31-SUM(BF31:BF39)+SUM(BG32:BG40)))</f>
        <v>0</v>
      </c>
      <c r="BH78" s="171">
        <f>IF(BH5&gt;$D$7,0,Leadsheet!$E$53*(BH31-SUM(BG31:BG39)+SUM(BH32:BH40)))</f>
        <v>0</v>
      </c>
      <c r="BI78" s="171">
        <f>IF(BI5&gt;$D$7,0,Leadsheet!$E$53*(BI31-SUM(BH31:BH39)+SUM(BI32:BI40)))</f>
        <v>0</v>
      </c>
      <c r="BJ78" s="171">
        <f>IF(BJ5&gt;$D$7,0,Leadsheet!$E$53*(BJ31-SUM(BI31:BI39)+SUM(BJ32:BJ40)))</f>
        <v>0</v>
      </c>
      <c r="BK78" s="171">
        <f>IF(BK5&gt;$D$7,0,Leadsheet!$E$53*(BK31-SUM(BJ31:BJ39)+SUM(BK32:BK40)))</f>
        <v>0</v>
      </c>
      <c r="BL78" s="171">
        <f>IF(BL5&gt;$D$7,0,Leadsheet!$E$53*(BL31-SUM(BK31:BK39)+SUM(BL32:BL40)))</f>
        <v>0</v>
      </c>
    </row>
    <row r="79" spans="2:64" x14ac:dyDescent="0.15">
      <c r="C79" s="192" t="s">
        <v>192</v>
      </c>
      <c r="E79" s="171">
        <f>IF(E5&gt;$D$7,0,Leadsheet!$E$54*(E34-SUM(D34:D39)+SUM(E35:E40)))</f>
        <v>0</v>
      </c>
      <c r="F79" s="171">
        <f>IF(F5&gt;$D$7,0,Leadsheet!$E$54*(F34-SUM(E34:E39)+SUM(F35:F40)))</f>
        <v>0</v>
      </c>
      <c r="G79" s="171">
        <f>IF(G5&gt;$D$7,0,Leadsheet!$E$54*(G34-SUM(F34:F39)+SUM(G35:G40)))</f>
        <v>0</v>
      </c>
      <c r="H79" s="171">
        <f>IF(H5&gt;$D$7,0,Leadsheet!$E$54*(H34-SUM(G34:G39)+SUM(H35:H40)))</f>
        <v>0</v>
      </c>
      <c r="I79" s="171">
        <f>IF(I5&gt;$D$7,0,Leadsheet!$E$54*(I34-SUM(H34:H39)+SUM(I35:I40)))</f>
        <v>0</v>
      </c>
      <c r="J79" s="171">
        <f>IF(J5&gt;$D$7,0,Leadsheet!$E$54*(J34-SUM(I34:I39)+SUM(J35:J40)))</f>
        <v>0</v>
      </c>
      <c r="K79" s="171">
        <f>IF(K5&gt;$D$7,0,Leadsheet!$E$54*(K34-SUM(J34:J39)+SUM(K35:K40)))</f>
        <v>0</v>
      </c>
      <c r="L79" s="171">
        <f>IF(L5&gt;$D$7,0,Leadsheet!$E$54*(L34-SUM(K34:K39)+SUM(L35:L40)))</f>
        <v>0</v>
      </c>
      <c r="M79" s="171">
        <f>IF(M5&gt;$D$7,0,Leadsheet!$E$54*(M34-SUM(L34:L39)+SUM(M35:M40)))</f>
        <v>0</v>
      </c>
      <c r="N79" s="171">
        <f>IF(N5&gt;$D$7,0,Leadsheet!$E$54*(N34-SUM(M34:M39)+SUM(N35:N40)))</f>
        <v>0</v>
      </c>
      <c r="O79" s="171">
        <f>IF(O5&gt;$D$7,0,Leadsheet!$E$54*(O34-SUM(N34:N39)+SUM(O35:O40)))</f>
        <v>0</v>
      </c>
      <c r="P79" s="171">
        <f>IF(P5&gt;$D$7,0,Leadsheet!$E$54*(P34-SUM(O34:O39)+SUM(P35:P40)))</f>
        <v>0</v>
      </c>
      <c r="Q79" s="171">
        <f>IF(Q5&gt;$D$7,0,Leadsheet!$E$54*(Q34-SUM(P34:P39)+SUM(Q35:Q40)))</f>
        <v>0</v>
      </c>
      <c r="R79" s="171">
        <f>IF(R5&gt;$D$7,0,Leadsheet!$E$54*(R34-SUM(Q34:Q39)+SUM(R35:R40)))</f>
        <v>0</v>
      </c>
      <c r="S79" s="171">
        <f>IF(S5&gt;$D$7,0,Leadsheet!$E$54*(S34-SUM(R34:R39)+SUM(S35:S40)))</f>
        <v>0</v>
      </c>
      <c r="T79" s="171">
        <f>IF(T5&gt;$D$7,0,Leadsheet!$E$54*(T34-SUM(S34:S39)+SUM(T35:T40)))</f>
        <v>0</v>
      </c>
      <c r="U79" s="171">
        <f>IF(U5&gt;$D$7,0,Leadsheet!$E$54*(U34-SUM(T34:T39)+SUM(U35:U40)))</f>
        <v>0</v>
      </c>
      <c r="V79" s="171">
        <f>IF(V5&gt;$D$7,0,Leadsheet!$E$54*(V34-SUM(U34:U39)+SUM(V35:V40)))</f>
        <v>0</v>
      </c>
      <c r="W79" s="171">
        <f>IF(W5&gt;$D$7,0,Leadsheet!$E$54*(W34-SUM(V34:V39)+SUM(W35:W40)))</f>
        <v>0</v>
      </c>
      <c r="X79" s="171">
        <f>IF(X5&gt;$D$7,0,Leadsheet!$E$54*(X34-SUM(W34:W39)+SUM(X35:X40)))</f>
        <v>0</v>
      </c>
      <c r="Y79" s="171">
        <f>IF(Y5&gt;$D$7,0,Leadsheet!$E$54*(Y34-SUM(X34:X39)+SUM(Y35:Y40)))</f>
        <v>0</v>
      </c>
      <c r="Z79" s="171">
        <f>IF(Z5&gt;$D$7,0,Leadsheet!$E$54*(Z34-SUM(Y34:Y39)+SUM(Z35:Z40)))</f>
        <v>0</v>
      </c>
      <c r="AA79" s="171">
        <f>IF(AA5&gt;$D$7,0,Leadsheet!$E$54*(AA34-SUM(Z34:Z39)+SUM(AA35:AA40)))</f>
        <v>0</v>
      </c>
      <c r="AB79" s="171">
        <f>IF(AB5&gt;$D$7,0,Leadsheet!$E$54*(AB34-SUM(AA34:AA39)+SUM(AB35:AB40)))</f>
        <v>0</v>
      </c>
      <c r="AC79" s="171">
        <f>IF(AC5&gt;$D$7,0,Leadsheet!$E$54*(AC34-SUM(AB34:AB39)+SUM(AC35:AC40)))</f>
        <v>0</v>
      </c>
      <c r="AD79" s="171">
        <f>IF(AD5&gt;$D$7,0,Leadsheet!$E$54*(AD34-SUM(AC34:AC39)+SUM(AD35:AD40)))</f>
        <v>0</v>
      </c>
      <c r="AE79" s="171">
        <f>IF(AE5&gt;$D$7,0,Leadsheet!$E$54*(AE34-SUM(AD34:AD39)+SUM(AE35:AE40)))</f>
        <v>0</v>
      </c>
      <c r="AF79" s="171">
        <f>IF(AF5&gt;$D$7,0,Leadsheet!$E$54*(AF34-SUM(AE34:AE39)+SUM(AF35:AF40)))</f>
        <v>0</v>
      </c>
      <c r="AG79" s="171">
        <f>IF(AG5&gt;$D$7,0,Leadsheet!$E$54*(AG34-SUM(AF34:AF39)+SUM(AG35:AG40)))</f>
        <v>0</v>
      </c>
      <c r="AH79" s="171">
        <f>IF(AH5&gt;$D$7,0,Leadsheet!$E$54*(AH34-SUM(AG34:AG39)+SUM(AH35:AH40)))</f>
        <v>0</v>
      </c>
      <c r="AI79" s="171">
        <f>IF(AI5&gt;$D$7,0,Leadsheet!$E$54*(AI34-SUM(AH34:AH39)+SUM(AI35:AI40)))</f>
        <v>0</v>
      </c>
      <c r="AJ79" s="171">
        <f>IF(AJ5&gt;$D$7,0,Leadsheet!$E$54*(AJ34-SUM(AI34:AI39)+SUM(AJ35:AJ40)))</f>
        <v>0</v>
      </c>
      <c r="AK79" s="171">
        <f>IF(AK5&gt;$D$7,0,Leadsheet!$E$54*(AK34-SUM(AJ34:AJ39)+SUM(AK35:AK40)))</f>
        <v>0</v>
      </c>
      <c r="AL79" s="171">
        <f>IF(AL5&gt;$D$7,0,Leadsheet!$E$54*(AL34-SUM(AK34:AK39)+SUM(AL35:AL40)))</f>
        <v>0</v>
      </c>
      <c r="AM79" s="171">
        <f>IF(AM5&gt;$D$7,0,Leadsheet!$E$54*(AM34-SUM(AL34:AL39)+SUM(AM35:AM40)))</f>
        <v>0</v>
      </c>
      <c r="AN79" s="171">
        <f>IF(AN5&gt;$D$7,0,Leadsheet!$E$54*(AN34-SUM(AM34:AM39)+SUM(AN35:AN40)))</f>
        <v>0</v>
      </c>
      <c r="AO79" s="171">
        <f>IF(AO5&gt;$D$7,0,Leadsheet!$E$54*(AO34-SUM(AN34:AN39)+SUM(AO35:AO40)))</f>
        <v>0</v>
      </c>
      <c r="AP79" s="171">
        <f>IF(AP5&gt;$D$7,0,Leadsheet!$E$54*(AP34-SUM(AO34:AO39)+SUM(AP35:AP40)))</f>
        <v>0</v>
      </c>
      <c r="AQ79" s="171">
        <f>IF(AQ5&gt;$D$7,0,Leadsheet!$E$54*(AQ34-SUM(AP34:AP39)+SUM(AQ35:AQ40)))</f>
        <v>0</v>
      </c>
      <c r="AR79" s="171">
        <f>IF(AR5&gt;$D$7,0,Leadsheet!$E$54*(AR34-SUM(AQ34:AQ39)+SUM(AR35:AR40)))</f>
        <v>0</v>
      </c>
      <c r="AS79" s="171">
        <f>IF(AS5&gt;$D$7,0,Leadsheet!$E$54*(AS34-SUM(AR34:AR39)+SUM(AS35:AS40)))</f>
        <v>0</v>
      </c>
      <c r="AT79" s="171">
        <f>IF(AT5&gt;$D$7,0,Leadsheet!$E$54*(AT34-SUM(AS34:AS39)+SUM(AT35:AT40)))</f>
        <v>0</v>
      </c>
      <c r="AU79" s="171">
        <f>IF(AU5&gt;$D$7,0,Leadsheet!$E$54*(AU34-SUM(AT34:AT39)+SUM(AU35:AU40)))</f>
        <v>0</v>
      </c>
      <c r="AV79" s="171">
        <f>IF(AV5&gt;$D$7,0,Leadsheet!$E$54*(AV34-SUM(AU34:AU39)+SUM(AV35:AV40)))</f>
        <v>0</v>
      </c>
      <c r="AW79" s="171">
        <f>IF(AW5&gt;$D$7,0,Leadsheet!$E$54*(AW34-SUM(AV34:AV39)+SUM(AW35:AW40)))</f>
        <v>0</v>
      </c>
      <c r="AX79" s="171">
        <f>IF(AX5&gt;$D$7,0,Leadsheet!$E$54*(AX34-SUM(AW34:AW39)+SUM(AX35:AX40)))</f>
        <v>0</v>
      </c>
      <c r="AY79" s="171">
        <f>IF(AY5&gt;$D$7,0,Leadsheet!$E$54*(AY34-SUM(AX34:AX39)+SUM(AY35:AY40)))</f>
        <v>0</v>
      </c>
      <c r="AZ79" s="171">
        <f>IF(AZ5&gt;$D$7,0,Leadsheet!$E$54*(AZ34-SUM(AY34:AY39)+SUM(AZ35:AZ40)))</f>
        <v>0</v>
      </c>
      <c r="BA79" s="171">
        <f>IF(BA5&gt;$D$7,0,Leadsheet!$E$54*(BA34-SUM(AZ34:AZ39)+SUM(BA35:BA40)))</f>
        <v>0</v>
      </c>
      <c r="BB79" s="171">
        <f>IF(BB5&gt;$D$7,0,Leadsheet!$E$54*(BB34-SUM(BA34:BA39)+SUM(BB35:BB40)))</f>
        <v>0</v>
      </c>
      <c r="BC79" s="171">
        <f>IF(BC5&gt;$D$7,0,Leadsheet!$E$54*(BC34-SUM(BB34:BB39)+SUM(BC35:BC40)))</f>
        <v>0</v>
      </c>
      <c r="BD79" s="171">
        <f>IF(BD5&gt;$D$7,0,Leadsheet!$E$54*(BD34-SUM(BC34:BC39)+SUM(BD35:BD40)))</f>
        <v>0</v>
      </c>
      <c r="BE79" s="171">
        <f>IF(BE5&gt;$D$7,0,Leadsheet!$E$54*(BE34-SUM(BD34:BD39)+SUM(BE35:BE40)))</f>
        <v>0</v>
      </c>
      <c r="BF79" s="171">
        <f>IF(BF5&gt;$D$7,0,Leadsheet!$E$54*(BF34-SUM(BE34:BE39)+SUM(BF35:BF40)))</f>
        <v>0</v>
      </c>
      <c r="BG79" s="171">
        <f>IF(BG5&gt;$D$7,0,Leadsheet!$E$54*(BG34-SUM(BF34:BF39)+SUM(BG35:BG40)))</f>
        <v>0</v>
      </c>
      <c r="BH79" s="171">
        <f>IF(BH5&gt;$D$7,0,Leadsheet!$E$54*(BH34-SUM(BG34:BG39)+SUM(BH35:BH40)))</f>
        <v>0</v>
      </c>
      <c r="BI79" s="171">
        <f>IF(BI5&gt;$D$7,0,Leadsheet!$E$54*(BI34-SUM(BH34:BH39)+SUM(BI35:BI40)))</f>
        <v>0</v>
      </c>
      <c r="BJ79" s="171">
        <f>IF(BJ5&gt;$D$7,0,Leadsheet!$E$54*(BJ34-SUM(BI34:BI39)+SUM(BJ35:BJ40)))</f>
        <v>0</v>
      </c>
      <c r="BK79" s="171">
        <f>IF(BK5&gt;$D$7,0,Leadsheet!$E$54*(BK34-SUM(BJ34:BJ39)+SUM(BK35:BK40)))</f>
        <v>0</v>
      </c>
      <c r="BL79" s="171">
        <f>IF(BL5&gt;$D$7,0,Leadsheet!$E$54*(BL34-SUM(BK34:BK39)+SUM(BL35:BL40)))</f>
        <v>0</v>
      </c>
    </row>
    <row r="80" spans="2:64" x14ac:dyDescent="0.15">
      <c r="C80" s="192" t="s">
        <v>444</v>
      </c>
      <c r="E80" s="171"/>
      <c r="F80" s="171"/>
      <c r="G80" s="171">
        <f>IF(SUM(SAP_Speadsheet!E78:BL79)&gt;(SAP_Speadsheet!E84*Leadsheet!E53+SAP_Speadsheet!E84*Leadsheet!E54),-Leadsheet!E10*Leadsheet!E55,-SUM(SAP_Speadsheet!E78:BL79))</f>
        <v>0</v>
      </c>
      <c r="H80" s="171"/>
      <c r="I80" s="171"/>
      <c r="J80" s="171"/>
      <c r="K80" s="171"/>
      <c r="L80" s="171"/>
      <c r="M80" s="171"/>
      <c r="N80" s="171"/>
      <c r="O80" s="171"/>
      <c r="P80" s="171"/>
      <c r="Q80" s="171"/>
      <c r="R80" s="171"/>
      <c r="S80" s="171"/>
      <c r="T80" s="171"/>
      <c r="U80" s="171"/>
      <c r="V80" s="171"/>
      <c r="W80" s="171"/>
      <c r="X80" s="171"/>
      <c r="Y80" s="171"/>
      <c r="Z80" s="171"/>
      <c r="AA80" s="171"/>
      <c r="AB80" s="171"/>
      <c r="AC80" s="171"/>
      <c r="AD80" s="171"/>
      <c r="AE80" s="171"/>
      <c r="AF80" s="171"/>
      <c r="AG80" s="171"/>
      <c r="AH80" s="171"/>
      <c r="AI80" s="171"/>
      <c r="AJ80" s="171"/>
      <c r="AK80" s="171"/>
      <c r="AL80" s="171"/>
      <c r="AM80" s="171"/>
      <c r="AN80" s="171"/>
      <c r="AO80" s="171"/>
      <c r="AP80" s="171"/>
      <c r="AQ80" s="171"/>
      <c r="AR80" s="171"/>
      <c r="AS80" s="171"/>
      <c r="AT80" s="171"/>
      <c r="AU80" s="171"/>
      <c r="AV80" s="171"/>
      <c r="AW80" s="171"/>
      <c r="AX80" s="171"/>
      <c r="AY80" s="171"/>
      <c r="AZ80" s="171"/>
      <c r="BA80" s="171"/>
      <c r="BB80" s="171"/>
      <c r="BC80" s="171"/>
      <c r="BD80" s="171"/>
      <c r="BE80" s="171"/>
      <c r="BF80" s="171"/>
      <c r="BG80" s="171"/>
      <c r="BH80" s="171"/>
      <c r="BI80" s="171"/>
      <c r="BJ80" s="171"/>
      <c r="BK80" s="171"/>
      <c r="BL80" s="171"/>
    </row>
    <row r="81" spans="2:64" x14ac:dyDescent="0.15">
      <c r="C81" s="316" t="s">
        <v>445</v>
      </c>
      <c r="E81" s="171">
        <f>IF(E5&gt;$D$7,0,Leadsheet!$E$47*(-(E57+E61)+E31-SUM(D31:D39)+SUM(E32:E40)))</f>
        <v>0</v>
      </c>
      <c r="F81" s="171">
        <f>IF(F5&gt;$D$7,0,Leadsheet!$E$47*(-(F57+F61)+F31-SUM(E31:E39)+SUM(F32:F40)))</f>
        <v>0</v>
      </c>
      <c r="G81" s="171">
        <f>IF(G5&gt;$D$7,0,Leadsheet!$E$47*(-(G57+G61)+G31-SUM(F31:F39)+SUM(G32:G40)))</f>
        <v>0</v>
      </c>
      <c r="H81" s="171">
        <f>IF(H5&gt;$D$7,0,Leadsheet!$E$47*(-(H57+H61)+H31-SUM(G31:G39)+SUM(H32:H40)))</f>
        <v>0</v>
      </c>
      <c r="I81" s="171">
        <f>IF(I5&gt;$D$7,0,Leadsheet!$E$47*(-(I57+I61)+I31-SUM(H31:H39)+SUM(I32:I40)))</f>
        <v>0</v>
      </c>
      <c r="J81" s="171">
        <f>IF(J5&gt;$D$7,0,Leadsheet!$E$47*(-(J57+J61)+J31-SUM(I31:I39)+SUM(J32:J40)))</f>
        <v>0</v>
      </c>
      <c r="K81" s="171">
        <f>IF(K5&gt;$D$7,0,Leadsheet!$E$47*(-(K57+K61)+K31-SUM(J31:J39)+SUM(K32:K40)))</f>
        <v>0</v>
      </c>
      <c r="L81" s="171">
        <f>IF(L5&gt;$D$7,0,Leadsheet!$E$47*(-(L57+L61)+L31-SUM(K31:K39)+SUM(L32:L40)))</f>
        <v>0</v>
      </c>
      <c r="M81" s="171">
        <f>IF(M5&gt;$D$7,0,Leadsheet!$E$47*(-(M57+M61)+M31-SUM(L31:L39)+SUM(M32:M40)))</f>
        <v>0</v>
      </c>
      <c r="N81" s="171">
        <f>IF(N5&gt;$D$7,0,Leadsheet!$E$47*(-(N57+N61)+N31-SUM(M31:M39)+SUM(N32:N40)))</f>
        <v>0</v>
      </c>
      <c r="O81" s="171">
        <f>IF(O5&gt;$D$7,0,Leadsheet!$E$47*(-(O57+O61)+O31-SUM(N31:N39)+SUM(O32:O40)))</f>
        <v>0</v>
      </c>
      <c r="P81" s="171">
        <f>IF(P5&gt;$D$7,0,Leadsheet!$E$47*(-(P57+P61)+P31-SUM(O31:O39)+SUM(P32:P40)))</f>
        <v>0</v>
      </c>
      <c r="Q81" s="171">
        <f>IF(Q5&gt;$D$7,0,Leadsheet!$E$47*(-(Q57+Q61)+Q31-SUM(P31:P39)+SUM(Q32:Q40)))</f>
        <v>0</v>
      </c>
      <c r="R81" s="171">
        <f>IF(R5&gt;$D$7,0,Leadsheet!$E$47*(-(R57+R61)+R31-SUM(Q31:Q39)+SUM(R32:R40)))</f>
        <v>0</v>
      </c>
      <c r="S81" s="171">
        <f>IF(S5&gt;$D$7,0,Leadsheet!$E$47*(-(S57+S61)+S31-SUM(R31:R39)+SUM(S32:S40)))</f>
        <v>0</v>
      </c>
      <c r="T81" s="171">
        <f>IF(T5&gt;$D$7,0,Leadsheet!$E$47*(-(T57+T61)+T31-SUM(S31:S39)+SUM(T32:T40)))</f>
        <v>0</v>
      </c>
      <c r="U81" s="171">
        <f>IF(U5&gt;$D$7,0,Leadsheet!$E$47*(-(U57+U61)+U31-SUM(T31:T39)+SUM(U32:U40)))</f>
        <v>0</v>
      </c>
      <c r="V81" s="171">
        <f>IF(V5&gt;$D$7,0,Leadsheet!$E$47*(-(V57+V61)+V31-SUM(U31:U39)+SUM(V32:V40)))</f>
        <v>0</v>
      </c>
      <c r="W81" s="171">
        <f>IF(W5&gt;$D$7,0,Leadsheet!$E$47*(-(W57+W61)+W31-SUM(V31:V39)+SUM(W32:W40)))</f>
        <v>0</v>
      </c>
      <c r="X81" s="171">
        <f>IF(X5&gt;$D$7,0,Leadsheet!$E$47*(-(X57+X61)+X31-SUM(W31:W39)+SUM(X32:X40)))</f>
        <v>0</v>
      </c>
      <c r="Y81" s="171">
        <f>IF(Y5&gt;$D$7,0,Leadsheet!$E$47*(-(Y57+Y61)+Y31-SUM(X31:X39)+SUM(Y32:Y40)))</f>
        <v>0</v>
      </c>
      <c r="Z81" s="171">
        <f>IF(Z5&gt;$D$7,0,Leadsheet!$E$47*(-(Z57+Z61)+Z31-SUM(Y31:Y39)+SUM(Z32:Z40)))</f>
        <v>0</v>
      </c>
      <c r="AA81" s="171">
        <f>IF(AA5&gt;$D$7,0,Leadsheet!$E$47*(-(AA57+AA61)+AA31-SUM(Z31:Z39)+SUM(AA32:AA40)))</f>
        <v>0</v>
      </c>
      <c r="AB81" s="171">
        <f>IF(AB5&gt;$D$7,0,Leadsheet!$E$47*(-(AB57+AB61)+AB31-SUM(AA31:AA39)+SUM(AB32:AB40)))</f>
        <v>0</v>
      </c>
      <c r="AC81" s="171">
        <f>IF(AC5&gt;$D$7,0,Leadsheet!$E$47*(-(AC57+AC61)+AC31-SUM(AB31:AB39)+SUM(AC32:AC40)))</f>
        <v>0</v>
      </c>
      <c r="AD81" s="171">
        <f>IF(AD5&gt;$D$7,0,Leadsheet!$E$47*(-(AD57+AD61)+AD31-SUM(AC31:AC39)+SUM(AD32:AD40)))</f>
        <v>0</v>
      </c>
      <c r="AE81" s="171">
        <f>IF(AE5&gt;$D$7,0,Leadsheet!$E$47*(-(AE57+AE61)+AE31-SUM(AD31:AD39)+SUM(AE32:AE40)))</f>
        <v>0</v>
      </c>
      <c r="AF81" s="171">
        <f>IF(AF5&gt;$D$7,0,Leadsheet!$E$47*(-(AF57+AF61)+AF31-SUM(AE31:AE39)+SUM(AF32:AF40)))</f>
        <v>0</v>
      </c>
      <c r="AG81" s="171">
        <f>IF(AG5&gt;$D$7,0,Leadsheet!$E$47*(-(AG57+AG61)+AG31-SUM(AF31:AF39)+SUM(AG32:AG40)))</f>
        <v>0</v>
      </c>
      <c r="AH81" s="171">
        <f>IF(AH5&gt;$D$7,0,Leadsheet!$E$47*(-(AH57+AH61)+AH31-SUM(AG31:AG39)+SUM(AH32:AH40)))</f>
        <v>0</v>
      </c>
      <c r="AI81" s="171">
        <f>IF(AI5&gt;$D$7,0,Leadsheet!$E$47*(-(AI57+AI61)+AI31-SUM(AH31:AH39)+SUM(AI32:AI40)))</f>
        <v>0</v>
      </c>
      <c r="AJ81" s="171">
        <f>IF(AJ5&gt;$D$7,0,Leadsheet!$E$47*(-(AJ57+AJ61)+AJ31-SUM(AI31:AI39)+SUM(AJ32:AJ40)))</f>
        <v>0</v>
      </c>
      <c r="AK81" s="171">
        <f>IF(AK5&gt;$D$7,0,Leadsheet!$E$47*(-(AK57+AK61)+AK31-SUM(AJ31:AJ39)+SUM(AK32:AK40)))</f>
        <v>0</v>
      </c>
      <c r="AL81" s="171">
        <f>IF(AL5&gt;$D$7,0,Leadsheet!$E$47*(-(AL57+AL61)+AL31-SUM(AK31:AK39)+SUM(AL32:AL40)))</f>
        <v>0</v>
      </c>
      <c r="AM81" s="171">
        <f>IF(AM5&gt;$D$7,0,Leadsheet!$E$47*(-(AM57+AM61)+AM31-SUM(AL31:AL39)+SUM(AM32:AM40)))</f>
        <v>0</v>
      </c>
      <c r="AN81" s="171">
        <f>IF(AN5&gt;$D$7,0,Leadsheet!$E$47*(-(AN57+AN61)+AN31-SUM(AM31:AM39)+SUM(AN32:AN40)))</f>
        <v>0</v>
      </c>
      <c r="AO81" s="171">
        <f>IF(AO5&gt;$D$7,0,Leadsheet!$E$47*(-(AO57+AO61)+AO31-SUM(AN31:AN39)+SUM(AO32:AO40)))</f>
        <v>0</v>
      </c>
      <c r="AP81" s="171">
        <f>IF(AP5&gt;$D$7,0,Leadsheet!$E$47*(-(AP57+AP61)+AP31-SUM(AO31:AO39)+SUM(AP32:AP40)))</f>
        <v>0</v>
      </c>
      <c r="AQ81" s="171">
        <f>IF(AQ5&gt;$D$7,0,Leadsheet!$E$47*(-(AQ57+AQ61)+AQ31-SUM(AP31:AP39)+SUM(AQ32:AQ40)))</f>
        <v>0</v>
      </c>
      <c r="AR81" s="171">
        <f>IF(AR5&gt;$D$7,0,Leadsheet!$E$47*(-(AR57+AR61)+AR31-SUM(AQ31:AQ39)+SUM(AR32:AR40)))</f>
        <v>0</v>
      </c>
      <c r="AS81" s="171">
        <f>IF(AS5&gt;$D$7,0,Leadsheet!$E$47*(-(AS57+AS61)+AS31-SUM(AR31:AR39)+SUM(AS32:AS40)))</f>
        <v>0</v>
      </c>
      <c r="AT81" s="171">
        <f>IF(AT5&gt;$D$7,0,Leadsheet!$E$47*(-(AT57+AT61)+AT31-SUM(AS31:AS39)+SUM(AT32:AT40)))</f>
        <v>0</v>
      </c>
      <c r="AU81" s="171">
        <f>IF(AU5&gt;$D$7,0,Leadsheet!$E$47*(-(AU57+AU61)+AU31-SUM(AT31:AT39)+SUM(AU32:AU40)))</f>
        <v>0</v>
      </c>
      <c r="AV81" s="171">
        <f>IF(AV5&gt;$D$7,0,Leadsheet!$E$47*(-(AV57+AV61)+AV31-SUM(AU31:AU39)+SUM(AV32:AV40)))</f>
        <v>0</v>
      </c>
      <c r="AW81" s="171">
        <f>IF(AW5&gt;$D$7,0,Leadsheet!$E$47*(-(AW57+AW61)+AW31-SUM(AV31:AV39)+SUM(AW32:AW40)))</f>
        <v>0</v>
      </c>
      <c r="AX81" s="171">
        <f>IF(AX5&gt;$D$7,0,Leadsheet!$E$47*(-(AX57+AX61)+AX31-SUM(AW31:AW39)+SUM(AX32:AX40)))</f>
        <v>0</v>
      </c>
      <c r="AY81" s="171">
        <f>IF(AY5&gt;$D$7,0,Leadsheet!$E$47*(-(AY57+AY61)+AY31-SUM(AX31:AX39)+SUM(AY32:AY40)))</f>
        <v>0</v>
      </c>
      <c r="AZ81" s="171">
        <f>IF(AZ5&gt;$D$7,0,Leadsheet!$E$47*(-(AZ57+AZ61)+AZ31-SUM(AY31:AY39)+SUM(AZ32:AZ40)))</f>
        <v>0</v>
      </c>
      <c r="BA81" s="171">
        <f>IF(BA5&gt;$D$7,0,Leadsheet!$E$47*(-(BA57+BA61)+BA31-SUM(AZ31:AZ39)+SUM(BA32:BA40)))</f>
        <v>0</v>
      </c>
      <c r="BB81" s="171">
        <f>IF(BB5&gt;$D$7,0,Leadsheet!$E$47*(-(BB57+BB61)+BB31-SUM(BA31:BA39)+SUM(BB32:BB40)))</f>
        <v>0</v>
      </c>
      <c r="BC81" s="171">
        <f>IF(BC5&gt;$D$7,0,Leadsheet!$E$47*(-(BC57+BC61)+BC31-SUM(BB31:BB39)+SUM(BC32:BC40)))</f>
        <v>0</v>
      </c>
      <c r="BD81" s="171">
        <f>IF(BD5&gt;$D$7,0,Leadsheet!$E$47*(-(BD57+BD61)+BD31-SUM(BC31:BC39)+SUM(BD32:BD40)))</f>
        <v>0</v>
      </c>
      <c r="BE81" s="171">
        <f>IF(BE5&gt;$D$7,0,Leadsheet!$E$47*(-(BE57+BE61)+BE31-SUM(BD31:BD39)+SUM(BE32:BE40)))</f>
        <v>0</v>
      </c>
      <c r="BF81" s="171">
        <f>IF(BF5&gt;$D$7,0,Leadsheet!$E$47*(-(BF57+BF61)+BF31-SUM(BE31:BE39)+SUM(BF32:BF40)))</f>
        <v>0</v>
      </c>
      <c r="BG81" s="171">
        <f>IF(BG5&gt;$D$7,0,Leadsheet!$E$47*(-(BG57+BG61)+BG31-SUM(BF31:BF39)+SUM(BG32:BG40)))</f>
        <v>0</v>
      </c>
      <c r="BH81" s="171">
        <f>IF(BH5&gt;$D$7,0,Leadsheet!$E$47*(-(BH57+BH61)+BH31-SUM(BG31:BG39)+SUM(BH32:BH40)))</f>
        <v>0</v>
      </c>
      <c r="BI81" s="171">
        <f>IF(BI5&gt;$D$7,0,Leadsheet!$E$47*(-(BI57+BI61)+BI31-SUM(BH31:BH39)+SUM(BI32:BI40)))</f>
        <v>0</v>
      </c>
      <c r="BJ81" s="171">
        <f>IF(BJ5&gt;$D$7,0,Leadsheet!$E$47*(-(BJ57+BJ61)+BJ31-SUM(BI31:BI39)+SUM(BJ32:BJ40)))</f>
        <v>0</v>
      </c>
      <c r="BK81" s="171">
        <f>IF(BK5&gt;$D$7,0,Leadsheet!$E$47*(-(BK57+BK61)+BK31-SUM(BJ31:BJ39)+SUM(BK32:BK40)))</f>
        <v>0</v>
      </c>
      <c r="BL81" s="171">
        <f>IF(BL5&gt;$D$7,0,Leadsheet!$E$47*(-(BL57+BL61)+BL31-SUM(BK31:BK39)+SUM(BL32:BL40)))</f>
        <v>0</v>
      </c>
    </row>
    <row r="82" spans="2:64" x14ac:dyDescent="0.15">
      <c r="C82" s="316" t="s">
        <v>446</v>
      </c>
      <c r="E82" s="171">
        <f>IF(E5&gt;$D$7,0,Leadsheet!$E$48*(-(E57+E61)+E34-SUM(D34:D39)+SUM(E35:E40)))</f>
        <v>0</v>
      </c>
      <c r="F82" s="171">
        <f>IF(F5&gt;$D$7,0,Leadsheet!$E$48*(-(F57+F61)+F34-SUM(E34:E39)+SUM(F35:F40)))</f>
        <v>0</v>
      </c>
      <c r="G82" s="171">
        <f>IF(G5&gt;$D$7,0,Leadsheet!$E$48*(-(G57+G61)+G34-SUM(F34:F39)+SUM(G35:G40)))</f>
        <v>0</v>
      </c>
      <c r="H82" s="171">
        <f>IF(H5&gt;$D$7,0,Leadsheet!$E$48*(-(H57+H61)+H34-SUM(G34:G39)+SUM(H35:H40)))</f>
        <v>0</v>
      </c>
      <c r="I82" s="171">
        <f>IF(I5&gt;$D$7,0,Leadsheet!$E$48*(-(I57+I61)+I34-SUM(H34:H39)+SUM(I35:I40)))</f>
        <v>0</v>
      </c>
      <c r="J82" s="171">
        <f>IF(J5&gt;$D$7,0,Leadsheet!$E$48*(-(J57+J61)+J34-SUM(I34:I39)+SUM(J35:J40)))</f>
        <v>0</v>
      </c>
      <c r="K82" s="171">
        <f>IF(K5&gt;$D$7,0,Leadsheet!$E$48*(-(K57+K61)+K34-SUM(J34:J39)+SUM(K35:K40)))</f>
        <v>0</v>
      </c>
      <c r="L82" s="171">
        <f>IF(L5&gt;$D$7,0,Leadsheet!$E$48*(-(L57+L61)+L34-SUM(K34:K39)+SUM(L35:L40)))</f>
        <v>0</v>
      </c>
      <c r="M82" s="171">
        <f>IF(M5&gt;$D$7,0,Leadsheet!$E$48*(-(M57+M61)+M34-SUM(L34:L39)+SUM(M35:M40)))</f>
        <v>0</v>
      </c>
      <c r="N82" s="171">
        <f>IF(N5&gt;$D$7,0,Leadsheet!$E$48*(-(N57+N61)+N34-SUM(M34:M39)+SUM(N35:N40)))</f>
        <v>0</v>
      </c>
      <c r="O82" s="171">
        <f>IF(O5&gt;$D$7,0,Leadsheet!$E$48*(-(O57+O61)+O34-SUM(N34:N39)+SUM(O35:O40)))</f>
        <v>0</v>
      </c>
      <c r="P82" s="171">
        <f>IF(P5&gt;$D$7,0,Leadsheet!$E$48*(-(P57+P61)+P34-SUM(O34:O39)+SUM(P35:P40)))</f>
        <v>0</v>
      </c>
      <c r="Q82" s="171">
        <f>IF(Q5&gt;$D$7,0,Leadsheet!$E$48*(-(Q57+Q61)+Q34-SUM(P34:P39)+SUM(Q35:Q40)))</f>
        <v>0</v>
      </c>
      <c r="R82" s="171">
        <f>IF(R5&gt;$D$7,0,Leadsheet!$E$48*(-(R57+R61)+R34-SUM(Q34:Q39)+SUM(R35:R40)))</f>
        <v>0</v>
      </c>
      <c r="S82" s="171">
        <f>IF(S5&gt;$D$7,0,Leadsheet!$E$48*(-(S57+S61)+S34-SUM(R34:R39)+SUM(S35:S40)))</f>
        <v>0</v>
      </c>
      <c r="T82" s="171">
        <f>IF(T5&gt;$D$7,0,Leadsheet!$E$48*(-(T57+T61)+T34-SUM(S34:S39)+SUM(T35:T40)))</f>
        <v>0</v>
      </c>
      <c r="U82" s="171">
        <f>IF(U5&gt;$D$7,0,Leadsheet!$E$48*(-(U57+U61)+U34-SUM(T34:T39)+SUM(U35:U40)))</f>
        <v>0</v>
      </c>
      <c r="V82" s="171">
        <f>IF(V5&gt;$D$7,0,Leadsheet!$E$48*(-(V57+V61)+V34-SUM(U34:U39)+SUM(V35:V40)))</f>
        <v>0</v>
      </c>
      <c r="W82" s="171">
        <f>IF(W5&gt;$D$7,0,Leadsheet!$E$48*(-(W57+W61)+W34-SUM(V34:V39)+SUM(W35:W40)))</f>
        <v>0</v>
      </c>
      <c r="X82" s="171">
        <f>IF(X5&gt;$D$7,0,Leadsheet!$E$48*(-(X57+X61)+X34-SUM(W34:W39)+SUM(X35:X40)))</f>
        <v>0</v>
      </c>
      <c r="Y82" s="171">
        <f>IF(Y5&gt;$D$7,0,Leadsheet!$E$48*(-(Y57+Y61)+Y34-SUM(X34:X39)+SUM(Y35:Y40)))</f>
        <v>0</v>
      </c>
      <c r="Z82" s="171">
        <f>IF(Z5&gt;$D$7,0,Leadsheet!$E$48*(-(Z57+Z61)+Z34-SUM(Y34:Y39)+SUM(Z35:Z40)))</f>
        <v>0</v>
      </c>
      <c r="AA82" s="171">
        <f>IF(AA5&gt;$D$7,0,Leadsheet!$E$48*(-(AA57+AA61)+AA34-SUM(Z34:Z39)+SUM(AA35:AA40)))</f>
        <v>0</v>
      </c>
      <c r="AB82" s="171">
        <f>IF(AB5&gt;$D$7,0,Leadsheet!$E$48*(-(AB57+AB61)+AB34-SUM(AA34:AA39)+SUM(AB35:AB40)))</f>
        <v>0</v>
      </c>
      <c r="AC82" s="171">
        <f>IF(AC5&gt;$D$7,0,Leadsheet!$E$48*(-(AC57+AC61)+AC34-SUM(AB34:AB39)+SUM(AC35:AC40)))</f>
        <v>0</v>
      </c>
      <c r="AD82" s="171">
        <f>IF(AD5&gt;$D$7,0,Leadsheet!$E$48*(-(AD57+AD61)+AD34-SUM(AC34:AC39)+SUM(AD35:AD40)))</f>
        <v>0</v>
      </c>
      <c r="AE82" s="171">
        <f>IF(AE5&gt;$D$7,0,Leadsheet!$E$48*(-(AE57+AE61)+AE34-SUM(AD34:AD39)+SUM(AE35:AE40)))</f>
        <v>0</v>
      </c>
      <c r="AF82" s="171">
        <f>IF(AF5&gt;$D$7,0,Leadsheet!$E$48*(-(AF57+AF61)+AF34-SUM(AE34:AE39)+SUM(AF35:AF40)))</f>
        <v>0</v>
      </c>
      <c r="AG82" s="171">
        <f>IF(AG5&gt;$D$7,0,Leadsheet!$E$48*(-(AG57+AG61)+AG34-SUM(AF34:AF39)+SUM(AG35:AG40)))</f>
        <v>0</v>
      </c>
      <c r="AH82" s="171">
        <f>IF(AH5&gt;$D$7,0,Leadsheet!$E$48*(-(AH57+AH61)+AH34-SUM(AG34:AG39)+SUM(AH35:AH40)))</f>
        <v>0</v>
      </c>
      <c r="AI82" s="171">
        <f>IF(AI5&gt;$D$7,0,Leadsheet!$E$48*(-(AI57+AI61)+AI34-SUM(AH34:AH39)+SUM(AI35:AI40)))</f>
        <v>0</v>
      </c>
      <c r="AJ82" s="171">
        <f>IF(AJ5&gt;$D$7,0,Leadsheet!$E$48*(-(AJ57+AJ61)+AJ34-SUM(AI34:AI39)+SUM(AJ35:AJ40)))</f>
        <v>0</v>
      </c>
      <c r="AK82" s="171">
        <f>IF(AK5&gt;$D$7,0,Leadsheet!$E$48*(-(AK57+AK61)+AK34-SUM(AJ34:AJ39)+SUM(AK35:AK40)))</f>
        <v>0</v>
      </c>
      <c r="AL82" s="171">
        <f>IF(AL5&gt;$D$7,0,Leadsheet!$E$48*(-(AL57+AL61)+AL34-SUM(AK34:AK39)+SUM(AL35:AL40)))</f>
        <v>0</v>
      </c>
      <c r="AM82" s="171">
        <f>IF(AM5&gt;$D$7,0,Leadsheet!$E$48*(-(AM57+AM61)+AM34-SUM(AL34:AL39)+SUM(AM35:AM40)))</f>
        <v>0</v>
      </c>
      <c r="AN82" s="171">
        <f>IF(AN5&gt;$D$7,0,Leadsheet!$E$48*(-(AN57+AN61)+AN34-SUM(AM34:AM39)+SUM(AN35:AN40)))</f>
        <v>0</v>
      </c>
      <c r="AO82" s="171">
        <f>IF(AO5&gt;$D$7,0,Leadsheet!$E$48*(-(AO57+AO61)+AO34-SUM(AN34:AN39)+SUM(AO35:AO40)))</f>
        <v>0</v>
      </c>
      <c r="AP82" s="171">
        <f>IF(AP5&gt;$D$7,0,Leadsheet!$E$48*(-(AP57+AP61)+AP34-SUM(AO34:AO39)+SUM(AP35:AP40)))</f>
        <v>0</v>
      </c>
      <c r="AQ82" s="171">
        <f>IF(AQ5&gt;$D$7,0,Leadsheet!$E$48*(-(AQ57+AQ61)+AQ34-SUM(AP34:AP39)+SUM(AQ35:AQ40)))</f>
        <v>0</v>
      </c>
      <c r="AR82" s="171">
        <f>IF(AR5&gt;$D$7,0,Leadsheet!$E$48*(-(AR57+AR61)+AR34-SUM(AQ34:AQ39)+SUM(AR35:AR40)))</f>
        <v>0</v>
      </c>
      <c r="AS82" s="171">
        <f>IF(AS5&gt;$D$7,0,Leadsheet!$E$48*(-(AS57+AS61)+AS34-SUM(AR34:AR39)+SUM(AS35:AS40)))</f>
        <v>0</v>
      </c>
      <c r="AT82" s="171">
        <f>IF(AT5&gt;$D$7,0,Leadsheet!$E$48*(-(AT57+AT61)+AT34-SUM(AS34:AS39)+SUM(AT35:AT40)))</f>
        <v>0</v>
      </c>
      <c r="AU82" s="171">
        <f>IF(AU5&gt;$D$7,0,Leadsheet!$E$48*(-(AU57+AU61)+AU34-SUM(AT34:AT39)+SUM(AU35:AU40)))</f>
        <v>0</v>
      </c>
      <c r="AV82" s="171">
        <f>IF(AV5&gt;$D$7,0,Leadsheet!$E$48*(-(AV57+AV61)+AV34-SUM(AU34:AU39)+SUM(AV35:AV40)))</f>
        <v>0</v>
      </c>
      <c r="AW82" s="171">
        <f>IF(AW5&gt;$D$7,0,Leadsheet!$E$48*(-(AW57+AW61)+AW34-SUM(AV34:AV39)+SUM(AW35:AW40)))</f>
        <v>0</v>
      </c>
      <c r="AX82" s="171">
        <f>IF(AX5&gt;$D$7,0,Leadsheet!$E$48*(-(AX57+AX61)+AX34-SUM(AW34:AW39)+SUM(AX35:AX40)))</f>
        <v>0</v>
      </c>
      <c r="AY82" s="171">
        <f>IF(AY5&gt;$D$7,0,Leadsheet!$E$48*(-(AY57+AY61)+AY34-SUM(AX34:AX39)+SUM(AY35:AY40)))</f>
        <v>0</v>
      </c>
      <c r="AZ82" s="171">
        <f>IF(AZ5&gt;$D$7,0,Leadsheet!$E$48*(-(AZ57+AZ61)+AZ34-SUM(AY34:AY39)+SUM(AZ35:AZ40)))</f>
        <v>0</v>
      </c>
      <c r="BA82" s="171">
        <f>IF(BA5&gt;$D$7,0,Leadsheet!$E$48*(-(BA57+BA61)+BA34-SUM(AZ34:AZ39)+SUM(BA35:BA40)))</f>
        <v>0</v>
      </c>
      <c r="BB82" s="171">
        <f>IF(BB5&gt;$D$7,0,Leadsheet!$E$48*(-(BB57+BB61)+BB34-SUM(BA34:BA39)+SUM(BB35:BB40)))</f>
        <v>0</v>
      </c>
      <c r="BC82" s="171">
        <f>IF(BC5&gt;$D$7,0,Leadsheet!$E$48*(-(BC57+BC61)+BC34-SUM(BB34:BB39)+SUM(BC35:BC40)))</f>
        <v>0</v>
      </c>
      <c r="BD82" s="171">
        <f>IF(BD5&gt;$D$7,0,Leadsheet!$E$48*(-(BD57+BD61)+BD34-SUM(BC34:BC39)+SUM(BD35:BD40)))</f>
        <v>0</v>
      </c>
      <c r="BE82" s="171">
        <f>IF(BE5&gt;$D$7,0,Leadsheet!$E$48*(-(BE57+BE61)+BE34-SUM(BD34:BD39)+SUM(BE35:BE40)))</f>
        <v>0</v>
      </c>
      <c r="BF82" s="171">
        <f>IF(BF5&gt;$D$7,0,Leadsheet!$E$48*(-(BF57+BF61)+BF34-SUM(BE34:BE39)+SUM(BF35:BF40)))</f>
        <v>0</v>
      </c>
      <c r="BG82" s="171">
        <f>IF(BG5&gt;$D$7,0,Leadsheet!$E$48*(-(BG57+BG61)+BG34-SUM(BF34:BF39)+SUM(BG35:BG40)))</f>
        <v>0</v>
      </c>
      <c r="BH82" s="171">
        <f>IF(BH5&gt;$D$7,0,Leadsheet!$E$48*(-(BH57+BH61)+BH34-SUM(BG34:BG39)+SUM(BH35:BH40)))</f>
        <v>0</v>
      </c>
      <c r="BI82" s="171">
        <f>IF(BI5&gt;$D$7,0,Leadsheet!$E$48*(-(BI57+BI61)+BI34-SUM(BH34:BH39)+SUM(BI35:BI40)))</f>
        <v>0</v>
      </c>
      <c r="BJ82" s="171">
        <f>IF(BJ5&gt;$D$7,0,Leadsheet!$E$48*(-(BJ57+BJ61)+BJ34-SUM(BI34:BI39)+SUM(BJ35:BJ40)))</f>
        <v>0</v>
      </c>
      <c r="BK82" s="171">
        <f>IF(BK5&gt;$D$7,0,Leadsheet!$E$48*(-(BK57+BK61)+BK34-SUM(BJ34:BJ39)+SUM(BK35:BK40)))</f>
        <v>0</v>
      </c>
      <c r="BL82" s="171">
        <f>IF(BL5&gt;$D$7,0,Leadsheet!$E$48*(-(BL57+BL61)+BL34-SUM(BK34:BK39)+SUM(BL35:BL40)))</f>
        <v>0</v>
      </c>
    </row>
    <row r="83" spans="2:64" x14ac:dyDescent="0.15">
      <c r="C83" s="316"/>
      <c r="E83" s="171"/>
      <c r="F83" s="171"/>
      <c r="G83" s="171"/>
      <c r="H83" s="171"/>
      <c r="I83" s="171"/>
      <c r="J83" s="171"/>
      <c r="K83" s="171"/>
      <c r="L83" s="171"/>
      <c r="M83" s="171"/>
      <c r="N83" s="171"/>
      <c r="O83" s="171"/>
      <c r="P83" s="171"/>
      <c r="Q83" s="171"/>
      <c r="R83" s="171"/>
      <c r="S83" s="171"/>
      <c r="T83" s="171"/>
      <c r="U83" s="171"/>
      <c r="V83" s="171"/>
      <c r="W83" s="171"/>
      <c r="X83" s="171"/>
      <c r="Y83" s="171"/>
      <c r="Z83" s="171"/>
      <c r="AA83" s="171"/>
      <c r="AB83" s="171"/>
      <c r="AC83" s="171"/>
      <c r="AD83" s="171"/>
      <c r="AE83" s="171"/>
      <c r="AF83" s="171"/>
      <c r="AG83" s="171"/>
      <c r="AH83" s="171"/>
      <c r="AI83" s="171"/>
      <c r="AJ83" s="171"/>
      <c r="AK83" s="171"/>
      <c r="AL83" s="171"/>
      <c r="AM83" s="171"/>
      <c r="AN83" s="171"/>
      <c r="AO83" s="171"/>
      <c r="AP83" s="171"/>
      <c r="AQ83" s="171"/>
      <c r="AR83" s="171"/>
      <c r="AS83" s="171"/>
      <c r="AT83" s="171"/>
      <c r="AU83" s="171"/>
      <c r="AV83" s="171"/>
      <c r="AW83" s="171"/>
      <c r="AX83" s="171"/>
      <c r="AY83" s="171"/>
      <c r="AZ83" s="171"/>
      <c r="BA83" s="171"/>
      <c r="BB83" s="171"/>
      <c r="BC83" s="171"/>
      <c r="BD83" s="171"/>
      <c r="BE83" s="171"/>
      <c r="BF83" s="171"/>
      <c r="BG83" s="171"/>
      <c r="BH83" s="171"/>
      <c r="BI83" s="171"/>
      <c r="BJ83" s="171"/>
      <c r="BK83" s="171"/>
      <c r="BL83" s="171"/>
    </row>
    <row r="84" spans="2:64" x14ac:dyDescent="0.15">
      <c r="C84" s="316"/>
      <c r="E84" s="171"/>
      <c r="F84" s="171"/>
      <c r="G84" s="171"/>
      <c r="H84" s="171"/>
      <c r="I84" s="171"/>
      <c r="J84" s="171"/>
      <c r="K84" s="171"/>
      <c r="L84" s="171"/>
      <c r="M84" s="171"/>
      <c r="N84" s="171"/>
      <c r="O84" s="171"/>
      <c r="P84" s="171"/>
      <c r="Q84" s="171"/>
      <c r="R84" s="171"/>
      <c r="S84" s="171"/>
      <c r="T84" s="171"/>
      <c r="U84" s="171"/>
      <c r="V84" s="171"/>
      <c r="W84" s="171"/>
      <c r="X84" s="171"/>
      <c r="Y84" s="171"/>
      <c r="Z84" s="171"/>
      <c r="AA84" s="171"/>
      <c r="AB84" s="171"/>
      <c r="AC84" s="171"/>
      <c r="AD84" s="171"/>
      <c r="AE84" s="171"/>
      <c r="AF84" s="171"/>
      <c r="AG84" s="171"/>
      <c r="AH84" s="171"/>
      <c r="AI84" s="171"/>
      <c r="AJ84" s="171"/>
      <c r="AK84" s="171"/>
      <c r="AL84" s="171"/>
      <c r="AM84" s="171"/>
      <c r="AN84" s="171"/>
      <c r="AO84" s="171"/>
      <c r="AP84" s="171"/>
      <c r="AQ84" s="171"/>
      <c r="AR84" s="171"/>
      <c r="AS84" s="171"/>
      <c r="AT84" s="171"/>
      <c r="AU84" s="171"/>
      <c r="AV84" s="171"/>
      <c r="AW84" s="171"/>
      <c r="AX84" s="171"/>
      <c r="AY84" s="171"/>
      <c r="AZ84" s="171"/>
      <c r="BA84" s="171"/>
      <c r="BB84" s="171"/>
      <c r="BC84" s="171"/>
      <c r="BD84" s="171"/>
      <c r="BE84" s="171"/>
      <c r="BF84" s="171"/>
      <c r="BG84" s="171"/>
      <c r="BH84" s="171"/>
      <c r="BI84" s="171"/>
      <c r="BJ84" s="171"/>
      <c r="BK84" s="171"/>
      <c r="BL84" s="171"/>
    </row>
    <row r="85" spans="2:64" x14ac:dyDescent="0.15">
      <c r="B85" s="186" t="s">
        <v>301</v>
      </c>
      <c r="C85" s="316"/>
      <c r="E85" s="293">
        <f>E86+E67</f>
        <v>0</v>
      </c>
      <c r="F85" s="171"/>
      <c r="G85" s="171"/>
      <c r="H85" s="171"/>
      <c r="I85" s="171"/>
      <c r="J85" s="171"/>
      <c r="K85" s="171"/>
      <c r="L85" s="171"/>
      <c r="M85" s="171"/>
      <c r="N85" s="171"/>
      <c r="O85" s="171"/>
      <c r="P85" s="171"/>
      <c r="Q85" s="171"/>
      <c r="R85" s="171"/>
      <c r="S85" s="171"/>
      <c r="T85" s="171"/>
      <c r="U85" s="171"/>
      <c r="V85" s="171"/>
      <c r="W85" s="171"/>
      <c r="X85" s="171"/>
      <c r="Y85" s="171"/>
      <c r="Z85" s="171"/>
      <c r="AA85" s="171"/>
      <c r="AB85" s="171"/>
      <c r="AC85" s="171"/>
      <c r="AD85" s="171"/>
      <c r="AE85" s="171"/>
      <c r="AF85" s="171"/>
      <c r="AG85" s="171"/>
      <c r="AH85" s="171"/>
      <c r="AI85" s="171"/>
      <c r="AJ85" s="171"/>
      <c r="AK85" s="171"/>
      <c r="AL85" s="171"/>
      <c r="AM85" s="171"/>
      <c r="AN85" s="171"/>
      <c r="AO85" s="171"/>
      <c r="AP85" s="171"/>
      <c r="AQ85" s="171"/>
      <c r="AR85" s="171"/>
      <c r="AS85" s="171"/>
      <c r="AT85" s="171"/>
      <c r="AU85" s="171"/>
      <c r="AV85" s="171"/>
      <c r="AW85" s="171"/>
      <c r="AX85" s="171"/>
      <c r="AY85" s="171"/>
      <c r="AZ85" s="171"/>
      <c r="BA85" s="171"/>
      <c r="BB85" s="171"/>
      <c r="BC85" s="171"/>
      <c r="BD85" s="171"/>
      <c r="BE85" s="171"/>
      <c r="BF85" s="171"/>
      <c r="BG85" s="171"/>
      <c r="BH85" s="171"/>
      <c r="BI85" s="171"/>
      <c r="BJ85" s="171"/>
      <c r="BK85" s="171"/>
      <c r="BL85" s="171"/>
    </row>
    <row r="86" spans="2:64" x14ac:dyDescent="0.15">
      <c r="C86" s="115" t="s">
        <v>447</v>
      </c>
      <c r="E86" s="171">
        <f>-Leadsheet!E61</f>
        <v>0</v>
      </c>
    </row>
    <row r="88" spans="2:64" x14ac:dyDescent="0.15">
      <c r="B88" s="201" t="s">
        <v>280</v>
      </c>
      <c r="C88" s="186"/>
      <c r="D88" s="186"/>
      <c r="E88" s="293">
        <f>E89+E90+E91</f>
        <v>-3.8198394028711544E-2</v>
      </c>
      <c r="F88" s="317"/>
      <c r="G88" s="317"/>
      <c r="H88" s="317"/>
      <c r="I88" s="317"/>
      <c r="J88" s="317"/>
      <c r="K88" s="317"/>
      <c r="L88" s="317"/>
      <c r="M88" s="317"/>
      <c r="N88" s="317"/>
      <c r="O88" s="317"/>
      <c r="P88" s="317"/>
      <c r="Q88" s="317"/>
      <c r="R88" s="317"/>
      <c r="S88" s="317"/>
      <c r="T88" s="317"/>
      <c r="U88" s="317"/>
      <c r="V88" s="317"/>
      <c r="W88" s="317"/>
      <c r="X88" s="317"/>
      <c r="Y88" s="317"/>
      <c r="Z88" s="317"/>
      <c r="AA88" s="317"/>
      <c r="AB88" s="317"/>
      <c r="AC88" s="317"/>
      <c r="AD88" s="317"/>
      <c r="AE88" s="317"/>
      <c r="AF88" s="317"/>
      <c r="AG88" s="317"/>
      <c r="AH88" s="317"/>
      <c r="AI88" s="317"/>
      <c r="AJ88" s="317"/>
      <c r="AK88" s="317"/>
      <c r="AL88" s="317"/>
      <c r="AM88" s="317"/>
      <c r="AN88" s="317"/>
      <c r="AO88" s="317"/>
      <c r="AP88" s="317"/>
      <c r="AQ88" s="317"/>
      <c r="AR88" s="317"/>
      <c r="AS88" s="317"/>
      <c r="AT88" s="317"/>
      <c r="AU88" s="317"/>
      <c r="AV88" s="317"/>
      <c r="AW88" s="317"/>
      <c r="AX88" s="317"/>
      <c r="AY88" s="317"/>
      <c r="AZ88" s="317"/>
      <c r="BA88" s="317"/>
      <c r="BB88" s="317"/>
      <c r="BC88" s="317"/>
    </row>
    <row r="89" spans="2:64" x14ac:dyDescent="0.15">
      <c r="C89" s="115" t="s">
        <v>448</v>
      </c>
      <c r="E89" s="171">
        <f>-Leadsheet!E63/Leadsheet!E66/Leadsheet!E67-Leadsheet!E64</f>
        <v>-3.419839402871154E-2</v>
      </c>
    </row>
    <row r="90" spans="2:64" x14ac:dyDescent="0.15">
      <c r="C90" s="115" t="s">
        <v>206</v>
      </c>
      <c r="E90" s="171">
        <f>-Leadsheet!E65</f>
        <v>-4.0000000000000001E-3</v>
      </c>
    </row>
    <row r="91" spans="2:64" x14ac:dyDescent="0.15">
      <c r="C91" s="115" t="s">
        <v>204</v>
      </c>
      <c r="E91" s="171">
        <f>-Leadsheet!E64</f>
        <v>0</v>
      </c>
      <c r="F91" s="171"/>
      <c r="G91" s="171"/>
      <c r="H91" s="171"/>
      <c r="I91" s="171"/>
      <c r="J91" s="171"/>
      <c r="K91" s="171"/>
      <c r="L91" s="171"/>
      <c r="M91" s="171"/>
      <c r="N91" s="171"/>
      <c r="O91" s="171"/>
      <c r="P91" s="171"/>
      <c r="Q91" s="171"/>
      <c r="R91" s="171"/>
      <c r="S91" s="171"/>
      <c r="T91" s="171"/>
      <c r="U91" s="171"/>
      <c r="V91" s="171"/>
      <c r="W91" s="171"/>
      <c r="X91" s="171"/>
      <c r="Y91" s="171"/>
      <c r="Z91" s="171"/>
      <c r="AA91" s="171"/>
      <c r="AB91" s="171"/>
      <c r="AC91" s="171"/>
      <c r="AD91" s="171"/>
      <c r="AE91" s="171"/>
      <c r="AF91" s="171"/>
      <c r="AG91" s="171"/>
      <c r="AH91" s="171"/>
      <c r="AI91" s="171"/>
      <c r="AJ91" s="171"/>
      <c r="AK91" s="171"/>
      <c r="AL91" s="171"/>
      <c r="AM91" s="171"/>
      <c r="AN91" s="171"/>
      <c r="AO91" s="171"/>
      <c r="AP91" s="171"/>
      <c r="AQ91" s="171"/>
      <c r="AR91" s="171"/>
      <c r="AS91" s="171"/>
      <c r="AT91" s="171"/>
      <c r="AU91" s="171"/>
      <c r="AV91" s="171"/>
      <c r="AW91" s="171"/>
      <c r="AX91" s="171"/>
      <c r="AY91" s="171"/>
      <c r="AZ91" s="171"/>
      <c r="BA91" s="171"/>
      <c r="BB91" s="171"/>
      <c r="BC91" s="171"/>
    </row>
    <row r="92" spans="2:64" x14ac:dyDescent="0.15">
      <c r="F92" s="171"/>
      <c r="G92" s="171"/>
      <c r="H92" s="171"/>
      <c r="I92" s="171"/>
      <c r="J92" s="171"/>
      <c r="K92" s="171"/>
      <c r="L92" s="171"/>
      <c r="M92" s="171"/>
      <c r="N92" s="171"/>
      <c r="O92" s="171"/>
      <c r="P92" s="171"/>
      <c r="Q92" s="171"/>
      <c r="R92" s="171"/>
      <c r="S92" s="171"/>
      <c r="T92" s="171"/>
      <c r="U92" s="171"/>
      <c r="V92" s="171"/>
      <c r="W92" s="171"/>
      <c r="X92" s="171"/>
      <c r="Y92" s="171"/>
      <c r="Z92" s="171"/>
      <c r="AA92" s="171"/>
      <c r="AB92" s="171"/>
      <c r="AC92" s="171"/>
      <c r="AD92" s="171"/>
      <c r="AE92" s="171"/>
      <c r="AF92" s="171"/>
      <c r="AG92" s="171"/>
      <c r="AH92" s="171"/>
      <c r="AI92" s="171"/>
      <c r="AJ92" s="171"/>
      <c r="AK92" s="171"/>
      <c r="AL92" s="171"/>
      <c r="AM92" s="171"/>
      <c r="AN92" s="171"/>
      <c r="AO92" s="171"/>
      <c r="AP92" s="171"/>
      <c r="AQ92" s="171"/>
      <c r="AR92" s="171"/>
      <c r="AS92" s="171"/>
      <c r="AT92" s="171"/>
      <c r="AU92" s="171"/>
      <c r="AV92" s="171"/>
      <c r="AW92" s="171"/>
      <c r="AX92" s="171"/>
      <c r="AY92" s="171"/>
      <c r="AZ92" s="171"/>
      <c r="BA92" s="171"/>
      <c r="BB92" s="171"/>
      <c r="BC92" s="171"/>
    </row>
    <row r="93" spans="2:64" x14ac:dyDescent="0.15">
      <c r="C93" s="318" t="s">
        <v>449</v>
      </c>
      <c r="D93" s="318"/>
      <c r="E93" s="319">
        <v>1</v>
      </c>
      <c r="F93" s="319">
        <f>IF(F$5&gt;$D$7,0,IF(F$5&lt;12,1,(1+Leadsheet!$E$43)^(ROUNDDOWN(F$5/12,0))))</f>
        <v>1</v>
      </c>
      <c r="G93" s="319">
        <f>IF(G$5&gt;$D$7,0,IF(G$5&lt;12,1,(1+Leadsheet!$E$43)^(ROUNDDOWN(G$5/12,0))))</f>
        <v>1</v>
      </c>
      <c r="H93" s="319">
        <f>IF(H$5&gt;$D$7,0,IF(H$5&lt;12,1,(1+Leadsheet!$E$43)^(ROUNDDOWN(H$5/12,0))))</f>
        <v>1</v>
      </c>
      <c r="I93" s="319">
        <f>IF(I$5&gt;$D$7,0,IF(I$5&lt;12,1,(1+Leadsheet!$E$43)^(ROUNDDOWN(I$5/12,0))))</f>
        <v>1</v>
      </c>
      <c r="J93" s="319">
        <f>IF(J$5&gt;$D$7,0,IF(J$5&lt;12,1,(1+Leadsheet!$E$43)^(ROUNDDOWN(J$5/12,0))))</f>
        <v>1</v>
      </c>
      <c r="K93" s="319">
        <f>IF(K$5&gt;$D$7,0,IF(K$5&lt;12,1,(1+Leadsheet!$E$43)^(ROUNDDOWN(K$5/12,0))))</f>
        <v>1</v>
      </c>
      <c r="L93" s="319">
        <f>IF(L$5&gt;$D$7,0,IF(L$5&lt;12,1,(1+Leadsheet!$E$43)^(ROUNDDOWN(L$5/12,0))))</f>
        <v>1</v>
      </c>
      <c r="M93" s="319">
        <f>IF(M$5&gt;$D$7,0,IF(M$5&lt;12,1,(1+Leadsheet!$E$43)^(ROUNDDOWN(M$5/12,0))))</f>
        <v>1</v>
      </c>
      <c r="N93" s="319">
        <f>IF(N$5&gt;$D$7,0,IF(N$5&lt;12,1,(1+Leadsheet!$E$43)^(ROUNDDOWN(N$5/12,0))))</f>
        <v>1</v>
      </c>
      <c r="O93" s="319">
        <f>IF(O$5&gt;$D$7,0,IF(O$5&lt;12,1,(1+Leadsheet!$E$43)^(ROUNDDOWN(O$5/12,0))))</f>
        <v>1</v>
      </c>
      <c r="P93" s="319">
        <f>IF(P$5&gt;$D$7,0,IF(P$5&lt;12,1,(1+Leadsheet!$E$43)^(ROUNDDOWN(P$5/12,0))))</f>
        <v>1.0349999999999999</v>
      </c>
      <c r="Q93" s="319">
        <f>IF(Q$5&gt;$D$7,0,IF(Q$5&lt;12,1,(1+Leadsheet!$E$43)^(ROUNDDOWN(Q$5/12,0))))</f>
        <v>1.0349999999999999</v>
      </c>
      <c r="R93" s="319">
        <f>IF(R$5&gt;$D$7,0,IF(R$5&lt;12,1,(1+Leadsheet!$E$43)^(ROUNDDOWN(R$5/12,0))))</f>
        <v>1.0349999999999999</v>
      </c>
      <c r="S93" s="319">
        <f>IF(S$5&gt;$D$7,0,IF(S$5&lt;12,1,(1+Leadsheet!$E$43)^(ROUNDDOWN(S$5/12,0))))</f>
        <v>1.0349999999999999</v>
      </c>
      <c r="T93" s="319">
        <f>IF(T$5&gt;$D$7,0,IF(T$5&lt;12,1,(1+Leadsheet!$E$43)^(ROUNDDOWN(T$5/12,0))))</f>
        <v>1.0349999999999999</v>
      </c>
      <c r="U93" s="319">
        <f>IF(U$5&gt;$D$7,0,IF(U$5&lt;12,1,(1+Leadsheet!$E$43)^(ROUNDDOWN(U$5/12,0))))</f>
        <v>1.0349999999999999</v>
      </c>
      <c r="V93" s="319">
        <f>IF(V$5&gt;$D$7,0,IF(V$5&lt;12,1,(1+Leadsheet!$E$43)^(ROUNDDOWN(V$5/12,0))))</f>
        <v>1.0349999999999999</v>
      </c>
      <c r="W93" s="319">
        <f>IF(W$5&gt;$D$7,0,IF(W$5&lt;12,1,(1+Leadsheet!$E$43)^(ROUNDDOWN(W$5/12,0))))</f>
        <v>1.0349999999999999</v>
      </c>
      <c r="X93" s="319">
        <f>IF(X$5&gt;$D$7,0,IF(X$5&lt;12,1,(1+Leadsheet!$E$43)^(ROUNDDOWN(X$5/12,0))))</f>
        <v>1.0349999999999999</v>
      </c>
      <c r="Y93" s="319">
        <f>IF(Y$5&gt;$D$7,0,IF(Y$5&lt;12,1,(1+Leadsheet!$E$43)^(ROUNDDOWN(Y$5/12,0))))</f>
        <v>0</v>
      </c>
      <c r="Z93" s="319">
        <f>IF(Z$5&gt;$D$7,0,IF(Z$5&lt;12,1,(1+Leadsheet!$E$43)^(ROUNDDOWN(Z$5/12,0))))</f>
        <v>0</v>
      </c>
      <c r="AA93" s="319">
        <f>IF(AA$5&gt;$D$7,0,IF(AA$5&lt;12,1,(1+Leadsheet!$E$43)^(ROUNDDOWN(AA$5/12,0))))</f>
        <v>0</v>
      </c>
      <c r="AB93" s="319">
        <f>IF(AB$5&gt;$D$7,0,IF(AB$5&lt;12,1,(1+Leadsheet!$E$43)^(ROUNDDOWN(AB$5/12,0))))</f>
        <v>0</v>
      </c>
      <c r="AC93" s="319">
        <f>IF(AC$5&gt;$D$7,0,IF(AC$5&lt;12,1,(1+Leadsheet!$E$43)^(ROUNDDOWN(AC$5/12,0))))</f>
        <v>0</v>
      </c>
      <c r="AD93" s="319">
        <f>IF(AD$5&gt;$D$7,0,IF(AD$5&lt;12,1,(1+Leadsheet!$E$43)^(ROUNDDOWN(AD$5/12,0))))</f>
        <v>0</v>
      </c>
      <c r="AE93" s="319">
        <f>IF(AE$5&gt;$D$7,0,IF(AE$5&lt;12,1,(1+Leadsheet!$E$43)^(ROUNDDOWN(AE$5/12,0))))</f>
        <v>0</v>
      </c>
      <c r="AF93" s="319">
        <f>IF(AF$5&gt;$D$7,0,IF(AF$5&lt;12,1,(1+Leadsheet!$E$43)^(ROUNDDOWN(AF$5/12,0))))</f>
        <v>0</v>
      </c>
      <c r="AG93" s="319">
        <f>IF(AG$5&gt;$D$7,0,IF(AG$5&lt;12,1,(1+Leadsheet!$E$43)^(ROUNDDOWN(AG$5/12,0))))</f>
        <v>0</v>
      </c>
      <c r="AH93" s="319">
        <f>IF(AH$5&gt;$D$7,0,IF(AH$5&lt;12,1,(1+Leadsheet!$E$43)^(ROUNDDOWN(AH$5/12,0))))</f>
        <v>0</v>
      </c>
      <c r="AI93" s="319">
        <f>IF(AI$5&gt;$D$7,0,IF(AI$5&lt;12,1,(1+Leadsheet!$E$43)^(ROUNDDOWN(AI$5/12,0))))</f>
        <v>0</v>
      </c>
      <c r="AJ93" s="319">
        <f>IF(AJ$5&gt;$D$7,0,IF(AJ$5&lt;12,1,(1+Leadsheet!$E$43)^(ROUNDDOWN(AJ$5/12,0))))</f>
        <v>0</v>
      </c>
      <c r="AK93" s="319">
        <f>IF(AK$5&gt;$D$7,0,IF(AK$5&lt;12,1,(1+Leadsheet!$E$43)^(ROUNDDOWN(AK$5/12,0))))</f>
        <v>0</v>
      </c>
      <c r="AL93" s="319">
        <f>IF(AL$5&gt;$D$7,0,IF(AL$5&lt;12,1,(1+Leadsheet!$E$43)^(ROUNDDOWN(AL$5/12,0))))</f>
        <v>0</v>
      </c>
      <c r="AM93" s="319">
        <f>IF(AM$5&gt;$D$7,0,IF(AM$5&lt;12,1,(1+Leadsheet!$E$43)^(ROUNDDOWN(AM$5/12,0))))</f>
        <v>0</v>
      </c>
      <c r="AN93" s="319">
        <f>IF(AN$5&gt;$D$7,0,IF(AN$5&lt;12,1,(1+Leadsheet!$E$43)^(ROUNDDOWN(AN$5/12,0))))</f>
        <v>0</v>
      </c>
      <c r="AO93" s="319">
        <f>IF(AO$5&gt;$D$7,0,IF(AO$5&lt;12,1,(1+Leadsheet!$E$43)^(ROUNDDOWN(AO$5/12,0))))</f>
        <v>0</v>
      </c>
      <c r="AP93" s="319">
        <f>IF(AP$5&gt;$D$7,0,IF(AP$5&lt;12,1,(1+Leadsheet!$E$43)^(ROUNDDOWN(AP$5/12,0))))</f>
        <v>0</v>
      </c>
      <c r="AQ93" s="319">
        <f>IF(AQ$5&gt;$D$7,0,IF(AQ$5&lt;12,1,(1+Leadsheet!$E$43)^(ROUNDDOWN(AQ$5/12,0))))</f>
        <v>0</v>
      </c>
      <c r="AR93" s="319">
        <f>IF(AR$5&gt;$D$7,0,IF(AR$5&lt;12,1,(1+Leadsheet!$E$43)^(ROUNDDOWN(AR$5/12,0))))</f>
        <v>0</v>
      </c>
      <c r="AS93" s="319">
        <f>IF(AS$5&gt;$D$7,0,IF(AS$5&lt;12,1,(1+Leadsheet!$E$43)^(ROUNDDOWN(AS$5/12,0))))</f>
        <v>0</v>
      </c>
      <c r="AT93" s="319">
        <f>IF(AT$5&gt;$D$7,0,IF(AT$5&lt;12,1,(1+Leadsheet!$E$43)^(ROUNDDOWN(AT$5/12,0))))</f>
        <v>0</v>
      </c>
      <c r="AU93" s="319">
        <f>IF(AU$5&gt;$D$7,0,IF(AU$5&lt;12,1,(1+Leadsheet!$E$43)^(ROUNDDOWN(AU$5/12,0))))</f>
        <v>0</v>
      </c>
      <c r="AV93" s="319">
        <f>IF(AV$5&gt;$D$7,0,IF(AV$5&lt;12,1,(1+Leadsheet!$E$43)^(ROUNDDOWN(AV$5/12,0))))</f>
        <v>0</v>
      </c>
      <c r="AW93" s="319">
        <f>IF(AW$5&gt;$D$7,0,IF(AW$5&lt;12,1,(1+Leadsheet!$E$43)^(ROUNDDOWN(AW$5/12,0))))</f>
        <v>0</v>
      </c>
      <c r="AX93" s="319">
        <f>IF(AX$5&gt;$D$7,0,IF(AX$5&lt;12,1,(1+Leadsheet!$E$43)^(ROUNDDOWN(AX$5/12,0))))</f>
        <v>0</v>
      </c>
      <c r="AY93" s="319">
        <f>IF(AY$5&gt;$D$7,0,IF(AY$5&lt;12,1,(1+Leadsheet!$E$43)^(ROUNDDOWN(AY$5/12,0))))</f>
        <v>0</v>
      </c>
      <c r="AZ93" s="319">
        <f>IF(AZ$5&gt;$D$7,0,IF(AZ$5&lt;12,1,(1+Leadsheet!$E$43)^(ROUNDDOWN(AZ$5/12,0))))</f>
        <v>0</v>
      </c>
      <c r="BA93" s="319">
        <f>IF(BA$5&gt;$D$7,0,IF(BA$5&lt;12,1,(1+Leadsheet!$E$43)^(ROUNDDOWN(BA$5/12,0))))</f>
        <v>0</v>
      </c>
      <c r="BB93" s="319">
        <f>IF(BB$5&gt;$D$7,0,IF(BB$5&lt;12,1,(1+Leadsheet!$E$43)^(ROUNDDOWN(BB$5/12,0))))</f>
        <v>0</v>
      </c>
      <c r="BC93" s="319">
        <f>IF(BC$5&gt;$D$7,0,IF(BC$5&lt;12,1,(1+Leadsheet!$E$43)^(ROUNDDOWN(BC$5/12,0))))</f>
        <v>0</v>
      </c>
      <c r="BD93" s="319">
        <f>IF(BD$5&gt;$D$7,0,IF(BD$5&lt;12,1,(1+Leadsheet!$E$43)^(ROUNDDOWN(BD$5/12,0))))</f>
        <v>0</v>
      </c>
      <c r="BE93" s="319">
        <f>IF(BE$5&gt;$D$7,0,IF(BE$5&lt;12,1,(1+Leadsheet!$E$43)^(ROUNDDOWN(BE$5/12,0))))</f>
        <v>0</v>
      </c>
      <c r="BF93" s="319">
        <f>IF(BF$5&gt;$D$7,0,IF(BF$5&lt;12,1,(1+Leadsheet!$E$43)^(ROUNDDOWN(BF$5/12,0))))</f>
        <v>0</v>
      </c>
      <c r="BG93" s="319">
        <f>IF(BG$5&gt;$D$7,0,IF(BG$5&lt;12,1,(1+Leadsheet!$E$43)^(ROUNDDOWN(BG$5/12,0))))</f>
        <v>0</v>
      </c>
      <c r="BH93" s="319">
        <f>IF(BH$5&gt;$D$7,0,IF(BH$5&lt;12,1,(1+Leadsheet!$E$43)^(ROUNDDOWN(BH$5/12,0))))</f>
        <v>0</v>
      </c>
      <c r="BI93" s="319">
        <f>IF(BI$5&gt;$D$7,0,IF(BI$5&lt;12,1,(1+Leadsheet!$E$43)^(ROUNDDOWN(BI$5/12,0))))</f>
        <v>0</v>
      </c>
      <c r="BJ93" s="319">
        <f>IF(BJ$5&gt;$D$7,0,IF(BJ$5&lt;12,1,(1+Leadsheet!$E$43)^(ROUNDDOWN(BJ$5/12,0))))</f>
        <v>0</v>
      </c>
      <c r="BK93" s="319">
        <f>IF(BK$5&gt;$D$7,0,IF(BK$5&lt;12,1,(1+Leadsheet!$E$43)^(ROUNDDOWN(BK$5/12,0))))</f>
        <v>0</v>
      </c>
      <c r="BL93" s="319">
        <f>IF(BL$5&gt;$D$7,0,IF(BL$5&lt;12,1,(1+Leadsheet!$E$43)^(ROUNDDOWN(BL$5/12,0))))</f>
        <v>0</v>
      </c>
    </row>
    <row r="95" spans="2:64" s="186" customFormat="1" x14ac:dyDescent="0.15">
      <c r="B95" s="186" t="s">
        <v>214</v>
      </c>
      <c r="E95" s="311">
        <f>SUM(E96:E97)</f>
        <v>-8.0000000000000002E-3</v>
      </c>
      <c r="F95" s="311">
        <f t="shared" ref="F95:BL95" si="21">SUM(F96:F97)</f>
        <v>-7.3600000000000002E-3</v>
      </c>
      <c r="G95" s="311">
        <f t="shared" si="21"/>
        <v>-6.8800000000000007E-3</v>
      </c>
      <c r="H95" s="311">
        <f t="shared" si="21"/>
        <v>-6.4000000000000003E-3</v>
      </c>
      <c r="I95" s="311">
        <f t="shared" si="21"/>
        <v>-6.2000000000000006E-3</v>
      </c>
      <c r="J95" s="311">
        <f t="shared" si="21"/>
        <v>-6.0000000000000001E-3</v>
      </c>
      <c r="K95" s="311">
        <f t="shared" si="21"/>
        <v>-5.7999999999999996E-3</v>
      </c>
      <c r="L95" s="311">
        <f t="shared" si="21"/>
        <v>-5.5999999999999999E-3</v>
      </c>
      <c r="M95" s="311">
        <f t="shared" si="21"/>
        <v>-5.3999999999999994E-3</v>
      </c>
      <c r="N95" s="311">
        <f t="shared" si="21"/>
        <v>-5.1999999999999998E-3</v>
      </c>
      <c r="O95" s="311">
        <f t="shared" si="21"/>
        <v>-4.9999999999999992E-3</v>
      </c>
      <c r="P95" s="311">
        <f t="shared" si="21"/>
        <v>-4.9679999999999985E-3</v>
      </c>
      <c r="Q95" s="311">
        <f t="shared" si="21"/>
        <v>-4.7609999999999979E-3</v>
      </c>
      <c r="R95" s="311">
        <f t="shared" si="21"/>
        <v>-4.5539999999999982E-3</v>
      </c>
      <c r="S95" s="311">
        <f t="shared" si="21"/>
        <v>-1.0931879694915591E-3</v>
      </c>
      <c r="T95" s="311">
        <f t="shared" si="21"/>
        <v>-1.0929074364769851E-3</v>
      </c>
      <c r="U95" s="311">
        <f t="shared" si="21"/>
        <v>-1.0928072715478043E-3</v>
      </c>
      <c r="V95" s="311">
        <f t="shared" si="21"/>
        <v>-1.0928072715478043E-3</v>
      </c>
      <c r="W95" s="311">
        <f t="shared" si="21"/>
        <v>-1.0928072715478043E-3</v>
      </c>
      <c r="X95" s="311">
        <f t="shared" si="21"/>
        <v>-1.0928072715478043E-3</v>
      </c>
      <c r="Y95" s="311">
        <f t="shared" si="21"/>
        <v>0</v>
      </c>
      <c r="Z95" s="311">
        <f t="shared" si="21"/>
        <v>0</v>
      </c>
      <c r="AA95" s="311">
        <f t="shared" si="21"/>
        <v>0</v>
      </c>
      <c r="AB95" s="311">
        <f t="shared" si="21"/>
        <v>0</v>
      </c>
      <c r="AC95" s="311">
        <f t="shared" si="21"/>
        <v>0</v>
      </c>
      <c r="AD95" s="311">
        <f t="shared" si="21"/>
        <v>0</v>
      </c>
      <c r="AE95" s="311">
        <f t="shared" si="21"/>
        <v>0</v>
      </c>
      <c r="AF95" s="311">
        <f t="shared" si="21"/>
        <v>0</v>
      </c>
      <c r="AG95" s="311">
        <f t="shared" si="21"/>
        <v>0</v>
      </c>
      <c r="AH95" s="311">
        <f t="shared" si="21"/>
        <v>0</v>
      </c>
      <c r="AI95" s="311">
        <f t="shared" si="21"/>
        <v>0</v>
      </c>
      <c r="AJ95" s="311">
        <f t="shared" si="21"/>
        <v>0</v>
      </c>
      <c r="AK95" s="311">
        <f t="shared" si="21"/>
        <v>0</v>
      </c>
      <c r="AL95" s="311">
        <f t="shared" si="21"/>
        <v>0</v>
      </c>
      <c r="AM95" s="311">
        <f t="shared" si="21"/>
        <v>0</v>
      </c>
      <c r="AN95" s="311">
        <f t="shared" si="21"/>
        <v>0</v>
      </c>
      <c r="AO95" s="311">
        <f t="shared" si="21"/>
        <v>0</v>
      </c>
      <c r="AP95" s="311">
        <f t="shared" si="21"/>
        <v>0</v>
      </c>
      <c r="AQ95" s="311">
        <f t="shared" si="21"/>
        <v>0</v>
      </c>
      <c r="AR95" s="311">
        <f t="shared" si="21"/>
        <v>0</v>
      </c>
      <c r="AS95" s="311">
        <f t="shared" si="21"/>
        <v>0</v>
      </c>
      <c r="AT95" s="311">
        <f t="shared" si="21"/>
        <v>0</v>
      </c>
      <c r="AU95" s="311">
        <f t="shared" si="21"/>
        <v>0</v>
      </c>
      <c r="AV95" s="311">
        <f t="shared" si="21"/>
        <v>0</v>
      </c>
      <c r="AW95" s="311">
        <f t="shared" si="21"/>
        <v>0</v>
      </c>
      <c r="AX95" s="311">
        <f t="shared" si="21"/>
        <v>0</v>
      </c>
      <c r="AY95" s="311">
        <f t="shared" si="21"/>
        <v>0</v>
      </c>
      <c r="AZ95" s="311">
        <f t="shared" si="21"/>
        <v>0</v>
      </c>
      <c r="BA95" s="311">
        <f t="shared" si="21"/>
        <v>0</v>
      </c>
      <c r="BB95" s="311">
        <f t="shared" si="21"/>
        <v>0</v>
      </c>
      <c r="BC95" s="311">
        <f t="shared" si="21"/>
        <v>0</v>
      </c>
      <c r="BD95" s="311">
        <f t="shared" si="21"/>
        <v>0</v>
      </c>
      <c r="BE95" s="311">
        <f t="shared" si="21"/>
        <v>0</v>
      </c>
      <c r="BF95" s="311">
        <f t="shared" si="21"/>
        <v>0</v>
      </c>
      <c r="BG95" s="311">
        <f t="shared" si="21"/>
        <v>0</v>
      </c>
      <c r="BH95" s="311">
        <f t="shared" si="21"/>
        <v>0</v>
      </c>
      <c r="BI95" s="311">
        <f t="shared" si="21"/>
        <v>0</v>
      </c>
      <c r="BJ95" s="311">
        <f t="shared" si="21"/>
        <v>0</v>
      </c>
      <c r="BK95" s="311">
        <f t="shared" si="21"/>
        <v>0</v>
      </c>
      <c r="BL95" s="311">
        <f t="shared" si="21"/>
        <v>0</v>
      </c>
    </row>
    <row r="96" spans="2:64" s="320" customFormat="1" x14ac:dyDescent="0.15">
      <c r="C96" s="321" t="s">
        <v>308</v>
      </c>
      <c r="E96" s="320">
        <f>-IF(E5&gt;Leadsheet!$E$12,Leadsheet!$E$71*E$93*E44/$D$44,Leadsheet!$E$71*E$93*D16)</f>
        <v>-8.0000000000000002E-3</v>
      </c>
      <c r="F96" s="320">
        <f>-IF(F5&gt;Leadsheet!$E$12,Leadsheet!$E$71*F$93*F44/$D$44,Leadsheet!$E$71*F$93*E16)</f>
        <v>-7.3600000000000002E-3</v>
      </c>
      <c r="G96" s="320">
        <f>-IF(G5&gt;Leadsheet!$E$12,Leadsheet!$E$71*G$93*G44/$D$44,Leadsheet!$E$71*G$93*F16)</f>
        <v>-6.8800000000000007E-3</v>
      </c>
      <c r="H96" s="320">
        <f>-IF(H5&gt;Leadsheet!$E$12,Leadsheet!$E$71*H$93*H44/$D$44,Leadsheet!$E$71*H$93*G16)</f>
        <v>-6.4000000000000003E-3</v>
      </c>
      <c r="I96" s="320">
        <f>-IF(I5&gt;Leadsheet!$E$12,Leadsheet!$E$71*I$93*I44/$D$44,Leadsheet!$E$71*I$93*H16)</f>
        <v>-6.2000000000000006E-3</v>
      </c>
      <c r="J96" s="320">
        <f>-IF(J5&gt;Leadsheet!$E$12,Leadsheet!$E$71*J$93*J44/$D$44,Leadsheet!$E$71*J$93*I16)</f>
        <v>-6.0000000000000001E-3</v>
      </c>
      <c r="K96" s="320">
        <f>-IF(K5&gt;Leadsheet!$E$12,Leadsheet!$E$71*K$93*K44/$D$44,Leadsheet!$E$71*K$93*J16)</f>
        <v>-5.7999999999999996E-3</v>
      </c>
      <c r="L96" s="320">
        <f>-IF(L5&gt;Leadsheet!$E$12,Leadsheet!$E$71*L$93*L44/$D$44,Leadsheet!$E$71*L$93*K16)</f>
        <v>-5.5999999999999999E-3</v>
      </c>
      <c r="M96" s="320">
        <f>-IF(M5&gt;Leadsheet!$E$12,Leadsheet!$E$71*M$93*M44/$D$44,Leadsheet!$E$71*M$93*L16)</f>
        <v>-5.3999999999999994E-3</v>
      </c>
      <c r="N96" s="320">
        <f>-IF(N5&gt;Leadsheet!$E$12,Leadsheet!$E$71*N$93*N44/$D$44,Leadsheet!$E$71*N$93*M16)</f>
        <v>-5.1999999999999998E-3</v>
      </c>
      <c r="O96" s="320">
        <f>-IF(O5&gt;Leadsheet!$E$12,Leadsheet!$E$71*O$93*O44/$D$44,Leadsheet!$E$71*O$93*N16)</f>
        <v>-4.9999999999999992E-3</v>
      </c>
      <c r="P96" s="320">
        <f>-IF(P5&gt;Leadsheet!$E$12,Leadsheet!$E$71*P$93*P44/$D$44,Leadsheet!$E$71*P$93*O16)</f>
        <v>-4.9679999999999985E-3</v>
      </c>
      <c r="Q96" s="320">
        <f>-IF(Q5&gt;Leadsheet!$E$12,Leadsheet!$E$71*Q$93*Q44/$D$44,Leadsheet!$E$71*Q$93*P16)</f>
        <v>-4.7609999999999979E-3</v>
      </c>
      <c r="R96" s="320">
        <f>-IF(R5&gt;Leadsheet!$E$12,Leadsheet!$E$71*R$93*R44/$D$44,Leadsheet!$E$71*R$93*Q16)</f>
        <v>-4.5539999999999982E-3</v>
      </c>
      <c r="S96" s="320">
        <f>-IF(S5&gt;Leadsheet!$E$12,Leadsheet!$E$71*S$93*S44/$D$44,Leadsheet!$E$71*S$93*R16)</f>
        <v>-1.0931879694915591E-3</v>
      </c>
      <c r="T96" s="320">
        <f>-IF(T5&gt;Leadsheet!$E$12,Leadsheet!$E$71*T$93*T44/$D$44,Leadsheet!$E$71*T$93*S16)</f>
        <v>-1.0929074364769851E-3</v>
      </c>
      <c r="U96" s="320">
        <f>-IF(U5&gt;Leadsheet!$E$12,Leadsheet!$E$71*U$93*U44/$D$44,Leadsheet!$E$71*U$93*T16)</f>
        <v>-1.0928072715478043E-3</v>
      </c>
      <c r="V96" s="320">
        <f>-IF(V5&gt;Leadsheet!$E$12,Leadsheet!$E$71*V$93*V44/$D$44,Leadsheet!$E$71*V$93*U16)</f>
        <v>-1.0928072715478043E-3</v>
      </c>
      <c r="W96" s="320">
        <f>-IF(W5&gt;Leadsheet!$E$12,Leadsheet!$E$71*W$93*W44/$D$44,Leadsheet!$E$71*W$93*V16)</f>
        <v>-1.0928072715478043E-3</v>
      </c>
      <c r="X96" s="320">
        <f>-IF(X5&gt;Leadsheet!$E$12,Leadsheet!$E$71*X$93*X44/$D$44,Leadsheet!$E$71*X$93*W16)</f>
        <v>-1.0928072715478043E-3</v>
      </c>
      <c r="Y96" s="320">
        <f>-IF(Y5&gt;Leadsheet!$E$12,Leadsheet!$E$71*Y$93*Y44/$D$44,Leadsheet!$E$71*Y$93*X16)</f>
        <v>0</v>
      </c>
      <c r="Z96" s="320">
        <f>-IF(Z5&gt;Leadsheet!$E$12,Leadsheet!$E$71*Z$93*Z44/$D$44,Leadsheet!$E$71*Z$93*Y16)</f>
        <v>0</v>
      </c>
      <c r="AA96" s="320">
        <f>-IF(AA5&gt;Leadsheet!$E$12,Leadsheet!$E$71*AA$93*AA44/$D$44,Leadsheet!$E$71*AA$93*Z16)</f>
        <v>0</v>
      </c>
      <c r="AB96" s="320">
        <f>-IF(AB5&gt;Leadsheet!$E$12,Leadsheet!$E$71*AB$93*AB44/$D$44,Leadsheet!$E$71*AB$93*AA16)</f>
        <v>0</v>
      </c>
      <c r="AC96" s="320">
        <f>-IF(AC5&gt;Leadsheet!$E$12,Leadsheet!$E$71*AC$93*AC44/$D$44,Leadsheet!$E$71*AC$93*AB16)</f>
        <v>0</v>
      </c>
      <c r="AD96" s="320">
        <f>-IF(AD5&gt;Leadsheet!$E$12,Leadsheet!$E$71*AD$93*AD44/$D$44,Leadsheet!$E$71*AD$93*AC16)</f>
        <v>0</v>
      </c>
      <c r="AE96" s="320">
        <f>-IF(AE5&gt;Leadsheet!$E$12,Leadsheet!$E$71*AE$93*AE44/$D$44,Leadsheet!$E$71*AE$93*AD16)</f>
        <v>0</v>
      </c>
      <c r="AF96" s="320">
        <f>-IF(AF5&gt;Leadsheet!$E$12,Leadsheet!$E$71*AF$93*AF44/$D$44,Leadsheet!$E$71*AF$93*AE16)</f>
        <v>0</v>
      </c>
      <c r="AG96" s="320">
        <f>-IF(AG5&gt;Leadsheet!$E$12,Leadsheet!$E$71*AG$93*AG44/$D$44,Leadsheet!$E$71*AG$93*AF16)</f>
        <v>0</v>
      </c>
      <c r="AH96" s="320">
        <f>-IF(AH5&gt;Leadsheet!$E$12,Leadsheet!$E$71*AH$93*AH44/$D$44,Leadsheet!$E$71*AH$93*AG16)</f>
        <v>0</v>
      </c>
      <c r="AI96" s="320">
        <f>-IF(AI5&gt;Leadsheet!$E$12,Leadsheet!$E$71*AI$93*AI44/$D$44,Leadsheet!$E$71*AI$93*AH16)</f>
        <v>0</v>
      </c>
      <c r="AJ96" s="320">
        <f>-IF(AJ5&gt;Leadsheet!$E$12,Leadsheet!$E$71*AJ$93*AJ44/$D$44,Leadsheet!$E$71*AJ$93*AI16)</f>
        <v>0</v>
      </c>
      <c r="AK96" s="320">
        <f>-IF(AK5&gt;Leadsheet!$E$12,Leadsheet!$E$71*AK$93*AK44/$D$44,Leadsheet!$E$71*AK$93*AJ16)</f>
        <v>0</v>
      </c>
      <c r="AL96" s="320">
        <f>-IF(AL5&gt;Leadsheet!$E$12,Leadsheet!$E$71*AL$93*AL44/$D$44,Leadsheet!$E$71*AL$93*AK16)</f>
        <v>0</v>
      </c>
      <c r="AM96" s="320">
        <f>-IF(AM5&gt;Leadsheet!$E$12,Leadsheet!$E$71*AM$93*AM44/$D$44,Leadsheet!$E$71*AM$93*AL16)</f>
        <v>0</v>
      </c>
      <c r="AN96" s="320">
        <f>-IF(AN5&gt;Leadsheet!$E$12,Leadsheet!$E$71*AN$93*AN44/$D$44,Leadsheet!$E$71*AN$93*AM16)</f>
        <v>0</v>
      </c>
      <c r="AO96" s="320">
        <f>-IF(AO5&gt;Leadsheet!$E$12,Leadsheet!$E$71*AO$93*AO44/$D$44,Leadsheet!$E$71*AO$93*AN16)</f>
        <v>0</v>
      </c>
      <c r="AP96" s="320">
        <f>-IF(AP5&gt;Leadsheet!$E$12,Leadsheet!$E$71*AP$93*AP44/$D$44,Leadsheet!$E$71*AP$93*AO16)</f>
        <v>0</v>
      </c>
      <c r="AQ96" s="320">
        <f>-IF(AQ5&gt;Leadsheet!$E$12,Leadsheet!$E$71*AQ$93*AQ44/$D$44,Leadsheet!$E$71*AQ$93*AP16)</f>
        <v>0</v>
      </c>
      <c r="AR96" s="320">
        <f>-IF(AR5&gt;Leadsheet!$E$12,Leadsheet!$E$71*AR$93*AR44/$D$44,Leadsheet!$E$71*AR$93*AQ16)</f>
        <v>0</v>
      </c>
      <c r="AS96" s="320">
        <f>-IF(AS5&gt;Leadsheet!$E$12,Leadsheet!$E$71*AS$93*AS44/$D$44,Leadsheet!$E$71*AS$93*AR16)</f>
        <v>0</v>
      </c>
      <c r="AT96" s="320">
        <f>-IF(AT5&gt;Leadsheet!$E$12,Leadsheet!$E$71*AT$93*AT44/$D$44,Leadsheet!$E$71*AT$93*AS16)</f>
        <v>0</v>
      </c>
      <c r="AU96" s="320">
        <f>-IF(AU5&gt;Leadsheet!$E$12,Leadsheet!$E$71*AU$93*AU44/$D$44,Leadsheet!$E$71*AU$93*AT16)</f>
        <v>0</v>
      </c>
      <c r="AV96" s="320">
        <f>-IF(AV5&gt;Leadsheet!$E$12,Leadsheet!$E$71*AV$93*AV44/$D$44,Leadsheet!$E$71*AV$93*AU16)</f>
        <v>0</v>
      </c>
      <c r="AW96" s="320">
        <f>-IF(AW5&gt;Leadsheet!$E$12,Leadsheet!$E$71*AW$93*AW44/$D$44,Leadsheet!$E$71*AW$93*AV16)</f>
        <v>0</v>
      </c>
      <c r="AX96" s="320">
        <f>-IF(AX5&gt;Leadsheet!$E$12,Leadsheet!$E$71*AX$93*AX44/$D$44,Leadsheet!$E$71*AX$93*AW16)</f>
        <v>0</v>
      </c>
      <c r="AY96" s="320">
        <f>-IF(AY5&gt;Leadsheet!$E$12,Leadsheet!$E$71*AY$93*AY44/$D$44,Leadsheet!$E$71*AY$93*AX16)</f>
        <v>0</v>
      </c>
      <c r="AZ96" s="320">
        <f>-IF(AZ5&gt;Leadsheet!$E$12,Leadsheet!$E$71*AZ$93*AZ44/$D$44,Leadsheet!$E$71*AZ$93*AY16)</f>
        <v>0</v>
      </c>
      <c r="BA96" s="320">
        <f>-IF(BA5&gt;Leadsheet!$E$12,Leadsheet!$E$71*BA$93*BA44/$D$44,Leadsheet!$E$71*BA$93*AZ16)</f>
        <v>0</v>
      </c>
      <c r="BB96" s="320">
        <f>-IF(BB5&gt;Leadsheet!$E$12,Leadsheet!$E$71*BB$93*BB44/$D$44,Leadsheet!$E$71*BB$93*BA16)</f>
        <v>0</v>
      </c>
      <c r="BC96" s="320">
        <f>-IF(BC5&gt;Leadsheet!$E$12,Leadsheet!$E$71*BC$93*BC44/$D$44,Leadsheet!$E$71*BC$93*BB16)</f>
        <v>0</v>
      </c>
      <c r="BD96" s="320">
        <f>-IF(BD5&gt;Leadsheet!$E$12,Leadsheet!$E$71*BD$93*BD44/$D$44,Leadsheet!$E$71*BD$93*BC16)</f>
        <v>0</v>
      </c>
      <c r="BE96" s="320">
        <f>-IF(BE5&gt;Leadsheet!$E$12,Leadsheet!$E$71*BE$93*BE44/$D$44,Leadsheet!$E$71*BE$93*BD16)</f>
        <v>0</v>
      </c>
      <c r="BF96" s="320">
        <f>-IF(BF5&gt;Leadsheet!$E$12,Leadsheet!$E$71*BF$93*BF44/$D$44,Leadsheet!$E$71*BF$93*BE16)</f>
        <v>0</v>
      </c>
      <c r="BG96" s="320">
        <f>-IF(BG5&gt;Leadsheet!$E$12,Leadsheet!$E$71*BG$93*BG44/$D$44,Leadsheet!$E$71*BG$93*BF16)</f>
        <v>0</v>
      </c>
      <c r="BH96" s="320">
        <f>-IF(BH5&gt;Leadsheet!$E$12,Leadsheet!$E$71*BH$93*BH44/$D$44,Leadsheet!$E$71*BH$93*BG16)</f>
        <v>0</v>
      </c>
      <c r="BI96" s="320">
        <f>-IF(BI5&gt;Leadsheet!$E$12,Leadsheet!$E$71*BI$93*BI44/$D$44,Leadsheet!$E$71*BI$93*BH16)</f>
        <v>0</v>
      </c>
      <c r="BJ96" s="320">
        <f>-IF(BJ5&gt;Leadsheet!$E$12,Leadsheet!$E$71*BJ$93*BJ44/$D$44,Leadsheet!$E$71*BJ$93*BI16)</f>
        <v>0</v>
      </c>
      <c r="BK96" s="320">
        <f>-IF(BK5&gt;Leadsheet!$E$12,Leadsheet!$E$71*BK$93*BK44/$D$44,Leadsheet!$E$71*BK$93*BJ16)</f>
        <v>0</v>
      </c>
      <c r="BL96" s="320">
        <f>-IF(BL5&gt;Leadsheet!$E$12,Leadsheet!$E$71*BL$93*BL44/$D$44,Leadsheet!$E$71*BL$93*BK16)</f>
        <v>0</v>
      </c>
    </row>
    <row r="97" spans="1:64" x14ac:dyDescent="0.15">
      <c r="C97" s="214" t="s">
        <v>309</v>
      </c>
      <c r="E97" s="171"/>
      <c r="F97" s="171"/>
      <c r="G97" s="171"/>
      <c r="H97" s="171"/>
      <c r="I97" s="171"/>
      <c r="J97" s="171"/>
      <c r="K97" s="171"/>
      <c r="L97" s="171"/>
      <c r="M97" s="171"/>
      <c r="N97" s="171"/>
      <c r="O97" s="171"/>
      <c r="P97" s="171"/>
      <c r="Q97" s="171"/>
      <c r="R97" s="171"/>
      <c r="S97" s="171"/>
      <c r="T97" s="171"/>
      <c r="U97" s="171"/>
      <c r="V97" s="171"/>
      <c r="W97" s="171"/>
      <c r="X97" s="171"/>
      <c r="Y97" s="171"/>
      <c r="Z97" s="171"/>
      <c r="AA97" s="171"/>
      <c r="AB97" s="171"/>
      <c r="AC97" s="171"/>
      <c r="AD97" s="171"/>
      <c r="AE97" s="171"/>
      <c r="AF97" s="171"/>
      <c r="AG97" s="171"/>
      <c r="AH97" s="171"/>
      <c r="AI97" s="171"/>
      <c r="AJ97" s="171"/>
      <c r="AK97" s="171"/>
      <c r="AL97" s="171"/>
      <c r="AM97" s="171"/>
      <c r="AN97" s="171"/>
      <c r="AO97" s="171"/>
      <c r="AP97" s="171"/>
      <c r="AQ97" s="171"/>
      <c r="AR97" s="171"/>
      <c r="AS97" s="171"/>
      <c r="AT97" s="171"/>
      <c r="AU97" s="171"/>
      <c r="AV97" s="171"/>
      <c r="AW97" s="171"/>
      <c r="AX97" s="171"/>
      <c r="AY97" s="171"/>
      <c r="AZ97" s="171"/>
      <c r="BA97" s="171"/>
      <c r="BB97" s="171"/>
      <c r="BC97" s="171"/>
      <c r="BD97" s="171"/>
      <c r="BE97" s="171"/>
      <c r="BF97" s="171"/>
      <c r="BG97" s="171"/>
      <c r="BH97" s="171"/>
      <c r="BI97" s="171"/>
      <c r="BJ97" s="171"/>
      <c r="BK97" s="171"/>
      <c r="BL97" s="171"/>
    </row>
    <row r="98" spans="1:64" x14ac:dyDescent="0.15">
      <c r="E98" s="171"/>
      <c r="F98" s="171"/>
      <c r="G98" s="171"/>
      <c r="H98" s="171"/>
      <c r="I98" s="171"/>
      <c r="J98" s="171"/>
      <c r="K98" s="171"/>
      <c r="L98" s="171"/>
      <c r="M98" s="171"/>
      <c r="N98" s="171"/>
      <c r="O98" s="171"/>
      <c r="P98" s="171"/>
      <c r="Q98" s="171"/>
      <c r="R98" s="171"/>
      <c r="S98" s="171"/>
      <c r="T98" s="171"/>
      <c r="U98" s="171"/>
      <c r="V98" s="171"/>
      <c r="W98" s="171"/>
      <c r="X98" s="171"/>
      <c r="Y98" s="171"/>
      <c r="Z98" s="171"/>
      <c r="AA98" s="171"/>
      <c r="AB98" s="171"/>
      <c r="AC98" s="171"/>
      <c r="AD98" s="171"/>
      <c r="AE98" s="171"/>
      <c r="AF98" s="171"/>
      <c r="AG98" s="171"/>
      <c r="AH98" s="171"/>
      <c r="AI98" s="171"/>
      <c r="AJ98" s="171"/>
      <c r="AK98" s="171"/>
      <c r="AL98" s="171"/>
      <c r="AM98" s="171"/>
      <c r="AN98" s="171"/>
      <c r="AO98" s="171"/>
      <c r="AP98" s="171"/>
      <c r="AQ98" s="171"/>
      <c r="AR98" s="171"/>
      <c r="AS98" s="171"/>
      <c r="AT98" s="171"/>
      <c r="AU98" s="171"/>
      <c r="AV98" s="171"/>
      <c r="AW98" s="171"/>
      <c r="AX98" s="171"/>
      <c r="AY98" s="171"/>
      <c r="AZ98" s="171"/>
      <c r="BA98" s="171"/>
      <c r="BB98" s="171"/>
      <c r="BC98" s="171"/>
      <c r="BD98" s="171"/>
      <c r="BE98" s="171"/>
      <c r="BF98" s="171"/>
      <c r="BG98" s="171"/>
      <c r="BH98" s="171"/>
      <c r="BI98" s="171"/>
      <c r="BJ98" s="171"/>
      <c r="BK98" s="171"/>
      <c r="BL98" s="171"/>
    </row>
    <row r="99" spans="1:64" x14ac:dyDescent="0.15">
      <c r="B99" s="186" t="s">
        <v>450</v>
      </c>
      <c r="E99" s="293">
        <f>SUM(E100:E101)</f>
        <v>-6.4400000000000004E-4</v>
      </c>
      <c r="F99" s="293">
        <f t="shared" ref="F99:BL99" si="22">SUM(F100:F101)</f>
        <v>-6.020000000000001E-4</v>
      </c>
      <c r="G99" s="293">
        <f t="shared" si="22"/>
        <v>-5.6000000000000006E-4</v>
      </c>
      <c r="H99" s="293">
        <f t="shared" si="22"/>
        <v>-5.4250000000000001E-4</v>
      </c>
      <c r="I99" s="293">
        <f t="shared" si="22"/>
        <v>-5.2499999999999997E-4</v>
      </c>
      <c r="J99" s="293">
        <f t="shared" si="22"/>
        <v>-5.0750000000000003E-4</v>
      </c>
      <c r="K99" s="293">
        <f t="shared" si="22"/>
        <v>-4.8999999999999998E-4</v>
      </c>
      <c r="L99" s="293">
        <f t="shared" si="22"/>
        <v>-4.7249999999999994E-4</v>
      </c>
      <c r="M99" s="293">
        <f t="shared" si="22"/>
        <v>-4.5499999999999995E-4</v>
      </c>
      <c r="N99" s="293">
        <f t="shared" si="22"/>
        <v>-4.374999999999999E-4</v>
      </c>
      <c r="O99" s="293">
        <f t="shared" si="22"/>
        <v>-4.1999999999999991E-4</v>
      </c>
      <c r="P99" s="293">
        <f t="shared" si="22"/>
        <v>-4.0249999999999986E-4</v>
      </c>
      <c r="Q99" s="293">
        <f t="shared" si="22"/>
        <v>-3.8499999999999987E-4</v>
      </c>
      <c r="R99" s="293">
        <f t="shared" si="22"/>
        <v>-3.8499999999999987E-4</v>
      </c>
      <c r="S99" s="293">
        <f t="shared" si="22"/>
        <v>0</v>
      </c>
      <c r="T99" s="293">
        <f t="shared" si="22"/>
        <v>0</v>
      </c>
      <c r="U99" s="293">
        <f t="shared" si="22"/>
        <v>0</v>
      </c>
      <c r="V99" s="293">
        <f t="shared" si="22"/>
        <v>0</v>
      </c>
      <c r="W99" s="293">
        <f t="shared" si="22"/>
        <v>0</v>
      </c>
      <c r="X99" s="293">
        <f t="shared" si="22"/>
        <v>0</v>
      </c>
      <c r="Y99" s="293">
        <f t="shared" si="22"/>
        <v>0</v>
      </c>
      <c r="Z99" s="293">
        <f t="shared" si="22"/>
        <v>0</v>
      </c>
      <c r="AA99" s="293">
        <f t="shared" si="22"/>
        <v>0</v>
      </c>
      <c r="AB99" s="293">
        <f t="shared" si="22"/>
        <v>0</v>
      </c>
      <c r="AC99" s="293">
        <f t="shared" si="22"/>
        <v>0</v>
      </c>
      <c r="AD99" s="293">
        <f t="shared" si="22"/>
        <v>0</v>
      </c>
      <c r="AE99" s="293">
        <f t="shared" si="22"/>
        <v>0</v>
      </c>
      <c r="AF99" s="293">
        <f t="shared" si="22"/>
        <v>0</v>
      </c>
      <c r="AG99" s="293">
        <f t="shared" si="22"/>
        <v>0</v>
      </c>
      <c r="AH99" s="293">
        <f t="shared" si="22"/>
        <v>0</v>
      </c>
      <c r="AI99" s="293">
        <f t="shared" si="22"/>
        <v>0</v>
      </c>
      <c r="AJ99" s="293">
        <f t="shared" si="22"/>
        <v>0</v>
      </c>
      <c r="AK99" s="293">
        <f t="shared" si="22"/>
        <v>0</v>
      </c>
      <c r="AL99" s="293">
        <f t="shared" si="22"/>
        <v>0</v>
      </c>
      <c r="AM99" s="293">
        <f t="shared" si="22"/>
        <v>0</v>
      </c>
      <c r="AN99" s="293">
        <f t="shared" si="22"/>
        <v>0</v>
      </c>
      <c r="AO99" s="293">
        <f t="shared" si="22"/>
        <v>0</v>
      </c>
      <c r="AP99" s="293">
        <f t="shared" si="22"/>
        <v>0</v>
      </c>
      <c r="AQ99" s="293">
        <f t="shared" si="22"/>
        <v>0</v>
      </c>
      <c r="AR99" s="293">
        <f t="shared" si="22"/>
        <v>0</v>
      </c>
      <c r="AS99" s="293">
        <f t="shared" si="22"/>
        <v>0</v>
      </c>
      <c r="AT99" s="293">
        <f t="shared" si="22"/>
        <v>0</v>
      </c>
      <c r="AU99" s="293">
        <f t="shared" si="22"/>
        <v>0</v>
      </c>
      <c r="AV99" s="293">
        <f t="shared" si="22"/>
        <v>0</v>
      </c>
      <c r="AW99" s="293">
        <f t="shared" si="22"/>
        <v>0</v>
      </c>
      <c r="AX99" s="293">
        <f t="shared" si="22"/>
        <v>0</v>
      </c>
      <c r="AY99" s="293">
        <f t="shared" si="22"/>
        <v>0</v>
      </c>
      <c r="AZ99" s="293">
        <f t="shared" si="22"/>
        <v>0</v>
      </c>
      <c r="BA99" s="293">
        <f t="shared" si="22"/>
        <v>0</v>
      </c>
      <c r="BB99" s="293">
        <f t="shared" si="22"/>
        <v>0</v>
      </c>
      <c r="BC99" s="293">
        <f t="shared" si="22"/>
        <v>0</v>
      </c>
      <c r="BD99" s="293">
        <f t="shared" si="22"/>
        <v>0</v>
      </c>
      <c r="BE99" s="293">
        <f t="shared" si="22"/>
        <v>0</v>
      </c>
      <c r="BF99" s="293">
        <f t="shared" si="22"/>
        <v>0</v>
      </c>
      <c r="BG99" s="293">
        <f t="shared" si="22"/>
        <v>0</v>
      </c>
      <c r="BH99" s="293">
        <f t="shared" si="22"/>
        <v>0</v>
      </c>
      <c r="BI99" s="293">
        <f t="shared" si="22"/>
        <v>0</v>
      </c>
      <c r="BJ99" s="293">
        <f t="shared" si="22"/>
        <v>0</v>
      </c>
      <c r="BK99" s="293">
        <f t="shared" si="22"/>
        <v>0</v>
      </c>
      <c r="BL99" s="293">
        <f t="shared" si="22"/>
        <v>0</v>
      </c>
    </row>
    <row r="100" spans="1:64" x14ac:dyDescent="0.15">
      <c r="B100" s="186"/>
      <c r="C100" s="115" t="s">
        <v>451</v>
      </c>
      <c r="E100" s="171">
        <f>IF(E5&gt;Leadsheet!$E$12,0,-E16*Leadsheet!$E$78)</f>
        <v>-6.4400000000000004E-4</v>
      </c>
      <c r="F100" s="171">
        <f>IF(F5&gt;Leadsheet!$E$12,0,-F16*Leadsheet!$E$78)</f>
        <v>-6.020000000000001E-4</v>
      </c>
      <c r="G100" s="171">
        <f>IF(G5&gt;Leadsheet!$E$12,0,-G16*Leadsheet!$E$78)</f>
        <v>-5.6000000000000006E-4</v>
      </c>
      <c r="H100" s="171">
        <f>IF(H5&gt;Leadsheet!$E$12,0,-H16*Leadsheet!$E$78)</f>
        <v>-5.4250000000000001E-4</v>
      </c>
      <c r="I100" s="171">
        <f>IF(I5&gt;Leadsheet!$E$12,0,-I16*Leadsheet!$E$78)</f>
        <v>-5.2499999999999997E-4</v>
      </c>
      <c r="J100" s="171">
        <f>IF(J5&gt;Leadsheet!$E$12,0,-J16*Leadsheet!$E$78)</f>
        <v>-5.0750000000000003E-4</v>
      </c>
      <c r="K100" s="171">
        <f>IF(K5&gt;Leadsheet!$E$12,0,-K16*Leadsheet!$E$78)</f>
        <v>-4.8999999999999998E-4</v>
      </c>
      <c r="L100" s="171">
        <f>IF(L5&gt;Leadsheet!$E$12,0,-L16*Leadsheet!$E$78)</f>
        <v>-4.7249999999999994E-4</v>
      </c>
      <c r="M100" s="171">
        <f>IF(M5&gt;Leadsheet!$E$12,0,-M16*Leadsheet!$E$78)</f>
        <v>-4.5499999999999995E-4</v>
      </c>
      <c r="N100" s="171">
        <f>IF(N5&gt;Leadsheet!$E$12,0,-N16*Leadsheet!$E$78)</f>
        <v>-4.374999999999999E-4</v>
      </c>
      <c r="O100" s="171">
        <f>IF(O5&gt;Leadsheet!$E$12,0,-O16*Leadsheet!$E$78)</f>
        <v>-4.1999999999999991E-4</v>
      </c>
      <c r="P100" s="171">
        <f>IF(P5&gt;Leadsheet!$E$12,0,-P16*Leadsheet!$E$78)</f>
        <v>-4.0249999999999986E-4</v>
      </c>
      <c r="Q100" s="171">
        <f>IF(Q5&gt;Leadsheet!$E$12,0,-Q16*Leadsheet!$E$78)</f>
        <v>-3.8499999999999987E-4</v>
      </c>
      <c r="R100" s="171">
        <f>IF(R5&gt;Leadsheet!$E$12,0,-R16*Leadsheet!$E$78)</f>
        <v>-3.8499999999999987E-4</v>
      </c>
      <c r="S100" s="171">
        <f>IF(S5&gt;Leadsheet!$E$12,0,-S16*Leadsheet!$E$78)</f>
        <v>0</v>
      </c>
      <c r="T100" s="171">
        <f>IF(T5&gt;Leadsheet!$E$12,0,-T16*Leadsheet!$E$78)</f>
        <v>0</v>
      </c>
      <c r="U100" s="171">
        <f>IF(U5&gt;Leadsheet!$E$12,0,-U16*Leadsheet!$E$78)</f>
        <v>0</v>
      </c>
      <c r="V100" s="171">
        <f>IF(V5&gt;Leadsheet!$E$12,0,-V16*Leadsheet!$E$78)</f>
        <v>0</v>
      </c>
      <c r="W100" s="171">
        <f>IF(W5&gt;Leadsheet!$E$12,0,-W16*Leadsheet!$E$78)</f>
        <v>0</v>
      </c>
      <c r="X100" s="171">
        <f>IF(X5&gt;Leadsheet!$E$12,0,-X16*Leadsheet!$E$78)</f>
        <v>0</v>
      </c>
      <c r="Y100" s="171">
        <f>IF(Y5&gt;Leadsheet!$E$12,0,-Y16*Leadsheet!$E$78)</f>
        <v>0</v>
      </c>
      <c r="Z100" s="171">
        <f>IF(Z5&gt;Leadsheet!$E$12,0,-Z16*Leadsheet!$E$78)</f>
        <v>0</v>
      </c>
      <c r="AA100" s="171">
        <f>IF(AA5&gt;Leadsheet!$E$12,0,-AA16*Leadsheet!$E$78)</f>
        <v>0</v>
      </c>
      <c r="AB100" s="171">
        <f>IF(AB5&gt;Leadsheet!$E$12,0,-AB16*Leadsheet!$E$78)</f>
        <v>0</v>
      </c>
      <c r="AC100" s="171">
        <f>IF(AC5&gt;Leadsheet!$E$12,0,-AC16*Leadsheet!$E$78)</f>
        <v>0</v>
      </c>
      <c r="AD100" s="171">
        <f>IF(AD5&gt;Leadsheet!$E$12,0,-AD16*Leadsheet!$E$78)</f>
        <v>0</v>
      </c>
      <c r="AE100" s="171">
        <f>IF(AE5&gt;Leadsheet!$E$12,0,-AE16*Leadsheet!$E$78)</f>
        <v>0</v>
      </c>
      <c r="AF100" s="171">
        <f>IF(AF5&gt;Leadsheet!$E$12,0,-AF16*Leadsheet!$E$78)</f>
        <v>0</v>
      </c>
      <c r="AG100" s="171">
        <f>IF(AG5&gt;Leadsheet!$E$12,0,-AG16*Leadsheet!$E$78)</f>
        <v>0</v>
      </c>
      <c r="AH100" s="171">
        <f>IF(AH5&gt;Leadsheet!$E$12,0,-AH16*Leadsheet!$E$78)</f>
        <v>0</v>
      </c>
      <c r="AI100" s="171">
        <f>IF(AI5&gt;Leadsheet!$E$12,0,-AI16*Leadsheet!$E$78)</f>
        <v>0</v>
      </c>
      <c r="AJ100" s="171">
        <f>IF(AJ5&gt;Leadsheet!$E$12,0,-AJ16*Leadsheet!$E$78)</f>
        <v>0</v>
      </c>
      <c r="AK100" s="171">
        <f>IF(AK5&gt;Leadsheet!$E$12,0,-AK16*Leadsheet!$E$78)</f>
        <v>0</v>
      </c>
      <c r="AL100" s="171">
        <f>IF(AL5&gt;Leadsheet!$E$12,0,-AL16*Leadsheet!$E$78)</f>
        <v>0</v>
      </c>
      <c r="AM100" s="171">
        <f>IF(AM5&gt;Leadsheet!$E$12,0,-AM16*Leadsheet!$E$78)</f>
        <v>0</v>
      </c>
      <c r="AN100" s="171">
        <f>IF(AN5&gt;Leadsheet!$E$12,0,-AN16*Leadsheet!$E$78)</f>
        <v>0</v>
      </c>
      <c r="AO100" s="171">
        <f>IF(AO5&gt;Leadsheet!$E$12,0,-AO16*Leadsheet!$E$78)</f>
        <v>0</v>
      </c>
      <c r="AP100" s="171">
        <f>IF(AP5&gt;Leadsheet!$E$12,0,-AP16*Leadsheet!$E$78)</f>
        <v>0</v>
      </c>
      <c r="AQ100" s="171">
        <f>IF(AQ5&gt;Leadsheet!$E$12,0,-AQ16*Leadsheet!$E$78)</f>
        <v>0</v>
      </c>
      <c r="AR100" s="171">
        <f>IF(AR5&gt;Leadsheet!$E$12,0,-AR16*Leadsheet!$E$78)</f>
        <v>0</v>
      </c>
      <c r="AS100" s="171">
        <f>IF(AS5&gt;Leadsheet!$E$12,0,-AS16*Leadsheet!$E$78)</f>
        <v>0</v>
      </c>
      <c r="AT100" s="171">
        <f>IF(AT5&gt;Leadsheet!$E$12,0,-AT16*Leadsheet!$E$78)</f>
        <v>0</v>
      </c>
      <c r="AU100" s="171">
        <f>IF(AU5&gt;Leadsheet!$E$12,0,-AU16*Leadsheet!$E$78)</f>
        <v>0</v>
      </c>
      <c r="AV100" s="171">
        <f>IF(AV5&gt;Leadsheet!$E$12,0,-AV16*Leadsheet!$E$78)</f>
        <v>0</v>
      </c>
      <c r="AW100" s="171">
        <f>IF(AW5&gt;Leadsheet!$E$12,0,-AW16*Leadsheet!$E$78)</f>
        <v>0</v>
      </c>
      <c r="AX100" s="171">
        <f>IF(AX5&gt;Leadsheet!$E$12,0,-AX16*Leadsheet!$E$78)</f>
        <v>0</v>
      </c>
      <c r="AY100" s="171">
        <f>IF(AY5&gt;Leadsheet!$E$12,0,-AY16*Leadsheet!$E$78)</f>
        <v>0</v>
      </c>
      <c r="AZ100" s="171">
        <f>IF(AZ5&gt;Leadsheet!$E$12,0,-AZ16*Leadsheet!$E$78)</f>
        <v>0</v>
      </c>
      <c r="BA100" s="171">
        <f>IF(BA5&gt;Leadsheet!$E$12,0,-BA16*Leadsheet!$E$78)</f>
        <v>0</v>
      </c>
      <c r="BB100" s="171">
        <f>IF(BB5&gt;Leadsheet!$E$12,0,-BB16*Leadsheet!$E$78)</f>
        <v>0</v>
      </c>
      <c r="BC100" s="171">
        <f>IF(BC5&gt;Leadsheet!$E$12,0,-BC16*Leadsheet!$E$78)</f>
        <v>0</v>
      </c>
      <c r="BD100" s="171">
        <f>IF(BD5&gt;Leadsheet!$E$12,0,-BD16*Leadsheet!$E$78)</f>
        <v>0</v>
      </c>
      <c r="BE100" s="171">
        <f>IF(BE5&gt;Leadsheet!$E$12,0,-BE16*Leadsheet!$E$78)</f>
        <v>0</v>
      </c>
      <c r="BF100" s="171">
        <f>IF(BF5&gt;Leadsheet!$E$12,0,-BF16*Leadsheet!$E$78)</f>
        <v>0</v>
      </c>
      <c r="BG100" s="171">
        <f>IF(BG5&gt;Leadsheet!$E$12,0,-BG16*Leadsheet!$E$78)</f>
        <v>0</v>
      </c>
      <c r="BH100" s="171">
        <f>IF(BH5&gt;Leadsheet!$E$12,0,-BH16*Leadsheet!$E$78)</f>
        <v>0</v>
      </c>
      <c r="BI100" s="171">
        <f>IF(BI5&gt;Leadsheet!$E$12,0,-BI16*Leadsheet!$E$78)</f>
        <v>0</v>
      </c>
      <c r="BJ100" s="171">
        <f>IF(BJ5&gt;Leadsheet!$E$12,0,-BJ16*Leadsheet!$E$78)</f>
        <v>0</v>
      </c>
      <c r="BK100" s="171">
        <f>IF(BK5&gt;Leadsheet!$E$12,0,-BK16*Leadsheet!$E$78)</f>
        <v>0</v>
      </c>
      <c r="BL100" s="171">
        <f>IF(BL5&gt;Leadsheet!$E$12,0,-BL16*Leadsheet!$E$78)</f>
        <v>0</v>
      </c>
    </row>
    <row r="101" spans="1:64" x14ac:dyDescent="0.15">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78"/>
      <c r="AB101" s="178"/>
      <c r="AC101" s="178"/>
      <c r="AD101" s="178"/>
      <c r="AE101" s="178"/>
      <c r="AF101" s="178"/>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row>
    <row r="102" spans="1:64" x14ac:dyDescent="0.15">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c r="AA102" s="178"/>
      <c r="AB102" s="178"/>
      <c r="AC102" s="178"/>
      <c r="AD102" s="178"/>
      <c r="AE102" s="178"/>
      <c r="AF102" s="178"/>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8"/>
      <c r="BK102" s="178"/>
      <c r="BL102" s="178"/>
    </row>
    <row r="103" spans="1:64" s="186" customFormat="1" x14ac:dyDescent="0.15">
      <c r="B103" s="186" t="s">
        <v>452</v>
      </c>
      <c r="E103" s="293">
        <f>SUM(E104:E107)</f>
        <v>-4.8800211223216212E-2</v>
      </c>
      <c r="F103" s="293">
        <f t="shared" ref="F103:BL103" si="23">SUM(F104:F107)</f>
        <v>-4.4896194325358921E-2</v>
      </c>
      <c r="G103" s="293">
        <f t="shared" si="23"/>
        <v>-4.1968181651965947E-2</v>
      </c>
      <c r="H103" s="293">
        <f t="shared" si="23"/>
        <v>-3.9040168978572973E-2</v>
      </c>
      <c r="I103" s="293">
        <f t="shared" si="23"/>
        <v>-3.782016369799257E-2</v>
      </c>
      <c r="J103" s="293">
        <f t="shared" si="23"/>
        <v>-3.6600158417412161E-2</v>
      </c>
      <c r="K103" s="293">
        <f t="shared" si="23"/>
        <v>-3.5380153136831752E-2</v>
      </c>
      <c r="L103" s="293">
        <f t="shared" si="23"/>
        <v>-3.4160147856251349E-2</v>
      </c>
      <c r="M103" s="293">
        <f t="shared" si="23"/>
        <v>-3.2940142575670947E-2</v>
      </c>
      <c r="N103" s="293">
        <f t="shared" si="23"/>
        <v>-3.1720137295090531E-2</v>
      </c>
      <c r="O103" s="293">
        <f t="shared" si="23"/>
        <v>-3.0500132014510128E-2</v>
      </c>
      <c r="P103" s="293">
        <f t="shared" si="23"/>
        <v>-3.0304931169617261E-2</v>
      </c>
      <c r="Q103" s="293">
        <f t="shared" si="23"/>
        <v>-2.9042225704216541E-2</v>
      </c>
      <c r="R103" s="293">
        <f t="shared" si="23"/>
        <v>-2.777952023881582E-2</v>
      </c>
      <c r="S103" s="293">
        <f t="shared" si="23"/>
        <v>0</v>
      </c>
      <c r="T103" s="293">
        <f t="shared" si="23"/>
        <v>0</v>
      </c>
      <c r="U103" s="293">
        <f t="shared" si="23"/>
        <v>0</v>
      </c>
      <c r="V103" s="293">
        <f t="shared" si="23"/>
        <v>0</v>
      </c>
      <c r="W103" s="293">
        <f t="shared" si="23"/>
        <v>0</v>
      </c>
      <c r="X103" s="293">
        <f t="shared" si="23"/>
        <v>0</v>
      </c>
      <c r="Y103" s="293">
        <f t="shared" si="23"/>
        <v>0</v>
      </c>
      <c r="Z103" s="293">
        <f t="shared" si="23"/>
        <v>0</v>
      </c>
      <c r="AA103" s="293">
        <f t="shared" si="23"/>
        <v>0</v>
      </c>
      <c r="AB103" s="293">
        <f t="shared" si="23"/>
        <v>0</v>
      </c>
      <c r="AC103" s="293">
        <f t="shared" si="23"/>
        <v>0</v>
      </c>
      <c r="AD103" s="293">
        <f t="shared" si="23"/>
        <v>0</v>
      </c>
      <c r="AE103" s="293">
        <f t="shared" si="23"/>
        <v>0</v>
      </c>
      <c r="AF103" s="293">
        <f t="shared" si="23"/>
        <v>0</v>
      </c>
      <c r="AG103" s="293">
        <f t="shared" si="23"/>
        <v>0</v>
      </c>
      <c r="AH103" s="293">
        <f t="shared" si="23"/>
        <v>0</v>
      </c>
      <c r="AI103" s="293">
        <f t="shared" si="23"/>
        <v>0</v>
      </c>
      <c r="AJ103" s="293">
        <f t="shared" si="23"/>
        <v>0</v>
      </c>
      <c r="AK103" s="293">
        <f t="shared" si="23"/>
        <v>0</v>
      </c>
      <c r="AL103" s="293">
        <f t="shared" si="23"/>
        <v>0</v>
      </c>
      <c r="AM103" s="293">
        <f t="shared" si="23"/>
        <v>0</v>
      </c>
      <c r="AN103" s="293">
        <f t="shared" si="23"/>
        <v>0</v>
      </c>
      <c r="AO103" s="293">
        <f t="shared" si="23"/>
        <v>0</v>
      </c>
      <c r="AP103" s="293">
        <f t="shared" si="23"/>
        <v>0</v>
      </c>
      <c r="AQ103" s="293">
        <f t="shared" si="23"/>
        <v>0</v>
      </c>
      <c r="AR103" s="293">
        <f t="shared" si="23"/>
        <v>0</v>
      </c>
      <c r="AS103" s="293">
        <f t="shared" si="23"/>
        <v>0</v>
      </c>
      <c r="AT103" s="293">
        <f t="shared" si="23"/>
        <v>0</v>
      </c>
      <c r="AU103" s="293">
        <f t="shared" si="23"/>
        <v>0</v>
      </c>
      <c r="AV103" s="293">
        <f t="shared" si="23"/>
        <v>0</v>
      </c>
      <c r="AW103" s="293">
        <f t="shared" si="23"/>
        <v>0</v>
      </c>
      <c r="AX103" s="293">
        <f t="shared" si="23"/>
        <v>0</v>
      </c>
      <c r="AY103" s="293">
        <f t="shared" si="23"/>
        <v>0</v>
      </c>
      <c r="AZ103" s="293">
        <f t="shared" si="23"/>
        <v>0</v>
      </c>
      <c r="BA103" s="293">
        <f t="shared" si="23"/>
        <v>0</v>
      </c>
      <c r="BB103" s="293">
        <f t="shared" si="23"/>
        <v>0</v>
      </c>
      <c r="BC103" s="293">
        <f t="shared" si="23"/>
        <v>0</v>
      </c>
      <c r="BD103" s="293">
        <f t="shared" si="23"/>
        <v>0</v>
      </c>
      <c r="BE103" s="293">
        <f t="shared" si="23"/>
        <v>0</v>
      </c>
      <c r="BF103" s="293">
        <f t="shared" si="23"/>
        <v>0</v>
      </c>
      <c r="BG103" s="293">
        <f t="shared" si="23"/>
        <v>0</v>
      </c>
      <c r="BH103" s="293">
        <f t="shared" si="23"/>
        <v>0</v>
      </c>
      <c r="BI103" s="293">
        <f t="shared" si="23"/>
        <v>0</v>
      </c>
      <c r="BJ103" s="293">
        <f t="shared" si="23"/>
        <v>0</v>
      </c>
      <c r="BK103" s="293">
        <f t="shared" si="23"/>
        <v>0</v>
      </c>
      <c r="BL103" s="293">
        <f t="shared" si="23"/>
        <v>0</v>
      </c>
    </row>
    <row r="104" spans="1:64" x14ac:dyDescent="0.15">
      <c r="C104" s="115" t="s">
        <v>222</v>
      </c>
      <c r="E104" s="171">
        <f>-IF(E$5&gt;Leadsheet!$E$12,0,Leadsheet!$E81*SAP_Speadsheet!E$93*D$16)</f>
        <v>-9.4474944824391397E-3</v>
      </c>
      <c r="F104" s="171">
        <f>-IF(F$5&gt;Leadsheet!$E$12,0,Leadsheet!$E81*SAP_Speadsheet!F$93*E$16)</f>
        <v>-8.691694923844008E-3</v>
      </c>
      <c r="G104" s="171">
        <f>-IF(G$5&gt;Leadsheet!$E$12,0,Leadsheet!$E81*SAP_Speadsheet!G$93*F$16)</f>
        <v>-8.1248452548976606E-3</v>
      </c>
      <c r="H104" s="171">
        <f>-IF(H$5&gt;Leadsheet!$E$12,0,Leadsheet!$E81*SAP_Speadsheet!H$93*G$16)</f>
        <v>-7.5579955859513123E-3</v>
      </c>
      <c r="I104" s="171">
        <f>-IF(I$5&gt;Leadsheet!$E$12,0,Leadsheet!$E81*SAP_Speadsheet!I$93*H$16)</f>
        <v>-7.3218082238903333E-3</v>
      </c>
      <c r="J104" s="171">
        <f>-IF(J$5&gt;Leadsheet!$E$12,0,Leadsheet!$E81*SAP_Speadsheet!J$93*I$16)</f>
        <v>-7.0856208618293552E-3</v>
      </c>
      <c r="K104" s="171">
        <f>-IF(K$5&gt;Leadsheet!$E$12,0,Leadsheet!$E81*SAP_Speadsheet!K$93*J$16)</f>
        <v>-6.8494334997683762E-3</v>
      </c>
      <c r="L104" s="171">
        <f>-IF(L$5&gt;Leadsheet!$E$12,0,Leadsheet!$E81*SAP_Speadsheet!L$93*K$16)</f>
        <v>-6.6132461377073973E-3</v>
      </c>
      <c r="M104" s="171">
        <f>-IF(M$5&gt;Leadsheet!$E$12,0,Leadsheet!$E81*SAP_Speadsheet!M$93*L$16)</f>
        <v>-6.3770587756464183E-3</v>
      </c>
      <c r="N104" s="171">
        <f>-IF(N$5&gt;Leadsheet!$E$12,0,Leadsheet!$E81*SAP_Speadsheet!N$93*M$16)</f>
        <v>-6.1408714135854402E-3</v>
      </c>
      <c r="O104" s="171">
        <f>-IF(O$5&gt;Leadsheet!$E$12,0,Leadsheet!$E81*SAP_Speadsheet!O$93*N$16)</f>
        <v>-5.9046840515244612E-3</v>
      </c>
      <c r="P104" s="171">
        <f>-IF(P$5&gt;Leadsheet!$E$12,0,Leadsheet!$E81*SAP_Speadsheet!P$93*O$16)</f>
        <v>-5.8668940735947034E-3</v>
      </c>
      <c r="Q104" s="171">
        <f>-IF(Q$5&gt;Leadsheet!$E$12,0,Leadsheet!$E81*SAP_Speadsheet!Q$93*P$16)</f>
        <v>-5.6224401538615904E-3</v>
      </c>
      <c r="R104" s="171">
        <f>-IF(R$5&gt;Leadsheet!$E$12,0,Leadsheet!$E81*SAP_Speadsheet!R$93*Q$16)</f>
        <v>-5.3779862341284774E-3</v>
      </c>
      <c r="S104" s="171">
        <f>-IF(S$5&gt;Leadsheet!$E$12,0,Leadsheet!$E81*SAP_Speadsheet!S$93*R$16)</f>
        <v>0</v>
      </c>
      <c r="T104" s="171">
        <f>-IF(T$5&gt;Leadsheet!$E$12,0,Leadsheet!$E81*SAP_Speadsheet!T$93*S$16)</f>
        <v>0</v>
      </c>
      <c r="U104" s="171">
        <f>-IF(U$5&gt;Leadsheet!$E$12,0,Leadsheet!$E81*SAP_Speadsheet!U$93*T$16)</f>
        <v>0</v>
      </c>
      <c r="V104" s="171">
        <f>-IF(V$5&gt;Leadsheet!$E$12,0,Leadsheet!$E81*SAP_Speadsheet!V$93*U$16)</f>
        <v>0</v>
      </c>
      <c r="W104" s="171">
        <f>-IF(W$5&gt;Leadsheet!$E$12,0,Leadsheet!$E81*SAP_Speadsheet!W$93*V$16)</f>
        <v>0</v>
      </c>
      <c r="X104" s="171">
        <f>-IF(X$5&gt;Leadsheet!$E$12,0,Leadsheet!$E81*SAP_Speadsheet!X$93*W$16)</f>
        <v>0</v>
      </c>
      <c r="Y104" s="171">
        <f>-IF(Y$5&gt;Leadsheet!$E$12,0,Leadsheet!$E81*SAP_Speadsheet!Y$93*X$16)</f>
        <v>0</v>
      </c>
      <c r="Z104" s="171">
        <f>-IF(Z$5&gt;Leadsheet!$E$12,0,Leadsheet!$E81*SAP_Speadsheet!Z$93*Y$16)</f>
        <v>0</v>
      </c>
      <c r="AA104" s="171">
        <f>-IF(AA$5&gt;Leadsheet!$E$12,0,Leadsheet!$E81*SAP_Speadsheet!AA$93*Z$16)</f>
        <v>0</v>
      </c>
      <c r="AB104" s="171">
        <f>-IF(AB$5&gt;Leadsheet!$E$12,0,Leadsheet!$E81*SAP_Speadsheet!AB$93*AA$16)</f>
        <v>0</v>
      </c>
      <c r="AC104" s="171">
        <f>-IF(AC$5&gt;Leadsheet!$E$12,0,Leadsheet!$E81*SAP_Speadsheet!AC$93*AB$16)</f>
        <v>0</v>
      </c>
      <c r="AD104" s="171">
        <f>-IF(AD$5&gt;Leadsheet!$E$12,0,Leadsheet!$E81*SAP_Speadsheet!AD$93*AC$16)</f>
        <v>0</v>
      </c>
      <c r="AE104" s="171">
        <f>-IF(AE$5&gt;Leadsheet!$E$12,0,Leadsheet!$E81*SAP_Speadsheet!AE$93*AD$16)</f>
        <v>0</v>
      </c>
      <c r="AF104" s="171">
        <f>-IF(AF$5&gt;Leadsheet!$E$12,0,Leadsheet!$E81*SAP_Speadsheet!AF$93*AE$16)</f>
        <v>0</v>
      </c>
      <c r="AG104" s="171">
        <f>-IF(AG$5&gt;Leadsheet!$E$12,0,Leadsheet!$E81*SAP_Speadsheet!AG$93*AF$16)</f>
        <v>0</v>
      </c>
      <c r="AH104" s="171">
        <f>-IF(AH$5&gt;Leadsheet!$E$12,0,Leadsheet!$E81*SAP_Speadsheet!AH$93*AG$16)</f>
        <v>0</v>
      </c>
      <c r="AI104" s="171">
        <f>-IF(AI$5&gt;Leadsheet!$E$12,0,Leadsheet!$E81*SAP_Speadsheet!AI$93*AH$16)</f>
        <v>0</v>
      </c>
      <c r="AJ104" s="171">
        <f>-IF(AJ$5&gt;Leadsheet!$E$12,0,Leadsheet!$E81*SAP_Speadsheet!AJ$93*AI$16)</f>
        <v>0</v>
      </c>
      <c r="AK104" s="171">
        <f>-IF(AK$5&gt;Leadsheet!$E$12,0,Leadsheet!$E81*SAP_Speadsheet!AK$93*AJ$16)</f>
        <v>0</v>
      </c>
      <c r="AL104" s="171">
        <f>-IF(AL$5&gt;Leadsheet!$E$12,0,Leadsheet!$E81*SAP_Speadsheet!AL$93*AK$16)</f>
        <v>0</v>
      </c>
      <c r="AM104" s="171">
        <f>-IF(AM$5&gt;Leadsheet!$E$12,0,Leadsheet!$E81*SAP_Speadsheet!AM$93*AL$16)</f>
        <v>0</v>
      </c>
      <c r="AN104" s="171">
        <f>-IF(AN$5&gt;Leadsheet!$E$12,0,Leadsheet!$E81*SAP_Speadsheet!AN$93*AM$16)</f>
        <v>0</v>
      </c>
      <c r="AO104" s="171">
        <f>-IF(AO$5&gt;Leadsheet!$E$12,0,Leadsheet!$E81*SAP_Speadsheet!AO$93*AN$16)</f>
        <v>0</v>
      </c>
      <c r="AP104" s="171">
        <f>-IF(AP$5&gt;Leadsheet!$E$12,0,Leadsheet!$E81*SAP_Speadsheet!AP$93*AO$16)</f>
        <v>0</v>
      </c>
      <c r="AQ104" s="171">
        <f>-IF(AQ$5&gt;Leadsheet!$E$12,0,Leadsheet!$E81*SAP_Speadsheet!AQ$93*AP$16)</f>
        <v>0</v>
      </c>
      <c r="AR104" s="171">
        <f>-IF(AR$5&gt;Leadsheet!$E$12,0,Leadsheet!$E81*SAP_Speadsheet!AR$93*AQ$16)</f>
        <v>0</v>
      </c>
      <c r="AS104" s="171">
        <f>-IF(AS$5&gt;Leadsheet!$E$12,0,Leadsheet!$E81*SAP_Speadsheet!AS$93*AR$16)</f>
        <v>0</v>
      </c>
      <c r="AT104" s="171">
        <f>-IF(AT$5&gt;Leadsheet!$E$12,0,Leadsheet!$E81*SAP_Speadsheet!AT$93*AS$16)</f>
        <v>0</v>
      </c>
      <c r="AU104" s="171">
        <f>-IF(AU$5&gt;Leadsheet!$E$12,0,Leadsheet!$E81*SAP_Speadsheet!AU$93*AT$16)</f>
        <v>0</v>
      </c>
      <c r="AV104" s="171">
        <f>-IF(AV$5&gt;Leadsheet!$E$12,0,Leadsheet!$E81*SAP_Speadsheet!AV$93*AU$16)</f>
        <v>0</v>
      </c>
      <c r="AW104" s="171">
        <f>-IF(AW$5&gt;Leadsheet!$E$12,0,Leadsheet!$E81*SAP_Speadsheet!AW$93*AV$16)</f>
        <v>0</v>
      </c>
      <c r="AX104" s="171">
        <f>-IF(AX$5&gt;Leadsheet!$E$12,0,Leadsheet!$E81*SAP_Speadsheet!AX$93*AW$16)</f>
        <v>0</v>
      </c>
      <c r="AY104" s="171">
        <f>-IF(AY$5&gt;Leadsheet!$E$12,0,Leadsheet!$E81*SAP_Speadsheet!AY$93*AX$16)</f>
        <v>0</v>
      </c>
      <c r="AZ104" s="171">
        <f>-IF(AZ$5&gt;Leadsheet!$E$12,0,Leadsheet!$E81*SAP_Speadsheet!AZ$93*AY$16)</f>
        <v>0</v>
      </c>
      <c r="BA104" s="171">
        <f>-IF(BA$5&gt;Leadsheet!$E$12,0,Leadsheet!$E81*SAP_Speadsheet!BA$93*AZ$16)</f>
        <v>0</v>
      </c>
      <c r="BB104" s="171">
        <f>-IF(BB$5&gt;Leadsheet!$E$12,0,Leadsheet!$E81*SAP_Speadsheet!BB$93*BA$16)</f>
        <v>0</v>
      </c>
      <c r="BC104" s="171">
        <f>-IF(BC$5&gt;Leadsheet!$E$12,0,Leadsheet!$E81*SAP_Speadsheet!BC$93*BB$16)</f>
        <v>0</v>
      </c>
      <c r="BD104" s="171">
        <f>-IF(BD$5&gt;Leadsheet!$E$12,0,Leadsheet!$E81*SAP_Speadsheet!BD$93*BC$16)</f>
        <v>0</v>
      </c>
      <c r="BE104" s="171">
        <f>-IF(BE$5&gt;Leadsheet!$E$12,0,Leadsheet!$E81*SAP_Speadsheet!BE$93*BD$16)</f>
        <v>0</v>
      </c>
      <c r="BF104" s="171">
        <f>-IF(BF$5&gt;Leadsheet!$E$12,0,Leadsheet!$E81*SAP_Speadsheet!BF$93*BE$16)</f>
        <v>0</v>
      </c>
      <c r="BG104" s="171">
        <f>-IF(BG$5&gt;Leadsheet!$E$12,0,Leadsheet!$E81*SAP_Speadsheet!BG$93*BF$16)</f>
        <v>0</v>
      </c>
      <c r="BH104" s="171">
        <f>-IF(BH$5&gt;Leadsheet!$E$12,0,Leadsheet!$E81*SAP_Speadsheet!BH$93*BG$16)</f>
        <v>0</v>
      </c>
      <c r="BI104" s="171">
        <f>-IF(BI$5&gt;Leadsheet!$E$12,0,Leadsheet!$E81*SAP_Speadsheet!BI$93*BH$16)</f>
        <v>0</v>
      </c>
      <c r="BJ104" s="171">
        <f>-IF(BJ$5&gt;Leadsheet!$E$12,0,Leadsheet!$E81*SAP_Speadsheet!BJ$93*BI$16)</f>
        <v>0</v>
      </c>
      <c r="BK104" s="171">
        <f>-IF(BK$5&gt;Leadsheet!$E$12,0,Leadsheet!$E81*SAP_Speadsheet!BK$93*BJ$16)</f>
        <v>0</v>
      </c>
      <c r="BL104" s="171">
        <f>-IF(BL$5&gt;Leadsheet!$E$12,0,Leadsheet!$E81*SAP_Speadsheet!BL$93*BK$16)</f>
        <v>0</v>
      </c>
    </row>
    <row r="105" spans="1:64" x14ac:dyDescent="0.15">
      <c r="C105" s="115" t="s">
        <v>224</v>
      </c>
      <c r="E105" s="171">
        <f>-IF(E$5&gt;Leadsheet!$E$12,0,Leadsheet!$E82*SAP_Speadsheet!E$93*D$16)</f>
        <v>-1.5343085903927139E-2</v>
      </c>
      <c r="F105" s="171">
        <f>-IF(F$5&gt;Leadsheet!$E$12,0,Leadsheet!$E82*SAP_Speadsheet!F$93*E$16)</f>
        <v>-1.4115639031612968E-2</v>
      </c>
      <c r="G105" s="171">
        <f>-IF(G$5&gt;Leadsheet!$E$12,0,Leadsheet!$E82*SAP_Speadsheet!G$93*F$16)</f>
        <v>-1.3195053877377341E-2</v>
      </c>
      <c r="H105" s="171">
        <f>-IF(H$5&gt;Leadsheet!$E$12,0,Leadsheet!$E82*SAP_Speadsheet!H$93*G$16)</f>
        <v>-1.2274468723141712E-2</v>
      </c>
      <c r="I105" s="171">
        <f>-IF(I$5&gt;Leadsheet!$E$12,0,Leadsheet!$E82*SAP_Speadsheet!I$93*H$16)</f>
        <v>-1.1890891575543534E-2</v>
      </c>
      <c r="J105" s="171">
        <f>-IF(J$5&gt;Leadsheet!$E$12,0,Leadsheet!$E82*SAP_Speadsheet!J$93*I$16)</f>
        <v>-1.1507314427945354E-2</v>
      </c>
      <c r="K105" s="171">
        <f>-IF(K$5&gt;Leadsheet!$E$12,0,Leadsheet!$E82*SAP_Speadsheet!K$93*J$16)</f>
        <v>-1.1123737280347176E-2</v>
      </c>
      <c r="L105" s="171">
        <f>-IF(L$5&gt;Leadsheet!$E$12,0,Leadsheet!$E82*SAP_Speadsheet!L$93*K$16)</f>
        <v>-1.0740160132748996E-2</v>
      </c>
      <c r="M105" s="171">
        <f>-IF(M$5&gt;Leadsheet!$E$12,0,Leadsheet!$E82*SAP_Speadsheet!M$93*L$16)</f>
        <v>-1.0356582985150818E-2</v>
      </c>
      <c r="N105" s="171">
        <f>-IF(N$5&gt;Leadsheet!$E$12,0,Leadsheet!$E82*SAP_Speadsheet!N$93*M$16)</f>
        <v>-9.9730058375526384E-3</v>
      </c>
      <c r="O105" s="171">
        <f>-IF(O$5&gt;Leadsheet!$E$12,0,Leadsheet!$E82*SAP_Speadsheet!O$93*N$16)</f>
        <v>-9.5894286899544604E-3</v>
      </c>
      <c r="P105" s="171">
        <f>-IF(P$5&gt;Leadsheet!$E$12,0,Leadsheet!$E82*SAP_Speadsheet!P$93*O$16)</f>
        <v>-9.5280563463387494E-3</v>
      </c>
      <c r="Q105" s="171">
        <f>-IF(Q$5&gt;Leadsheet!$E$12,0,Leadsheet!$E82*SAP_Speadsheet!Q$93*P$16)</f>
        <v>-9.1310539985746345E-3</v>
      </c>
      <c r="R105" s="171">
        <f>-IF(R$5&gt;Leadsheet!$E$12,0,Leadsheet!$E82*SAP_Speadsheet!R$93*Q$16)</f>
        <v>-8.7340516508105197E-3</v>
      </c>
      <c r="S105" s="171">
        <f>-IF(S$5&gt;Leadsheet!$E$12,0,Leadsheet!$E82*SAP_Speadsheet!S$93*R$16)</f>
        <v>0</v>
      </c>
      <c r="T105" s="171">
        <f>-IF(T$5&gt;Leadsheet!$E$12,0,Leadsheet!$E82*SAP_Speadsheet!T$93*S$16)</f>
        <v>0</v>
      </c>
      <c r="U105" s="171">
        <f>-IF(U$5&gt;Leadsheet!$E$12,0,Leadsheet!$E82*SAP_Speadsheet!U$93*T$16)</f>
        <v>0</v>
      </c>
      <c r="V105" s="171">
        <f>-IF(V$5&gt;Leadsheet!$E$12,0,Leadsheet!$E82*SAP_Speadsheet!V$93*U$16)</f>
        <v>0</v>
      </c>
      <c r="W105" s="171">
        <f>-IF(W$5&gt;Leadsheet!$E$12,0,Leadsheet!$E82*SAP_Speadsheet!W$93*V$16)</f>
        <v>0</v>
      </c>
      <c r="X105" s="171">
        <f>-IF(X$5&gt;Leadsheet!$E$12,0,Leadsheet!$E82*SAP_Speadsheet!X$93*W$16)</f>
        <v>0</v>
      </c>
      <c r="Y105" s="171">
        <f>-IF(Y$5&gt;Leadsheet!$E$12,0,Leadsheet!$E82*SAP_Speadsheet!Y$93*X$16)</f>
        <v>0</v>
      </c>
      <c r="Z105" s="171">
        <f>-IF(Z$5&gt;Leadsheet!$E$12,0,Leadsheet!$E82*SAP_Speadsheet!Z$93*Y$16)</f>
        <v>0</v>
      </c>
      <c r="AA105" s="171">
        <f>-IF(AA$5&gt;Leadsheet!$E$12,0,Leadsheet!$E82*SAP_Speadsheet!AA$93*Z$16)</f>
        <v>0</v>
      </c>
      <c r="AB105" s="171">
        <f>-IF(AB$5&gt;Leadsheet!$E$12,0,Leadsheet!$E82*SAP_Speadsheet!AB$93*AA$16)</f>
        <v>0</v>
      </c>
      <c r="AC105" s="171">
        <f>-IF(AC$5&gt;Leadsheet!$E$12,0,Leadsheet!$E82*SAP_Speadsheet!AC$93*AB$16)</f>
        <v>0</v>
      </c>
      <c r="AD105" s="171">
        <f>-IF(AD$5&gt;Leadsheet!$E$12,0,Leadsheet!$E82*SAP_Speadsheet!AD$93*AC$16)</f>
        <v>0</v>
      </c>
      <c r="AE105" s="171">
        <f>-IF(AE$5&gt;Leadsheet!$E$12,0,Leadsheet!$E82*SAP_Speadsheet!AE$93*AD$16)</f>
        <v>0</v>
      </c>
      <c r="AF105" s="171">
        <f>-IF(AF$5&gt;Leadsheet!$E$12,0,Leadsheet!$E82*SAP_Speadsheet!AF$93*AE$16)</f>
        <v>0</v>
      </c>
      <c r="AG105" s="171">
        <f>-IF(AG$5&gt;Leadsheet!$E$12,0,Leadsheet!$E82*SAP_Speadsheet!AG$93*AF$16)</f>
        <v>0</v>
      </c>
      <c r="AH105" s="171">
        <f>-IF(AH$5&gt;Leadsheet!$E$12,0,Leadsheet!$E82*SAP_Speadsheet!AH$93*AG$16)</f>
        <v>0</v>
      </c>
      <c r="AI105" s="171">
        <f>-IF(AI$5&gt;Leadsheet!$E$12,0,Leadsheet!$E82*SAP_Speadsheet!AI$93*AH$16)</f>
        <v>0</v>
      </c>
      <c r="AJ105" s="171">
        <f>-IF(AJ$5&gt;Leadsheet!$E$12,0,Leadsheet!$E82*SAP_Speadsheet!AJ$93*AI$16)</f>
        <v>0</v>
      </c>
      <c r="AK105" s="171">
        <f>-IF(AK$5&gt;Leadsheet!$E$12,0,Leadsheet!$E82*SAP_Speadsheet!AK$93*AJ$16)</f>
        <v>0</v>
      </c>
      <c r="AL105" s="171">
        <f>-IF(AL$5&gt;Leadsheet!$E$12,0,Leadsheet!$E82*SAP_Speadsheet!AL$93*AK$16)</f>
        <v>0</v>
      </c>
      <c r="AM105" s="171">
        <f>-IF(AM$5&gt;Leadsheet!$E$12,0,Leadsheet!$E82*SAP_Speadsheet!AM$93*AL$16)</f>
        <v>0</v>
      </c>
      <c r="AN105" s="171">
        <f>-IF(AN$5&gt;Leadsheet!$E$12,0,Leadsheet!$E82*SAP_Speadsheet!AN$93*AM$16)</f>
        <v>0</v>
      </c>
      <c r="AO105" s="171">
        <f>-IF(AO$5&gt;Leadsheet!$E$12,0,Leadsheet!$E82*SAP_Speadsheet!AO$93*AN$16)</f>
        <v>0</v>
      </c>
      <c r="AP105" s="171">
        <f>-IF(AP$5&gt;Leadsheet!$E$12,0,Leadsheet!$E82*SAP_Speadsheet!AP$93*AO$16)</f>
        <v>0</v>
      </c>
      <c r="AQ105" s="171">
        <f>-IF(AQ$5&gt;Leadsheet!$E$12,0,Leadsheet!$E82*SAP_Speadsheet!AQ$93*AP$16)</f>
        <v>0</v>
      </c>
      <c r="AR105" s="171">
        <f>-IF(AR$5&gt;Leadsheet!$E$12,0,Leadsheet!$E82*SAP_Speadsheet!AR$93*AQ$16)</f>
        <v>0</v>
      </c>
      <c r="AS105" s="171">
        <f>-IF(AS$5&gt;Leadsheet!$E$12,0,Leadsheet!$E82*SAP_Speadsheet!AS$93*AR$16)</f>
        <v>0</v>
      </c>
      <c r="AT105" s="171">
        <f>-IF(AT$5&gt;Leadsheet!$E$12,0,Leadsheet!$E82*SAP_Speadsheet!AT$93*AS$16)</f>
        <v>0</v>
      </c>
      <c r="AU105" s="171">
        <f>-IF(AU$5&gt;Leadsheet!$E$12,0,Leadsheet!$E82*SAP_Speadsheet!AU$93*AT$16)</f>
        <v>0</v>
      </c>
      <c r="AV105" s="171">
        <f>-IF(AV$5&gt;Leadsheet!$E$12,0,Leadsheet!$E82*SAP_Speadsheet!AV$93*AU$16)</f>
        <v>0</v>
      </c>
      <c r="AW105" s="171">
        <f>-IF(AW$5&gt;Leadsheet!$E$12,0,Leadsheet!$E82*SAP_Speadsheet!AW$93*AV$16)</f>
        <v>0</v>
      </c>
      <c r="AX105" s="171">
        <f>-IF(AX$5&gt;Leadsheet!$E$12,0,Leadsheet!$E82*SAP_Speadsheet!AX$93*AW$16)</f>
        <v>0</v>
      </c>
      <c r="AY105" s="171">
        <f>-IF(AY$5&gt;Leadsheet!$E$12,0,Leadsheet!$E82*SAP_Speadsheet!AY$93*AX$16)</f>
        <v>0</v>
      </c>
      <c r="AZ105" s="171">
        <f>-IF(AZ$5&gt;Leadsheet!$E$12,0,Leadsheet!$E82*SAP_Speadsheet!AZ$93*AY$16)</f>
        <v>0</v>
      </c>
      <c r="BA105" s="171">
        <f>-IF(BA$5&gt;Leadsheet!$E$12,0,Leadsheet!$E82*SAP_Speadsheet!BA$93*AZ$16)</f>
        <v>0</v>
      </c>
      <c r="BB105" s="171">
        <f>-IF(BB$5&gt;Leadsheet!$E$12,0,Leadsheet!$E82*SAP_Speadsheet!BB$93*BA$16)</f>
        <v>0</v>
      </c>
      <c r="BC105" s="171">
        <f>-IF(BC$5&gt;Leadsheet!$E$12,0,Leadsheet!$E82*SAP_Speadsheet!BC$93*BB$16)</f>
        <v>0</v>
      </c>
      <c r="BD105" s="171">
        <f>-IF(BD$5&gt;Leadsheet!$E$12,0,Leadsheet!$E82*SAP_Speadsheet!BD$93*BC$16)</f>
        <v>0</v>
      </c>
      <c r="BE105" s="171">
        <f>-IF(BE$5&gt;Leadsheet!$E$12,0,Leadsheet!$E82*SAP_Speadsheet!BE$93*BD$16)</f>
        <v>0</v>
      </c>
      <c r="BF105" s="171">
        <f>-IF(BF$5&gt;Leadsheet!$E$12,0,Leadsheet!$E82*SAP_Speadsheet!BF$93*BE$16)</f>
        <v>0</v>
      </c>
      <c r="BG105" s="171">
        <f>-IF(BG$5&gt;Leadsheet!$E$12,0,Leadsheet!$E82*SAP_Speadsheet!BG$93*BF$16)</f>
        <v>0</v>
      </c>
      <c r="BH105" s="171">
        <f>-IF(BH$5&gt;Leadsheet!$E$12,0,Leadsheet!$E82*SAP_Speadsheet!BH$93*BG$16)</f>
        <v>0</v>
      </c>
      <c r="BI105" s="171">
        <f>-IF(BI$5&gt;Leadsheet!$E$12,0,Leadsheet!$E82*SAP_Speadsheet!BI$93*BH$16)</f>
        <v>0</v>
      </c>
      <c r="BJ105" s="171">
        <f>-IF(BJ$5&gt;Leadsheet!$E$12,0,Leadsheet!$E82*SAP_Speadsheet!BJ$93*BI$16)</f>
        <v>0</v>
      </c>
      <c r="BK105" s="171">
        <f>-IF(BK$5&gt;Leadsheet!$E$12,0,Leadsheet!$E82*SAP_Speadsheet!BK$93*BJ$16)</f>
        <v>0</v>
      </c>
      <c r="BL105" s="171">
        <f>-IF(BL$5&gt;Leadsheet!$E$12,0,Leadsheet!$E82*SAP_Speadsheet!BL$93*BK$16)</f>
        <v>0</v>
      </c>
    </row>
    <row r="106" spans="1:64" x14ac:dyDescent="0.15">
      <c r="C106" s="115" t="s">
        <v>226</v>
      </c>
      <c r="E106" s="171">
        <f>-IF(E$5&gt;Leadsheet!$E$12,0,Leadsheet!$E83*SAP_Speadsheet!E$93*D$16)</f>
        <v>-1.1893836336864827E-2</v>
      </c>
      <c r="F106" s="171">
        <f>-IF(F$5&gt;Leadsheet!$E$12,0,Leadsheet!$E83*SAP_Speadsheet!F$93*E$16)</f>
        <v>-1.0942329429915642E-2</v>
      </c>
      <c r="G106" s="171">
        <f>-IF(G$5&gt;Leadsheet!$E$12,0,Leadsheet!$E83*SAP_Speadsheet!G$93*F$16)</f>
        <v>-1.0228699249703753E-2</v>
      </c>
      <c r="H106" s="171">
        <f>-IF(H$5&gt;Leadsheet!$E$12,0,Leadsheet!$E83*SAP_Speadsheet!H$93*G$16)</f>
        <v>-9.5150690694918629E-3</v>
      </c>
      <c r="I106" s="171">
        <f>-IF(I$5&gt;Leadsheet!$E$12,0,Leadsheet!$E83*SAP_Speadsheet!I$93*H$16)</f>
        <v>-9.2177231610702411E-3</v>
      </c>
      <c r="J106" s="171">
        <f>-IF(J$5&gt;Leadsheet!$E$12,0,Leadsheet!$E83*SAP_Speadsheet!J$93*I$16)</f>
        <v>-8.9203772526486209E-3</v>
      </c>
      <c r="K106" s="171">
        <f>-IF(K$5&gt;Leadsheet!$E$12,0,Leadsheet!$E83*SAP_Speadsheet!K$93*J$16)</f>
        <v>-8.6230313442269991E-3</v>
      </c>
      <c r="L106" s="171">
        <f>-IF(L$5&gt;Leadsheet!$E$12,0,Leadsheet!$E83*SAP_Speadsheet!L$93*K$16)</f>
        <v>-8.325685435805379E-3</v>
      </c>
      <c r="M106" s="171">
        <f>-IF(M$5&gt;Leadsheet!$E$12,0,Leadsheet!$E83*SAP_Speadsheet!M$93*L$16)</f>
        <v>-8.0283395273837571E-3</v>
      </c>
      <c r="N106" s="171">
        <f>-IF(N$5&gt;Leadsheet!$E$12,0,Leadsheet!$E83*SAP_Speadsheet!N$93*M$16)</f>
        <v>-7.730993618962137E-3</v>
      </c>
      <c r="O106" s="171">
        <f>-IF(O$5&gt;Leadsheet!$E$12,0,Leadsheet!$E83*SAP_Speadsheet!O$93*N$16)</f>
        <v>-7.433647710540516E-3</v>
      </c>
      <c r="P106" s="171">
        <f>-IF(P$5&gt;Leadsheet!$E$12,0,Leadsheet!$E83*SAP_Speadsheet!P$93*O$16)</f>
        <v>-7.386072365193056E-3</v>
      </c>
      <c r="Q106" s="171">
        <f>-IF(Q$5&gt;Leadsheet!$E$12,0,Leadsheet!$E83*SAP_Speadsheet!Q$93*P$16)</f>
        <v>-7.0783193499766783E-3</v>
      </c>
      <c r="R106" s="171">
        <f>-IF(R$5&gt;Leadsheet!$E$12,0,Leadsheet!$E83*SAP_Speadsheet!R$93*Q$16)</f>
        <v>-6.7705663347603006E-3</v>
      </c>
      <c r="S106" s="171">
        <f>-IF(S$5&gt;Leadsheet!$E$12,0,Leadsheet!$E83*SAP_Speadsheet!S$93*R$16)</f>
        <v>0</v>
      </c>
      <c r="T106" s="171">
        <f>-IF(T$5&gt;Leadsheet!$E$12,0,Leadsheet!$E83*SAP_Speadsheet!T$93*S$16)</f>
        <v>0</v>
      </c>
      <c r="U106" s="171">
        <f>-IF(U$5&gt;Leadsheet!$E$12,0,Leadsheet!$E83*SAP_Speadsheet!U$93*T$16)</f>
        <v>0</v>
      </c>
      <c r="V106" s="171">
        <f>-IF(V$5&gt;Leadsheet!$E$12,0,Leadsheet!$E83*SAP_Speadsheet!V$93*U$16)</f>
        <v>0</v>
      </c>
      <c r="W106" s="171">
        <f>-IF(W$5&gt;Leadsheet!$E$12,0,Leadsheet!$E83*SAP_Speadsheet!W$93*V$16)</f>
        <v>0</v>
      </c>
      <c r="X106" s="171">
        <f>-IF(X$5&gt;Leadsheet!$E$12,0,Leadsheet!$E83*SAP_Speadsheet!X$93*W$16)</f>
        <v>0</v>
      </c>
      <c r="Y106" s="171">
        <f>-IF(Y$5&gt;Leadsheet!$E$12,0,Leadsheet!$E83*SAP_Speadsheet!Y$93*X$16)</f>
        <v>0</v>
      </c>
      <c r="Z106" s="171">
        <f>-IF(Z$5&gt;Leadsheet!$E$12,0,Leadsheet!$E83*SAP_Speadsheet!Z$93*Y$16)</f>
        <v>0</v>
      </c>
      <c r="AA106" s="171">
        <f>-IF(AA$5&gt;Leadsheet!$E$12,0,Leadsheet!$E83*SAP_Speadsheet!AA$93*Z$16)</f>
        <v>0</v>
      </c>
      <c r="AB106" s="171">
        <f>-IF(AB$5&gt;Leadsheet!$E$12,0,Leadsheet!$E83*SAP_Speadsheet!AB$93*AA$16)</f>
        <v>0</v>
      </c>
      <c r="AC106" s="171">
        <f>-IF(AC$5&gt;Leadsheet!$E$12,0,Leadsheet!$E83*SAP_Speadsheet!AC$93*AB$16)</f>
        <v>0</v>
      </c>
      <c r="AD106" s="171">
        <f>-IF(AD$5&gt;Leadsheet!$E$12,0,Leadsheet!$E83*SAP_Speadsheet!AD$93*AC$16)</f>
        <v>0</v>
      </c>
      <c r="AE106" s="171">
        <f>-IF(AE$5&gt;Leadsheet!$E$12,0,Leadsheet!$E83*SAP_Speadsheet!AE$93*AD$16)</f>
        <v>0</v>
      </c>
      <c r="AF106" s="171">
        <f>-IF(AF$5&gt;Leadsheet!$E$12,0,Leadsheet!$E83*SAP_Speadsheet!AF$93*AE$16)</f>
        <v>0</v>
      </c>
      <c r="AG106" s="171">
        <f>-IF(AG$5&gt;Leadsheet!$E$12,0,Leadsheet!$E83*SAP_Speadsheet!AG$93*AF$16)</f>
        <v>0</v>
      </c>
      <c r="AH106" s="171">
        <f>-IF(AH$5&gt;Leadsheet!$E$12,0,Leadsheet!$E83*SAP_Speadsheet!AH$93*AG$16)</f>
        <v>0</v>
      </c>
      <c r="AI106" s="171">
        <f>-IF(AI$5&gt;Leadsheet!$E$12,0,Leadsheet!$E83*SAP_Speadsheet!AI$93*AH$16)</f>
        <v>0</v>
      </c>
      <c r="AJ106" s="171">
        <f>-IF(AJ$5&gt;Leadsheet!$E$12,0,Leadsheet!$E83*SAP_Speadsheet!AJ$93*AI$16)</f>
        <v>0</v>
      </c>
      <c r="AK106" s="171">
        <f>-IF(AK$5&gt;Leadsheet!$E$12,0,Leadsheet!$E83*SAP_Speadsheet!AK$93*AJ$16)</f>
        <v>0</v>
      </c>
      <c r="AL106" s="171">
        <f>-IF(AL$5&gt;Leadsheet!$E$12,0,Leadsheet!$E83*SAP_Speadsheet!AL$93*AK$16)</f>
        <v>0</v>
      </c>
      <c r="AM106" s="171">
        <f>-IF(AM$5&gt;Leadsheet!$E$12,0,Leadsheet!$E83*SAP_Speadsheet!AM$93*AL$16)</f>
        <v>0</v>
      </c>
      <c r="AN106" s="171">
        <f>-IF(AN$5&gt;Leadsheet!$E$12,0,Leadsheet!$E83*SAP_Speadsheet!AN$93*AM$16)</f>
        <v>0</v>
      </c>
      <c r="AO106" s="171">
        <f>-IF(AO$5&gt;Leadsheet!$E$12,0,Leadsheet!$E83*SAP_Speadsheet!AO$93*AN$16)</f>
        <v>0</v>
      </c>
      <c r="AP106" s="171">
        <f>-IF(AP$5&gt;Leadsheet!$E$12,0,Leadsheet!$E83*SAP_Speadsheet!AP$93*AO$16)</f>
        <v>0</v>
      </c>
      <c r="AQ106" s="171">
        <f>-IF(AQ$5&gt;Leadsheet!$E$12,0,Leadsheet!$E83*SAP_Speadsheet!AQ$93*AP$16)</f>
        <v>0</v>
      </c>
      <c r="AR106" s="171">
        <f>-IF(AR$5&gt;Leadsheet!$E$12,0,Leadsheet!$E83*SAP_Speadsheet!AR$93*AQ$16)</f>
        <v>0</v>
      </c>
      <c r="AS106" s="171">
        <f>-IF(AS$5&gt;Leadsheet!$E$12,0,Leadsheet!$E83*SAP_Speadsheet!AS$93*AR$16)</f>
        <v>0</v>
      </c>
      <c r="AT106" s="171">
        <f>-IF(AT$5&gt;Leadsheet!$E$12,0,Leadsheet!$E83*SAP_Speadsheet!AT$93*AS$16)</f>
        <v>0</v>
      </c>
      <c r="AU106" s="171">
        <f>-IF(AU$5&gt;Leadsheet!$E$12,0,Leadsheet!$E83*SAP_Speadsheet!AU$93*AT$16)</f>
        <v>0</v>
      </c>
      <c r="AV106" s="171">
        <f>-IF(AV$5&gt;Leadsheet!$E$12,0,Leadsheet!$E83*SAP_Speadsheet!AV$93*AU$16)</f>
        <v>0</v>
      </c>
      <c r="AW106" s="171">
        <f>-IF(AW$5&gt;Leadsheet!$E$12,0,Leadsheet!$E83*SAP_Speadsheet!AW$93*AV$16)</f>
        <v>0</v>
      </c>
      <c r="AX106" s="171">
        <f>-IF(AX$5&gt;Leadsheet!$E$12,0,Leadsheet!$E83*SAP_Speadsheet!AX$93*AW$16)</f>
        <v>0</v>
      </c>
      <c r="AY106" s="171">
        <f>-IF(AY$5&gt;Leadsheet!$E$12,0,Leadsheet!$E83*SAP_Speadsheet!AY$93*AX$16)</f>
        <v>0</v>
      </c>
      <c r="AZ106" s="171">
        <f>-IF(AZ$5&gt;Leadsheet!$E$12,0,Leadsheet!$E83*SAP_Speadsheet!AZ$93*AY$16)</f>
        <v>0</v>
      </c>
      <c r="BA106" s="171">
        <f>-IF(BA$5&gt;Leadsheet!$E$12,0,Leadsheet!$E83*SAP_Speadsheet!BA$93*AZ$16)</f>
        <v>0</v>
      </c>
      <c r="BB106" s="171">
        <f>-IF(BB$5&gt;Leadsheet!$E$12,0,Leadsheet!$E83*SAP_Speadsheet!BB$93*BA$16)</f>
        <v>0</v>
      </c>
      <c r="BC106" s="171">
        <f>-IF(BC$5&gt;Leadsheet!$E$12,0,Leadsheet!$E83*SAP_Speadsheet!BC$93*BB$16)</f>
        <v>0</v>
      </c>
      <c r="BD106" s="171">
        <f>-IF(BD$5&gt;Leadsheet!$E$12,0,Leadsheet!$E83*SAP_Speadsheet!BD$93*BC$16)</f>
        <v>0</v>
      </c>
      <c r="BE106" s="171">
        <f>-IF(BE$5&gt;Leadsheet!$E$12,0,Leadsheet!$E83*SAP_Speadsheet!BE$93*BD$16)</f>
        <v>0</v>
      </c>
      <c r="BF106" s="171">
        <f>-IF(BF$5&gt;Leadsheet!$E$12,0,Leadsheet!$E83*SAP_Speadsheet!BF$93*BE$16)</f>
        <v>0</v>
      </c>
      <c r="BG106" s="171">
        <f>-IF(BG$5&gt;Leadsheet!$E$12,0,Leadsheet!$E83*SAP_Speadsheet!BG$93*BF$16)</f>
        <v>0</v>
      </c>
      <c r="BH106" s="171">
        <f>-IF(BH$5&gt;Leadsheet!$E$12,0,Leadsheet!$E83*SAP_Speadsheet!BH$93*BG$16)</f>
        <v>0</v>
      </c>
      <c r="BI106" s="171">
        <f>-IF(BI$5&gt;Leadsheet!$E$12,0,Leadsheet!$E83*SAP_Speadsheet!BI$93*BH$16)</f>
        <v>0</v>
      </c>
      <c r="BJ106" s="171">
        <f>-IF(BJ$5&gt;Leadsheet!$E$12,0,Leadsheet!$E83*SAP_Speadsheet!BJ$93*BI$16)</f>
        <v>0</v>
      </c>
      <c r="BK106" s="171">
        <f>-IF(BK$5&gt;Leadsheet!$E$12,0,Leadsheet!$E83*SAP_Speadsheet!BK$93*BJ$16)</f>
        <v>0</v>
      </c>
      <c r="BL106" s="171">
        <f>-IF(BL$5&gt;Leadsheet!$E$12,0,Leadsheet!$E83*SAP_Speadsheet!BL$93*BK$16)</f>
        <v>0</v>
      </c>
    </row>
    <row r="107" spans="1:64" x14ac:dyDescent="0.15">
      <c r="C107" s="115" t="s">
        <v>315</v>
      </c>
      <c r="E107" s="171">
        <f>-IF(E$5&gt;Leadsheet!$E$12,0,Leadsheet!$E84*SAP_Speadsheet!E$93*D$16)</f>
        <v>-1.211579449998511E-2</v>
      </c>
      <c r="F107" s="171">
        <f>-IF(F$5&gt;Leadsheet!$E$12,0,Leadsheet!$E84*SAP_Speadsheet!F$93*E$16)</f>
        <v>-1.1146530939986302E-2</v>
      </c>
      <c r="G107" s="171">
        <f>-IF(G$5&gt;Leadsheet!$E$12,0,Leadsheet!$E84*SAP_Speadsheet!G$93*F$16)</f>
        <v>-1.0419583269987195E-2</v>
      </c>
      <c r="H107" s="171">
        <f>-IF(H$5&gt;Leadsheet!$E$12,0,Leadsheet!$E84*SAP_Speadsheet!H$93*G$16)</f>
        <v>-9.6926355999880885E-3</v>
      </c>
      <c r="I107" s="171">
        <f>-IF(I$5&gt;Leadsheet!$E$12,0,Leadsheet!$E84*SAP_Speadsheet!I$93*H$16)</f>
        <v>-9.3897407374884598E-3</v>
      </c>
      <c r="J107" s="171">
        <f>-IF(J$5&gt;Leadsheet!$E$12,0,Leadsheet!$E84*SAP_Speadsheet!J$93*I$16)</f>
        <v>-9.0868458749888328E-3</v>
      </c>
      <c r="K107" s="171">
        <f>-IF(K$5&gt;Leadsheet!$E$12,0,Leadsheet!$E84*SAP_Speadsheet!K$93*J$16)</f>
        <v>-8.783951012489204E-3</v>
      </c>
      <c r="L107" s="171">
        <f>-IF(L$5&gt;Leadsheet!$E$12,0,Leadsheet!$E84*SAP_Speadsheet!L$93*K$16)</f>
        <v>-8.481056149989577E-3</v>
      </c>
      <c r="M107" s="171">
        <f>-IF(M$5&gt;Leadsheet!$E$12,0,Leadsheet!$E84*SAP_Speadsheet!M$93*L$16)</f>
        <v>-8.1781612874899483E-3</v>
      </c>
      <c r="N107" s="171">
        <f>-IF(N$5&gt;Leadsheet!$E$12,0,Leadsheet!$E84*SAP_Speadsheet!N$93*M$16)</f>
        <v>-7.8752664249903195E-3</v>
      </c>
      <c r="O107" s="171">
        <f>-IF(O$5&gt;Leadsheet!$E$12,0,Leadsheet!$E84*SAP_Speadsheet!O$93*N$16)</f>
        <v>-7.5723715624906925E-3</v>
      </c>
      <c r="P107" s="171">
        <f>-IF(P$5&gt;Leadsheet!$E$12,0,Leadsheet!$E84*SAP_Speadsheet!P$93*O$16)</f>
        <v>-7.523908384490751E-3</v>
      </c>
      <c r="Q107" s="171">
        <f>-IF(Q$5&gt;Leadsheet!$E$12,0,Leadsheet!$E84*SAP_Speadsheet!Q$93*P$16)</f>
        <v>-7.2104122018036365E-3</v>
      </c>
      <c r="R107" s="171">
        <f>-IF(R$5&gt;Leadsheet!$E$12,0,Leadsheet!$E84*SAP_Speadsheet!R$93*Q$16)</f>
        <v>-6.8969160191165212E-3</v>
      </c>
      <c r="S107" s="171">
        <f>-IF(S$5&gt;Leadsheet!$E$12,0,Leadsheet!$E84*SAP_Speadsheet!S$93*R$16)</f>
        <v>0</v>
      </c>
      <c r="T107" s="171">
        <f>-IF(T$5&gt;Leadsheet!$E$12,0,Leadsheet!$E84*SAP_Speadsheet!T$93*S$16)</f>
        <v>0</v>
      </c>
      <c r="U107" s="171">
        <f>-IF(U$5&gt;Leadsheet!$E$12,0,Leadsheet!$E84*SAP_Speadsheet!U$93*T$16)</f>
        <v>0</v>
      </c>
      <c r="V107" s="171">
        <f>-IF(V$5&gt;Leadsheet!$E$12,0,Leadsheet!$E84*SAP_Speadsheet!V$93*U$16)</f>
        <v>0</v>
      </c>
      <c r="W107" s="171">
        <f>-IF(W$5&gt;Leadsheet!$E$12,0,Leadsheet!$E84*SAP_Speadsheet!W$93*V$16)</f>
        <v>0</v>
      </c>
      <c r="X107" s="171">
        <f>-IF(X$5&gt;Leadsheet!$E$12,0,Leadsheet!$E84*SAP_Speadsheet!X$93*W$16)</f>
        <v>0</v>
      </c>
      <c r="Y107" s="171">
        <f>-IF(Y$5&gt;Leadsheet!$E$12,0,Leadsheet!$E84*SAP_Speadsheet!Y$93*X$16)</f>
        <v>0</v>
      </c>
      <c r="Z107" s="171">
        <f>-IF(Z$5&gt;Leadsheet!$E$12,0,Leadsheet!$E84*SAP_Speadsheet!Z$93*Y$16)</f>
        <v>0</v>
      </c>
      <c r="AA107" s="171">
        <f>-IF(AA$5&gt;Leadsheet!$E$12,0,Leadsheet!$E84*SAP_Speadsheet!AA$93*Z$16)</f>
        <v>0</v>
      </c>
      <c r="AB107" s="171">
        <f>-IF(AB$5&gt;Leadsheet!$E$12,0,Leadsheet!$E84*SAP_Speadsheet!AB$93*AA$16)</f>
        <v>0</v>
      </c>
      <c r="AC107" s="171">
        <f>-IF(AC$5&gt;Leadsheet!$E$12,0,Leadsheet!$E84*SAP_Speadsheet!AC$93*AB$16)</f>
        <v>0</v>
      </c>
      <c r="AD107" s="171">
        <f>-IF(AD$5&gt;Leadsheet!$E$12,0,Leadsheet!$E84*SAP_Speadsheet!AD$93*AC$16)</f>
        <v>0</v>
      </c>
      <c r="AE107" s="171">
        <f>-IF(AE$5&gt;Leadsheet!$E$12,0,Leadsheet!$E84*SAP_Speadsheet!AE$93*AD$16)</f>
        <v>0</v>
      </c>
      <c r="AF107" s="171">
        <f>-IF(AF$5&gt;Leadsheet!$E$12,0,Leadsheet!$E84*SAP_Speadsheet!AF$93*AE$16)</f>
        <v>0</v>
      </c>
      <c r="AG107" s="171">
        <f>-IF(AG$5&gt;Leadsheet!$E$12,0,Leadsheet!$E84*SAP_Speadsheet!AG$93*AF$16)</f>
        <v>0</v>
      </c>
      <c r="AH107" s="171">
        <f>-IF(AH$5&gt;Leadsheet!$E$12,0,Leadsheet!$E84*SAP_Speadsheet!AH$93*AG$16)</f>
        <v>0</v>
      </c>
      <c r="AI107" s="171">
        <f>-IF(AI$5&gt;Leadsheet!$E$12,0,Leadsheet!$E84*SAP_Speadsheet!AI$93*AH$16)</f>
        <v>0</v>
      </c>
      <c r="AJ107" s="171">
        <f>-IF(AJ$5&gt;Leadsheet!$E$12,0,Leadsheet!$E84*SAP_Speadsheet!AJ$93*AI$16)</f>
        <v>0</v>
      </c>
      <c r="AK107" s="171">
        <f>-IF(AK$5&gt;Leadsheet!$E$12,0,Leadsheet!$E84*SAP_Speadsheet!AK$93*AJ$16)</f>
        <v>0</v>
      </c>
      <c r="AL107" s="171">
        <f>-IF(AL$5&gt;Leadsheet!$E$12,0,Leadsheet!$E84*SAP_Speadsheet!AL$93*AK$16)</f>
        <v>0</v>
      </c>
      <c r="AM107" s="171">
        <f>-IF(AM$5&gt;Leadsheet!$E$12,0,Leadsheet!$E84*SAP_Speadsheet!AM$93*AL$16)</f>
        <v>0</v>
      </c>
      <c r="AN107" s="171">
        <f>-IF(AN$5&gt;Leadsheet!$E$12,0,Leadsheet!$E84*SAP_Speadsheet!AN$93*AM$16)</f>
        <v>0</v>
      </c>
      <c r="AO107" s="171">
        <f>-IF(AO$5&gt;Leadsheet!$E$12,0,Leadsheet!$E84*SAP_Speadsheet!AO$93*AN$16)</f>
        <v>0</v>
      </c>
      <c r="AP107" s="171">
        <f>-IF(AP$5&gt;Leadsheet!$E$12,0,Leadsheet!$E84*SAP_Speadsheet!AP$93*AO$16)</f>
        <v>0</v>
      </c>
      <c r="AQ107" s="171">
        <f>-IF(AQ$5&gt;Leadsheet!$E$12,0,Leadsheet!$E84*SAP_Speadsheet!AQ$93*AP$16)</f>
        <v>0</v>
      </c>
      <c r="AR107" s="171">
        <f>-IF(AR$5&gt;Leadsheet!$E$12,0,Leadsheet!$E84*SAP_Speadsheet!AR$93*AQ$16)</f>
        <v>0</v>
      </c>
      <c r="AS107" s="171">
        <f>-IF(AS$5&gt;Leadsheet!$E$12,0,Leadsheet!$E84*SAP_Speadsheet!AS$93*AR$16)</f>
        <v>0</v>
      </c>
      <c r="AT107" s="171">
        <f>-IF(AT$5&gt;Leadsheet!$E$12,0,Leadsheet!$E84*SAP_Speadsheet!AT$93*AS$16)</f>
        <v>0</v>
      </c>
      <c r="AU107" s="171">
        <f>-IF(AU$5&gt;Leadsheet!$E$12,0,Leadsheet!$E84*SAP_Speadsheet!AU$93*AT$16)</f>
        <v>0</v>
      </c>
      <c r="AV107" s="171">
        <f>-IF(AV$5&gt;Leadsheet!$E$12,0,Leadsheet!$E84*SAP_Speadsheet!AV$93*AU$16)</f>
        <v>0</v>
      </c>
      <c r="AW107" s="171">
        <f>-IF(AW$5&gt;Leadsheet!$E$12,0,Leadsheet!$E84*SAP_Speadsheet!AW$93*AV$16)</f>
        <v>0</v>
      </c>
      <c r="AX107" s="171">
        <f>-IF(AX$5&gt;Leadsheet!$E$12,0,Leadsheet!$E84*SAP_Speadsheet!AX$93*AW$16)</f>
        <v>0</v>
      </c>
      <c r="AY107" s="171">
        <f>-IF(AY$5&gt;Leadsheet!$E$12,0,Leadsheet!$E84*SAP_Speadsheet!AY$93*AX$16)</f>
        <v>0</v>
      </c>
      <c r="AZ107" s="171">
        <f>-IF(AZ$5&gt;Leadsheet!$E$12,0,Leadsheet!$E84*SAP_Speadsheet!AZ$93*AY$16)</f>
        <v>0</v>
      </c>
      <c r="BA107" s="171">
        <f>-IF(BA$5&gt;Leadsheet!$E$12,0,Leadsheet!$E84*SAP_Speadsheet!BA$93*AZ$16)</f>
        <v>0</v>
      </c>
      <c r="BB107" s="171">
        <f>-IF(BB$5&gt;Leadsheet!$E$12,0,Leadsheet!$E84*SAP_Speadsheet!BB$93*BA$16)</f>
        <v>0</v>
      </c>
      <c r="BC107" s="171">
        <f>-IF(BC$5&gt;Leadsheet!$E$12,0,Leadsheet!$E84*SAP_Speadsheet!BC$93*BB$16)</f>
        <v>0</v>
      </c>
      <c r="BD107" s="171">
        <f>-IF(BD$5&gt;Leadsheet!$E$12,0,Leadsheet!$E84*SAP_Speadsheet!BD$93*BC$16)</f>
        <v>0</v>
      </c>
      <c r="BE107" s="171">
        <f>-IF(BE$5&gt;Leadsheet!$E$12,0,Leadsheet!$E84*SAP_Speadsheet!BE$93*BD$16)</f>
        <v>0</v>
      </c>
      <c r="BF107" s="171">
        <f>-IF(BF$5&gt;Leadsheet!$E$12,0,Leadsheet!$E84*SAP_Speadsheet!BF$93*BE$16)</f>
        <v>0</v>
      </c>
      <c r="BG107" s="171">
        <f>-IF(BG$5&gt;Leadsheet!$E$12,0,Leadsheet!$E84*SAP_Speadsheet!BG$93*BF$16)</f>
        <v>0</v>
      </c>
      <c r="BH107" s="171">
        <f>-IF(BH$5&gt;Leadsheet!$E$12,0,Leadsheet!$E84*SAP_Speadsheet!BH$93*BG$16)</f>
        <v>0</v>
      </c>
      <c r="BI107" s="171">
        <f>-IF(BI$5&gt;Leadsheet!$E$12,0,Leadsheet!$E84*SAP_Speadsheet!BI$93*BH$16)</f>
        <v>0</v>
      </c>
      <c r="BJ107" s="171">
        <f>-IF(BJ$5&gt;Leadsheet!$E$12,0,Leadsheet!$E84*SAP_Speadsheet!BJ$93*BI$16)</f>
        <v>0</v>
      </c>
      <c r="BK107" s="171">
        <f>-IF(BK$5&gt;Leadsheet!$E$12,0,Leadsheet!$E84*SAP_Speadsheet!BK$93*BJ$16)</f>
        <v>0</v>
      </c>
      <c r="BL107" s="171">
        <f>-IF(BL$5&gt;Leadsheet!$E$12,0,Leadsheet!$E84*SAP_Speadsheet!BL$93*BK$16)</f>
        <v>0</v>
      </c>
    </row>
    <row r="108" spans="1:64" s="282" customFormat="1" x14ac:dyDescent="0.15">
      <c r="C108" s="194"/>
      <c r="D108" s="186"/>
      <c r="E108" s="322"/>
      <c r="F108" s="322"/>
      <c r="G108" s="322"/>
      <c r="H108" s="322"/>
      <c r="I108" s="322"/>
      <c r="J108" s="322"/>
      <c r="K108" s="322"/>
      <c r="L108" s="322"/>
      <c r="M108" s="322"/>
      <c r="N108" s="322"/>
      <c r="O108" s="322"/>
      <c r="P108" s="322"/>
      <c r="Q108" s="322"/>
      <c r="R108" s="322"/>
      <c r="S108" s="322"/>
      <c r="T108" s="322"/>
      <c r="U108" s="322"/>
      <c r="V108" s="322"/>
      <c r="W108" s="322"/>
      <c r="X108" s="322"/>
      <c r="Y108" s="322"/>
      <c r="Z108" s="322"/>
      <c r="AA108" s="322"/>
      <c r="AB108" s="322"/>
      <c r="AC108" s="322"/>
      <c r="AD108" s="322"/>
      <c r="AE108" s="322"/>
      <c r="AF108" s="322"/>
      <c r="AG108" s="322"/>
      <c r="AH108" s="322"/>
      <c r="AI108" s="322"/>
      <c r="AJ108" s="322"/>
      <c r="AK108" s="322"/>
      <c r="AL108" s="322"/>
      <c r="AM108" s="322"/>
      <c r="AN108" s="322"/>
      <c r="AO108" s="322"/>
      <c r="AP108" s="322"/>
      <c r="AQ108" s="322"/>
      <c r="AR108" s="322"/>
      <c r="AS108" s="322"/>
      <c r="AT108" s="322"/>
      <c r="AU108" s="322"/>
      <c r="AV108" s="322"/>
      <c r="AW108" s="322"/>
      <c r="AX108" s="322"/>
      <c r="AY108" s="322"/>
      <c r="AZ108" s="322"/>
      <c r="BA108" s="322"/>
      <c r="BB108" s="322"/>
      <c r="BC108" s="322"/>
      <c r="BD108" s="322"/>
      <c r="BE108" s="322"/>
      <c r="BF108" s="322"/>
      <c r="BG108" s="322"/>
      <c r="BH108" s="322"/>
      <c r="BI108" s="322"/>
      <c r="BJ108" s="322"/>
      <c r="BK108" s="322"/>
      <c r="BL108" s="322"/>
    </row>
    <row r="109" spans="1:64" x14ac:dyDescent="0.15">
      <c r="F109" s="171"/>
      <c r="G109" s="171"/>
      <c r="H109" s="171"/>
      <c r="I109" s="171"/>
      <c r="J109" s="171"/>
      <c r="K109" s="171"/>
      <c r="L109" s="171"/>
      <c r="M109" s="171"/>
      <c r="N109" s="171"/>
      <c r="O109" s="171"/>
      <c r="P109" s="171"/>
      <c r="Q109" s="171"/>
      <c r="R109" s="171"/>
      <c r="S109" s="171"/>
      <c r="T109" s="171"/>
      <c r="U109" s="171"/>
      <c r="V109" s="171"/>
      <c r="W109" s="171"/>
      <c r="X109" s="171"/>
      <c r="Y109" s="171"/>
      <c r="Z109" s="171"/>
      <c r="AA109" s="171"/>
      <c r="AB109" s="171"/>
      <c r="AC109" s="171"/>
      <c r="AD109" s="171"/>
      <c r="AE109" s="171"/>
      <c r="AF109" s="171"/>
      <c r="AG109" s="171"/>
      <c r="AH109" s="171"/>
      <c r="AI109" s="171"/>
      <c r="AJ109" s="171"/>
      <c r="AK109" s="171"/>
      <c r="AL109" s="171"/>
      <c r="AM109" s="171"/>
      <c r="AN109" s="171"/>
      <c r="AO109" s="171"/>
      <c r="AP109" s="171"/>
      <c r="AQ109" s="171"/>
      <c r="AR109" s="171"/>
      <c r="AS109" s="171"/>
      <c r="AT109" s="171"/>
      <c r="AU109" s="171"/>
      <c r="AV109" s="171"/>
      <c r="AW109" s="171"/>
      <c r="AX109" s="171"/>
      <c r="AY109" s="171"/>
      <c r="AZ109" s="171"/>
      <c r="BA109" s="171"/>
      <c r="BB109" s="171"/>
      <c r="BC109" s="171"/>
    </row>
    <row r="110" spans="1:64" ht="13" thickBot="1" x14ac:dyDescent="0.2">
      <c r="A110" s="186"/>
      <c r="B110" s="286" t="s">
        <v>453</v>
      </c>
      <c r="C110" s="287"/>
      <c r="D110" s="288"/>
      <c r="E110" s="289"/>
      <c r="F110" s="288"/>
      <c r="G110" s="288"/>
      <c r="H110" s="288"/>
      <c r="I110" s="288"/>
      <c r="J110" s="288"/>
      <c r="K110" s="288"/>
      <c r="L110" s="288"/>
      <c r="M110" s="288"/>
      <c r="N110" s="288"/>
      <c r="O110" s="288"/>
      <c r="P110" s="288"/>
      <c r="Q110" s="288"/>
      <c r="R110" s="288"/>
      <c r="S110" s="288"/>
      <c r="T110" s="288"/>
      <c r="U110" s="288"/>
      <c r="V110" s="288"/>
      <c r="W110" s="288"/>
      <c r="X110" s="288"/>
      <c r="Y110" s="288"/>
      <c r="Z110" s="288"/>
      <c r="AA110" s="288"/>
      <c r="AB110" s="288"/>
      <c r="AC110" s="288"/>
      <c r="AD110" s="288"/>
      <c r="AE110" s="288"/>
      <c r="AF110" s="288"/>
      <c r="AG110" s="288"/>
      <c r="AH110" s="288"/>
      <c r="AI110" s="288"/>
      <c r="AJ110" s="288"/>
      <c r="AK110" s="288"/>
      <c r="AL110" s="288"/>
      <c r="AM110" s="288"/>
      <c r="AN110" s="288"/>
      <c r="AO110" s="288"/>
      <c r="AP110" s="288"/>
      <c r="AQ110" s="288"/>
      <c r="AR110" s="288"/>
      <c r="AS110" s="288"/>
      <c r="AT110" s="288"/>
      <c r="AU110" s="288"/>
      <c r="AV110" s="288"/>
      <c r="AW110" s="288"/>
      <c r="AX110" s="288"/>
      <c r="AY110" s="288"/>
      <c r="AZ110" s="288"/>
      <c r="BA110" s="288"/>
      <c r="BB110" s="288"/>
      <c r="BC110" s="288"/>
      <c r="BD110" s="288"/>
      <c r="BE110" s="288"/>
      <c r="BF110" s="288"/>
      <c r="BG110" s="288"/>
      <c r="BH110" s="288"/>
      <c r="BI110" s="288"/>
      <c r="BJ110" s="288"/>
      <c r="BK110" s="288"/>
      <c r="BL110" s="288"/>
    </row>
    <row r="111" spans="1:64" ht="12" thickTop="1" x14ac:dyDescent="0.15">
      <c r="C111" s="313" t="s">
        <v>454</v>
      </c>
      <c r="E111" s="115" t="s">
        <v>244</v>
      </c>
      <c r="F111" s="115" t="s">
        <v>455</v>
      </c>
      <c r="G111" s="115" t="s">
        <v>456</v>
      </c>
    </row>
    <row r="112" spans="1:64" x14ac:dyDescent="0.15">
      <c r="C112" s="115" t="s">
        <v>412</v>
      </c>
      <c r="E112" s="290">
        <f>Leadsheet!F91</f>
        <v>2.138091814839458E-2</v>
      </c>
      <c r="F112" s="290">
        <v>7.4999999999999997E-3</v>
      </c>
      <c r="G112" s="323">
        <v>7.4999999999999997E-3</v>
      </c>
    </row>
    <row r="113" spans="2:7" x14ac:dyDescent="0.15">
      <c r="C113" s="115" t="s">
        <v>414</v>
      </c>
      <c r="E113" s="290">
        <f>Leadsheet!F92</f>
        <v>0.63219761478788317</v>
      </c>
      <c r="F113" s="290">
        <v>5.7500000000000002E-2</v>
      </c>
      <c r="G113" s="323">
        <v>5.7500000000000002E-2</v>
      </c>
    </row>
    <row r="114" spans="2:7" x14ac:dyDescent="0.15">
      <c r="C114" s="115" t="s">
        <v>415</v>
      </c>
      <c r="E114" s="290">
        <f>Leadsheet!F93</f>
        <v>0.90903171330960353</v>
      </c>
      <c r="F114" s="290">
        <v>5.7500000000000002E-2</v>
      </c>
      <c r="G114" s="323">
        <v>5.7500000000000002E-2</v>
      </c>
    </row>
    <row r="115" spans="2:7" x14ac:dyDescent="0.15">
      <c r="C115" s="115" t="s">
        <v>416</v>
      </c>
      <c r="E115" s="290">
        <f>Leadsheet!F94</f>
        <v>0.91796110302179812</v>
      </c>
      <c r="F115" s="290">
        <v>5.7500000000000002E-2</v>
      </c>
      <c r="G115" s="323">
        <v>5.7500000000000002E-2</v>
      </c>
    </row>
    <row r="116" spans="2:7" x14ac:dyDescent="0.15">
      <c r="C116" s="115" t="s">
        <v>418</v>
      </c>
      <c r="E116" s="290">
        <f>Leadsheet!F95</f>
        <v>0.9317800799999999</v>
      </c>
      <c r="F116" s="290">
        <v>0.20749999999999999</v>
      </c>
      <c r="G116" s="323">
        <v>0.20749999999999999</v>
      </c>
    </row>
    <row r="117" spans="2:7" x14ac:dyDescent="0.15">
      <c r="C117" s="115" t="s">
        <v>419</v>
      </c>
      <c r="E117" s="290">
        <f>Leadsheet!F96</f>
        <v>0.9317800799999999</v>
      </c>
      <c r="F117" s="290">
        <v>0.20749999999999999</v>
      </c>
      <c r="G117" s="323">
        <v>0.20749999999999999</v>
      </c>
    </row>
    <row r="118" spans="2:7" x14ac:dyDescent="0.15">
      <c r="C118" s="115" t="s">
        <v>420</v>
      </c>
      <c r="E118" s="290">
        <f>Leadsheet!F97</f>
        <v>0.9317800799999999</v>
      </c>
      <c r="F118" s="290">
        <v>0.20749999999999999</v>
      </c>
      <c r="G118" s="323">
        <v>0.20749999999999999</v>
      </c>
    </row>
    <row r="119" spans="2:7" x14ac:dyDescent="0.15">
      <c r="C119" s="115" t="s">
        <v>422</v>
      </c>
      <c r="E119" s="290">
        <f>Leadsheet!F98</f>
        <v>0.9317800799999999</v>
      </c>
      <c r="F119" s="290">
        <v>0.50749999999999995</v>
      </c>
      <c r="G119" s="323">
        <v>0.50749999999999995</v>
      </c>
    </row>
    <row r="120" spans="2:7" x14ac:dyDescent="0.15">
      <c r="C120" s="115" t="s">
        <v>423</v>
      </c>
      <c r="E120" s="290">
        <f>Leadsheet!F99</f>
        <v>0.95079599999999986</v>
      </c>
      <c r="F120" s="290">
        <v>0.50749999999999995</v>
      </c>
      <c r="G120" s="323">
        <v>1</v>
      </c>
    </row>
    <row r="121" spans="2:7" x14ac:dyDescent="0.15">
      <c r="C121" s="115" t="s">
        <v>424</v>
      </c>
      <c r="E121" s="290">
        <f>Leadsheet!F100</f>
        <v>0.95079599999999986</v>
      </c>
      <c r="F121" s="290">
        <v>0.50749999999999995</v>
      </c>
    </row>
    <row r="122" spans="2:7" x14ac:dyDescent="0.15">
      <c r="C122" s="115" t="s">
        <v>425</v>
      </c>
      <c r="E122" s="290">
        <f>Leadsheet!F101</f>
        <v>0.95079599999999986</v>
      </c>
      <c r="F122" s="290">
        <v>0.50749999999999995</v>
      </c>
    </row>
    <row r="123" spans="2:7" x14ac:dyDescent="0.15">
      <c r="C123" s="115" t="s">
        <v>426</v>
      </c>
      <c r="E123" s="290">
        <f>Leadsheet!F102</f>
        <v>0.95079599999999986</v>
      </c>
      <c r="F123" s="290">
        <v>0.50749999999999995</v>
      </c>
    </row>
    <row r="124" spans="2:7" x14ac:dyDescent="0.15">
      <c r="C124" s="115" t="s">
        <v>427</v>
      </c>
      <c r="E124" s="290">
        <f>Leadsheet!F103</f>
        <v>0.95079599999999986</v>
      </c>
      <c r="F124" s="290">
        <v>0.50749999999999995</v>
      </c>
    </row>
    <row r="125" spans="2:7" x14ac:dyDescent="0.15">
      <c r="C125" s="115" t="s">
        <v>429</v>
      </c>
      <c r="E125" s="290">
        <f>Leadsheet!F104</f>
        <v>0.95079599999999986</v>
      </c>
      <c r="F125" s="290">
        <v>1</v>
      </c>
    </row>
    <row r="126" spans="2:7" x14ac:dyDescent="0.15">
      <c r="C126" s="115" t="s">
        <v>431</v>
      </c>
      <c r="E126" s="290">
        <f>Leadsheet!F105</f>
        <v>0.97019999999999995</v>
      </c>
      <c r="F126" s="290">
        <v>1</v>
      </c>
    </row>
    <row r="128" spans="2:7" x14ac:dyDescent="0.15">
      <c r="B128" s="186" t="s">
        <v>244</v>
      </c>
    </row>
    <row r="129" spans="3:64" s="186" customFormat="1" x14ac:dyDescent="0.15">
      <c r="C129" s="186" t="s">
        <v>457</v>
      </c>
    </row>
    <row r="130" spans="3:64" s="186" customFormat="1" x14ac:dyDescent="0.15">
      <c r="C130" s="115" t="s">
        <v>412</v>
      </c>
      <c r="E130" s="178">
        <f t="shared" ref="E130:BL134" si="24">IF(E$5&gt;$D$7,0,E27*$E112)</f>
        <v>0.25674479325767852</v>
      </c>
      <c r="F130" s="178">
        <f t="shared" si="24"/>
        <v>0.21986646960770553</v>
      </c>
      <c r="G130" s="178">
        <f t="shared" si="24"/>
        <v>0.18592700693684677</v>
      </c>
      <c r="H130" s="178">
        <f t="shared" si="24"/>
        <v>0.16315881315513414</v>
      </c>
      <c r="I130" s="178">
        <f t="shared" si="24"/>
        <v>0.14149615501569218</v>
      </c>
      <c r="J130" s="178">
        <f t="shared" si="24"/>
        <v>0.121044271426965</v>
      </c>
      <c r="K130" s="178">
        <f t="shared" si="24"/>
        <v>0.10178788840103421</v>
      </c>
      <c r="L130" s="178">
        <f t="shared" si="24"/>
        <v>8.3715154293740671E-2</v>
      </c>
      <c r="M130" s="178">
        <f t="shared" si="24"/>
        <v>6.6812317928704762E-2</v>
      </c>
      <c r="N130" s="178">
        <f t="shared" si="24"/>
        <v>5.1068547713839861E-2</v>
      </c>
      <c r="O130" s="178">
        <f t="shared" si="24"/>
        <v>3.6477238432102176E-2</v>
      </c>
      <c r="P130" s="178">
        <f t="shared" si="24"/>
        <v>2.3039415305337565E-2</v>
      </c>
      <c r="Q130" s="178">
        <f t="shared" si="24"/>
        <v>1.0774278210842717E-2</v>
      </c>
      <c r="R130" s="178">
        <f t="shared" si="24"/>
        <v>0</v>
      </c>
      <c r="S130" s="178">
        <f t="shared" si="24"/>
        <v>0</v>
      </c>
      <c r="T130" s="178">
        <f t="shared" si="24"/>
        <v>0</v>
      </c>
      <c r="U130" s="178">
        <f t="shared" si="24"/>
        <v>0</v>
      </c>
      <c r="V130" s="178">
        <f t="shared" si="24"/>
        <v>0</v>
      </c>
      <c r="W130" s="178">
        <f t="shared" si="24"/>
        <v>0</v>
      </c>
      <c r="X130" s="178">
        <f t="shared" si="24"/>
        <v>0</v>
      </c>
      <c r="Y130" s="178">
        <f t="shared" si="24"/>
        <v>0</v>
      </c>
      <c r="Z130" s="178">
        <f t="shared" si="24"/>
        <v>0</v>
      </c>
      <c r="AA130" s="178">
        <f t="shared" si="24"/>
        <v>0</v>
      </c>
      <c r="AB130" s="178">
        <f t="shared" si="24"/>
        <v>0</v>
      </c>
      <c r="AC130" s="178">
        <f t="shared" si="24"/>
        <v>0</v>
      </c>
      <c r="AD130" s="178">
        <f t="shared" si="24"/>
        <v>0</v>
      </c>
      <c r="AE130" s="178">
        <f t="shared" si="24"/>
        <v>0</v>
      </c>
      <c r="AF130" s="178">
        <f t="shared" si="24"/>
        <v>0</v>
      </c>
      <c r="AG130" s="178">
        <f t="shared" si="24"/>
        <v>0</v>
      </c>
      <c r="AH130" s="178">
        <f t="shared" si="24"/>
        <v>0</v>
      </c>
      <c r="AI130" s="178">
        <f t="shared" si="24"/>
        <v>0</v>
      </c>
      <c r="AJ130" s="178">
        <f t="shared" si="24"/>
        <v>0</v>
      </c>
      <c r="AK130" s="178">
        <f t="shared" si="24"/>
        <v>0</v>
      </c>
      <c r="AL130" s="178">
        <f t="shared" si="24"/>
        <v>0</v>
      </c>
      <c r="AM130" s="178">
        <f t="shared" si="24"/>
        <v>0</v>
      </c>
      <c r="AN130" s="178">
        <f t="shared" si="24"/>
        <v>0</v>
      </c>
      <c r="AO130" s="178">
        <f t="shared" si="24"/>
        <v>0</v>
      </c>
      <c r="AP130" s="178">
        <f t="shared" si="24"/>
        <v>0</v>
      </c>
      <c r="AQ130" s="178">
        <f t="shared" si="24"/>
        <v>0</v>
      </c>
      <c r="AR130" s="178">
        <f t="shared" si="24"/>
        <v>0</v>
      </c>
      <c r="AS130" s="178">
        <f t="shared" si="24"/>
        <v>0</v>
      </c>
      <c r="AT130" s="178">
        <f t="shared" si="24"/>
        <v>0</v>
      </c>
      <c r="AU130" s="178">
        <f t="shared" si="24"/>
        <v>0</v>
      </c>
      <c r="AV130" s="178">
        <f t="shared" si="24"/>
        <v>0</v>
      </c>
      <c r="AW130" s="178">
        <f t="shared" si="24"/>
        <v>0</v>
      </c>
      <c r="AX130" s="178">
        <f t="shared" si="24"/>
        <v>0</v>
      </c>
      <c r="AY130" s="178">
        <f t="shared" si="24"/>
        <v>0</v>
      </c>
      <c r="AZ130" s="178">
        <f t="shared" si="24"/>
        <v>0</v>
      </c>
      <c r="BA130" s="178">
        <f t="shared" si="24"/>
        <v>0</v>
      </c>
      <c r="BB130" s="178">
        <f t="shared" si="24"/>
        <v>0</v>
      </c>
      <c r="BC130" s="178">
        <f t="shared" si="24"/>
        <v>0</v>
      </c>
      <c r="BD130" s="178">
        <f t="shared" si="24"/>
        <v>0</v>
      </c>
      <c r="BE130" s="178">
        <f t="shared" si="24"/>
        <v>0</v>
      </c>
      <c r="BF130" s="178">
        <f t="shared" si="24"/>
        <v>0</v>
      </c>
      <c r="BG130" s="178">
        <f t="shared" si="24"/>
        <v>0</v>
      </c>
      <c r="BH130" s="178">
        <f t="shared" si="24"/>
        <v>0</v>
      </c>
      <c r="BI130" s="178">
        <f t="shared" si="24"/>
        <v>0</v>
      </c>
      <c r="BJ130" s="178">
        <f t="shared" si="24"/>
        <v>0</v>
      </c>
      <c r="BK130" s="178">
        <f t="shared" si="24"/>
        <v>0</v>
      </c>
      <c r="BL130" s="178">
        <f t="shared" si="24"/>
        <v>0</v>
      </c>
    </row>
    <row r="131" spans="3:64" s="186" customFormat="1" x14ac:dyDescent="0.15">
      <c r="C131" s="115" t="s">
        <v>414</v>
      </c>
      <c r="E131" s="178">
        <f t="shared" si="24"/>
        <v>0.30765740850509465</v>
      </c>
      <c r="F131" s="178">
        <f t="shared" si="24"/>
        <v>0.25674479325767846</v>
      </c>
      <c r="G131" s="178">
        <f t="shared" si="24"/>
        <v>0.21986646960770551</v>
      </c>
      <c r="H131" s="178">
        <f t="shared" si="24"/>
        <v>0.18592700693684672</v>
      </c>
      <c r="I131" s="178">
        <f t="shared" si="24"/>
        <v>0.16315881315513411</v>
      </c>
      <c r="J131" s="178">
        <f t="shared" si="24"/>
        <v>0.14149615501569215</v>
      </c>
      <c r="K131" s="178">
        <f t="shared" si="24"/>
        <v>0.12104427142696497</v>
      </c>
      <c r="L131" s="178">
        <f t="shared" si="24"/>
        <v>0.10178788840103419</v>
      </c>
      <c r="M131" s="178">
        <f t="shared" si="24"/>
        <v>8.3715154293740657E-2</v>
      </c>
      <c r="N131" s="178">
        <f t="shared" si="24"/>
        <v>6.6812317928704762E-2</v>
      </c>
      <c r="O131" s="178">
        <f t="shared" si="24"/>
        <v>5.1068547713839847E-2</v>
      </c>
      <c r="P131" s="178">
        <f t="shared" si="24"/>
        <v>3.6477238432102169E-2</v>
      </c>
      <c r="Q131" s="178">
        <f t="shared" si="24"/>
        <v>2.3039415305337561E-2</v>
      </c>
      <c r="R131" s="178">
        <f t="shared" si="24"/>
        <v>1.0774278210842717E-2</v>
      </c>
      <c r="S131" s="178">
        <f t="shared" si="24"/>
        <v>0</v>
      </c>
      <c r="T131" s="178">
        <f t="shared" si="24"/>
        <v>0</v>
      </c>
      <c r="U131" s="178">
        <f t="shared" si="24"/>
        <v>0</v>
      </c>
      <c r="V131" s="178">
        <f t="shared" si="24"/>
        <v>0</v>
      </c>
      <c r="W131" s="178">
        <f t="shared" si="24"/>
        <v>0</v>
      </c>
      <c r="X131" s="178">
        <f t="shared" si="24"/>
        <v>0</v>
      </c>
      <c r="Y131" s="178">
        <f t="shared" si="24"/>
        <v>0</v>
      </c>
      <c r="Z131" s="178">
        <f t="shared" si="24"/>
        <v>0</v>
      </c>
      <c r="AA131" s="178">
        <f t="shared" si="24"/>
        <v>0</v>
      </c>
      <c r="AB131" s="178">
        <f t="shared" si="24"/>
        <v>0</v>
      </c>
      <c r="AC131" s="178">
        <f t="shared" si="24"/>
        <v>0</v>
      </c>
      <c r="AD131" s="178">
        <f t="shared" si="24"/>
        <v>0</v>
      </c>
      <c r="AE131" s="178">
        <f t="shared" si="24"/>
        <v>0</v>
      </c>
      <c r="AF131" s="178">
        <f t="shared" si="24"/>
        <v>0</v>
      </c>
      <c r="AG131" s="178">
        <f t="shared" si="24"/>
        <v>0</v>
      </c>
      <c r="AH131" s="178">
        <f t="shared" si="24"/>
        <v>0</v>
      </c>
      <c r="AI131" s="178">
        <f t="shared" si="24"/>
        <v>0</v>
      </c>
      <c r="AJ131" s="178">
        <f t="shared" si="24"/>
        <v>0</v>
      </c>
      <c r="AK131" s="178">
        <f t="shared" si="24"/>
        <v>0</v>
      </c>
      <c r="AL131" s="178">
        <f t="shared" si="24"/>
        <v>0</v>
      </c>
      <c r="AM131" s="178">
        <f t="shared" si="24"/>
        <v>0</v>
      </c>
      <c r="AN131" s="178">
        <f t="shared" si="24"/>
        <v>0</v>
      </c>
      <c r="AO131" s="178">
        <f t="shared" si="24"/>
        <v>0</v>
      </c>
      <c r="AP131" s="178">
        <f t="shared" si="24"/>
        <v>0</v>
      </c>
      <c r="AQ131" s="178">
        <f t="shared" si="24"/>
        <v>0</v>
      </c>
      <c r="AR131" s="178">
        <f t="shared" si="24"/>
        <v>0</v>
      </c>
      <c r="AS131" s="178">
        <f t="shared" si="24"/>
        <v>0</v>
      </c>
      <c r="AT131" s="178">
        <f t="shared" si="24"/>
        <v>0</v>
      </c>
      <c r="AU131" s="178">
        <f t="shared" si="24"/>
        <v>0</v>
      </c>
      <c r="AV131" s="178">
        <f t="shared" si="24"/>
        <v>0</v>
      </c>
      <c r="AW131" s="178">
        <f t="shared" si="24"/>
        <v>0</v>
      </c>
      <c r="AX131" s="178">
        <f t="shared" si="24"/>
        <v>0</v>
      </c>
      <c r="AY131" s="178">
        <f t="shared" si="24"/>
        <v>0</v>
      </c>
      <c r="AZ131" s="178">
        <f t="shared" si="24"/>
        <v>0</v>
      </c>
      <c r="BA131" s="178">
        <f t="shared" si="24"/>
        <v>0</v>
      </c>
      <c r="BB131" s="178">
        <f t="shared" si="24"/>
        <v>0</v>
      </c>
      <c r="BC131" s="178">
        <f t="shared" si="24"/>
        <v>0</v>
      </c>
      <c r="BD131" s="178">
        <f t="shared" si="24"/>
        <v>0</v>
      </c>
      <c r="BE131" s="178">
        <f t="shared" si="24"/>
        <v>0</v>
      </c>
      <c r="BF131" s="178">
        <f t="shared" si="24"/>
        <v>0</v>
      </c>
      <c r="BG131" s="178">
        <f t="shared" si="24"/>
        <v>0</v>
      </c>
      <c r="BH131" s="178">
        <f t="shared" si="24"/>
        <v>0</v>
      </c>
      <c r="BI131" s="178">
        <f t="shared" si="24"/>
        <v>0</v>
      </c>
      <c r="BJ131" s="178">
        <f t="shared" si="24"/>
        <v>0</v>
      </c>
      <c r="BK131" s="178">
        <f t="shared" si="24"/>
        <v>0</v>
      </c>
      <c r="BL131" s="178">
        <f t="shared" si="24"/>
        <v>0</v>
      </c>
    </row>
    <row r="132" spans="3:64" s="186" customFormat="1" x14ac:dyDescent="0.15">
      <c r="C132" s="115" t="s">
        <v>415</v>
      </c>
      <c r="E132" s="178">
        <f t="shared" si="24"/>
        <v>0</v>
      </c>
      <c r="F132" s="178">
        <f t="shared" si="24"/>
        <v>0.30765740850509471</v>
      </c>
      <c r="G132" s="178">
        <f t="shared" si="24"/>
        <v>0.25674479325767846</v>
      </c>
      <c r="H132" s="178">
        <f t="shared" si="24"/>
        <v>0.21986646960770553</v>
      </c>
      <c r="I132" s="178">
        <f t="shared" si="24"/>
        <v>0.18592700693684677</v>
      </c>
      <c r="J132" s="178">
        <f t="shared" si="24"/>
        <v>0.16315881315513414</v>
      </c>
      <c r="K132" s="178">
        <f t="shared" si="24"/>
        <v>0.14149615501569218</v>
      </c>
      <c r="L132" s="178">
        <f t="shared" si="24"/>
        <v>0.12104427142696499</v>
      </c>
      <c r="M132" s="178">
        <f t="shared" si="24"/>
        <v>0.1017878884010342</v>
      </c>
      <c r="N132" s="178">
        <f t="shared" si="24"/>
        <v>8.3715154293740671E-2</v>
      </c>
      <c r="O132" s="178">
        <f t="shared" si="24"/>
        <v>6.6812317928704776E-2</v>
      </c>
      <c r="P132" s="178">
        <f t="shared" si="24"/>
        <v>5.1068547713839854E-2</v>
      </c>
      <c r="Q132" s="178">
        <f t="shared" si="24"/>
        <v>3.6477238432102176E-2</v>
      </c>
      <c r="R132" s="178">
        <f t="shared" si="24"/>
        <v>2.3039415305337565E-2</v>
      </c>
      <c r="S132" s="178">
        <f t="shared" si="24"/>
        <v>1.0774278210842717E-2</v>
      </c>
      <c r="T132" s="178">
        <f t="shared" si="24"/>
        <v>0</v>
      </c>
      <c r="U132" s="178">
        <f t="shared" si="24"/>
        <v>0</v>
      </c>
      <c r="V132" s="178">
        <f t="shared" si="24"/>
        <v>0</v>
      </c>
      <c r="W132" s="178">
        <f t="shared" si="24"/>
        <v>0</v>
      </c>
      <c r="X132" s="178">
        <f t="shared" si="24"/>
        <v>0</v>
      </c>
      <c r="Y132" s="178">
        <f t="shared" si="24"/>
        <v>0</v>
      </c>
      <c r="Z132" s="178">
        <f t="shared" si="24"/>
        <v>0</v>
      </c>
      <c r="AA132" s="178">
        <f t="shared" si="24"/>
        <v>0</v>
      </c>
      <c r="AB132" s="178">
        <f t="shared" si="24"/>
        <v>0</v>
      </c>
      <c r="AC132" s="178">
        <f t="shared" si="24"/>
        <v>0</v>
      </c>
      <c r="AD132" s="178">
        <f t="shared" si="24"/>
        <v>0</v>
      </c>
      <c r="AE132" s="178">
        <f t="shared" si="24"/>
        <v>0</v>
      </c>
      <c r="AF132" s="178">
        <f t="shared" si="24"/>
        <v>0</v>
      </c>
      <c r="AG132" s="178">
        <f t="shared" si="24"/>
        <v>0</v>
      </c>
      <c r="AH132" s="178">
        <f t="shared" si="24"/>
        <v>0</v>
      </c>
      <c r="AI132" s="178">
        <f t="shared" si="24"/>
        <v>0</v>
      </c>
      <c r="AJ132" s="178">
        <f t="shared" si="24"/>
        <v>0</v>
      </c>
      <c r="AK132" s="178">
        <f t="shared" si="24"/>
        <v>0</v>
      </c>
      <c r="AL132" s="178">
        <f t="shared" si="24"/>
        <v>0</v>
      </c>
      <c r="AM132" s="178">
        <f t="shared" si="24"/>
        <v>0</v>
      </c>
      <c r="AN132" s="178">
        <f t="shared" si="24"/>
        <v>0</v>
      </c>
      <c r="AO132" s="178">
        <f t="shared" si="24"/>
        <v>0</v>
      </c>
      <c r="AP132" s="178">
        <f t="shared" si="24"/>
        <v>0</v>
      </c>
      <c r="AQ132" s="178">
        <f t="shared" si="24"/>
        <v>0</v>
      </c>
      <c r="AR132" s="178">
        <f t="shared" si="24"/>
        <v>0</v>
      </c>
      <c r="AS132" s="178">
        <f t="shared" si="24"/>
        <v>0</v>
      </c>
      <c r="AT132" s="178">
        <f t="shared" si="24"/>
        <v>0</v>
      </c>
      <c r="AU132" s="178">
        <f t="shared" si="24"/>
        <v>0</v>
      </c>
      <c r="AV132" s="178">
        <f t="shared" si="24"/>
        <v>0</v>
      </c>
      <c r="AW132" s="178">
        <f t="shared" si="24"/>
        <v>0</v>
      </c>
      <c r="AX132" s="178">
        <f t="shared" si="24"/>
        <v>0</v>
      </c>
      <c r="AY132" s="178">
        <f t="shared" si="24"/>
        <v>0</v>
      </c>
      <c r="AZ132" s="178">
        <f t="shared" si="24"/>
        <v>0</v>
      </c>
      <c r="BA132" s="178">
        <f t="shared" si="24"/>
        <v>0</v>
      </c>
      <c r="BB132" s="178">
        <f t="shared" si="24"/>
        <v>0</v>
      </c>
      <c r="BC132" s="178">
        <f t="shared" si="24"/>
        <v>0</v>
      </c>
      <c r="BD132" s="178">
        <f t="shared" si="24"/>
        <v>0</v>
      </c>
      <c r="BE132" s="178">
        <f t="shared" si="24"/>
        <v>0</v>
      </c>
      <c r="BF132" s="178">
        <f t="shared" si="24"/>
        <v>0</v>
      </c>
      <c r="BG132" s="178">
        <f t="shared" si="24"/>
        <v>0</v>
      </c>
      <c r="BH132" s="178">
        <f t="shared" si="24"/>
        <v>0</v>
      </c>
      <c r="BI132" s="178">
        <f t="shared" si="24"/>
        <v>0</v>
      </c>
      <c r="BJ132" s="178">
        <f t="shared" si="24"/>
        <v>0</v>
      </c>
      <c r="BK132" s="178">
        <f t="shared" si="24"/>
        <v>0</v>
      </c>
      <c r="BL132" s="178">
        <f t="shared" si="24"/>
        <v>0</v>
      </c>
    </row>
    <row r="133" spans="3:64" s="186" customFormat="1" x14ac:dyDescent="0.15">
      <c r="C133" s="115" t="s">
        <v>416</v>
      </c>
      <c r="E133" s="178">
        <f t="shared" si="24"/>
        <v>0</v>
      </c>
      <c r="F133" s="178">
        <f t="shared" si="24"/>
        <v>0</v>
      </c>
      <c r="G133" s="178">
        <f t="shared" si="24"/>
        <v>0.30765740850509471</v>
      </c>
      <c r="H133" s="178">
        <f t="shared" si="24"/>
        <v>0.25674479325767852</v>
      </c>
      <c r="I133" s="178">
        <f t="shared" si="24"/>
        <v>0.21986646960770553</v>
      </c>
      <c r="J133" s="178">
        <f t="shared" si="24"/>
        <v>0.18592700693684677</v>
      </c>
      <c r="K133" s="178">
        <f t="shared" si="24"/>
        <v>0.16315881315513414</v>
      </c>
      <c r="L133" s="178">
        <f t="shared" si="24"/>
        <v>0.14149615501569218</v>
      </c>
      <c r="M133" s="178">
        <f t="shared" si="24"/>
        <v>0.12104427142696497</v>
      </c>
      <c r="N133" s="178">
        <f t="shared" si="24"/>
        <v>0.1017878884010342</v>
      </c>
      <c r="O133" s="178">
        <f t="shared" si="24"/>
        <v>8.3715154293740657E-2</v>
      </c>
      <c r="P133" s="178">
        <f t="shared" si="24"/>
        <v>6.6812317928704776E-2</v>
      </c>
      <c r="Q133" s="178">
        <f t="shared" si="24"/>
        <v>5.1068547713839854E-2</v>
      </c>
      <c r="R133" s="178">
        <f t="shared" si="24"/>
        <v>3.6477238432102183E-2</v>
      </c>
      <c r="S133" s="178">
        <f t="shared" si="24"/>
        <v>2.3039415305337565E-2</v>
      </c>
      <c r="T133" s="178">
        <f t="shared" si="24"/>
        <v>1.0774278210842718E-2</v>
      </c>
      <c r="U133" s="178">
        <f t="shared" si="24"/>
        <v>0</v>
      </c>
      <c r="V133" s="178">
        <f t="shared" si="24"/>
        <v>0</v>
      </c>
      <c r="W133" s="178">
        <f t="shared" si="24"/>
        <v>0</v>
      </c>
      <c r="X133" s="178">
        <f t="shared" si="24"/>
        <v>0</v>
      </c>
      <c r="Y133" s="178">
        <f t="shared" si="24"/>
        <v>0</v>
      </c>
      <c r="Z133" s="178">
        <f t="shared" si="24"/>
        <v>0</v>
      </c>
      <c r="AA133" s="178">
        <f t="shared" si="24"/>
        <v>0</v>
      </c>
      <c r="AB133" s="178">
        <f t="shared" si="24"/>
        <v>0</v>
      </c>
      <c r="AC133" s="178">
        <f t="shared" si="24"/>
        <v>0</v>
      </c>
      <c r="AD133" s="178">
        <f t="shared" si="24"/>
        <v>0</v>
      </c>
      <c r="AE133" s="178">
        <f t="shared" si="24"/>
        <v>0</v>
      </c>
      <c r="AF133" s="178">
        <f t="shared" si="24"/>
        <v>0</v>
      </c>
      <c r="AG133" s="178">
        <f t="shared" si="24"/>
        <v>0</v>
      </c>
      <c r="AH133" s="178">
        <f t="shared" si="24"/>
        <v>0</v>
      </c>
      <c r="AI133" s="178">
        <f t="shared" si="24"/>
        <v>0</v>
      </c>
      <c r="AJ133" s="178">
        <f t="shared" si="24"/>
        <v>0</v>
      </c>
      <c r="AK133" s="178">
        <f t="shared" si="24"/>
        <v>0</v>
      </c>
      <c r="AL133" s="178">
        <f t="shared" si="24"/>
        <v>0</v>
      </c>
      <c r="AM133" s="178">
        <f t="shared" si="24"/>
        <v>0</v>
      </c>
      <c r="AN133" s="178">
        <f t="shared" si="24"/>
        <v>0</v>
      </c>
      <c r="AO133" s="178">
        <f t="shared" si="24"/>
        <v>0</v>
      </c>
      <c r="AP133" s="178">
        <f t="shared" si="24"/>
        <v>0</v>
      </c>
      <c r="AQ133" s="178">
        <f t="shared" si="24"/>
        <v>0</v>
      </c>
      <c r="AR133" s="178">
        <f t="shared" si="24"/>
        <v>0</v>
      </c>
      <c r="AS133" s="178">
        <f t="shared" si="24"/>
        <v>0</v>
      </c>
      <c r="AT133" s="178">
        <f t="shared" si="24"/>
        <v>0</v>
      </c>
      <c r="AU133" s="178">
        <f t="shared" si="24"/>
        <v>0</v>
      </c>
      <c r="AV133" s="178">
        <f t="shared" si="24"/>
        <v>0</v>
      </c>
      <c r="AW133" s="178">
        <f t="shared" si="24"/>
        <v>0</v>
      </c>
      <c r="AX133" s="178">
        <f t="shared" si="24"/>
        <v>0</v>
      </c>
      <c r="AY133" s="178">
        <f t="shared" si="24"/>
        <v>0</v>
      </c>
      <c r="AZ133" s="178">
        <f t="shared" si="24"/>
        <v>0</v>
      </c>
      <c r="BA133" s="178">
        <f t="shared" si="24"/>
        <v>0</v>
      </c>
      <c r="BB133" s="178">
        <f t="shared" si="24"/>
        <v>0</v>
      </c>
      <c r="BC133" s="178">
        <f t="shared" si="24"/>
        <v>0</v>
      </c>
      <c r="BD133" s="178">
        <f t="shared" si="24"/>
        <v>0</v>
      </c>
      <c r="BE133" s="178">
        <f t="shared" si="24"/>
        <v>0</v>
      </c>
      <c r="BF133" s="178">
        <f t="shared" si="24"/>
        <v>0</v>
      </c>
      <c r="BG133" s="178">
        <f t="shared" si="24"/>
        <v>0</v>
      </c>
      <c r="BH133" s="178">
        <f t="shared" si="24"/>
        <v>0</v>
      </c>
      <c r="BI133" s="178">
        <f t="shared" si="24"/>
        <v>0</v>
      </c>
      <c r="BJ133" s="178">
        <f t="shared" si="24"/>
        <v>0</v>
      </c>
      <c r="BK133" s="178">
        <f t="shared" si="24"/>
        <v>0</v>
      </c>
      <c r="BL133" s="178">
        <f t="shared" si="24"/>
        <v>0</v>
      </c>
    </row>
    <row r="134" spans="3:64" s="186" customFormat="1" x14ac:dyDescent="0.15">
      <c r="C134" s="115" t="s">
        <v>418</v>
      </c>
      <c r="E134" s="178">
        <f t="shared" si="24"/>
        <v>0</v>
      </c>
      <c r="F134" s="178">
        <f t="shared" si="24"/>
        <v>0</v>
      </c>
      <c r="G134" s="178">
        <f t="shared" si="24"/>
        <v>0</v>
      </c>
      <c r="H134" s="178">
        <f t="shared" si="24"/>
        <v>0.30765740850509465</v>
      </c>
      <c r="I134" s="178">
        <f t="shared" si="24"/>
        <v>0.25674479325767846</v>
      </c>
      <c r="J134" s="178">
        <f t="shared" si="24"/>
        <v>0.21986646960770553</v>
      </c>
      <c r="K134" s="178">
        <f t="shared" si="24"/>
        <v>0.18592700693684674</v>
      </c>
      <c r="L134" s="178">
        <f t="shared" si="24"/>
        <v>0.16315881315513414</v>
      </c>
      <c r="M134" s="178">
        <f t="shared" si="24"/>
        <v>0.14149615501569218</v>
      </c>
      <c r="N134" s="178">
        <f t="shared" si="24"/>
        <v>0.12104427142696496</v>
      </c>
      <c r="O134" s="178">
        <f t="shared" si="24"/>
        <v>0.1017878884010342</v>
      </c>
      <c r="P134" s="178">
        <f t="shared" si="24"/>
        <v>8.3715154293740671E-2</v>
      </c>
      <c r="Q134" s="178">
        <f t="shared" si="24"/>
        <v>6.6812317928704762E-2</v>
      </c>
      <c r="R134" s="178">
        <f t="shared" si="24"/>
        <v>5.1068547713839854E-2</v>
      </c>
      <c r="S134" s="178">
        <f t="shared" si="24"/>
        <v>3.6477238432102183E-2</v>
      </c>
      <c r="T134" s="178">
        <f t="shared" ref="T134:BL142" si="25">IF(T$5&gt;$D$7,0,T31*$E116)</f>
        <v>2.3039415305337565E-2</v>
      </c>
      <c r="U134" s="178">
        <f t="shared" si="25"/>
        <v>1.0774278210842718E-2</v>
      </c>
      <c r="V134" s="178">
        <f t="shared" si="25"/>
        <v>0</v>
      </c>
      <c r="W134" s="178">
        <f t="shared" si="25"/>
        <v>0</v>
      </c>
      <c r="X134" s="178">
        <f t="shared" si="25"/>
        <v>0</v>
      </c>
      <c r="Y134" s="178">
        <f t="shared" si="25"/>
        <v>0</v>
      </c>
      <c r="Z134" s="178">
        <f t="shared" si="25"/>
        <v>0</v>
      </c>
      <c r="AA134" s="178">
        <f t="shared" si="25"/>
        <v>0</v>
      </c>
      <c r="AB134" s="178">
        <f t="shared" si="25"/>
        <v>0</v>
      </c>
      <c r="AC134" s="178">
        <f t="shared" si="25"/>
        <v>0</v>
      </c>
      <c r="AD134" s="178">
        <f t="shared" si="25"/>
        <v>0</v>
      </c>
      <c r="AE134" s="178">
        <f t="shared" si="25"/>
        <v>0</v>
      </c>
      <c r="AF134" s="178">
        <f t="shared" si="25"/>
        <v>0</v>
      </c>
      <c r="AG134" s="178">
        <f t="shared" si="25"/>
        <v>0</v>
      </c>
      <c r="AH134" s="178">
        <f t="shared" si="25"/>
        <v>0</v>
      </c>
      <c r="AI134" s="178">
        <f t="shared" si="25"/>
        <v>0</v>
      </c>
      <c r="AJ134" s="178">
        <f t="shared" si="25"/>
        <v>0</v>
      </c>
      <c r="AK134" s="178">
        <f t="shared" si="25"/>
        <v>0</v>
      </c>
      <c r="AL134" s="178">
        <f t="shared" si="25"/>
        <v>0</v>
      </c>
      <c r="AM134" s="178">
        <f t="shared" si="25"/>
        <v>0</v>
      </c>
      <c r="AN134" s="178">
        <f t="shared" si="25"/>
        <v>0</v>
      </c>
      <c r="AO134" s="178">
        <f t="shared" si="25"/>
        <v>0</v>
      </c>
      <c r="AP134" s="178">
        <f t="shared" si="25"/>
        <v>0</v>
      </c>
      <c r="AQ134" s="178">
        <f t="shared" si="25"/>
        <v>0</v>
      </c>
      <c r="AR134" s="178">
        <f t="shared" si="25"/>
        <v>0</v>
      </c>
      <c r="AS134" s="178">
        <f t="shared" si="25"/>
        <v>0</v>
      </c>
      <c r="AT134" s="178">
        <f t="shared" si="25"/>
        <v>0</v>
      </c>
      <c r="AU134" s="178">
        <f t="shared" si="25"/>
        <v>0</v>
      </c>
      <c r="AV134" s="178">
        <f t="shared" si="25"/>
        <v>0</v>
      </c>
      <c r="AW134" s="178">
        <f t="shared" si="25"/>
        <v>0</v>
      </c>
      <c r="AX134" s="178">
        <f t="shared" si="25"/>
        <v>0</v>
      </c>
      <c r="AY134" s="178">
        <f t="shared" si="25"/>
        <v>0</v>
      </c>
      <c r="AZ134" s="178">
        <f t="shared" si="25"/>
        <v>0</v>
      </c>
      <c r="BA134" s="178">
        <f t="shared" si="25"/>
        <v>0</v>
      </c>
      <c r="BB134" s="178">
        <f t="shared" si="25"/>
        <v>0</v>
      </c>
      <c r="BC134" s="178">
        <f t="shared" si="25"/>
        <v>0</v>
      </c>
      <c r="BD134" s="178">
        <f t="shared" si="25"/>
        <v>0</v>
      </c>
      <c r="BE134" s="178">
        <f t="shared" si="25"/>
        <v>0</v>
      </c>
      <c r="BF134" s="178">
        <f t="shared" si="25"/>
        <v>0</v>
      </c>
      <c r="BG134" s="178">
        <f t="shared" si="25"/>
        <v>0</v>
      </c>
      <c r="BH134" s="178">
        <f t="shared" si="25"/>
        <v>0</v>
      </c>
      <c r="BI134" s="178">
        <f t="shared" si="25"/>
        <v>0</v>
      </c>
      <c r="BJ134" s="178">
        <f t="shared" si="25"/>
        <v>0</v>
      </c>
      <c r="BK134" s="178">
        <f t="shared" si="25"/>
        <v>0</v>
      </c>
      <c r="BL134" s="178">
        <f t="shared" si="25"/>
        <v>0</v>
      </c>
    </row>
    <row r="135" spans="3:64" s="186" customFormat="1" x14ac:dyDescent="0.15">
      <c r="C135" s="115" t="s">
        <v>419</v>
      </c>
      <c r="E135" s="178">
        <f t="shared" ref="E135:AJ142" si="26">IF(E$5&gt;$D$7,0,E32*$E117)</f>
        <v>0</v>
      </c>
      <c r="F135" s="178">
        <f t="shared" si="26"/>
        <v>0</v>
      </c>
      <c r="G135" s="178">
        <f t="shared" si="26"/>
        <v>0</v>
      </c>
      <c r="H135" s="178">
        <f t="shared" si="26"/>
        <v>0</v>
      </c>
      <c r="I135" s="178">
        <f t="shared" si="26"/>
        <v>0.30765740850509465</v>
      </c>
      <c r="J135" s="178">
        <f t="shared" si="26"/>
        <v>0.25674479325767846</v>
      </c>
      <c r="K135" s="178">
        <f t="shared" si="26"/>
        <v>0.21986646960770553</v>
      </c>
      <c r="L135" s="178">
        <f t="shared" si="26"/>
        <v>0.18592700693684674</v>
      </c>
      <c r="M135" s="178">
        <f t="shared" si="26"/>
        <v>0.16315881315513414</v>
      </c>
      <c r="N135" s="178">
        <f t="shared" si="26"/>
        <v>0.14149615501569218</v>
      </c>
      <c r="O135" s="178">
        <f t="shared" si="26"/>
        <v>0.12104427142696496</v>
      </c>
      <c r="P135" s="178">
        <f t="shared" si="26"/>
        <v>0.1017878884010342</v>
      </c>
      <c r="Q135" s="178">
        <f t="shared" si="26"/>
        <v>8.3715154293740671E-2</v>
      </c>
      <c r="R135" s="178">
        <f t="shared" si="26"/>
        <v>6.6812317928704762E-2</v>
      </c>
      <c r="S135" s="178">
        <f t="shared" si="26"/>
        <v>5.1068547713839854E-2</v>
      </c>
      <c r="T135" s="178">
        <f t="shared" si="26"/>
        <v>3.6477238432102183E-2</v>
      </c>
      <c r="U135" s="178">
        <f t="shared" si="26"/>
        <v>2.3039415305337565E-2</v>
      </c>
      <c r="V135" s="178">
        <f t="shared" si="26"/>
        <v>1.0774278210842718E-2</v>
      </c>
      <c r="W135" s="178">
        <f t="shared" si="26"/>
        <v>0</v>
      </c>
      <c r="X135" s="178">
        <f t="shared" si="26"/>
        <v>0</v>
      </c>
      <c r="Y135" s="178">
        <f t="shared" si="26"/>
        <v>0</v>
      </c>
      <c r="Z135" s="178">
        <f t="shared" si="26"/>
        <v>0</v>
      </c>
      <c r="AA135" s="178">
        <f t="shared" si="26"/>
        <v>0</v>
      </c>
      <c r="AB135" s="178">
        <f t="shared" si="26"/>
        <v>0</v>
      </c>
      <c r="AC135" s="178">
        <f t="shared" si="26"/>
        <v>0</v>
      </c>
      <c r="AD135" s="178">
        <f t="shared" si="26"/>
        <v>0</v>
      </c>
      <c r="AE135" s="178">
        <f t="shared" si="26"/>
        <v>0</v>
      </c>
      <c r="AF135" s="178">
        <f t="shared" si="26"/>
        <v>0</v>
      </c>
      <c r="AG135" s="178">
        <f t="shared" si="26"/>
        <v>0</v>
      </c>
      <c r="AH135" s="178">
        <f t="shared" si="26"/>
        <v>0</v>
      </c>
      <c r="AI135" s="178">
        <f t="shared" si="26"/>
        <v>0</v>
      </c>
      <c r="AJ135" s="178">
        <f t="shared" si="26"/>
        <v>0</v>
      </c>
      <c r="AK135" s="178">
        <f t="shared" si="25"/>
        <v>0</v>
      </c>
      <c r="AL135" s="178">
        <f t="shared" si="25"/>
        <v>0</v>
      </c>
      <c r="AM135" s="178">
        <f t="shared" si="25"/>
        <v>0</v>
      </c>
      <c r="AN135" s="178">
        <f t="shared" si="25"/>
        <v>0</v>
      </c>
      <c r="AO135" s="178">
        <f t="shared" si="25"/>
        <v>0</v>
      </c>
      <c r="AP135" s="178">
        <f t="shared" si="25"/>
        <v>0</v>
      </c>
      <c r="AQ135" s="178">
        <f t="shared" si="25"/>
        <v>0</v>
      </c>
      <c r="AR135" s="178">
        <f t="shared" si="25"/>
        <v>0</v>
      </c>
      <c r="AS135" s="178">
        <f t="shared" si="25"/>
        <v>0</v>
      </c>
      <c r="AT135" s="178">
        <f t="shared" si="25"/>
        <v>0</v>
      </c>
      <c r="AU135" s="178">
        <f t="shared" si="25"/>
        <v>0</v>
      </c>
      <c r="AV135" s="178">
        <f t="shared" si="25"/>
        <v>0</v>
      </c>
      <c r="AW135" s="178">
        <f t="shared" si="25"/>
        <v>0</v>
      </c>
      <c r="AX135" s="178">
        <f t="shared" si="25"/>
        <v>0</v>
      </c>
      <c r="AY135" s="178">
        <f t="shared" si="25"/>
        <v>0</v>
      </c>
      <c r="AZ135" s="178">
        <f t="shared" si="25"/>
        <v>0</v>
      </c>
      <c r="BA135" s="178">
        <f t="shared" si="25"/>
        <v>0</v>
      </c>
      <c r="BB135" s="178">
        <f t="shared" si="25"/>
        <v>0</v>
      </c>
      <c r="BC135" s="178">
        <f t="shared" si="25"/>
        <v>0</v>
      </c>
      <c r="BD135" s="178">
        <f t="shared" si="25"/>
        <v>0</v>
      </c>
      <c r="BE135" s="178">
        <f t="shared" si="25"/>
        <v>0</v>
      </c>
      <c r="BF135" s="178">
        <f t="shared" si="25"/>
        <v>0</v>
      </c>
      <c r="BG135" s="178">
        <f t="shared" si="25"/>
        <v>0</v>
      </c>
      <c r="BH135" s="178">
        <f t="shared" si="25"/>
        <v>0</v>
      </c>
      <c r="BI135" s="178">
        <f t="shared" si="25"/>
        <v>0</v>
      </c>
      <c r="BJ135" s="178">
        <f t="shared" si="25"/>
        <v>0</v>
      </c>
      <c r="BK135" s="178">
        <f t="shared" si="25"/>
        <v>0</v>
      </c>
      <c r="BL135" s="178">
        <f t="shared" si="25"/>
        <v>0</v>
      </c>
    </row>
    <row r="136" spans="3:64" s="186" customFormat="1" x14ac:dyDescent="0.15">
      <c r="C136" s="115" t="s">
        <v>420</v>
      </c>
      <c r="E136" s="178">
        <f t="shared" si="26"/>
        <v>0</v>
      </c>
      <c r="F136" s="178">
        <f t="shared" si="26"/>
        <v>0</v>
      </c>
      <c r="G136" s="178">
        <f t="shared" si="26"/>
        <v>0</v>
      </c>
      <c r="H136" s="178">
        <f t="shared" si="26"/>
        <v>0</v>
      </c>
      <c r="I136" s="178">
        <f t="shared" si="26"/>
        <v>0</v>
      </c>
      <c r="J136" s="178">
        <f t="shared" si="26"/>
        <v>0.30765740850509465</v>
      </c>
      <c r="K136" s="178">
        <f t="shared" si="26"/>
        <v>0.25674479325767846</v>
      </c>
      <c r="L136" s="178">
        <f t="shared" si="26"/>
        <v>0.21986646960770553</v>
      </c>
      <c r="M136" s="178">
        <f t="shared" si="26"/>
        <v>0.18592700693684674</v>
      </c>
      <c r="N136" s="178">
        <f t="shared" si="26"/>
        <v>0.16315881315513414</v>
      </c>
      <c r="O136" s="178">
        <f t="shared" si="26"/>
        <v>0.14149615501569218</v>
      </c>
      <c r="P136" s="178">
        <f t="shared" si="26"/>
        <v>0.12104427142696496</v>
      </c>
      <c r="Q136" s="178">
        <f t="shared" si="26"/>
        <v>0.1017878884010342</v>
      </c>
      <c r="R136" s="178">
        <f t="shared" si="26"/>
        <v>8.3715154293740671E-2</v>
      </c>
      <c r="S136" s="178">
        <f t="shared" si="26"/>
        <v>6.6812317928704762E-2</v>
      </c>
      <c r="T136" s="178">
        <f t="shared" si="26"/>
        <v>5.1068547713839854E-2</v>
      </c>
      <c r="U136" s="178">
        <f t="shared" si="26"/>
        <v>3.6477238432102183E-2</v>
      </c>
      <c r="V136" s="178">
        <f t="shared" si="26"/>
        <v>2.3039415305337565E-2</v>
      </c>
      <c r="W136" s="178">
        <f t="shared" si="26"/>
        <v>1.0774278210842718E-2</v>
      </c>
      <c r="X136" s="178">
        <f t="shared" si="26"/>
        <v>0</v>
      </c>
      <c r="Y136" s="178">
        <f t="shared" si="26"/>
        <v>0</v>
      </c>
      <c r="Z136" s="178">
        <f t="shared" si="26"/>
        <v>0</v>
      </c>
      <c r="AA136" s="178">
        <f t="shared" si="26"/>
        <v>0</v>
      </c>
      <c r="AB136" s="178">
        <f t="shared" si="26"/>
        <v>0</v>
      </c>
      <c r="AC136" s="178">
        <f t="shared" si="26"/>
        <v>0</v>
      </c>
      <c r="AD136" s="178">
        <f t="shared" si="26"/>
        <v>0</v>
      </c>
      <c r="AE136" s="178">
        <f t="shared" si="26"/>
        <v>0</v>
      </c>
      <c r="AF136" s="178">
        <f t="shared" si="26"/>
        <v>0</v>
      </c>
      <c r="AG136" s="178">
        <f t="shared" si="26"/>
        <v>0</v>
      </c>
      <c r="AH136" s="178">
        <f t="shared" si="26"/>
        <v>0</v>
      </c>
      <c r="AI136" s="178">
        <f t="shared" si="26"/>
        <v>0</v>
      </c>
      <c r="AJ136" s="178">
        <f t="shared" si="26"/>
        <v>0</v>
      </c>
      <c r="AK136" s="178">
        <f t="shared" si="25"/>
        <v>0</v>
      </c>
      <c r="AL136" s="178">
        <f t="shared" si="25"/>
        <v>0</v>
      </c>
      <c r="AM136" s="178">
        <f t="shared" si="25"/>
        <v>0</v>
      </c>
      <c r="AN136" s="178">
        <f t="shared" si="25"/>
        <v>0</v>
      </c>
      <c r="AO136" s="178">
        <f t="shared" si="25"/>
        <v>0</v>
      </c>
      <c r="AP136" s="178">
        <f t="shared" si="25"/>
        <v>0</v>
      </c>
      <c r="AQ136" s="178">
        <f t="shared" si="25"/>
        <v>0</v>
      </c>
      <c r="AR136" s="178">
        <f t="shared" si="25"/>
        <v>0</v>
      </c>
      <c r="AS136" s="178">
        <f t="shared" si="25"/>
        <v>0</v>
      </c>
      <c r="AT136" s="178">
        <f t="shared" si="25"/>
        <v>0</v>
      </c>
      <c r="AU136" s="178">
        <f t="shared" si="25"/>
        <v>0</v>
      </c>
      <c r="AV136" s="178">
        <f t="shared" si="25"/>
        <v>0</v>
      </c>
      <c r="AW136" s="178">
        <f t="shared" si="25"/>
        <v>0</v>
      </c>
      <c r="AX136" s="178">
        <f t="shared" si="25"/>
        <v>0</v>
      </c>
      <c r="AY136" s="178">
        <f t="shared" si="25"/>
        <v>0</v>
      </c>
      <c r="AZ136" s="178">
        <f t="shared" si="25"/>
        <v>0</v>
      </c>
      <c r="BA136" s="178">
        <f t="shared" si="25"/>
        <v>0</v>
      </c>
      <c r="BB136" s="178">
        <f t="shared" si="25"/>
        <v>0</v>
      </c>
      <c r="BC136" s="178">
        <f t="shared" si="25"/>
        <v>0</v>
      </c>
      <c r="BD136" s="178">
        <f t="shared" si="25"/>
        <v>0</v>
      </c>
      <c r="BE136" s="178">
        <f t="shared" si="25"/>
        <v>0</v>
      </c>
      <c r="BF136" s="178">
        <f t="shared" si="25"/>
        <v>0</v>
      </c>
      <c r="BG136" s="178">
        <f t="shared" si="25"/>
        <v>0</v>
      </c>
      <c r="BH136" s="178">
        <f t="shared" si="25"/>
        <v>0</v>
      </c>
      <c r="BI136" s="178">
        <f t="shared" si="25"/>
        <v>0</v>
      </c>
      <c r="BJ136" s="178">
        <f t="shared" si="25"/>
        <v>0</v>
      </c>
      <c r="BK136" s="178">
        <f t="shared" si="25"/>
        <v>0</v>
      </c>
      <c r="BL136" s="178">
        <f t="shared" si="25"/>
        <v>0</v>
      </c>
    </row>
    <row r="137" spans="3:64" s="186" customFormat="1" x14ac:dyDescent="0.15">
      <c r="C137" s="115" t="s">
        <v>422</v>
      </c>
      <c r="E137" s="178">
        <f t="shared" si="26"/>
        <v>0</v>
      </c>
      <c r="F137" s="178">
        <f t="shared" si="26"/>
        <v>0</v>
      </c>
      <c r="G137" s="178">
        <f t="shared" si="26"/>
        <v>0</v>
      </c>
      <c r="H137" s="178">
        <f t="shared" si="26"/>
        <v>0</v>
      </c>
      <c r="I137" s="178">
        <f t="shared" si="26"/>
        <v>0</v>
      </c>
      <c r="J137" s="178">
        <f t="shared" si="26"/>
        <v>0</v>
      </c>
      <c r="K137" s="178">
        <f t="shared" si="26"/>
        <v>0.30765740850509465</v>
      </c>
      <c r="L137" s="178">
        <f t="shared" si="26"/>
        <v>0.25674479325767846</v>
      </c>
      <c r="M137" s="178">
        <f t="shared" si="26"/>
        <v>0.21986646960770553</v>
      </c>
      <c r="N137" s="178">
        <f t="shared" si="26"/>
        <v>0.18592700693684674</v>
      </c>
      <c r="O137" s="178">
        <f t="shared" si="26"/>
        <v>0.16315881315513414</v>
      </c>
      <c r="P137" s="178">
        <f t="shared" si="26"/>
        <v>0.14149615501569218</v>
      </c>
      <c r="Q137" s="178">
        <f t="shared" si="26"/>
        <v>0.12104427142696496</v>
      </c>
      <c r="R137" s="178">
        <f t="shared" si="26"/>
        <v>0.1017878884010342</v>
      </c>
      <c r="S137" s="178">
        <f t="shared" si="26"/>
        <v>8.3715154293740671E-2</v>
      </c>
      <c r="T137" s="178">
        <f t="shared" si="26"/>
        <v>6.6812317928704762E-2</v>
      </c>
      <c r="U137" s="178">
        <f t="shared" si="26"/>
        <v>5.1068547713839854E-2</v>
      </c>
      <c r="V137" s="178">
        <f t="shared" si="26"/>
        <v>3.6477238432102183E-2</v>
      </c>
      <c r="W137" s="178">
        <f t="shared" si="26"/>
        <v>2.3039415305337565E-2</v>
      </c>
      <c r="X137" s="178">
        <f t="shared" si="26"/>
        <v>1.0774278210842718E-2</v>
      </c>
      <c r="Y137" s="178">
        <f t="shared" si="26"/>
        <v>0</v>
      </c>
      <c r="Z137" s="178">
        <f t="shared" si="26"/>
        <v>0</v>
      </c>
      <c r="AA137" s="178">
        <f t="shared" si="26"/>
        <v>0</v>
      </c>
      <c r="AB137" s="178">
        <f t="shared" si="26"/>
        <v>0</v>
      </c>
      <c r="AC137" s="178">
        <f t="shared" si="26"/>
        <v>0</v>
      </c>
      <c r="AD137" s="178">
        <f t="shared" si="26"/>
        <v>0</v>
      </c>
      <c r="AE137" s="178">
        <f t="shared" si="26"/>
        <v>0</v>
      </c>
      <c r="AF137" s="178">
        <f t="shared" si="26"/>
        <v>0</v>
      </c>
      <c r="AG137" s="178">
        <f t="shared" si="26"/>
        <v>0</v>
      </c>
      <c r="AH137" s="178">
        <f t="shared" si="26"/>
        <v>0</v>
      </c>
      <c r="AI137" s="178">
        <f t="shared" si="26"/>
        <v>0</v>
      </c>
      <c r="AJ137" s="178">
        <f t="shared" si="26"/>
        <v>0</v>
      </c>
      <c r="AK137" s="178">
        <f t="shared" si="25"/>
        <v>0</v>
      </c>
      <c r="AL137" s="178">
        <f t="shared" si="25"/>
        <v>0</v>
      </c>
      <c r="AM137" s="178">
        <f t="shared" si="25"/>
        <v>0</v>
      </c>
      <c r="AN137" s="178">
        <f t="shared" si="25"/>
        <v>0</v>
      </c>
      <c r="AO137" s="178">
        <f t="shared" si="25"/>
        <v>0</v>
      </c>
      <c r="AP137" s="178">
        <f t="shared" si="25"/>
        <v>0</v>
      </c>
      <c r="AQ137" s="178">
        <f t="shared" si="25"/>
        <v>0</v>
      </c>
      <c r="AR137" s="178">
        <f t="shared" si="25"/>
        <v>0</v>
      </c>
      <c r="AS137" s="178">
        <f t="shared" si="25"/>
        <v>0</v>
      </c>
      <c r="AT137" s="178">
        <f t="shared" si="25"/>
        <v>0</v>
      </c>
      <c r="AU137" s="178">
        <f t="shared" si="25"/>
        <v>0</v>
      </c>
      <c r="AV137" s="178">
        <f t="shared" si="25"/>
        <v>0</v>
      </c>
      <c r="AW137" s="178">
        <f t="shared" si="25"/>
        <v>0</v>
      </c>
      <c r="AX137" s="178">
        <f t="shared" si="25"/>
        <v>0</v>
      </c>
      <c r="AY137" s="178">
        <f t="shared" si="25"/>
        <v>0</v>
      </c>
      <c r="AZ137" s="178">
        <f t="shared" si="25"/>
        <v>0</v>
      </c>
      <c r="BA137" s="178">
        <f t="shared" si="25"/>
        <v>0</v>
      </c>
      <c r="BB137" s="178">
        <f t="shared" si="25"/>
        <v>0</v>
      </c>
      <c r="BC137" s="178">
        <f t="shared" si="25"/>
        <v>0</v>
      </c>
      <c r="BD137" s="178">
        <f t="shared" si="25"/>
        <v>0</v>
      </c>
      <c r="BE137" s="178">
        <f t="shared" si="25"/>
        <v>0</v>
      </c>
      <c r="BF137" s="178">
        <f t="shared" si="25"/>
        <v>0</v>
      </c>
      <c r="BG137" s="178">
        <f t="shared" si="25"/>
        <v>0</v>
      </c>
      <c r="BH137" s="178">
        <f t="shared" si="25"/>
        <v>0</v>
      </c>
      <c r="BI137" s="178">
        <f t="shared" si="25"/>
        <v>0</v>
      </c>
      <c r="BJ137" s="178">
        <f t="shared" si="25"/>
        <v>0</v>
      </c>
      <c r="BK137" s="178">
        <f t="shared" si="25"/>
        <v>0</v>
      </c>
      <c r="BL137" s="178">
        <f t="shared" si="25"/>
        <v>0</v>
      </c>
    </row>
    <row r="138" spans="3:64" s="186" customFormat="1" x14ac:dyDescent="0.15">
      <c r="C138" s="115" t="s">
        <v>423</v>
      </c>
      <c r="E138" s="178">
        <f t="shared" si="26"/>
        <v>0</v>
      </c>
      <c r="F138" s="178">
        <f t="shared" si="26"/>
        <v>0</v>
      </c>
      <c r="G138" s="178">
        <f t="shared" si="26"/>
        <v>0</v>
      </c>
      <c r="H138" s="178">
        <f t="shared" si="26"/>
        <v>0</v>
      </c>
      <c r="I138" s="178">
        <f t="shared" si="26"/>
        <v>0</v>
      </c>
      <c r="J138" s="178">
        <f t="shared" si="26"/>
        <v>0</v>
      </c>
      <c r="K138" s="178">
        <f t="shared" si="26"/>
        <v>0</v>
      </c>
      <c r="L138" s="178">
        <f t="shared" si="26"/>
        <v>0.31393613112764762</v>
      </c>
      <c r="M138" s="178">
        <f t="shared" si="26"/>
        <v>0.26198448291599846</v>
      </c>
      <c r="N138" s="178">
        <f t="shared" si="26"/>
        <v>0.22435354041602604</v>
      </c>
      <c r="O138" s="178">
        <f t="shared" si="26"/>
        <v>0.18972143564984362</v>
      </c>
      <c r="P138" s="178">
        <f t="shared" si="26"/>
        <v>0.16648858485217768</v>
      </c>
      <c r="Q138" s="178">
        <f t="shared" si="26"/>
        <v>0.1443838316486655</v>
      </c>
      <c r="R138" s="178">
        <f t="shared" si="26"/>
        <v>0.12351456268057649</v>
      </c>
      <c r="S138" s="178">
        <f t="shared" si="26"/>
        <v>0.10386519224595325</v>
      </c>
      <c r="T138" s="178">
        <f t="shared" si="26"/>
        <v>8.5423626830347613E-2</v>
      </c>
      <c r="U138" s="178">
        <f t="shared" si="26"/>
        <v>6.8175834621127307E-2</v>
      </c>
      <c r="V138" s="178">
        <f t="shared" si="26"/>
        <v>5.2110762973305969E-2</v>
      </c>
      <c r="W138" s="178">
        <f t="shared" si="26"/>
        <v>3.7221671869492018E-2</v>
      </c>
      <c r="X138" s="178">
        <f t="shared" si="26"/>
        <v>2.3509607454426085E-2</v>
      </c>
      <c r="Y138" s="178">
        <f t="shared" si="26"/>
        <v>0</v>
      </c>
      <c r="Z138" s="178">
        <f t="shared" si="26"/>
        <v>0</v>
      </c>
      <c r="AA138" s="178">
        <f t="shared" si="26"/>
        <v>0</v>
      </c>
      <c r="AB138" s="178">
        <f t="shared" si="26"/>
        <v>0</v>
      </c>
      <c r="AC138" s="178">
        <f t="shared" si="26"/>
        <v>0</v>
      </c>
      <c r="AD138" s="178">
        <f t="shared" si="26"/>
        <v>0</v>
      </c>
      <c r="AE138" s="178">
        <f t="shared" si="26"/>
        <v>0</v>
      </c>
      <c r="AF138" s="178">
        <f t="shared" si="26"/>
        <v>0</v>
      </c>
      <c r="AG138" s="178">
        <f t="shared" si="26"/>
        <v>0</v>
      </c>
      <c r="AH138" s="178">
        <f t="shared" si="26"/>
        <v>0</v>
      </c>
      <c r="AI138" s="178">
        <f t="shared" si="26"/>
        <v>0</v>
      </c>
      <c r="AJ138" s="178">
        <f t="shared" si="26"/>
        <v>0</v>
      </c>
      <c r="AK138" s="178">
        <f t="shared" si="25"/>
        <v>0</v>
      </c>
      <c r="AL138" s="178">
        <f t="shared" si="25"/>
        <v>0</v>
      </c>
      <c r="AM138" s="178">
        <f t="shared" si="25"/>
        <v>0</v>
      </c>
      <c r="AN138" s="178">
        <f t="shared" si="25"/>
        <v>0</v>
      </c>
      <c r="AO138" s="178">
        <f t="shared" si="25"/>
        <v>0</v>
      </c>
      <c r="AP138" s="178">
        <f t="shared" si="25"/>
        <v>0</v>
      </c>
      <c r="AQ138" s="178">
        <f t="shared" si="25"/>
        <v>0</v>
      </c>
      <c r="AR138" s="178">
        <f t="shared" si="25"/>
        <v>0</v>
      </c>
      <c r="AS138" s="178">
        <f t="shared" si="25"/>
        <v>0</v>
      </c>
      <c r="AT138" s="178">
        <f t="shared" si="25"/>
        <v>0</v>
      </c>
      <c r="AU138" s="178">
        <f t="shared" si="25"/>
        <v>0</v>
      </c>
      <c r="AV138" s="178">
        <f t="shared" si="25"/>
        <v>0</v>
      </c>
      <c r="AW138" s="178">
        <f t="shared" si="25"/>
        <v>0</v>
      </c>
      <c r="AX138" s="178">
        <f t="shared" si="25"/>
        <v>0</v>
      </c>
      <c r="AY138" s="178">
        <f t="shared" si="25"/>
        <v>0</v>
      </c>
      <c r="AZ138" s="178">
        <f t="shared" si="25"/>
        <v>0</v>
      </c>
      <c r="BA138" s="178">
        <f t="shared" si="25"/>
        <v>0</v>
      </c>
      <c r="BB138" s="178">
        <f t="shared" si="25"/>
        <v>0</v>
      </c>
      <c r="BC138" s="178">
        <f t="shared" si="25"/>
        <v>0</v>
      </c>
      <c r="BD138" s="178">
        <f t="shared" si="25"/>
        <v>0</v>
      </c>
      <c r="BE138" s="178">
        <f t="shared" si="25"/>
        <v>0</v>
      </c>
      <c r="BF138" s="178">
        <f t="shared" si="25"/>
        <v>0</v>
      </c>
      <c r="BG138" s="178">
        <f t="shared" si="25"/>
        <v>0</v>
      </c>
      <c r="BH138" s="178">
        <f t="shared" si="25"/>
        <v>0</v>
      </c>
      <c r="BI138" s="178">
        <f t="shared" si="25"/>
        <v>0</v>
      </c>
      <c r="BJ138" s="178">
        <f t="shared" si="25"/>
        <v>0</v>
      </c>
      <c r="BK138" s="178">
        <f t="shared" si="25"/>
        <v>0</v>
      </c>
      <c r="BL138" s="178">
        <f t="shared" si="25"/>
        <v>0</v>
      </c>
    </row>
    <row r="139" spans="3:64" s="186" customFormat="1" x14ac:dyDescent="0.15">
      <c r="C139" s="115" t="s">
        <v>424</v>
      </c>
      <c r="E139" s="178">
        <f t="shared" si="26"/>
        <v>0</v>
      </c>
      <c r="F139" s="178">
        <f t="shared" si="26"/>
        <v>0</v>
      </c>
      <c r="G139" s="178">
        <f t="shared" si="26"/>
        <v>0</v>
      </c>
      <c r="H139" s="178">
        <f t="shared" si="26"/>
        <v>0</v>
      </c>
      <c r="I139" s="178">
        <f t="shared" si="26"/>
        <v>0</v>
      </c>
      <c r="J139" s="178">
        <f t="shared" si="26"/>
        <v>0</v>
      </c>
      <c r="K139" s="178">
        <f t="shared" si="26"/>
        <v>0</v>
      </c>
      <c r="L139" s="178">
        <f t="shared" si="26"/>
        <v>0</v>
      </c>
      <c r="M139" s="178">
        <f t="shared" si="26"/>
        <v>0.31393613112764762</v>
      </c>
      <c r="N139" s="178">
        <f t="shared" si="26"/>
        <v>0.26198448291599846</v>
      </c>
      <c r="O139" s="178">
        <f t="shared" si="26"/>
        <v>0.22435354041602604</v>
      </c>
      <c r="P139" s="178">
        <f t="shared" si="26"/>
        <v>0.18972143564984362</v>
      </c>
      <c r="Q139" s="178">
        <f t="shared" si="26"/>
        <v>0.16648858485217768</v>
      </c>
      <c r="R139" s="178">
        <f t="shared" si="26"/>
        <v>0.1443838316486655</v>
      </c>
      <c r="S139" s="178">
        <f t="shared" si="26"/>
        <v>0.12351456268057649</v>
      </c>
      <c r="T139" s="178">
        <f t="shared" si="26"/>
        <v>0.10386519224595325</v>
      </c>
      <c r="U139" s="178">
        <f t="shared" si="26"/>
        <v>8.5423626830347613E-2</v>
      </c>
      <c r="V139" s="178">
        <f t="shared" si="26"/>
        <v>6.8175834621127307E-2</v>
      </c>
      <c r="W139" s="178">
        <f t="shared" si="26"/>
        <v>5.2110762973305969E-2</v>
      </c>
      <c r="X139" s="178">
        <f t="shared" si="26"/>
        <v>3.7221671869492018E-2</v>
      </c>
      <c r="Y139" s="178">
        <f t="shared" si="26"/>
        <v>0</v>
      </c>
      <c r="Z139" s="178">
        <f t="shared" si="26"/>
        <v>0</v>
      </c>
      <c r="AA139" s="178">
        <f t="shared" si="26"/>
        <v>0</v>
      </c>
      <c r="AB139" s="178">
        <f t="shared" si="26"/>
        <v>0</v>
      </c>
      <c r="AC139" s="178">
        <f t="shared" si="26"/>
        <v>0</v>
      </c>
      <c r="AD139" s="178">
        <f t="shared" si="26"/>
        <v>0</v>
      </c>
      <c r="AE139" s="178">
        <f t="shared" si="26"/>
        <v>0</v>
      </c>
      <c r="AF139" s="178">
        <f t="shared" si="26"/>
        <v>0</v>
      </c>
      <c r="AG139" s="178">
        <f t="shared" si="26"/>
        <v>0</v>
      </c>
      <c r="AH139" s="178">
        <f t="shared" si="26"/>
        <v>0</v>
      </c>
      <c r="AI139" s="178">
        <f t="shared" si="26"/>
        <v>0</v>
      </c>
      <c r="AJ139" s="178">
        <f t="shared" si="26"/>
        <v>0</v>
      </c>
      <c r="AK139" s="178">
        <f t="shared" si="25"/>
        <v>0</v>
      </c>
      <c r="AL139" s="178">
        <f t="shared" si="25"/>
        <v>0</v>
      </c>
      <c r="AM139" s="178">
        <f t="shared" si="25"/>
        <v>0</v>
      </c>
      <c r="AN139" s="178">
        <f t="shared" si="25"/>
        <v>0</v>
      </c>
      <c r="AO139" s="178">
        <f t="shared" si="25"/>
        <v>0</v>
      </c>
      <c r="AP139" s="178">
        <f t="shared" si="25"/>
        <v>0</v>
      </c>
      <c r="AQ139" s="178">
        <f t="shared" si="25"/>
        <v>0</v>
      </c>
      <c r="AR139" s="178">
        <f t="shared" si="25"/>
        <v>0</v>
      </c>
      <c r="AS139" s="178">
        <f t="shared" si="25"/>
        <v>0</v>
      </c>
      <c r="AT139" s="178">
        <f t="shared" si="25"/>
        <v>0</v>
      </c>
      <c r="AU139" s="178">
        <f t="shared" si="25"/>
        <v>0</v>
      </c>
      <c r="AV139" s="178">
        <f t="shared" si="25"/>
        <v>0</v>
      </c>
      <c r="AW139" s="178">
        <f t="shared" si="25"/>
        <v>0</v>
      </c>
      <c r="AX139" s="178">
        <f t="shared" si="25"/>
        <v>0</v>
      </c>
      <c r="AY139" s="178">
        <f t="shared" si="25"/>
        <v>0</v>
      </c>
      <c r="AZ139" s="178">
        <f t="shared" si="25"/>
        <v>0</v>
      </c>
      <c r="BA139" s="178">
        <f t="shared" si="25"/>
        <v>0</v>
      </c>
      <c r="BB139" s="178">
        <f t="shared" si="25"/>
        <v>0</v>
      </c>
      <c r="BC139" s="178">
        <f t="shared" si="25"/>
        <v>0</v>
      </c>
      <c r="BD139" s="178">
        <f t="shared" si="25"/>
        <v>0</v>
      </c>
      <c r="BE139" s="178">
        <f t="shared" si="25"/>
        <v>0</v>
      </c>
      <c r="BF139" s="178">
        <f t="shared" si="25"/>
        <v>0</v>
      </c>
      <c r="BG139" s="178">
        <f t="shared" si="25"/>
        <v>0</v>
      </c>
      <c r="BH139" s="178">
        <f t="shared" si="25"/>
        <v>0</v>
      </c>
      <c r="BI139" s="178">
        <f t="shared" si="25"/>
        <v>0</v>
      </c>
      <c r="BJ139" s="178">
        <f t="shared" si="25"/>
        <v>0</v>
      </c>
      <c r="BK139" s="178">
        <f t="shared" si="25"/>
        <v>0</v>
      </c>
      <c r="BL139" s="178">
        <f t="shared" si="25"/>
        <v>0</v>
      </c>
    </row>
    <row r="140" spans="3:64" x14ac:dyDescent="0.15">
      <c r="C140" s="115" t="s">
        <v>425</v>
      </c>
      <c r="E140" s="178">
        <f t="shared" si="26"/>
        <v>0</v>
      </c>
      <c r="F140" s="178">
        <f t="shared" si="26"/>
        <v>0</v>
      </c>
      <c r="G140" s="178">
        <f t="shared" si="26"/>
        <v>0</v>
      </c>
      <c r="H140" s="178">
        <f t="shared" si="26"/>
        <v>0</v>
      </c>
      <c r="I140" s="178">
        <f t="shared" si="26"/>
        <v>0</v>
      </c>
      <c r="J140" s="178">
        <f t="shared" si="26"/>
        <v>0</v>
      </c>
      <c r="K140" s="178">
        <f t="shared" si="26"/>
        <v>0</v>
      </c>
      <c r="L140" s="178">
        <f t="shared" si="26"/>
        <v>0</v>
      </c>
      <c r="M140" s="178">
        <f t="shared" si="26"/>
        <v>0</v>
      </c>
      <c r="N140" s="178">
        <f t="shared" si="26"/>
        <v>0.31393613112764762</v>
      </c>
      <c r="O140" s="178">
        <f t="shared" si="26"/>
        <v>0.26198448291599846</v>
      </c>
      <c r="P140" s="178">
        <f t="shared" si="26"/>
        <v>0.22435354041602604</v>
      </c>
      <c r="Q140" s="178">
        <f t="shared" si="26"/>
        <v>0.18972143564984362</v>
      </c>
      <c r="R140" s="178">
        <f t="shared" si="26"/>
        <v>0.16648858485217768</v>
      </c>
      <c r="S140" s="178">
        <f t="shared" si="26"/>
        <v>0.1443838316486655</v>
      </c>
      <c r="T140" s="178">
        <f t="shared" si="26"/>
        <v>0.12351456268057649</v>
      </c>
      <c r="U140" s="178">
        <f t="shared" si="26"/>
        <v>0.10386519224595325</v>
      </c>
      <c r="V140" s="178">
        <f t="shared" si="26"/>
        <v>8.5423626830347613E-2</v>
      </c>
      <c r="W140" s="178">
        <f t="shared" si="26"/>
        <v>6.8175834621127307E-2</v>
      </c>
      <c r="X140" s="178">
        <f t="shared" si="26"/>
        <v>5.2110762973305969E-2</v>
      </c>
      <c r="Y140" s="178">
        <f t="shared" si="26"/>
        <v>0</v>
      </c>
      <c r="Z140" s="178">
        <f t="shared" si="26"/>
        <v>0</v>
      </c>
      <c r="AA140" s="178">
        <f t="shared" si="26"/>
        <v>0</v>
      </c>
      <c r="AB140" s="178">
        <f t="shared" si="26"/>
        <v>0</v>
      </c>
      <c r="AC140" s="178">
        <f t="shared" si="26"/>
        <v>0</v>
      </c>
      <c r="AD140" s="178">
        <f t="shared" si="26"/>
        <v>0</v>
      </c>
      <c r="AE140" s="178">
        <f t="shared" si="26"/>
        <v>0</v>
      </c>
      <c r="AF140" s="178">
        <f t="shared" si="26"/>
        <v>0</v>
      </c>
      <c r="AG140" s="178">
        <f t="shared" si="26"/>
        <v>0</v>
      </c>
      <c r="AH140" s="178">
        <f t="shared" si="26"/>
        <v>0</v>
      </c>
      <c r="AI140" s="178">
        <f t="shared" si="26"/>
        <v>0</v>
      </c>
      <c r="AJ140" s="178">
        <f t="shared" si="26"/>
        <v>0</v>
      </c>
      <c r="AK140" s="178">
        <f t="shared" si="25"/>
        <v>0</v>
      </c>
      <c r="AL140" s="178">
        <f t="shared" si="25"/>
        <v>0</v>
      </c>
      <c r="AM140" s="178">
        <f t="shared" si="25"/>
        <v>0</v>
      </c>
      <c r="AN140" s="178">
        <f t="shared" si="25"/>
        <v>0</v>
      </c>
      <c r="AO140" s="178">
        <f t="shared" si="25"/>
        <v>0</v>
      </c>
      <c r="AP140" s="178">
        <f t="shared" si="25"/>
        <v>0</v>
      </c>
      <c r="AQ140" s="178">
        <f t="shared" si="25"/>
        <v>0</v>
      </c>
      <c r="AR140" s="178">
        <f t="shared" si="25"/>
        <v>0</v>
      </c>
      <c r="AS140" s="178">
        <f t="shared" si="25"/>
        <v>0</v>
      </c>
      <c r="AT140" s="178">
        <f t="shared" si="25"/>
        <v>0</v>
      </c>
      <c r="AU140" s="178">
        <f t="shared" si="25"/>
        <v>0</v>
      </c>
      <c r="AV140" s="178">
        <f t="shared" si="25"/>
        <v>0</v>
      </c>
      <c r="AW140" s="178">
        <f t="shared" si="25"/>
        <v>0</v>
      </c>
      <c r="AX140" s="178">
        <f t="shared" si="25"/>
        <v>0</v>
      </c>
      <c r="AY140" s="178">
        <f t="shared" si="25"/>
        <v>0</v>
      </c>
      <c r="AZ140" s="178">
        <f t="shared" si="25"/>
        <v>0</v>
      </c>
      <c r="BA140" s="178">
        <f t="shared" si="25"/>
        <v>0</v>
      </c>
      <c r="BB140" s="178">
        <f t="shared" si="25"/>
        <v>0</v>
      </c>
      <c r="BC140" s="178">
        <f t="shared" si="25"/>
        <v>0</v>
      </c>
      <c r="BD140" s="178">
        <f t="shared" si="25"/>
        <v>0</v>
      </c>
      <c r="BE140" s="178">
        <f t="shared" si="25"/>
        <v>0</v>
      </c>
      <c r="BF140" s="178">
        <f t="shared" si="25"/>
        <v>0</v>
      </c>
      <c r="BG140" s="178">
        <f t="shared" si="25"/>
        <v>0</v>
      </c>
      <c r="BH140" s="178">
        <f t="shared" si="25"/>
        <v>0</v>
      </c>
      <c r="BI140" s="178">
        <f t="shared" si="25"/>
        <v>0</v>
      </c>
      <c r="BJ140" s="178">
        <f t="shared" si="25"/>
        <v>0</v>
      </c>
      <c r="BK140" s="178">
        <f t="shared" si="25"/>
        <v>0</v>
      </c>
      <c r="BL140" s="178">
        <f t="shared" si="25"/>
        <v>0</v>
      </c>
    </row>
    <row r="141" spans="3:64" x14ac:dyDescent="0.15">
      <c r="C141" s="115" t="s">
        <v>426</v>
      </c>
      <c r="E141" s="178">
        <f t="shared" si="26"/>
        <v>0</v>
      </c>
      <c r="F141" s="178">
        <f t="shared" si="26"/>
        <v>0</v>
      </c>
      <c r="G141" s="178">
        <f t="shared" si="26"/>
        <v>0</v>
      </c>
      <c r="H141" s="178">
        <f t="shared" si="26"/>
        <v>0</v>
      </c>
      <c r="I141" s="178">
        <f t="shared" si="26"/>
        <v>0</v>
      </c>
      <c r="J141" s="178">
        <f t="shared" si="26"/>
        <v>0</v>
      </c>
      <c r="K141" s="178">
        <f t="shared" si="26"/>
        <v>0</v>
      </c>
      <c r="L141" s="178">
        <f t="shared" si="26"/>
        <v>0</v>
      </c>
      <c r="M141" s="178">
        <f t="shared" si="26"/>
        <v>0</v>
      </c>
      <c r="N141" s="178">
        <f t="shared" si="26"/>
        <v>0</v>
      </c>
      <c r="O141" s="178">
        <f t="shared" si="26"/>
        <v>0.31393613112764762</v>
      </c>
      <c r="P141" s="178">
        <f t="shared" si="26"/>
        <v>0.26198448291599846</v>
      </c>
      <c r="Q141" s="178">
        <f t="shared" si="26"/>
        <v>0.22435354041602604</v>
      </c>
      <c r="R141" s="178">
        <f t="shared" si="26"/>
        <v>0.18972143564984362</v>
      </c>
      <c r="S141" s="178">
        <f t="shared" si="26"/>
        <v>0.16648858485217768</v>
      </c>
      <c r="T141" s="178">
        <f t="shared" si="26"/>
        <v>0.1443838316486655</v>
      </c>
      <c r="U141" s="178">
        <f t="shared" si="26"/>
        <v>0.12351456268057649</v>
      </c>
      <c r="V141" s="178">
        <f t="shared" si="26"/>
        <v>0.10386519224595325</v>
      </c>
      <c r="W141" s="178">
        <f t="shared" si="26"/>
        <v>8.5423626830347613E-2</v>
      </c>
      <c r="X141" s="178">
        <f t="shared" si="26"/>
        <v>6.8175834621127307E-2</v>
      </c>
      <c r="Y141" s="178">
        <f t="shared" si="26"/>
        <v>0</v>
      </c>
      <c r="Z141" s="178">
        <f t="shared" si="26"/>
        <v>0</v>
      </c>
      <c r="AA141" s="178">
        <f t="shared" si="26"/>
        <v>0</v>
      </c>
      <c r="AB141" s="178">
        <f t="shared" si="26"/>
        <v>0</v>
      </c>
      <c r="AC141" s="178">
        <f t="shared" si="26"/>
        <v>0</v>
      </c>
      <c r="AD141" s="178">
        <f t="shared" si="26"/>
        <v>0</v>
      </c>
      <c r="AE141" s="178">
        <f t="shared" si="26"/>
        <v>0</v>
      </c>
      <c r="AF141" s="178">
        <f t="shared" si="26"/>
        <v>0</v>
      </c>
      <c r="AG141" s="178">
        <f t="shared" si="26"/>
        <v>0</v>
      </c>
      <c r="AH141" s="178">
        <f t="shared" si="26"/>
        <v>0</v>
      </c>
      <c r="AI141" s="178">
        <f t="shared" si="26"/>
        <v>0</v>
      </c>
      <c r="AJ141" s="178">
        <f t="shared" si="26"/>
        <v>0</v>
      </c>
      <c r="AK141" s="178">
        <f t="shared" si="25"/>
        <v>0</v>
      </c>
      <c r="AL141" s="178">
        <f t="shared" si="25"/>
        <v>0</v>
      </c>
      <c r="AM141" s="178">
        <f t="shared" si="25"/>
        <v>0</v>
      </c>
      <c r="AN141" s="178">
        <f t="shared" si="25"/>
        <v>0</v>
      </c>
      <c r="AO141" s="178">
        <f t="shared" si="25"/>
        <v>0</v>
      </c>
      <c r="AP141" s="178">
        <f t="shared" si="25"/>
        <v>0</v>
      </c>
      <c r="AQ141" s="178">
        <f t="shared" si="25"/>
        <v>0</v>
      </c>
      <c r="AR141" s="178">
        <f t="shared" si="25"/>
        <v>0</v>
      </c>
      <c r="AS141" s="178">
        <f t="shared" si="25"/>
        <v>0</v>
      </c>
      <c r="AT141" s="178">
        <f t="shared" si="25"/>
        <v>0</v>
      </c>
      <c r="AU141" s="178">
        <f t="shared" si="25"/>
        <v>0</v>
      </c>
      <c r="AV141" s="178">
        <f t="shared" si="25"/>
        <v>0</v>
      </c>
      <c r="AW141" s="178">
        <f t="shared" si="25"/>
        <v>0</v>
      </c>
      <c r="AX141" s="178">
        <f t="shared" si="25"/>
        <v>0</v>
      </c>
      <c r="AY141" s="178">
        <f t="shared" si="25"/>
        <v>0</v>
      </c>
      <c r="AZ141" s="178">
        <f t="shared" si="25"/>
        <v>0</v>
      </c>
      <c r="BA141" s="178">
        <f t="shared" si="25"/>
        <v>0</v>
      </c>
      <c r="BB141" s="178">
        <f t="shared" si="25"/>
        <v>0</v>
      </c>
      <c r="BC141" s="178">
        <f t="shared" si="25"/>
        <v>0</v>
      </c>
      <c r="BD141" s="178">
        <f t="shared" si="25"/>
        <v>0</v>
      </c>
      <c r="BE141" s="178">
        <f t="shared" si="25"/>
        <v>0</v>
      </c>
      <c r="BF141" s="178">
        <f t="shared" si="25"/>
        <v>0</v>
      </c>
      <c r="BG141" s="178">
        <f t="shared" si="25"/>
        <v>0</v>
      </c>
      <c r="BH141" s="178">
        <f t="shared" si="25"/>
        <v>0</v>
      </c>
      <c r="BI141" s="178">
        <f t="shared" si="25"/>
        <v>0</v>
      </c>
      <c r="BJ141" s="178">
        <f t="shared" si="25"/>
        <v>0</v>
      </c>
      <c r="BK141" s="178">
        <f t="shared" si="25"/>
        <v>0</v>
      </c>
      <c r="BL141" s="178">
        <f t="shared" si="25"/>
        <v>0</v>
      </c>
    </row>
    <row r="142" spans="3:64" x14ac:dyDescent="0.15">
      <c r="C142" s="115" t="s">
        <v>427</v>
      </c>
      <c r="E142" s="178">
        <f t="shared" si="26"/>
        <v>0</v>
      </c>
      <c r="F142" s="178">
        <f t="shared" si="26"/>
        <v>0</v>
      </c>
      <c r="G142" s="178">
        <f t="shared" si="26"/>
        <v>0</v>
      </c>
      <c r="H142" s="178">
        <f t="shared" si="26"/>
        <v>0</v>
      </c>
      <c r="I142" s="178">
        <f t="shared" si="26"/>
        <v>0</v>
      </c>
      <c r="J142" s="178">
        <f t="shared" si="26"/>
        <v>0</v>
      </c>
      <c r="K142" s="178">
        <f t="shared" si="26"/>
        <v>0</v>
      </c>
      <c r="L142" s="178">
        <f t="shared" si="26"/>
        <v>0</v>
      </c>
      <c r="M142" s="178">
        <f t="shared" si="26"/>
        <v>0</v>
      </c>
      <c r="N142" s="178">
        <f t="shared" si="26"/>
        <v>0</v>
      </c>
      <c r="O142" s="178">
        <f t="shared" si="26"/>
        <v>0</v>
      </c>
      <c r="P142" s="178">
        <f t="shared" si="26"/>
        <v>0.31393613112764762</v>
      </c>
      <c r="Q142" s="178">
        <f t="shared" si="26"/>
        <v>0.26198448291599846</v>
      </c>
      <c r="R142" s="178">
        <f t="shared" si="26"/>
        <v>0.22435354041602604</v>
      </c>
      <c r="S142" s="178">
        <f t="shared" si="26"/>
        <v>0.18972143564984362</v>
      </c>
      <c r="T142" s="178">
        <f t="shared" si="26"/>
        <v>0.16648858485217768</v>
      </c>
      <c r="U142" s="178">
        <f t="shared" si="26"/>
        <v>0.1443838316486655</v>
      </c>
      <c r="V142" s="178">
        <f t="shared" si="26"/>
        <v>0.12351456268057649</v>
      </c>
      <c r="W142" s="178">
        <f t="shared" si="26"/>
        <v>0.10386519224595325</v>
      </c>
      <c r="X142" s="178">
        <f t="shared" si="26"/>
        <v>8.5423626830347613E-2</v>
      </c>
      <c r="Y142" s="178">
        <f t="shared" si="26"/>
        <v>0</v>
      </c>
      <c r="Z142" s="178">
        <f t="shared" si="26"/>
        <v>0</v>
      </c>
      <c r="AA142" s="178">
        <f t="shared" si="26"/>
        <v>0</v>
      </c>
      <c r="AB142" s="178">
        <f t="shared" si="26"/>
        <v>0</v>
      </c>
      <c r="AC142" s="178">
        <f t="shared" si="26"/>
        <v>0</v>
      </c>
      <c r="AD142" s="178">
        <f t="shared" si="26"/>
        <v>0</v>
      </c>
      <c r="AE142" s="178">
        <f t="shared" si="26"/>
        <v>0</v>
      </c>
      <c r="AF142" s="178">
        <f t="shared" si="26"/>
        <v>0</v>
      </c>
      <c r="AG142" s="178">
        <f t="shared" si="26"/>
        <v>0</v>
      </c>
      <c r="AH142" s="178">
        <f t="shared" si="26"/>
        <v>0</v>
      </c>
      <c r="AI142" s="178">
        <f t="shared" si="26"/>
        <v>0</v>
      </c>
      <c r="AJ142" s="178">
        <f t="shared" ref="AJ142:BO142" si="27">IF(AJ$5&gt;$D$7,0,AJ39*$E124)</f>
        <v>0</v>
      </c>
      <c r="AK142" s="178">
        <f t="shared" si="25"/>
        <v>0</v>
      </c>
      <c r="AL142" s="178">
        <f t="shared" si="25"/>
        <v>0</v>
      </c>
      <c r="AM142" s="178">
        <f t="shared" si="25"/>
        <v>0</v>
      </c>
      <c r="AN142" s="178">
        <f t="shared" si="25"/>
        <v>0</v>
      </c>
      <c r="AO142" s="178">
        <f t="shared" si="25"/>
        <v>0</v>
      </c>
      <c r="AP142" s="178">
        <f t="shared" si="25"/>
        <v>0</v>
      </c>
      <c r="AQ142" s="178">
        <f t="shared" si="25"/>
        <v>0</v>
      </c>
      <c r="AR142" s="178">
        <f t="shared" si="25"/>
        <v>0</v>
      </c>
      <c r="AS142" s="178">
        <f t="shared" si="25"/>
        <v>0</v>
      </c>
      <c r="AT142" s="178">
        <f t="shared" si="25"/>
        <v>0</v>
      </c>
      <c r="AU142" s="178">
        <f t="shared" si="25"/>
        <v>0</v>
      </c>
      <c r="AV142" s="178">
        <f t="shared" si="25"/>
        <v>0</v>
      </c>
      <c r="AW142" s="178">
        <f t="shared" si="25"/>
        <v>0</v>
      </c>
      <c r="AX142" s="178">
        <f t="shared" si="25"/>
        <v>0</v>
      </c>
      <c r="AY142" s="178">
        <f t="shared" ref="AY142:BZ142" si="28">IF(AY$5&gt;$D$7,0,AY39*$E124)</f>
        <v>0</v>
      </c>
      <c r="AZ142" s="178">
        <f t="shared" si="28"/>
        <v>0</v>
      </c>
      <c r="BA142" s="178">
        <f t="shared" si="28"/>
        <v>0</v>
      </c>
      <c r="BB142" s="178">
        <f t="shared" si="28"/>
        <v>0</v>
      </c>
      <c r="BC142" s="178">
        <f t="shared" si="28"/>
        <v>0</v>
      </c>
      <c r="BD142" s="178">
        <f t="shared" si="28"/>
        <v>0</v>
      </c>
      <c r="BE142" s="178">
        <f t="shared" si="28"/>
        <v>0</v>
      </c>
      <c r="BF142" s="178">
        <f t="shared" si="28"/>
        <v>0</v>
      </c>
      <c r="BG142" s="178">
        <f t="shared" si="28"/>
        <v>0</v>
      </c>
      <c r="BH142" s="178">
        <f t="shared" si="28"/>
        <v>0</v>
      </c>
      <c r="BI142" s="178">
        <f t="shared" si="28"/>
        <v>0</v>
      </c>
      <c r="BJ142" s="178">
        <f t="shared" si="28"/>
        <v>0</v>
      </c>
      <c r="BK142" s="178">
        <f t="shared" si="28"/>
        <v>0</v>
      </c>
      <c r="BL142" s="178">
        <f t="shared" si="28"/>
        <v>0</v>
      </c>
    </row>
    <row r="143" spans="3:64" x14ac:dyDescent="0.15">
      <c r="C143" s="115" t="s">
        <v>429</v>
      </c>
      <c r="E143" s="178">
        <f t="shared" ref="E143:BL144" si="29">IF(E$5&gt;$D$7,0,E40*$E125)</f>
        <v>0</v>
      </c>
      <c r="F143" s="178">
        <f t="shared" si="29"/>
        <v>0</v>
      </c>
      <c r="G143" s="178">
        <f t="shared" si="29"/>
        <v>0</v>
      </c>
      <c r="H143" s="178">
        <f t="shared" si="29"/>
        <v>0</v>
      </c>
      <c r="I143" s="178">
        <f t="shared" si="29"/>
        <v>0</v>
      </c>
      <c r="J143" s="178">
        <f t="shared" si="29"/>
        <v>0</v>
      </c>
      <c r="K143" s="178">
        <f t="shared" si="29"/>
        <v>0</v>
      </c>
      <c r="L143" s="178">
        <f t="shared" si="29"/>
        <v>0</v>
      </c>
      <c r="M143" s="178">
        <f t="shared" si="29"/>
        <v>0</v>
      </c>
      <c r="N143" s="178">
        <f t="shared" si="29"/>
        <v>0</v>
      </c>
      <c r="O143" s="178">
        <f t="shared" si="29"/>
        <v>0</v>
      </c>
      <c r="P143" s="178">
        <f t="shared" si="29"/>
        <v>0</v>
      </c>
      <c r="Q143" s="178">
        <f t="shared" si="29"/>
        <v>0.31393613112764762</v>
      </c>
      <c r="R143" s="178">
        <f t="shared" si="29"/>
        <v>0.26198448291599846</v>
      </c>
      <c r="S143" s="178">
        <f t="shared" si="29"/>
        <v>0.22435354041602604</v>
      </c>
      <c r="T143" s="178">
        <f t="shared" si="29"/>
        <v>0.18972143564984362</v>
      </c>
      <c r="U143" s="178">
        <f t="shared" si="29"/>
        <v>0.16648858485217768</v>
      </c>
      <c r="V143" s="178">
        <f t="shared" si="29"/>
        <v>0.1443838316486655</v>
      </c>
      <c r="W143" s="178">
        <f t="shared" si="29"/>
        <v>0.12351456268057649</v>
      </c>
      <c r="X143" s="178">
        <f t="shared" si="29"/>
        <v>0.10386519224595325</v>
      </c>
      <c r="Y143" s="178">
        <f t="shared" si="29"/>
        <v>0</v>
      </c>
      <c r="Z143" s="178">
        <f t="shared" si="29"/>
        <v>0</v>
      </c>
      <c r="AA143" s="178">
        <f t="shared" si="29"/>
        <v>0</v>
      </c>
      <c r="AB143" s="178">
        <f t="shared" si="29"/>
        <v>0</v>
      </c>
      <c r="AC143" s="178">
        <f t="shared" si="29"/>
        <v>0</v>
      </c>
      <c r="AD143" s="178">
        <f t="shared" si="29"/>
        <v>0</v>
      </c>
      <c r="AE143" s="178">
        <f t="shared" si="29"/>
        <v>0</v>
      </c>
      <c r="AF143" s="178">
        <f t="shared" si="29"/>
        <v>0</v>
      </c>
      <c r="AG143" s="178">
        <f t="shared" si="29"/>
        <v>0</v>
      </c>
      <c r="AH143" s="178">
        <f t="shared" si="29"/>
        <v>0</v>
      </c>
      <c r="AI143" s="178">
        <f t="shared" si="29"/>
        <v>0</v>
      </c>
      <c r="AJ143" s="178">
        <f t="shared" si="29"/>
        <v>0</v>
      </c>
      <c r="AK143" s="178">
        <f t="shared" si="29"/>
        <v>0</v>
      </c>
      <c r="AL143" s="178">
        <f t="shared" si="29"/>
        <v>0</v>
      </c>
      <c r="AM143" s="178">
        <f t="shared" si="29"/>
        <v>0</v>
      </c>
      <c r="AN143" s="178">
        <f t="shared" si="29"/>
        <v>0</v>
      </c>
      <c r="AO143" s="178">
        <f t="shared" si="29"/>
        <v>0</v>
      </c>
      <c r="AP143" s="178">
        <f t="shared" si="29"/>
        <v>0</v>
      </c>
      <c r="AQ143" s="178">
        <f t="shared" si="29"/>
        <v>0</v>
      </c>
      <c r="AR143" s="178">
        <f t="shared" si="29"/>
        <v>0</v>
      </c>
      <c r="AS143" s="178">
        <f t="shared" si="29"/>
        <v>0</v>
      </c>
      <c r="AT143" s="178">
        <f t="shared" si="29"/>
        <v>0</v>
      </c>
      <c r="AU143" s="178">
        <f t="shared" si="29"/>
        <v>0</v>
      </c>
      <c r="AV143" s="178">
        <f t="shared" si="29"/>
        <v>0</v>
      </c>
      <c r="AW143" s="178">
        <f t="shared" si="29"/>
        <v>0</v>
      </c>
      <c r="AX143" s="178">
        <f t="shared" si="29"/>
        <v>0</v>
      </c>
      <c r="AY143" s="178">
        <f t="shared" si="29"/>
        <v>0</v>
      </c>
      <c r="AZ143" s="178">
        <f t="shared" si="29"/>
        <v>0</v>
      </c>
      <c r="BA143" s="178">
        <f t="shared" si="29"/>
        <v>0</v>
      </c>
      <c r="BB143" s="178">
        <f t="shared" si="29"/>
        <v>0</v>
      </c>
      <c r="BC143" s="178">
        <f t="shared" si="29"/>
        <v>0</v>
      </c>
      <c r="BD143" s="178">
        <f t="shared" si="29"/>
        <v>0</v>
      </c>
      <c r="BE143" s="178">
        <f t="shared" si="29"/>
        <v>0</v>
      </c>
      <c r="BF143" s="178">
        <f t="shared" si="29"/>
        <v>0</v>
      </c>
      <c r="BG143" s="178">
        <f t="shared" si="29"/>
        <v>0</v>
      </c>
      <c r="BH143" s="178">
        <f t="shared" si="29"/>
        <v>0</v>
      </c>
      <c r="BI143" s="178">
        <f t="shared" si="29"/>
        <v>0</v>
      </c>
      <c r="BJ143" s="178">
        <f t="shared" si="29"/>
        <v>0</v>
      </c>
      <c r="BK143" s="178">
        <f t="shared" si="29"/>
        <v>0</v>
      </c>
      <c r="BL143" s="178">
        <f t="shared" si="29"/>
        <v>0</v>
      </c>
    </row>
    <row r="144" spans="3:64" x14ac:dyDescent="0.15">
      <c r="C144" s="115" t="s">
        <v>431</v>
      </c>
      <c r="E144" s="178">
        <f t="shared" si="29"/>
        <v>0</v>
      </c>
      <c r="F144" s="178">
        <f t="shared" si="29"/>
        <v>0</v>
      </c>
      <c r="G144" s="178">
        <f t="shared" si="29"/>
        <v>0</v>
      </c>
      <c r="H144" s="178">
        <f t="shared" si="29"/>
        <v>0</v>
      </c>
      <c r="I144" s="178">
        <f t="shared" si="29"/>
        <v>0</v>
      </c>
      <c r="J144" s="178">
        <f t="shared" si="29"/>
        <v>0</v>
      </c>
      <c r="K144" s="178">
        <f t="shared" si="29"/>
        <v>0</v>
      </c>
      <c r="L144" s="178">
        <f t="shared" si="29"/>
        <v>0</v>
      </c>
      <c r="M144" s="178">
        <f t="shared" si="29"/>
        <v>0</v>
      </c>
      <c r="N144" s="178">
        <f t="shared" si="29"/>
        <v>0</v>
      </c>
      <c r="O144" s="178">
        <f t="shared" si="29"/>
        <v>0</v>
      </c>
      <c r="P144" s="178">
        <f t="shared" si="29"/>
        <v>0</v>
      </c>
      <c r="Q144" s="178">
        <f t="shared" si="29"/>
        <v>0</v>
      </c>
      <c r="R144" s="178">
        <f t="shared" si="29"/>
        <v>0.3203429909465792</v>
      </c>
      <c r="S144" s="178">
        <f t="shared" si="29"/>
        <v>0.5876740959629041</v>
      </c>
      <c r="T144" s="178">
        <f t="shared" si="29"/>
        <v>0.81660628006088987</v>
      </c>
      <c r="U144" s="178">
        <f t="shared" si="29"/>
        <v>1.0101995817444038</v>
      </c>
      <c r="V144" s="178">
        <f t="shared" si="29"/>
        <v>1.1800858928180546</v>
      </c>
      <c r="W144" s="178">
        <f t="shared" si="29"/>
        <v>1.3274163332758766</v>
      </c>
      <c r="X144" s="178">
        <f t="shared" si="29"/>
        <v>1.4534516013172811</v>
      </c>
      <c r="Y144" s="178">
        <f>IF(Y$5&gt;$D$7,0,Y41*$E126)</f>
        <v>0</v>
      </c>
      <c r="Z144" s="178">
        <f t="shared" si="29"/>
        <v>0</v>
      </c>
      <c r="AA144" s="178">
        <f t="shared" si="29"/>
        <v>0</v>
      </c>
      <c r="AB144" s="178">
        <f t="shared" si="29"/>
        <v>0</v>
      </c>
      <c r="AC144" s="178">
        <f t="shared" si="29"/>
        <v>0</v>
      </c>
      <c r="AD144" s="178">
        <f t="shared" si="29"/>
        <v>0</v>
      </c>
      <c r="AE144" s="178">
        <f t="shared" si="29"/>
        <v>0</v>
      </c>
      <c r="AF144" s="178">
        <f t="shared" si="29"/>
        <v>0</v>
      </c>
      <c r="AG144" s="178">
        <f t="shared" si="29"/>
        <v>0</v>
      </c>
      <c r="AH144" s="178">
        <f t="shared" si="29"/>
        <v>0</v>
      </c>
      <c r="AI144" s="178">
        <f t="shared" si="29"/>
        <v>0</v>
      </c>
      <c r="AJ144" s="178">
        <f t="shared" si="29"/>
        <v>0</v>
      </c>
      <c r="AK144" s="178">
        <f t="shared" si="29"/>
        <v>0</v>
      </c>
      <c r="AL144" s="178">
        <f t="shared" si="29"/>
        <v>0</v>
      </c>
      <c r="AM144" s="178">
        <f t="shared" si="29"/>
        <v>0</v>
      </c>
      <c r="AN144" s="178">
        <f t="shared" si="29"/>
        <v>0</v>
      </c>
      <c r="AO144" s="178">
        <f t="shared" si="29"/>
        <v>0</v>
      </c>
      <c r="AP144" s="178">
        <f t="shared" si="29"/>
        <v>0</v>
      </c>
      <c r="AQ144" s="178">
        <f t="shared" si="29"/>
        <v>0</v>
      </c>
      <c r="AR144" s="178">
        <f t="shared" si="29"/>
        <v>0</v>
      </c>
      <c r="AS144" s="178">
        <f t="shared" si="29"/>
        <v>0</v>
      </c>
      <c r="AT144" s="178">
        <f t="shared" si="29"/>
        <v>0</v>
      </c>
      <c r="AU144" s="178">
        <f t="shared" si="29"/>
        <v>0</v>
      </c>
      <c r="AV144" s="178">
        <f t="shared" si="29"/>
        <v>0</v>
      </c>
      <c r="AW144" s="178">
        <f t="shared" si="29"/>
        <v>0</v>
      </c>
      <c r="AX144" s="178">
        <f t="shared" si="29"/>
        <v>0</v>
      </c>
      <c r="AY144" s="178">
        <f t="shared" si="29"/>
        <v>0</v>
      </c>
      <c r="AZ144" s="178">
        <f t="shared" si="29"/>
        <v>0</v>
      </c>
      <c r="BA144" s="178">
        <f t="shared" si="29"/>
        <v>0</v>
      </c>
      <c r="BB144" s="178">
        <f t="shared" si="29"/>
        <v>0</v>
      </c>
      <c r="BC144" s="178">
        <f t="shared" si="29"/>
        <v>0</v>
      </c>
      <c r="BD144" s="178">
        <f t="shared" si="29"/>
        <v>0</v>
      </c>
      <c r="BE144" s="178">
        <f t="shared" si="29"/>
        <v>0</v>
      </c>
      <c r="BF144" s="178">
        <f t="shared" si="29"/>
        <v>0</v>
      </c>
      <c r="BG144" s="178">
        <f t="shared" si="29"/>
        <v>0</v>
      </c>
      <c r="BH144" s="178">
        <f t="shared" si="29"/>
        <v>0</v>
      </c>
      <c r="BI144" s="178">
        <f t="shared" si="29"/>
        <v>0</v>
      </c>
      <c r="BJ144" s="178">
        <f t="shared" si="29"/>
        <v>0</v>
      </c>
      <c r="BK144" s="178">
        <f t="shared" si="29"/>
        <v>0</v>
      </c>
      <c r="BL144" s="178">
        <f t="shared" si="29"/>
        <v>0</v>
      </c>
    </row>
    <row r="145" spans="2:64" x14ac:dyDescent="0.15">
      <c r="C145" s="115" t="s">
        <v>458</v>
      </c>
      <c r="E145" s="171">
        <f>IF(E$5&gt;$D$7,0,SUM(E130:E144))</f>
        <v>0.56440220176277323</v>
      </c>
      <c r="F145" s="171">
        <f t="shared" ref="F145:BL145" si="30">IF(F$5&gt;$D$7,0,SUM(F130:F144))</f>
        <v>0.78426867137047873</v>
      </c>
      <c r="G145" s="171">
        <f t="shared" si="30"/>
        <v>0.97019567830732545</v>
      </c>
      <c r="H145" s="171">
        <f t="shared" si="30"/>
        <v>1.1333544914624596</v>
      </c>
      <c r="I145" s="171">
        <f t="shared" si="30"/>
        <v>1.2748506464781517</v>
      </c>
      <c r="J145" s="171">
        <f t="shared" si="30"/>
        <v>1.3958949179051168</v>
      </c>
      <c r="K145" s="171">
        <f t="shared" si="30"/>
        <v>1.4976828063061509</v>
      </c>
      <c r="L145" s="171">
        <f t="shared" si="30"/>
        <v>1.5876766832224447</v>
      </c>
      <c r="M145" s="171">
        <f t="shared" si="30"/>
        <v>1.6597286908094693</v>
      </c>
      <c r="N145" s="171">
        <f t="shared" si="30"/>
        <v>1.7152843093316297</v>
      </c>
      <c r="O145" s="171">
        <f t="shared" si="30"/>
        <v>1.7555559764767286</v>
      </c>
      <c r="P145" s="171">
        <f t="shared" si="30"/>
        <v>1.7819251634791098</v>
      </c>
      <c r="Q145" s="171">
        <f t="shared" si="30"/>
        <v>1.7955871183229257</v>
      </c>
      <c r="R145" s="171">
        <f t="shared" si="30"/>
        <v>1.8044642693954689</v>
      </c>
      <c r="S145" s="171">
        <f t="shared" si="30"/>
        <v>1.8118881953407142</v>
      </c>
      <c r="T145" s="171">
        <f t="shared" si="30"/>
        <v>1.8181753115592811</v>
      </c>
      <c r="U145" s="171">
        <f t="shared" si="30"/>
        <v>1.8234106942853741</v>
      </c>
      <c r="V145" s="171">
        <f t="shared" si="30"/>
        <v>1.8278506357663131</v>
      </c>
      <c r="W145" s="171">
        <f t="shared" si="30"/>
        <v>1.8315416780128595</v>
      </c>
      <c r="X145" s="171">
        <f t="shared" si="30"/>
        <v>1.8345325755227762</v>
      </c>
      <c r="Y145" s="171">
        <f t="shared" si="30"/>
        <v>0</v>
      </c>
      <c r="Z145" s="171">
        <f t="shared" si="30"/>
        <v>0</v>
      </c>
      <c r="AA145" s="171">
        <f t="shared" si="30"/>
        <v>0</v>
      </c>
      <c r="AB145" s="171">
        <f t="shared" si="30"/>
        <v>0</v>
      </c>
      <c r="AC145" s="171">
        <f t="shared" si="30"/>
        <v>0</v>
      </c>
      <c r="AD145" s="171">
        <f t="shared" si="30"/>
        <v>0</v>
      </c>
      <c r="AE145" s="171">
        <f t="shared" si="30"/>
        <v>0</v>
      </c>
      <c r="AF145" s="171">
        <f t="shared" si="30"/>
        <v>0</v>
      </c>
      <c r="AG145" s="171">
        <f t="shared" si="30"/>
        <v>0</v>
      </c>
      <c r="AH145" s="171">
        <f t="shared" si="30"/>
        <v>0</v>
      </c>
      <c r="AI145" s="171">
        <f t="shared" si="30"/>
        <v>0</v>
      </c>
      <c r="AJ145" s="171">
        <f t="shared" si="30"/>
        <v>0</v>
      </c>
      <c r="AK145" s="171">
        <f t="shared" si="30"/>
        <v>0</v>
      </c>
      <c r="AL145" s="171">
        <f t="shared" si="30"/>
        <v>0</v>
      </c>
      <c r="AM145" s="171">
        <f t="shared" si="30"/>
        <v>0</v>
      </c>
      <c r="AN145" s="171">
        <f t="shared" si="30"/>
        <v>0</v>
      </c>
      <c r="AO145" s="171">
        <f t="shared" si="30"/>
        <v>0</v>
      </c>
      <c r="AP145" s="171">
        <f t="shared" si="30"/>
        <v>0</v>
      </c>
      <c r="AQ145" s="171">
        <f t="shared" si="30"/>
        <v>0</v>
      </c>
      <c r="AR145" s="171">
        <f t="shared" si="30"/>
        <v>0</v>
      </c>
      <c r="AS145" s="171">
        <f t="shared" si="30"/>
        <v>0</v>
      </c>
      <c r="AT145" s="171">
        <f t="shared" si="30"/>
        <v>0</v>
      </c>
      <c r="AU145" s="171">
        <f t="shared" si="30"/>
        <v>0</v>
      </c>
      <c r="AV145" s="171">
        <f t="shared" si="30"/>
        <v>0</v>
      </c>
      <c r="AW145" s="171">
        <f t="shared" si="30"/>
        <v>0</v>
      </c>
      <c r="AX145" s="171">
        <f t="shared" si="30"/>
        <v>0</v>
      </c>
      <c r="AY145" s="171">
        <f t="shared" si="30"/>
        <v>0</v>
      </c>
      <c r="AZ145" s="171">
        <f t="shared" si="30"/>
        <v>0</v>
      </c>
      <c r="BA145" s="171">
        <f t="shared" si="30"/>
        <v>0</v>
      </c>
      <c r="BB145" s="171">
        <f t="shared" si="30"/>
        <v>0</v>
      </c>
      <c r="BC145" s="171">
        <f t="shared" si="30"/>
        <v>0</v>
      </c>
      <c r="BD145" s="171">
        <f t="shared" si="30"/>
        <v>0</v>
      </c>
      <c r="BE145" s="171">
        <f t="shared" si="30"/>
        <v>0</v>
      </c>
      <c r="BF145" s="171">
        <f t="shared" si="30"/>
        <v>0</v>
      </c>
      <c r="BG145" s="171">
        <f t="shared" si="30"/>
        <v>0</v>
      </c>
      <c r="BH145" s="171">
        <f t="shared" si="30"/>
        <v>0</v>
      </c>
      <c r="BI145" s="171">
        <f t="shared" si="30"/>
        <v>0</v>
      </c>
      <c r="BJ145" s="171">
        <f t="shared" si="30"/>
        <v>0</v>
      </c>
      <c r="BK145" s="171">
        <f t="shared" si="30"/>
        <v>0</v>
      </c>
      <c r="BL145" s="171">
        <f t="shared" si="30"/>
        <v>0</v>
      </c>
    </row>
    <row r="146" spans="2:64" s="186" customFormat="1" x14ac:dyDescent="0.15">
      <c r="C146" s="186" t="s">
        <v>457</v>
      </c>
      <c r="E146" s="311">
        <f t="shared" ref="E146:BL146" si="31">-IF(E5&gt;$D$7,0,E145-D145)</f>
        <v>-0.56440220176277323</v>
      </c>
      <c r="F146" s="311">
        <f t="shared" si="31"/>
        <v>-0.21986646960770551</v>
      </c>
      <c r="G146" s="311">
        <f t="shared" si="31"/>
        <v>-0.18592700693684672</v>
      </c>
      <c r="H146" s="311">
        <f t="shared" si="31"/>
        <v>-0.16315881315513414</v>
      </c>
      <c r="I146" s="311">
        <f t="shared" si="31"/>
        <v>-0.14149615501569213</v>
      </c>
      <c r="J146" s="311">
        <f t="shared" si="31"/>
        <v>-0.12104427142696506</v>
      </c>
      <c r="K146" s="311">
        <f t="shared" si="31"/>
        <v>-0.10178788840103414</v>
      </c>
      <c r="L146" s="311">
        <f t="shared" si="31"/>
        <v>-8.9993876916293791E-2</v>
      </c>
      <c r="M146" s="311">
        <f t="shared" si="31"/>
        <v>-7.2052007587024569E-2</v>
      </c>
      <c r="N146" s="311">
        <f t="shared" si="31"/>
        <v>-5.5555618522160399E-2</v>
      </c>
      <c r="O146" s="311">
        <f t="shared" si="31"/>
        <v>-4.0271667145098888E-2</v>
      </c>
      <c r="P146" s="311">
        <f t="shared" si="31"/>
        <v>-2.6369187002381222E-2</v>
      </c>
      <c r="Q146" s="311">
        <f t="shared" si="31"/>
        <v>-1.3661954843815938E-2</v>
      </c>
      <c r="R146" s="311">
        <f t="shared" si="31"/>
        <v>-8.8771510725431657E-3</v>
      </c>
      <c r="S146" s="311">
        <f t="shared" si="31"/>
        <v>-7.4239259452453243E-3</v>
      </c>
      <c r="T146" s="311">
        <f t="shared" si="31"/>
        <v>-6.2871162185669238E-3</v>
      </c>
      <c r="U146" s="311">
        <f t="shared" si="31"/>
        <v>-5.2353827260929187E-3</v>
      </c>
      <c r="V146" s="311">
        <f t="shared" si="31"/>
        <v>-4.4399414809390692E-3</v>
      </c>
      <c r="W146" s="311">
        <f t="shared" si="31"/>
        <v>-3.6910422465463721E-3</v>
      </c>
      <c r="X146" s="311">
        <f t="shared" si="31"/>
        <v>-2.9908975099166568E-3</v>
      </c>
      <c r="Y146" s="311">
        <f t="shared" si="31"/>
        <v>0</v>
      </c>
      <c r="Z146" s="311">
        <f t="shared" si="31"/>
        <v>0</v>
      </c>
      <c r="AA146" s="311">
        <f t="shared" si="31"/>
        <v>0</v>
      </c>
      <c r="AB146" s="311">
        <f t="shared" si="31"/>
        <v>0</v>
      </c>
      <c r="AC146" s="311">
        <f t="shared" si="31"/>
        <v>0</v>
      </c>
      <c r="AD146" s="311">
        <f t="shared" si="31"/>
        <v>0</v>
      </c>
      <c r="AE146" s="311">
        <f t="shared" si="31"/>
        <v>0</v>
      </c>
      <c r="AF146" s="311">
        <f t="shared" si="31"/>
        <v>0</v>
      </c>
      <c r="AG146" s="311">
        <f t="shared" si="31"/>
        <v>0</v>
      </c>
      <c r="AH146" s="311">
        <f t="shared" si="31"/>
        <v>0</v>
      </c>
      <c r="AI146" s="311">
        <f t="shared" si="31"/>
        <v>0</v>
      </c>
      <c r="AJ146" s="311">
        <f t="shared" si="31"/>
        <v>0</v>
      </c>
      <c r="AK146" s="311">
        <f t="shared" si="31"/>
        <v>0</v>
      </c>
      <c r="AL146" s="311">
        <f t="shared" si="31"/>
        <v>0</v>
      </c>
      <c r="AM146" s="311">
        <f t="shared" si="31"/>
        <v>0</v>
      </c>
      <c r="AN146" s="311">
        <f t="shared" si="31"/>
        <v>0</v>
      </c>
      <c r="AO146" s="311">
        <f t="shared" si="31"/>
        <v>0</v>
      </c>
      <c r="AP146" s="311">
        <f t="shared" si="31"/>
        <v>0</v>
      </c>
      <c r="AQ146" s="311">
        <f t="shared" si="31"/>
        <v>0</v>
      </c>
      <c r="AR146" s="311">
        <f t="shared" si="31"/>
        <v>0</v>
      </c>
      <c r="AS146" s="311">
        <f t="shared" si="31"/>
        <v>0</v>
      </c>
      <c r="AT146" s="311">
        <f t="shared" si="31"/>
        <v>0</v>
      </c>
      <c r="AU146" s="311">
        <f t="shared" si="31"/>
        <v>0</v>
      </c>
      <c r="AV146" s="311">
        <f t="shared" si="31"/>
        <v>0</v>
      </c>
      <c r="AW146" s="311">
        <f t="shared" si="31"/>
        <v>0</v>
      </c>
      <c r="AX146" s="311">
        <f t="shared" si="31"/>
        <v>0</v>
      </c>
      <c r="AY146" s="311">
        <f t="shared" si="31"/>
        <v>0</v>
      </c>
      <c r="AZ146" s="311">
        <f t="shared" si="31"/>
        <v>0</v>
      </c>
      <c r="BA146" s="311">
        <f t="shared" si="31"/>
        <v>0</v>
      </c>
      <c r="BB146" s="311">
        <f t="shared" si="31"/>
        <v>0</v>
      </c>
      <c r="BC146" s="311">
        <f t="shared" si="31"/>
        <v>0</v>
      </c>
      <c r="BD146" s="311">
        <f t="shared" si="31"/>
        <v>0</v>
      </c>
      <c r="BE146" s="311">
        <f t="shared" si="31"/>
        <v>0</v>
      </c>
      <c r="BF146" s="311">
        <f t="shared" si="31"/>
        <v>0</v>
      </c>
      <c r="BG146" s="311">
        <f t="shared" si="31"/>
        <v>0</v>
      </c>
      <c r="BH146" s="311">
        <f t="shared" si="31"/>
        <v>0</v>
      </c>
      <c r="BI146" s="311">
        <f t="shared" si="31"/>
        <v>0</v>
      </c>
      <c r="BJ146" s="311">
        <f t="shared" si="31"/>
        <v>0</v>
      </c>
      <c r="BK146" s="311">
        <f t="shared" si="31"/>
        <v>0</v>
      </c>
      <c r="BL146" s="311">
        <f t="shared" si="31"/>
        <v>0</v>
      </c>
    </row>
    <row r="148" spans="2:64" x14ac:dyDescent="0.15">
      <c r="B148" s="186" t="s">
        <v>459</v>
      </c>
      <c r="Y148" s="115" t="s">
        <v>460</v>
      </c>
    </row>
    <row r="149" spans="2:64" s="186" customFormat="1" x14ac:dyDescent="0.15">
      <c r="C149" s="186" t="s">
        <v>457</v>
      </c>
    </row>
    <row r="150" spans="2:64" s="186" customFormat="1" x14ac:dyDescent="0.15">
      <c r="C150" s="115" t="s">
        <v>412</v>
      </c>
      <c r="E150" s="178">
        <f t="shared" ref="E150:BL154" si="32">IF(E$5&gt;$D$7,0,E27*$F112)</f>
        <v>9.0060956974252968E-2</v>
      </c>
      <c r="F150" s="178">
        <f t="shared" si="32"/>
        <v>7.7124775962046754E-2</v>
      </c>
      <c r="G150" s="178">
        <f t="shared" si="32"/>
        <v>6.5219488814658569E-2</v>
      </c>
      <c r="H150" s="178">
        <f t="shared" si="32"/>
        <v>5.723286016860734E-2</v>
      </c>
      <c r="I150" s="178">
        <f t="shared" si="32"/>
        <v>4.9634031394361552E-2</v>
      </c>
      <c r="J150" s="178">
        <f t="shared" si="32"/>
        <v>4.245991820376542E-2</v>
      </c>
      <c r="K150" s="178">
        <f t="shared" si="32"/>
        <v>3.570516278624257E-2</v>
      </c>
      <c r="L150" s="178">
        <f t="shared" si="32"/>
        <v>2.936560782120571E-2</v>
      </c>
      <c r="M150" s="178">
        <f t="shared" si="32"/>
        <v>2.3436429670019153E-2</v>
      </c>
      <c r="N150" s="178">
        <f t="shared" si="32"/>
        <v>1.7913828826034681E-2</v>
      </c>
      <c r="O150" s="178">
        <f t="shared" si="32"/>
        <v>1.2795488310744431E-2</v>
      </c>
      <c r="P150" s="178">
        <f t="shared" si="32"/>
        <v>8.081767751540939E-3</v>
      </c>
      <c r="Q150" s="178">
        <f t="shared" si="32"/>
        <v>3.7794020827579804E-3</v>
      </c>
      <c r="R150" s="178">
        <f t="shared" si="32"/>
        <v>0</v>
      </c>
      <c r="S150" s="178">
        <f t="shared" si="32"/>
        <v>0</v>
      </c>
      <c r="T150" s="178">
        <f t="shared" si="32"/>
        <v>0</v>
      </c>
      <c r="U150" s="178">
        <f t="shared" si="32"/>
        <v>0</v>
      </c>
      <c r="V150" s="178">
        <f t="shared" si="32"/>
        <v>0</v>
      </c>
      <c r="W150" s="178">
        <f t="shared" si="32"/>
        <v>0</v>
      </c>
      <c r="X150" s="178">
        <f t="shared" si="32"/>
        <v>0</v>
      </c>
      <c r="Y150" s="178">
        <f t="shared" si="32"/>
        <v>0</v>
      </c>
      <c r="Z150" s="178">
        <f t="shared" si="32"/>
        <v>0</v>
      </c>
      <c r="AA150" s="178">
        <f t="shared" si="32"/>
        <v>0</v>
      </c>
      <c r="AB150" s="178">
        <f t="shared" si="32"/>
        <v>0</v>
      </c>
      <c r="AC150" s="178">
        <f t="shared" si="32"/>
        <v>0</v>
      </c>
      <c r="AD150" s="178">
        <f t="shared" si="32"/>
        <v>0</v>
      </c>
      <c r="AE150" s="178">
        <f t="shared" si="32"/>
        <v>0</v>
      </c>
      <c r="AF150" s="178">
        <f t="shared" si="32"/>
        <v>0</v>
      </c>
      <c r="AG150" s="178">
        <f t="shared" si="32"/>
        <v>0</v>
      </c>
      <c r="AH150" s="178">
        <f t="shared" si="32"/>
        <v>0</v>
      </c>
      <c r="AI150" s="178">
        <f t="shared" si="32"/>
        <v>0</v>
      </c>
      <c r="AJ150" s="178">
        <f t="shared" si="32"/>
        <v>0</v>
      </c>
      <c r="AK150" s="178">
        <f t="shared" si="32"/>
        <v>0</v>
      </c>
      <c r="AL150" s="178">
        <f t="shared" si="32"/>
        <v>0</v>
      </c>
      <c r="AM150" s="178">
        <f t="shared" si="32"/>
        <v>0</v>
      </c>
      <c r="AN150" s="178">
        <f t="shared" si="32"/>
        <v>0</v>
      </c>
      <c r="AO150" s="178">
        <f t="shared" si="32"/>
        <v>0</v>
      </c>
      <c r="AP150" s="178">
        <f t="shared" si="32"/>
        <v>0</v>
      </c>
      <c r="AQ150" s="178">
        <f t="shared" si="32"/>
        <v>0</v>
      </c>
      <c r="AR150" s="178">
        <f t="shared" si="32"/>
        <v>0</v>
      </c>
      <c r="AS150" s="178">
        <f t="shared" si="32"/>
        <v>0</v>
      </c>
      <c r="AT150" s="178">
        <f t="shared" si="32"/>
        <v>0</v>
      </c>
      <c r="AU150" s="178">
        <f t="shared" si="32"/>
        <v>0</v>
      </c>
      <c r="AV150" s="178">
        <f t="shared" si="32"/>
        <v>0</v>
      </c>
      <c r="AW150" s="178">
        <f t="shared" si="32"/>
        <v>0</v>
      </c>
      <c r="AX150" s="178">
        <f t="shared" si="32"/>
        <v>0</v>
      </c>
      <c r="AY150" s="178">
        <f t="shared" si="32"/>
        <v>0</v>
      </c>
      <c r="AZ150" s="178">
        <f t="shared" si="32"/>
        <v>0</v>
      </c>
      <c r="BA150" s="178">
        <f t="shared" si="32"/>
        <v>0</v>
      </c>
      <c r="BB150" s="178">
        <f t="shared" si="32"/>
        <v>0</v>
      </c>
      <c r="BC150" s="178">
        <f t="shared" si="32"/>
        <v>0</v>
      </c>
      <c r="BD150" s="178">
        <f t="shared" si="32"/>
        <v>0</v>
      </c>
      <c r="BE150" s="178">
        <f t="shared" si="32"/>
        <v>0</v>
      </c>
      <c r="BF150" s="178">
        <f t="shared" si="32"/>
        <v>0</v>
      </c>
      <c r="BG150" s="178">
        <f t="shared" si="32"/>
        <v>0</v>
      </c>
      <c r="BH150" s="178">
        <f t="shared" si="32"/>
        <v>0</v>
      </c>
      <c r="BI150" s="178">
        <f t="shared" si="32"/>
        <v>0</v>
      </c>
      <c r="BJ150" s="178">
        <f t="shared" si="32"/>
        <v>0</v>
      </c>
      <c r="BK150" s="178">
        <f t="shared" si="32"/>
        <v>0</v>
      </c>
      <c r="BL150" s="178">
        <f t="shared" si="32"/>
        <v>0</v>
      </c>
    </row>
    <row r="151" spans="2:64" s="186" customFormat="1" x14ac:dyDescent="0.15">
      <c r="C151" s="115" t="s">
        <v>414</v>
      </c>
      <c r="E151" s="178">
        <f t="shared" si="32"/>
        <v>2.7982233047460083E-2</v>
      </c>
      <c r="F151" s="178">
        <f t="shared" si="32"/>
        <v>2.3351599669147405E-2</v>
      </c>
      <c r="G151" s="178">
        <f t="shared" si="32"/>
        <v>1.9997421228305102E-2</v>
      </c>
      <c r="H151" s="178">
        <f t="shared" si="32"/>
        <v>1.6910539756553333E-2</v>
      </c>
      <c r="I151" s="178">
        <f t="shared" si="32"/>
        <v>1.4839713939078946E-2</v>
      </c>
      <c r="J151" s="178">
        <f t="shared" si="32"/>
        <v>1.2869439433320425E-2</v>
      </c>
      <c r="K151" s="178">
        <f t="shared" si="32"/>
        <v>1.1009287988828843E-2</v>
      </c>
      <c r="L151" s="178">
        <f t="shared" si="32"/>
        <v>9.2578703970960345E-3</v>
      </c>
      <c r="M151" s="178">
        <f t="shared" si="32"/>
        <v>7.6141087205859968E-3</v>
      </c>
      <c r="N151" s="178">
        <f t="shared" si="32"/>
        <v>6.0767522544189056E-3</v>
      </c>
      <c r="O151" s="178">
        <f t="shared" si="32"/>
        <v>4.6448158374198158E-3</v>
      </c>
      <c r="P151" s="178">
        <f t="shared" si="32"/>
        <v>3.3176987081003375E-3</v>
      </c>
      <c r="Q151" s="178">
        <f t="shared" si="32"/>
        <v>2.0954941130257184E-3</v>
      </c>
      <c r="R151" s="178">
        <f t="shared" si="32"/>
        <v>9.7994833044620037E-4</v>
      </c>
      <c r="S151" s="178">
        <f t="shared" si="32"/>
        <v>0</v>
      </c>
      <c r="T151" s="178">
        <f t="shared" si="32"/>
        <v>0</v>
      </c>
      <c r="U151" s="178">
        <f t="shared" si="32"/>
        <v>0</v>
      </c>
      <c r="V151" s="178">
        <f t="shared" si="32"/>
        <v>0</v>
      </c>
      <c r="W151" s="178">
        <f t="shared" si="32"/>
        <v>0</v>
      </c>
      <c r="X151" s="178">
        <f t="shared" si="32"/>
        <v>0</v>
      </c>
      <c r="Y151" s="178">
        <f t="shared" si="32"/>
        <v>0</v>
      </c>
      <c r="Z151" s="178">
        <f t="shared" si="32"/>
        <v>0</v>
      </c>
      <c r="AA151" s="178">
        <f t="shared" si="32"/>
        <v>0</v>
      </c>
      <c r="AB151" s="178">
        <f t="shared" si="32"/>
        <v>0</v>
      </c>
      <c r="AC151" s="178">
        <f t="shared" si="32"/>
        <v>0</v>
      </c>
      <c r="AD151" s="178">
        <f t="shared" si="32"/>
        <v>0</v>
      </c>
      <c r="AE151" s="178">
        <f t="shared" si="32"/>
        <v>0</v>
      </c>
      <c r="AF151" s="178">
        <f t="shared" si="32"/>
        <v>0</v>
      </c>
      <c r="AG151" s="178">
        <f t="shared" si="32"/>
        <v>0</v>
      </c>
      <c r="AH151" s="178">
        <f t="shared" si="32"/>
        <v>0</v>
      </c>
      <c r="AI151" s="178">
        <f t="shared" si="32"/>
        <v>0</v>
      </c>
      <c r="AJ151" s="178">
        <f t="shared" si="32"/>
        <v>0</v>
      </c>
      <c r="AK151" s="178">
        <f t="shared" si="32"/>
        <v>0</v>
      </c>
      <c r="AL151" s="178">
        <f t="shared" si="32"/>
        <v>0</v>
      </c>
      <c r="AM151" s="178">
        <f t="shared" si="32"/>
        <v>0</v>
      </c>
      <c r="AN151" s="178">
        <f t="shared" si="32"/>
        <v>0</v>
      </c>
      <c r="AO151" s="178">
        <f t="shared" si="32"/>
        <v>0</v>
      </c>
      <c r="AP151" s="178">
        <f t="shared" si="32"/>
        <v>0</v>
      </c>
      <c r="AQ151" s="178">
        <f t="shared" si="32"/>
        <v>0</v>
      </c>
      <c r="AR151" s="178">
        <f t="shared" si="32"/>
        <v>0</v>
      </c>
      <c r="AS151" s="178">
        <f t="shared" si="32"/>
        <v>0</v>
      </c>
      <c r="AT151" s="178">
        <f t="shared" si="32"/>
        <v>0</v>
      </c>
      <c r="AU151" s="178">
        <f t="shared" si="32"/>
        <v>0</v>
      </c>
      <c r="AV151" s="178">
        <f t="shared" si="32"/>
        <v>0</v>
      </c>
      <c r="AW151" s="178">
        <f t="shared" si="32"/>
        <v>0</v>
      </c>
      <c r="AX151" s="178">
        <f t="shared" si="32"/>
        <v>0</v>
      </c>
      <c r="AY151" s="178">
        <f t="shared" si="32"/>
        <v>0</v>
      </c>
      <c r="AZ151" s="178">
        <f t="shared" si="32"/>
        <v>0</v>
      </c>
      <c r="BA151" s="178">
        <f t="shared" si="32"/>
        <v>0</v>
      </c>
      <c r="BB151" s="178">
        <f t="shared" si="32"/>
        <v>0</v>
      </c>
      <c r="BC151" s="178">
        <f t="shared" si="32"/>
        <v>0</v>
      </c>
      <c r="BD151" s="178">
        <f t="shared" si="32"/>
        <v>0</v>
      </c>
      <c r="BE151" s="178">
        <f t="shared" si="32"/>
        <v>0</v>
      </c>
      <c r="BF151" s="178">
        <f t="shared" si="32"/>
        <v>0</v>
      </c>
      <c r="BG151" s="178">
        <f t="shared" si="32"/>
        <v>0</v>
      </c>
      <c r="BH151" s="178">
        <f t="shared" si="32"/>
        <v>0</v>
      </c>
      <c r="BI151" s="178">
        <f t="shared" si="32"/>
        <v>0</v>
      </c>
      <c r="BJ151" s="178">
        <f t="shared" si="32"/>
        <v>0</v>
      </c>
      <c r="BK151" s="178">
        <f t="shared" si="32"/>
        <v>0</v>
      </c>
      <c r="BL151" s="178">
        <f t="shared" si="32"/>
        <v>0</v>
      </c>
    </row>
    <row r="152" spans="2:64" s="186" customFormat="1" x14ac:dyDescent="0.15">
      <c r="C152" s="115" t="s">
        <v>415</v>
      </c>
      <c r="E152" s="178">
        <f t="shared" si="32"/>
        <v>0</v>
      </c>
      <c r="F152" s="178">
        <f t="shared" si="32"/>
        <v>1.9460598271798552E-2</v>
      </c>
      <c r="G152" s="178">
        <f t="shared" si="32"/>
        <v>1.6240165657772272E-2</v>
      </c>
      <c r="H152" s="178">
        <f t="shared" si="32"/>
        <v>1.390745979193057E-2</v>
      </c>
      <c r="I152" s="178">
        <f t="shared" si="32"/>
        <v>1.176064898764159E-2</v>
      </c>
      <c r="J152" s="178">
        <f t="shared" si="32"/>
        <v>1.0320466952977427E-2</v>
      </c>
      <c r="K152" s="178">
        <f t="shared" si="32"/>
        <v>8.9502146011833164E-3</v>
      </c>
      <c r="L152" s="178">
        <f t="shared" si="32"/>
        <v>7.6565487266779132E-3</v>
      </c>
      <c r="M152" s="178">
        <f t="shared" si="32"/>
        <v>6.4385031868146531E-3</v>
      </c>
      <c r="N152" s="178">
        <f t="shared" si="32"/>
        <v>5.2953283162857443E-3</v>
      </c>
      <c r="O152" s="178">
        <f t="shared" si="32"/>
        <v>4.2261542965466295E-3</v>
      </c>
      <c r="P152" s="178">
        <f t="shared" si="32"/>
        <v>3.230295984784505E-3</v>
      </c>
      <c r="Q152" s="178">
        <f t="shared" si="32"/>
        <v>2.3073355738156918E-3</v>
      </c>
      <c r="R152" s="178">
        <f t="shared" si="32"/>
        <v>1.4573379131446354E-3</v>
      </c>
      <c r="S152" s="178">
        <f t="shared" si="32"/>
        <v>6.8151747409108928E-4</v>
      </c>
      <c r="T152" s="178">
        <f t="shared" si="32"/>
        <v>0</v>
      </c>
      <c r="U152" s="178">
        <f t="shared" si="32"/>
        <v>0</v>
      </c>
      <c r="V152" s="178">
        <f t="shared" si="32"/>
        <v>0</v>
      </c>
      <c r="W152" s="178">
        <f t="shared" si="32"/>
        <v>0</v>
      </c>
      <c r="X152" s="178">
        <f t="shared" si="32"/>
        <v>0</v>
      </c>
      <c r="Y152" s="178">
        <f t="shared" si="32"/>
        <v>0</v>
      </c>
      <c r="Z152" s="178">
        <f t="shared" si="32"/>
        <v>0</v>
      </c>
      <c r="AA152" s="178">
        <f t="shared" si="32"/>
        <v>0</v>
      </c>
      <c r="AB152" s="178">
        <f t="shared" si="32"/>
        <v>0</v>
      </c>
      <c r="AC152" s="178">
        <f t="shared" si="32"/>
        <v>0</v>
      </c>
      <c r="AD152" s="178">
        <f t="shared" si="32"/>
        <v>0</v>
      </c>
      <c r="AE152" s="178">
        <f t="shared" si="32"/>
        <v>0</v>
      </c>
      <c r="AF152" s="178">
        <f t="shared" si="32"/>
        <v>0</v>
      </c>
      <c r="AG152" s="178">
        <f t="shared" si="32"/>
        <v>0</v>
      </c>
      <c r="AH152" s="178">
        <f t="shared" si="32"/>
        <v>0</v>
      </c>
      <c r="AI152" s="178">
        <f t="shared" si="32"/>
        <v>0</v>
      </c>
      <c r="AJ152" s="178">
        <f t="shared" si="32"/>
        <v>0</v>
      </c>
      <c r="AK152" s="178">
        <f t="shared" si="32"/>
        <v>0</v>
      </c>
      <c r="AL152" s="178">
        <f t="shared" si="32"/>
        <v>0</v>
      </c>
      <c r="AM152" s="178">
        <f t="shared" si="32"/>
        <v>0</v>
      </c>
      <c r="AN152" s="178">
        <f t="shared" si="32"/>
        <v>0</v>
      </c>
      <c r="AO152" s="178">
        <f t="shared" si="32"/>
        <v>0</v>
      </c>
      <c r="AP152" s="178">
        <f t="shared" si="32"/>
        <v>0</v>
      </c>
      <c r="AQ152" s="178">
        <f t="shared" si="32"/>
        <v>0</v>
      </c>
      <c r="AR152" s="178">
        <f t="shared" si="32"/>
        <v>0</v>
      </c>
      <c r="AS152" s="178">
        <f t="shared" si="32"/>
        <v>0</v>
      </c>
      <c r="AT152" s="178">
        <f t="shared" si="32"/>
        <v>0</v>
      </c>
      <c r="AU152" s="178">
        <f t="shared" si="32"/>
        <v>0</v>
      </c>
      <c r="AV152" s="178">
        <f t="shared" si="32"/>
        <v>0</v>
      </c>
      <c r="AW152" s="178">
        <f t="shared" si="32"/>
        <v>0</v>
      </c>
      <c r="AX152" s="178">
        <f t="shared" si="32"/>
        <v>0</v>
      </c>
      <c r="AY152" s="178">
        <f t="shared" si="32"/>
        <v>0</v>
      </c>
      <c r="AZ152" s="178">
        <f t="shared" si="32"/>
        <v>0</v>
      </c>
      <c r="BA152" s="178">
        <f t="shared" si="32"/>
        <v>0</v>
      </c>
      <c r="BB152" s="178">
        <f t="shared" si="32"/>
        <v>0</v>
      </c>
      <c r="BC152" s="178">
        <f t="shared" si="32"/>
        <v>0</v>
      </c>
      <c r="BD152" s="178">
        <f t="shared" si="32"/>
        <v>0</v>
      </c>
      <c r="BE152" s="178">
        <f t="shared" si="32"/>
        <v>0</v>
      </c>
      <c r="BF152" s="178">
        <f t="shared" si="32"/>
        <v>0</v>
      </c>
      <c r="BG152" s="178">
        <f t="shared" si="32"/>
        <v>0</v>
      </c>
      <c r="BH152" s="178">
        <f t="shared" si="32"/>
        <v>0</v>
      </c>
      <c r="BI152" s="178">
        <f t="shared" si="32"/>
        <v>0</v>
      </c>
      <c r="BJ152" s="178">
        <f t="shared" si="32"/>
        <v>0</v>
      </c>
      <c r="BK152" s="178">
        <f t="shared" si="32"/>
        <v>0</v>
      </c>
      <c r="BL152" s="178">
        <f t="shared" si="32"/>
        <v>0</v>
      </c>
    </row>
    <row r="153" spans="2:64" s="186" customFormat="1" x14ac:dyDescent="0.15">
      <c r="C153" s="115" t="s">
        <v>416</v>
      </c>
      <c r="E153" s="178">
        <f t="shared" si="32"/>
        <v>0</v>
      </c>
      <c r="F153" s="178">
        <f t="shared" si="32"/>
        <v>0</v>
      </c>
      <c r="G153" s="178">
        <f t="shared" si="32"/>
        <v>1.9271296932744729E-2</v>
      </c>
      <c r="H153" s="178">
        <f t="shared" si="32"/>
        <v>1.6082190807126119E-2</v>
      </c>
      <c r="I153" s="178">
        <f t="shared" si="32"/>
        <v>1.3772176142133183E-2</v>
      </c>
      <c r="J153" s="178">
        <f t="shared" si="32"/>
        <v>1.1646248260058164E-2</v>
      </c>
      <c r="K153" s="178">
        <f t="shared" si="32"/>
        <v>1.0220075475461006E-2</v>
      </c>
      <c r="L153" s="178">
        <f t="shared" si="32"/>
        <v>8.8631521386033068E-3</v>
      </c>
      <c r="M153" s="178">
        <f t="shared" si="32"/>
        <v>7.5820702904937911E-3</v>
      </c>
      <c r="N153" s="178">
        <f t="shared" si="32"/>
        <v>6.3758731865575409E-3</v>
      </c>
      <c r="O153" s="178">
        <f t="shared" si="32"/>
        <v>5.2438184537932243E-3</v>
      </c>
      <c r="P153" s="178">
        <f t="shared" si="32"/>
        <v>4.1850447347432955E-3</v>
      </c>
      <c r="Q153" s="178">
        <f t="shared" si="32"/>
        <v>3.1988735512642548E-3</v>
      </c>
      <c r="R153" s="178">
        <f t="shared" si="32"/>
        <v>2.2848911603567902E-3</v>
      </c>
      <c r="S153" s="178">
        <f t="shared" si="32"/>
        <v>1.4431617807072288E-3</v>
      </c>
      <c r="T153" s="178">
        <f t="shared" si="32"/>
        <v>6.7488806996732296E-4</v>
      </c>
      <c r="U153" s="178">
        <f t="shared" si="32"/>
        <v>0</v>
      </c>
      <c r="V153" s="178">
        <f t="shared" si="32"/>
        <v>0</v>
      </c>
      <c r="W153" s="178">
        <f t="shared" si="32"/>
        <v>0</v>
      </c>
      <c r="X153" s="178">
        <f t="shared" si="32"/>
        <v>0</v>
      </c>
      <c r="Y153" s="178">
        <f t="shared" si="32"/>
        <v>0</v>
      </c>
      <c r="Z153" s="178">
        <f t="shared" si="32"/>
        <v>0</v>
      </c>
      <c r="AA153" s="178">
        <f t="shared" si="32"/>
        <v>0</v>
      </c>
      <c r="AB153" s="178">
        <f t="shared" si="32"/>
        <v>0</v>
      </c>
      <c r="AC153" s="178">
        <f t="shared" si="32"/>
        <v>0</v>
      </c>
      <c r="AD153" s="178">
        <f t="shared" si="32"/>
        <v>0</v>
      </c>
      <c r="AE153" s="178">
        <f t="shared" si="32"/>
        <v>0</v>
      </c>
      <c r="AF153" s="178">
        <f t="shared" si="32"/>
        <v>0</v>
      </c>
      <c r="AG153" s="178">
        <f t="shared" si="32"/>
        <v>0</v>
      </c>
      <c r="AH153" s="178">
        <f t="shared" si="32"/>
        <v>0</v>
      </c>
      <c r="AI153" s="178">
        <f t="shared" si="32"/>
        <v>0</v>
      </c>
      <c r="AJ153" s="178">
        <f t="shared" si="32"/>
        <v>0</v>
      </c>
      <c r="AK153" s="178">
        <f t="shared" si="32"/>
        <v>0</v>
      </c>
      <c r="AL153" s="178">
        <f t="shared" si="32"/>
        <v>0</v>
      </c>
      <c r="AM153" s="178">
        <f t="shared" si="32"/>
        <v>0</v>
      </c>
      <c r="AN153" s="178">
        <f t="shared" si="32"/>
        <v>0</v>
      </c>
      <c r="AO153" s="178">
        <f t="shared" si="32"/>
        <v>0</v>
      </c>
      <c r="AP153" s="178">
        <f t="shared" si="32"/>
        <v>0</v>
      </c>
      <c r="AQ153" s="178">
        <f t="shared" si="32"/>
        <v>0</v>
      </c>
      <c r="AR153" s="178">
        <f t="shared" si="32"/>
        <v>0</v>
      </c>
      <c r="AS153" s="178">
        <f t="shared" si="32"/>
        <v>0</v>
      </c>
      <c r="AT153" s="178">
        <f t="shared" si="32"/>
        <v>0</v>
      </c>
      <c r="AU153" s="178">
        <f t="shared" si="32"/>
        <v>0</v>
      </c>
      <c r="AV153" s="178">
        <f t="shared" si="32"/>
        <v>0</v>
      </c>
      <c r="AW153" s="178">
        <f t="shared" si="32"/>
        <v>0</v>
      </c>
      <c r="AX153" s="178">
        <f t="shared" si="32"/>
        <v>0</v>
      </c>
      <c r="AY153" s="178">
        <f t="shared" si="32"/>
        <v>0</v>
      </c>
      <c r="AZ153" s="178">
        <f t="shared" si="32"/>
        <v>0</v>
      </c>
      <c r="BA153" s="178">
        <f t="shared" si="32"/>
        <v>0</v>
      </c>
      <c r="BB153" s="178">
        <f t="shared" si="32"/>
        <v>0</v>
      </c>
      <c r="BC153" s="178">
        <f t="shared" si="32"/>
        <v>0</v>
      </c>
      <c r="BD153" s="178">
        <f t="shared" si="32"/>
        <v>0</v>
      </c>
      <c r="BE153" s="178">
        <f t="shared" si="32"/>
        <v>0</v>
      </c>
      <c r="BF153" s="178">
        <f t="shared" si="32"/>
        <v>0</v>
      </c>
      <c r="BG153" s="178">
        <f t="shared" si="32"/>
        <v>0</v>
      </c>
      <c r="BH153" s="178">
        <f t="shared" si="32"/>
        <v>0</v>
      </c>
      <c r="BI153" s="178">
        <f t="shared" si="32"/>
        <v>0</v>
      </c>
      <c r="BJ153" s="178">
        <f t="shared" si="32"/>
        <v>0</v>
      </c>
      <c r="BK153" s="178">
        <f t="shared" si="32"/>
        <v>0</v>
      </c>
      <c r="BL153" s="178">
        <f t="shared" si="32"/>
        <v>0</v>
      </c>
    </row>
    <row r="154" spans="2:64" s="186" customFormat="1" x14ac:dyDescent="0.15">
      <c r="C154" s="115" t="s">
        <v>418</v>
      </c>
      <c r="E154" s="178">
        <f t="shared" si="32"/>
        <v>0</v>
      </c>
      <c r="F154" s="178">
        <f t="shared" si="32"/>
        <v>0</v>
      </c>
      <c r="G154" s="178">
        <f t="shared" si="32"/>
        <v>0</v>
      </c>
      <c r="H154" s="178">
        <f t="shared" si="32"/>
        <v>6.851285366049803E-2</v>
      </c>
      <c r="I154" s="178">
        <f t="shared" si="32"/>
        <v>5.7175019883413142E-2</v>
      </c>
      <c r="J154" s="178">
        <f t="shared" si="32"/>
        <v>4.8962511028996132E-2</v>
      </c>
      <c r="K154" s="178">
        <f t="shared" si="32"/>
        <v>4.1404463099700202E-2</v>
      </c>
      <c r="L154" s="178">
        <f t="shared" si="32"/>
        <v>3.6334167746632159E-2</v>
      </c>
      <c r="M154" s="178">
        <f t="shared" si="32"/>
        <v>3.1510066372910796E-2</v>
      </c>
      <c r="N154" s="178">
        <f t="shared" si="32"/>
        <v>2.6955594844971606E-2</v>
      </c>
      <c r="O154" s="178">
        <f t="shared" si="32"/>
        <v>2.2667351767398373E-2</v>
      </c>
      <c r="P154" s="178">
        <f t="shared" si="32"/>
        <v>1.8642697873463007E-2</v>
      </c>
      <c r="Q154" s="178">
        <f t="shared" si="32"/>
        <v>1.4878570885746173E-2</v>
      </c>
      <c r="R154" s="178">
        <f t="shared" si="32"/>
        <v>1.1372558694989241E-2</v>
      </c>
      <c r="S154" s="178">
        <f t="shared" si="32"/>
        <v>8.1231903719826276E-3</v>
      </c>
      <c r="T154" s="178">
        <f t="shared" ref="T154:BL162" si="33">IF(T$5&gt;$D$7,0,T31*$F116)</f>
        <v>5.1306942254630995E-3</v>
      </c>
      <c r="U154" s="178">
        <f t="shared" si="33"/>
        <v>2.3993459151325325E-3</v>
      </c>
      <c r="V154" s="178">
        <f t="shared" si="33"/>
        <v>0</v>
      </c>
      <c r="W154" s="178">
        <f t="shared" si="33"/>
        <v>0</v>
      </c>
      <c r="X154" s="178">
        <f t="shared" si="33"/>
        <v>0</v>
      </c>
      <c r="Y154" s="178">
        <f t="shared" si="33"/>
        <v>0</v>
      </c>
      <c r="Z154" s="178">
        <f t="shared" si="33"/>
        <v>0</v>
      </c>
      <c r="AA154" s="178">
        <f t="shared" si="33"/>
        <v>0</v>
      </c>
      <c r="AB154" s="178">
        <f t="shared" si="33"/>
        <v>0</v>
      </c>
      <c r="AC154" s="178">
        <f t="shared" si="33"/>
        <v>0</v>
      </c>
      <c r="AD154" s="178">
        <f t="shared" si="33"/>
        <v>0</v>
      </c>
      <c r="AE154" s="178">
        <f t="shared" si="33"/>
        <v>0</v>
      </c>
      <c r="AF154" s="178">
        <f t="shared" si="33"/>
        <v>0</v>
      </c>
      <c r="AG154" s="178">
        <f t="shared" si="33"/>
        <v>0</v>
      </c>
      <c r="AH154" s="178">
        <f t="shared" si="33"/>
        <v>0</v>
      </c>
      <c r="AI154" s="178">
        <f t="shared" si="33"/>
        <v>0</v>
      </c>
      <c r="AJ154" s="178">
        <f t="shared" si="33"/>
        <v>0</v>
      </c>
      <c r="AK154" s="178">
        <f t="shared" si="33"/>
        <v>0</v>
      </c>
      <c r="AL154" s="178">
        <f t="shared" si="33"/>
        <v>0</v>
      </c>
      <c r="AM154" s="178">
        <f t="shared" si="33"/>
        <v>0</v>
      </c>
      <c r="AN154" s="178">
        <f t="shared" si="33"/>
        <v>0</v>
      </c>
      <c r="AO154" s="178">
        <f t="shared" si="33"/>
        <v>0</v>
      </c>
      <c r="AP154" s="178">
        <f t="shared" si="33"/>
        <v>0</v>
      </c>
      <c r="AQ154" s="178">
        <f t="shared" si="33"/>
        <v>0</v>
      </c>
      <c r="AR154" s="178">
        <f t="shared" si="33"/>
        <v>0</v>
      </c>
      <c r="AS154" s="178">
        <f t="shared" si="33"/>
        <v>0</v>
      </c>
      <c r="AT154" s="178">
        <f t="shared" si="33"/>
        <v>0</v>
      </c>
      <c r="AU154" s="178">
        <f t="shared" si="33"/>
        <v>0</v>
      </c>
      <c r="AV154" s="178">
        <f t="shared" si="33"/>
        <v>0</v>
      </c>
      <c r="AW154" s="178">
        <f t="shared" si="33"/>
        <v>0</v>
      </c>
      <c r="AX154" s="178">
        <f t="shared" si="33"/>
        <v>0</v>
      </c>
      <c r="AY154" s="178">
        <f t="shared" si="33"/>
        <v>0</v>
      </c>
      <c r="AZ154" s="178">
        <f t="shared" si="33"/>
        <v>0</v>
      </c>
      <c r="BA154" s="178">
        <f t="shared" si="33"/>
        <v>0</v>
      </c>
      <c r="BB154" s="178">
        <f t="shared" si="33"/>
        <v>0</v>
      </c>
      <c r="BC154" s="178">
        <f t="shared" si="33"/>
        <v>0</v>
      </c>
      <c r="BD154" s="178">
        <f t="shared" si="33"/>
        <v>0</v>
      </c>
      <c r="BE154" s="178">
        <f t="shared" si="33"/>
        <v>0</v>
      </c>
      <c r="BF154" s="178">
        <f t="shared" si="33"/>
        <v>0</v>
      </c>
      <c r="BG154" s="178">
        <f t="shared" si="33"/>
        <v>0</v>
      </c>
      <c r="BH154" s="178">
        <f t="shared" si="33"/>
        <v>0</v>
      </c>
      <c r="BI154" s="178">
        <f t="shared" si="33"/>
        <v>0</v>
      </c>
      <c r="BJ154" s="178">
        <f t="shared" si="33"/>
        <v>0</v>
      </c>
      <c r="BK154" s="178">
        <f t="shared" si="33"/>
        <v>0</v>
      </c>
      <c r="BL154" s="178">
        <f t="shared" si="33"/>
        <v>0</v>
      </c>
    </row>
    <row r="155" spans="2:64" s="186" customFormat="1" x14ac:dyDescent="0.15">
      <c r="C155" s="115" t="s">
        <v>419</v>
      </c>
      <c r="E155" s="178">
        <f t="shared" ref="E155:AJ162" si="34">IF(E$5&gt;$D$7,0,E32*$F117)</f>
        <v>0</v>
      </c>
      <c r="F155" s="178">
        <f t="shared" si="34"/>
        <v>0</v>
      </c>
      <c r="G155" s="178">
        <f t="shared" si="34"/>
        <v>0</v>
      </c>
      <c r="H155" s="178">
        <f t="shared" si="34"/>
        <v>0</v>
      </c>
      <c r="I155" s="178">
        <f t="shared" si="34"/>
        <v>6.851285366049803E-2</v>
      </c>
      <c r="J155" s="178">
        <f t="shared" si="34"/>
        <v>5.7175019883413142E-2</v>
      </c>
      <c r="K155" s="178">
        <f t="shared" si="34"/>
        <v>4.8962511028996132E-2</v>
      </c>
      <c r="L155" s="178">
        <f t="shared" si="34"/>
        <v>4.1404463099700202E-2</v>
      </c>
      <c r="M155" s="178">
        <f t="shared" si="34"/>
        <v>3.6334167746632159E-2</v>
      </c>
      <c r="N155" s="178">
        <f t="shared" si="34"/>
        <v>3.1510066372910796E-2</v>
      </c>
      <c r="O155" s="178">
        <f t="shared" si="34"/>
        <v>2.6955594844971606E-2</v>
      </c>
      <c r="P155" s="178">
        <f t="shared" si="34"/>
        <v>2.2667351767398373E-2</v>
      </c>
      <c r="Q155" s="178">
        <f t="shared" si="34"/>
        <v>1.8642697873463007E-2</v>
      </c>
      <c r="R155" s="178">
        <f t="shared" si="34"/>
        <v>1.4878570885746173E-2</v>
      </c>
      <c r="S155" s="178">
        <f t="shared" si="34"/>
        <v>1.1372558694989241E-2</v>
      </c>
      <c r="T155" s="178">
        <f t="shared" si="34"/>
        <v>8.1231903719826276E-3</v>
      </c>
      <c r="U155" s="178">
        <f t="shared" si="34"/>
        <v>5.1306942254630995E-3</v>
      </c>
      <c r="V155" s="178">
        <f t="shared" si="34"/>
        <v>2.3993459151325325E-3</v>
      </c>
      <c r="W155" s="178">
        <f t="shared" si="34"/>
        <v>0</v>
      </c>
      <c r="X155" s="178">
        <f t="shared" si="34"/>
        <v>0</v>
      </c>
      <c r="Y155" s="178">
        <f t="shared" si="34"/>
        <v>0</v>
      </c>
      <c r="Z155" s="178">
        <f t="shared" si="34"/>
        <v>0</v>
      </c>
      <c r="AA155" s="178">
        <f t="shared" si="34"/>
        <v>0</v>
      </c>
      <c r="AB155" s="178">
        <f t="shared" si="34"/>
        <v>0</v>
      </c>
      <c r="AC155" s="178">
        <f t="shared" si="34"/>
        <v>0</v>
      </c>
      <c r="AD155" s="178">
        <f t="shared" si="34"/>
        <v>0</v>
      </c>
      <c r="AE155" s="178">
        <f t="shared" si="34"/>
        <v>0</v>
      </c>
      <c r="AF155" s="178">
        <f t="shared" si="34"/>
        <v>0</v>
      </c>
      <c r="AG155" s="178">
        <f t="shared" si="34"/>
        <v>0</v>
      </c>
      <c r="AH155" s="178">
        <f t="shared" si="34"/>
        <v>0</v>
      </c>
      <c r="AI155" s="178">
        <f t="shared" si="34"/>
        <v>0</v>
      </c>
      <c r="AJ155" s="178">
        <f t="shared" si="34"/>
        <v>0</v>
      </c>
      <c r="AK155" s="178">
        <f t="shared" si="33"/>
        <v>0</v>
      </c>
      <c r="AL155" s="178">
        <f t="shared" si="33"/>
        <v>0</v>
      </c>
      <c r="AM155" s="178">
        <f t="shared" si="33"/>
        <v>0</v>
      </c>
      <c r="AN155" s="178">
        <f t="shared" si="33"/>
        <v>0</v>
      </c>
      <c r="AO155" s="178">
        <f t="shared" si="33"/>
        <v>0</v>
      </c>
      <c r="AP155" s="178">
        <f t="shared" si="33"/>
        <v>0</v>
      </c>
      <c r="AQ155" s="178">
        <f t="shared" si="33"/>
        <v>0</v>
      </c>
      <c r="AR155" s="178">
        <f t="shared" si="33"/>
        <v>0</v>
      </c>
      <c r="AS155" s="178">
        <f t="shared" si="33"/>
        <v>0</v>
      </c>
      <c r="AT155" s="178">
        <f t="shared" si="33"/>
        <v>0</v>
      </c>
      <c r="AU155" s="178">
        <f t="shared" si="33"/>
        <v>0</v>
      </c>
      <c r="AV155" s="178">
        <f t="shared" si="33"/>
        <v>0</v>
      </c>
      <c r="AW155" s="178">
        <f t="shared" si="33"/>
        <v>0</v>
      </c>
      <c r="AX155" s="178">
        <f t="shared" si="33"/>
        <v>0</v>
      </c>
      <c r="AY155" s="178">
        <f t="shared" si="33"/>
        <v>0</v>
      </c>
      <c r="AZ155" s="178">
        <f t="shared" si="33"/>
        <v>0</v>
      </c>
      <c r="BA155" s="178">
        <f t="shared" si="33"/>
        <v>0</v>
      </c>
      <c r="BB155" s="178">
        <f t="shared" si="33"/>
        <v>0</v>
      </c>
      <c r="BC155" s="178">
        <f t="shared" si="33"/>
        <v>0</v>
      </c>
      <c r="BD155" s="178">
        <f t="shared" si="33"/>
        <v>0</v>
      </c>
      <c r="BE155" s="178">
        <f t="shared" si="33"/>
        <v>0</v>
      </c>
      <c r="BF155" s="178">
        <f t="shared" si="33"/>
        <v>0</v>
      </c>
      <c r="BG155" s="178">
        <f t="shared" si="33"/>
        <v>0</v>
      </c>
      <c r="BH155" s="178">
        <f t="shared" si="33"/>
        <v>0</v>
      </c>
      <c r="BI155" s="178">
        <f t="shared" si="33"/>
        <v>0</v>
      </c>
      <c r="BJ155" s="178">
        <f t="shared" si="33"/>
        <v>0</v>
      </c>
      <c r="BK155" s="178">
        <f t="shared" si="33"/>
        <v>0</v>
      </c>
      <c r="BL155" s="178">
        <f t="shared" si="33"/>
        <v>0</v>
      </c>
    </row>
    <row r="156" spans="2:64" s="186" customFormat="1" x14ac:dyDescent="0.15">
      <c r="C156" s="115" t="s">
        <v>420</v>
      </c>
      <c r="E156" s="178">
        <f t="shared" si="34"/>
        <v>0</v>
      </c>
      <c r="F156" s="178">
        <f t="shared" si="34"/>
        <v>0</v>
      </c>
      <c r="G156" s="178">
        <f t="shared" si="34"/>
        <v>0</v>
      </c>
      <c r="H156" s="178">
        <f t="shared" si="34"/>
        <v>0</v>
      </c>
      <c r="I156" s="178">
        <f t="shared" si="34"/>
        <v>0</v>
      </c>
      <c r="J156" s="178">
        <f t="shared" si="34"/>
        <v>6.851285366049803E-2</v>
      </c>
      <c r="K156" s="178">
        <f t="shared" si="34"/>
        <v>5.7175019883413142E-2</v>
      </c>
      <c r="L156" s="178">
        <f t="shared" si="34"/>
        <v>4.8962511028996132E-2</v>
      </c>
      <c r="M156" s="178">
        <f t="shared" si="34"/>
        <v>4.1404463099700202E-2</v>
      </c>
      <c r="N156" s="178">
        <f t="shared" si="34"/>
        <v>3.6334167746632159E-2</v>
      </c>
      <c r="O156" s="178">
        <f t="shared" si="34"/>
        <v>3.1510066372910796E-2</v>
      </c>
      <c r="P156" s="178">
        <f t="shared" si="34"/>
        <v>2.6955594844971606E-2</v>
      </c>
      <c r="Q156" s="178">
        <f t="shared" si="34"/>
        <v>2.2667351767398373E-2</v>
      </c>
      <c r="R156" s="178">
        <f t="shared" si="34"/>
        <v>1.8642697873463007E-2</v>
      </c>
      <c r="S156" s="178">
        <f t="shared" si="34"/>
        <v>1.4878570885746173E-2</v>
      </c>
      <c r="T156" s="178">
        <f t="shared" si="34"/>
        <v>1.1372558694989241E-2</v>
      </c>
      <c r="U156" s="178">
        <f t="shared" si="34"/>
        <v>8.1231903719826276E-3</v>
      </c>
      <c r="V156" s="178">
        <f t="shared" si="34"/>
        <v>5.1306942254630995E-3</v>
      </c>
      <c r="W156" s="178">
        <f t="shared" si="34"/>
        <v>2.3993459151325325E-3</v>
      </c>
      <c r="X156" s="178">
        <f t="shared" si="34"/>
        <v>0</v>
      </c>
      <c r="Y156" s="178">
        <f t="shared" si="34"/>
        <v>0</v>
      </c>
      <c r="Z156" s="178">
        <f t="shared" si="34"/>
        <v>0</v>
      </c>
      <c r="AA156" s="178">
        <f t="shared" si="34"/>
        <v>0</v>
      </c>
      <c r="AB156" s="178">
        <f t="shared" si="34"/>
        <v>0</v>
      </c>
      <c r="AC156" s="178">
        <f t="shared" si="34"/>
        <v>0</v>
      </c>
      <c r="AD156" s="178">
        <f t="shared" si="34"/>
        <v>0</v>
      </c>
      <c r="AE156" s="178">
        <f t="shared" si="34"/>
        <v>0</v>
      </c>
      <c r="AF156" s="178">
        <f t="shared" si="34"/>
        <v>0</v>
      </c>
      <c r="AG156" s="178">
        <f t="shared" si="34"/>
        <v>0</v>
      </c>
      <c r="AH156" s="178">
        <f t="shared" si="34"/>
        <v>0</v>
      </c>
      <c r="AI156" s="178">
        <f t="shared" si="34"/>
        <v>0</v>
      </c>
      <c r="AJ156" s="178">
        <f t="shared" si="34"/>
        <v>0</v>
      </c>
      <c r="AK156" s="178">
        <f t="shared" si="33"/>
        <v>0</v>
      </c>
      <c r="AL156" s="178">
        <f t="shared" si="33"/>
        <v>0</v>
      </c>
      <c r="AM156" s="178">
        <f t="shared" si="33"/>
        <v>0</v>
      </c>
      <c r="AN156" s="178">
        <f t="shared" si="33"/>
        <v>0</v>
      </c>
      <c r="AO156" s="178">
        <f t="shared" si="33"/>
        <v>0</v>
      </c>
      <c r="AP156" s="178">
        <f t="shared" si="33"/>
        <v>0</v>
      </c>
      <c r="AQ156" s="178">
        <f t="shared" si="33"/>
        <v>0</v>
      </c>
      <c r="AR156" s="178">
        <f t="shared" si="33"/>
        <v>0</v>
      </c>
      <c r="AS156" s="178">
        <f t="shared" si="33"/>
        <v>0</v>
      </c>
      <c r="AT156" s="178">
        <f t="shared" si="33"/>
        <v>0</v>
      </c>
      <c r="AU156" s="178">
        <f t="shared" si="33"/>
        <v>0</v>
      </c>
      <c r="AV156" s="178">
        <f t="shared" si="33"/>
        <v>0</v>
      </c>
      <c r="AW156" s="178">
        <f t="shared" si="33"/>
        <v>0</v>
      </c>
      <c r="AX156" s="178">
        <f t="shared" si="33"/>
        <v>0</v>
      </c>
      <c r="AY156" s="178">
        <f t="shared" si="33"/>
        <v>0</v>
      </c>
      <c r="AZ156" s="178">
        <f t="shared" si="33"/>
        <v>0</v>
      </c>
      <c r="BA156" s="178">
        <f t="shared" si="33"/>
        <v>0</v>
      </c>
      <c r="BB156" s="178">
        <f t="shared" si="33"/>
        <v>0</v>
      </c>
      <c r="BC156" s="178">
        <f t="shared" si="33"/>
        <v>0</v>
      </c>
      <c r="BD156" s="178">
        <f t="shared" si="33"/>
        <v>0</v>
      </c>
      <c r="BE156" s="178">
        <f t="shared" si="33"/>
        <v>0</v>
      </c>
      <c r="BF156" s="178">
        <f t="shared" si="33"/>
        <v>0</v>
      </c>
      <c r="BG156" s="178">
        <f t="shared" si="33"/>
        <v>0</v>
      </c>
      <c r="BH156" s="178">
        <f t="shared" si="33"/>
        <v>0</v>
      </c>
      <c r="BI156" s="178">
        <f t="shared" si="33"/>
        <v>0</v>
      </c>
      <c r="BJ156" s="178">
        <f t="shared" si="33"/>
        <v>0</v>
      </c>
      <c r="BK156" s="178">
        <f t="shared" si="33"/>
        <v>0</v>
      </c>
      <c r="BL156" s="178">
        <f t="shared" si="33"/>
        <v>0</v>
      </c>
    </row>
    <row r="157" spans="2:64" s="186" customFormat="1" x14ac:dyDescent="0.15">
      <c r="C157" s="115" t="s">
        <v>422</v>
      </c>
      <c r="E157" s="178">
        <f t="shared" si="34"/>
        <v>0</v>
      </c>
      <c r="F157" s="178">
        <f t="shared" si="34"/>
        <v>0</v>
      </c>
      <c r="G157" s="178">
        <f t="shared" si="34"/>
        <v>0</v>
      </c>
      <c r="H157" s="178">
        <f t="shared" si="34"/>
        <v>0</v>
      </c>
      <c r="I157" s="178">
        <f t="shared" si="34"/>
        <v>0</v>
      </c>
      <c r="J157" s="178">
        <f t="shared" si="34"/>
        <v>0</v>
      </c>
      <c r="K157" s="178">
        <f t="shared" si="34"/>
        <v>0.16756758184435058</v>
      </c>
      <c r="L157" s="178">
        <f t="shared" si="34"/>
        <v>0.1398376992329261</v>
      </c>
      <c r="M157" s="178">
        <f t="shared" si="34"/>
        <v>0.11975168360103873</v>
      </c>
      <c r="N157" s="178">
        <f t="shared" si="34"/>
        <v>0.10126633746071254</v>
      </c>
      <c r="O157" s="178">
        <f t="shared" si="34"/>
        <v>8.8865494609232876E-2</v>
      </c>
      <c r="P157" s="178">
        <f t="shared" si="34"/>
        <v>7.7066788839769765E-2</v>
      </c>
      <c r="Q157" s="178">
        <f t="shared" si="34"/>
        <v>6.5927539199147428E-2</v>
      </c>
      <c r="R157" s="178">
        <f t="shared" si="34"/>
        <v>5.5439426611829754E-2</v>
      </c>
      <c r="S157" s="178">
        <f t="shared" si="34"/>
        <v>4.5595996003770962E-2</v>
      </c>
      <c r="T157" s="178">
        <f t="shared" si="34"/>
        <v>3.6389757708511723E-2</v>
      </c>
      <c r="U157" s="178">
        <f t="shared" si="34"/>
        <v>2.7814812229913444E-2</v>
      </c>
      <c r="V157" s="178">
        <f t="shared" si="34"/>
        <v>1.9867561994126186E-2</v>
      </c>
      <c r="W157" s="178">
        <f t="shared" si="34"/>
        <v>1.2548565394807339E-2</v>
      </c>
      <c r="X157" s="178">
        <f t="shared" si="34"/>
        <v>5.868279768336193E-3</v>
      </c>
      <c r="Y157" s="178">
        <f t="shared" si="34"/>
        <v>0</v>
      </c>
      <c r="Z157" s="178">
        <f t="shared" si="34"/>
        <v>0</v>
      </c>
      <c r="AA157" s="178">
        <f t="shared" si="34"/>
        <v>0</v>
      </c>
      <c r="AB157" s="178">
        <f t="shared" si="34"/>
        <v>0</v>
      </c>
      <c r="AC157" s="178">
        <f t="shared" si="34"/>
        <v>0</v>
      </c>
      <c r="AD157" s="178">
        <f t="shared" si="34"/>
        <v>0</v>
      </c>
      <c r="AE157" s="178">
        <f t="shared" si="34"/>
        <v>0</v>
      </c>
      <c r="AF157" s="178">
        <f t="shared" si="34"/>
        <v>0</v>
      </c>
      <c r="AG157" s="178">
        <f t="shared" si="34"/>
        <v>0</v>
      </c>
      <c r="AH157" s="178">
        <f t="shared" si="34"/>
        <v>0</v>
      </c>
      <c r="AI157" s="178">
        <f t="shared" si="34"/>
        <v>0</v>
      </c>
      <c r="AJ157" s="178">
        <f t="shared" si="34"/>
        <v>0</v>
      </c>
      <c r="AK157" s="178">
        <f t="shared" si="33"/>
        <v>0</v>
      </c>
      <c r="AL157" s="178">
        <f t="shared" si="33"/>
        <v>0</v>
      </c>
      <c r="AM157" s="178">
        <f t="shared" si="33"/>
        <v>0</v>
      </c>
      <c r="AN157" s="178">
        <f t="shared" si="33"/>
        <v>0</v>
      </c>
      <c r="AO157" s="178">
        <f t="shared" si="33"/>
        <v>0</v>
      </c>
      <c r="AP157" s="178">
        <f t="shared" si="33"/>
        <v>0</v>
      </c>
      <c r="AQ157" s="178">
        <f t="shared" si="33"/>
        <v>0</v>
      </c>
      <c r="AR157" s="178">
        <f t="shared" si="33"/>
        <v>0</v>
      </c>
      <c r="AS157" s="178">
        <f t="shared" si="33"/>
        <v>0</v>
      </c>
      <c r="AT157" s="178">
        <f t="shared" si="33"/>
        <v>0</v>
      </c>
      <c r="AU157" s="178">
        <f t="shared" si="33"/>
        <v>0</v>
      </c>
      <c r="AV157" s="178">
        <f t="shared" si="33"/>
        <v>0</v>
      </c>
      <c r="AW157" s="178">
        <f t="shared" si="33"/>
        <v>0</v>
      </c>
      <c r="AX157" s="178">
        <f t="shared" si="33"/>
        <v>0</v>
      </c>
      <c r="AY157" s="178">
        <f t="shared" si="33"/>
        <v>0</v>
      </c>
      <c r="AZ157" s="178">
        <f t="shared" si="33"/>
        <v>0</v>
      </c>
      <c r="BA157" s="178">
        <f t="shared" si="33"/>
        <v>0</v>
      </c>
      <c r="BB157" s="178">
        <f t="shared" si="33"/>
        <v>0</v>
      </c>
      <c r="BC157" s="178">
        <f t="shared" si="33"/>
        <v>0</v>
      </c>
      <c r="BD157" s="178">
        <f t="shared" si="33"/>
        <v>0</v>
      </c>
      <c r="BE157" s="178">
        <f t="shared" si="33"/>
        <v>0</v>
      </c>
      <c r="BF157" s="178">
        <f t="shared" si="33"/>
        <v>0</v>
      </c>
      <c r="BG157" s="178">
        <f t="shared" si="33"/>
        <v>0</v>
      </c>
      <c r="BH157" s="178">
        <f t="shared" si="33"/>
        <v>0</v>
      </c>
      <c r="BI157" s="178">
        <f t="shared" si="33"/>
        <v>0</v>
      </c>
      <c r="BJ157" s="178">
        <f t="shared" si="33"/>
        <v>0</v>
      </c>
      <c r="BK157" s="178">
        <f t="shared" si="33"/>
        <v>0</v>
      </c>
      <c r="BL157" s="178">
        <f t="shared" si="33"/>
        <v>0</v>
      </c>
    </row>
    <row r="158" spans="2:64" s="186" customFormat="1" x14ac:dyDescent="0.15">
      <c r="C158" s="115" t="s">
        <v>423</v>
      </c>
      <c r="E158" s="178">
        <f t="shared" si="34"/>
        <v>0</v>
      </c>
      <c r="F158" s="178">
        <f t="shared" si="34"/>
        <v>0</v>
      </c>
      <c r="G158" s="178">
        <f t="shared" si="34"/>
        <v>0</v>
      </c>
      <c r="H158" s="178">
        <f t="shared" si="34"/>
        <v>0</v>
      </c>
      <c r="I158" s="178">
        <f t="shared" si="34"/>
        <v>0</v>
      </c>
      <c r="J158" s="178">
        <f t="shared" si="34"/>
        <v>0</v>
      </c>
      <c r="K158" s="178">
        <f t="shared" si="34"/>
        <v>0</v>
      </c>
      <c r="L158" s="178">
        <f t="shared" si="34"/>
        <v>0.16756758184435058</v>
      </c>
      <c r="M158" s="178">
        <f t="shared" si="34"/>
        <v>0.1398376992329261</v>
      </c>
      <c r="N158" s="178">
        <f t="shared" si="34"/>
        <v>0.11975168360103873</v>
      </c>
      <c r="O158" s="178">
        <f t="shared" si="34"/>
        <v>0.10126633746071254</v>
      </c>
      <c r="P158" s="178">
        <f t="shared" si="34"/>
        <v>8.8865494609232876E-2</v>
      </c>
      <c r="Q158" s="178">
        <f t="shared" si="34"/>
        <v>7.7066788839769765E-2</v>
      </c>
      <c r="R158" s="178">
        <f t="shared" si="34"/>
        <v>6.5927539199147428E-2</v>
      </c>
      <c r="S158" s="178">
        <f t="shared" si="34"/>
        <v>5.5439426611829754E-2</v>
      </c>
      <c r="T158" s="178">
        <f t="shared" si="34"/>
        <v>4.5595996003770962E-2</v>
      </c>
      <c r="U158" s="178">
        <f t="shared" si="34"/>
        <v>3.6389757708511723E-2</v>
      </c>
      <c r="V158" s="178">
        <f t="shared" si="34"/>
        <v>2.7814812229913444E-2</v>
      </c>
      <c r="W158" s="178">
        <f t="shared" si="34"/>
        <v>1.9867561994126186E-2</v>
      </c>
      <c r="X158" s="178">
        <f t="shared" si="34"/>
        <v>1.2548565394807339E-2</v>
      </c>
      <c r="Y158" s="178">
        <f t="shared" si="34"/>
        <v>0</v>
      </c>
      <c r="Z158" s="178">
        <f t="shared" si="34"/>
        <v>0</v>
      </c>
      <c r="AA158" s="178">
        <f t="shared" si="34"/>
        <v>0</v>
      </c>
      <c r="AB158" s="178">
        <f t="shared" si="34"/>
        <v>0</v>
      </c>
      <c r="AC158" s="178">
        <f t="shared" si="34"/>
        <v>0</v>
      </c>
      <c r="AD158" s="178">
        <f t="shared" si="34"/>
        <v>0</v>
      </c>
      <c r="AE158" s="178">
        <f t="shared" si="34"/>
        <v>0</v>
      </c>
      <c r="AF158" s="178">
        <f t="shared" si="34"/>
        <v>0</v>
      </c>
      <c r="AG158" s="178">
        <f t="shared" si="34"/>
        <v>0</v>
      </c>
      <c r="AH158" s="178">
        <f t="shared" si="34"/>
        <v>0</v>
      </c>
      <c r="AI158" s="178">
        <f t="shared" si="34"/>
        <v>0</v>
      </c>
      <c r="AJ158" s="178">
        <f t="shared" si="34"/>
        <v>0</v>
      </c>
      <c r="AK158" s="178">
        <f t="shared" si="33"/>
        <v>0</v>
      </c>
      <c r="AL158" s="178">
        <f t="shared" si="33"/>
        <v>0</v>
      </c>
      <c r="AM158" s="178">
        <f t="shared" si="33"/>
        <v>0</v>
      </c>
      <c r="AN158" s="178">
        <f t="shared" si="33"/>
        <v>0</v>
      </c>
      <c r="AO158" s="178">
        <f t="shared" si="33"/>
        <v>0</v>
      </c>
      <c r="AP158" s="178">
        <f t="shared" si="33"/>
        <v>0</v>
      </c>
      <c r="AQ158" s="178">
        <f t="shared" si="33"/>
        <v>0</v>
      </c>
      <c r="AR158" s="178">
        <f t="shared" si="33"/>
        <v>0</v>
      </c>
      <c r="AS158" s="178">
        <f t="shared" si="33"/>
        <v>0</v>
      </c>
      <c r="AT158" s="178">
        <f t="shared" si="33"/>
        <v>0</v>
      </c>
      <c r="AU158" s="178">
        <f t="shared" si="33"/>
        <v>0</v>
      </c>
      <c r="AV158" s="178">
        <f t="shared" si="33"/>
        <v>0</v>
      </c>
      <c r="AW158" s="178">
        <f t="shared" si="33"/>
        <v>0</v>
      </c>
      <c r="AX158" s="178">
        <f t="shared" si="33"/>
        <v>0</v>
      </c>
      <c r="AY158" s="178">
        <f t="shared" si="33"/>
        <v>0</v>
      </c>
      <c r="AZ158" s="178">
        <f t="shared" si="33"/>
        <v>0</v>
      </c>
      <c r="BA158" s="178">
        <f t="shared" si="33"/>
        <v>0</v>
      </c>
      <c r="BB158" s="178">
        <f t="shared" si="33"/>
        <v>0</v>
      </c>
      <c r="BC158" s="178">
        <f t="shared" si="33"/>
        <v>0</v>
      </c>
      <c r="BD158" s="178">
        <f t="shared" si="33"/>
        <v>0</v>
      </c>
      <c r="BE158" s="178">
        <f t="shared" si="33"/>
        <v>0</v>
      </c>
      <c r="BF158" s="178">
        <f t="shared" si="33"/>
        <v>0</v>
      </c>
      <c r="BG158" s="178">
        <f t="shared" si="33"/>
        <v>0</v>
      </c>
      <c r="BH158" s="178">
        <f t="shared" si="33"/>
        <v>0</v>
      </c>
      <c r="BI158" s="178">
        <f t="shared" si="33"/>
        <v>0</v>
      </c>
      <c r="BJ158" s="178">
        <f t="shared" si="33"/>
        <v>0</v>
      </c>
      <c r="BK158" s="178">
        <f t="shared" si="33"/>
        <v>0</v>
      </c>
      <c r="BL158" s="178">
        <f t="shared" si="33"/>
        <v>0</v>
      </c>
    </row>
    <row r="159" spans="2:64" s="186" customFormat="1" x14ac:dyDescent="0.15">
      <c r="C159" s="115" t="s">
        <v>424</v>
      </c>
      <c r="E159" s="178">
        <f t="shared" si="34"/>
        <v>0</v>
      </c>
      <c r="F159" s="178">
        <f t="shared" si="34"/>
        <v>0</v>
      </c>
      <c r="G159" s="178">
        <f t="shared" si="34"/>
        <v>0</v>
      </c>
      <c r="H159" s="178">
        <f t="shared" si="34"/>
        <v>0</v>
      </c>
      <c r="I159" s="178">
        <f t="shared" si="34"/>
        <v>0</v>
      </c>
      <c r="J159" s="178">
        <f t="shared" si="34"/>
        <v>0</v>
      </c>
      <c r="K159" s="178">
        <f t="shared" si="34"/>
        <v>0</v>
      </c>
      <c r="L159" s="178">
        <f t="shared" si="34"/>
        <v>0</v>
      </c>
      <c r="M159" s="178">
        <f t="shared" si="34"/>
        <v>0.16756758184435058</v>
      </c>
      <c r="N159" s="178">
        <f t="shared" si="34"/>
        <v>0.1398376992329261</v>
      </c>
      <c r="O159" s="178">
        <f t="shared" si="34"/>
        <v>0.11975168360103873</v>
      </c>
      <c r="P159" s="178">
        <f t="shared" si="34"/>
        <v>0.10126633746071254</v>
      </c>
      <c r="Q159" s="178">
        <f t="shared" si="34"/>
        <v>8.8865494609232876E-2</v>
      </c>
      <c r="R159" s="178">
        <f t="shared" si="34"/>
        <v>7.7066788839769765E-2</v>
      </c>
      <c r="S159" s="178">
        <f t="shared" si="34"/>
        <v>6.5927539199147428E-2</v>
      </c>
      <c r="T159" s="178">
        <f t="shared" si="34"/>
        <v>5.5439426611829754E-2</v>
      </c>
      <c r="U159" s="178">
        <f t="shared" si="34"/>
        <v>4.5595996003770962E-2</v>
      </c>
      <c r="V159" s="178">
        <f t="shared" si="34"/>
        <v>3.6389757708511723E-2</v>
      </c>
      <c r="W159" s="178">
        <f t="shared" si="34"/>
        <v>2.7814812229913444E-2</v>
      </c>
      <c r="X159" s="178">
        <f t="shared" si="34"/>
        <v>1.9867561994126186E-2</v>
      </c>
      <c r="Y159" s="178">
        <f t="shared" si="34"/>
        <v>0</v>
      </c>
      <c r="Z159" s="178">
        <f t="shared" si="34"/>
        <v>0</v>
      </c>
      <c r="AA159" s="178">
        <f t="shared" si="34"/>
        <v>0</v>
      </c>
      <c r="AB159" s="178">
        <f t="shared" si="34"/>
        <v>0</v>
      </c>
      <c r="AC159" s="178">
        <f t="shared" si="34"/>
        <v>0</v>
      </c>
      <c r="AD159" s="178">
        <f t="shared" si="34"/>
        <v>0</v>
      </c>
      <c r="AE159" s="178">
        <f t="shared" si="34"/>
        <v>0</v>
      </c>
      <c r="AF159" s="178">
        <f t="shared" si="34"/>
        <v>0</v>
      </c>
      <c r="AG159" s="178">
        <f t="shared" si="34"/>
        <v>0</v>
      </c>
      <c r="AH159" s="178">
        <f t="shared" si="34"/>
        <v>0</v>
      </c>
      <c r="AI159" s="178">
        <f t="shared" si="34"/>
        <v>0</v>
      </c>
      <c r="AJ159" s="178">
        <f t="shared" si="34"/>
        <v>0</v>
      </c>
      <c r="AK159" s="178">
        <f t="shared" si="33"/>
        <v>0</v>
      </c>
      <c r="AL159" s="178">
        <f t="shared" si="33"/>
        <v>0</v>
      </c>
      <c r="AM159" s="178">
        <f t="shared" si="33"/>
        <v>0</v>
      </c>
      <c r="AN159" s="178">
        <f t="shared" si="33"/>
        <v>0</v>
      </c>
      <c r="AO159" s="178">
        <f t="shared" si="33"/>
        <v>0</v>
      </c>
      <c r="AP159" s="178">
        <f t="shared" si="33"/>
        <v>0</v>
      </c>
      <c r="AQ159" s="178">
        <f t="shared" si="33"/>
        <v>0</v>
      </c>
      <c r="AR159" s="178">
        <f t="shared" si="33"/>
        <v>0</v>
      </c>
      <c r="AS159" s="178">
        <f t="shared" si="33"/>
        <v>0</v>
      </c>
      <c r="AT159" s="178">
        <f t="shared" si="33"/>
        <v>0</v>
      </c>
      <c r="AU159" s="178">
        <f t="shared" si="33"/>
        <v>0</v>
      </c>
      <c r="AV159" s="178">
        <f t="shared" si="33"/>
        <v>0</v>
      </c>
      <c r="AW159" s="178">
        <f t="shared" si="33"/>
        <v>0</v>
      </c>
      <c r="AX159" s="178">
        <f t="shared" si="33"/>
        <v>0</v>
      </c>
      <c r="AY159" s="178">
        <f t="shared" si="33"/>
        <v>0</v>
      </c>
      <c r="AZ159" s="178">
        <f t="shared" si="33"/>
        <v>0</v>
      </c>
      <c r="BA159" s="178">
        <f t="shared" si="33"/>
        <v>0</v>
      </c>
      <c r="BB159" s="178">
        <f t="shared" si="33"/>
        <v>0</v>
      </c>
      <c r="BC159" s="178">
        <f t="shared" si="33"/>
        <v>0</v>
      </c>
      <c r="BD159" s="178">
        <f t="shared" si="33"/>
        <v>0</v>
      </c>
      <c r="BE159" s="178">
        <f t="shared" si="33"/>
        <v>0</v>
      </c>
      <c r="BF159" s="178">
        <f t="shared" si="33"/>
        <v>0</v>
      </c>
      <c r="BG159" s="178">
        <f t="shared" si="33"/>
        <v>0</v>
      </c>
      <c r="BH159" s="178">
        <f t="shared" si="33"/>
        <v>0</v>
      </c>
      <c r="BI159" s="178">
        <f t="shared" si="33"/>
        <v>0</v>
      </c>
      <c r="BJ159" s="178">
        <f t="shared" si="33"/>
        <v>0</v>
      </c>
      <c r="BK159" s="178">
        <f t="shared" si="33"/>
        <v>0</v>
      </c>
      <c r="BL159" s="178">
        <f t="shared" si="33"/>
        <v>0</v>
      </c>
    </row>
    <row r="160" spans="2:64" x14ac:dyDescent="0.15">
      <c r="C160" s="115" t="s">
        <v>425</v>
      </c>
      <c r="E160" s="178">
        <f t="shared" si="34"/>
        <v>0</v>
      </c>
      <c r="F160" s="178">
        <f t="shared" si="34"/>
        <v>0</v>
      </c>
      <c r="G160" s="178">
        <f t="shared" si="34"/>
        <v>0</v>
      </c>
      <c r="H160" s="178">
        <f t="shared" si="34"/>
        <v>0</v>
      </c>
      <c r="I160" s="178">
        <f t="shared" si="34"/>
        <v>0</v>
      </c>
      <c r="J160" s="178">
        <f t="shared" si="34"/>
        <v>0</v>
      </c>
      <c r="K160" s="178">
        <f t="shared" si="34"/>
        <v>0</v>
      </c>
      <c r="L160" s="178">
        <f t="shared" si="34"/>
        <v>0</v>
      </c>
      <c r="M160" s="178">
        <f t="shared" si="34"/>
        <v>0</v>
      </c>
      <c r="N160" s="178">
        <f t="shared" si="34"/>
        <v>0.16756758184435058</v>
      </c>
      <c r="O160" s="178">
        <f t="shared" si="34"/>
        <v>0.1398376992329261</v>
      </c>
      <c r="P160" s="178">
        <f t="shared" si="34"/>
        <v>0.11975168360103873</v>
      </c>
      <c r="Q160" s="178">
        <f t="shared" si="34"/>
        <v>0.10126633746071254</v>
      </c>
      <c r="R160" s="178">
        <f t="shared" si="34"/>
        <v>8.8865494609232876E-2</v>
      </c>
      <c r="S160" s="178">
        <f t="shared" si="34"/>
        <v>7.7066788839769765E-2</v>
      </c>
      <c r="T160" s="178">
        <f t="shared" si="34"/>
        <v>6.5927539199147428E-2</v>
      </c>
      <c r="U160" s="178">
        <f t="shared" si="34"/>
        <v>5.5439426611829754E-2</v>
      </c>
      <c r="V160" s="178">
        <f t="shared" si="34"/>
        <v>4.5595996003770962E-2</v>
      </c>
      <c r="W160" s="178">
        <f t="shared" si="34"/>
        <v>3.6389757708511723E-2</v>
      </c>
      <c r="X160" s="178">
        <f t="shared" si="34"/>
        <v>2.7814812229913444E-2</v>
      </c>
      <c r="Y160" s="178">
        <f t="shared" si="34"/>
        <v>0</v>
      </c>
      <c r="Z160" s="178">
        <f t="shared" si="34"/>
        <v>0</v>
      </c>
      <c r="AA160" s="178">
        <f t="shared" si="34"/>
        <v>0</v>
      </c>
      <c r="AB160" s="178">
        <f t="shared" si="34"/>
        <v>0</v>
      </c>
      <c r="AC160" s="178">
        <f t="shared" si="34"/>
        <v>0</v>
      </c>
      <c r="AD160" s="178">
        <f t="shared" si="34"/>
        <v>0</v>
      </c>
      <c r="AE160" s="178">
        <f t="shared" si="34"/>
        <v>0</v>
      </c>
      <c r="AF160" s="178">
        <f t="shared" si="34"/>
        <v>0</v>
      </c>
      <c r="AG160" s="178">
        <f t="shared" si="34"/>
        <v>0</v>
      </c>
      <c r="AH160" s="178">
        <f t="shared" si="34"/>
        <v>0</v>
      </c>
      <c r="AI160" s="178">
        <f t="shared" si="34"/>
        <v>0</v>
      </c>
      <c r="AJ160" s="178">
        <f t="shared" si="34"/>
        <v>0</v>
      </c>
      <c r="AK160" s="178">
        <f t="shared" si="33"/>
        <v>0</v>
      </c>
      <c r="AL160" s="178">
        <f t="shared" si="33"/>
        <v>0</v>
      </c>
      <c r="AM160" s="178">
        <f t="shared" si="33"/>
        <v>0</v>
      </c>
      <c r="AN160" s="178">
        <f t="shared" si="33"/>
        <v>0</v>
      </c>
      <c r="AO160" s="178">
        <f t="shared" si="33"/>
        <v>0</v>
      </c>
      <c r="AP160" s="178">
        <f t="shared" si="33"/>
        <v>0</v>
      </c>
      <c r="AQ160" s="178">
        <f t="shared" si="33"/>
        <v>0</v>
      </c>
      <c r="AR160" s="178">
        <f t="shared" si="33"/>
        <v>0</v>
      </c>
      <c r="AS160" s="178">
        <f t="shared" si="33"/>
        <v>0</v>
      </c>
      <c r="AT160" s="178">
        <f t="shared" si="33"/>
        <v>0</v>
      </c>
      <c r="AU160" s="178">
        <f t="shared" si="33"/>
        <v>0</v>
      </c>
      <c r="AV160" s="178">
        <f t="shared" si="33"/>
        <v>0</v>
      </c>
      <c r="AW160" s="178">
        <f t="shared" si="33"/>
        <v>0</v>
      </c>
      <c r="AX160" s="178">
        <f t="shared" si="33"/>
        <v>0</v>
      </c>
      <c r="AY160" s="178">
        <f t="shared" si="33"/>
        <v>0</v>
      </c>
      <c r="AZ160" s="178">
        <f t="shared" si="33"/>
        <v>0</v>
      </c>
      <c r="BA160" s="178">
        <f t="shared" si="33"/>
        <v>0</v>
      </c>
      <c r="BB160" s="178">
        <f t="shared" si="33"/>
        <v>0</v>
      </c>
      <c r="BC160" s="178">
        <f t="shared" si="33"/>
        <v>0</v>
      </c>
      <c r="BD160" s="178">
        <f t="shared" si="33"/>
        <v>0</v>
      </c>
      <c r="BE160" s="178">
        <f t="shared" si="33"/>
        <v>0</v>
      </c>
      <c r="BF160" s="178">
        <f t="shared" si="33"/>
        <v>0</v>
      </c>
      <c r="BG160" s="178">
        <f t="shared" si="33"/>
        <v>0</v>
      </c>
      <c r="BH160" s="178">
        <f t="shared" si="33"/>
        <v>0</v>
      </c>
      <c r="BI160" s="178">
        <f t="shared" si="33"/>
        <v>0</v>
      </c>
      <c r="BJ160" s="178">
        <f t="shared" si="33"/>
        <v>0</v>
      </c>
      <c r="BK160" s="178">
        <f t="shared" si="33"/>
        <v>0</v>
      </c>
      <c r="BL160" s="178">
        <f t="shared" si="33"/>
        <v>0</v>
      </c>
    </row>
    <row r="161" spans="2:64" x14ac:dyDescent="0.15">
      <c r="C161" s="115" t="s">
        <v>426</v>
      </c>
      <c r="E161" s="178">
        <f t="shared" si="34"/>
        <v>0</v>
      </c>
      <c r="F161" s="178">
        <f t="shared" si="34"/>
        <v>0</v>
      </c>
      <c r="G161" s="178">
        <f t="shared" si="34"/>
        <v>0</v>
      </c>
      <c r="H161" s="178">
        <f t="shared" si="34"/>
        <v>0</v>
      </c>
      <c r="I161" s="178">
        <f t="shared" si="34"/>
        <v>0</v>
      </c>
      <c r="J161" s="178">
        <f t="shared" si="34"/>
        <v>0</v>
      </c>
      <c r="K161" s="178">
        <f t="shared" si="34"/>
        <v>0</v>
      </c>
      <c r="L161" s="178">
        <f t="shared" si="34"/>
        <v>0</v>
      </c>
      <c r="M161" s="178">
        <f t="shared" si="34"/>
        <v>0</v>
      </c>
      <c r="N161" s="178">
        <f t="shared" si="34"/>
        <v>0</v>
      </c>
      <c r="O161" s="178">
        <f t="shared" si="34"/>
        <v>0.16756758184435058</v>
      </c>
      <c r="P161" s="178">
        <f t="shared" si="34"/>
        <v>0.1398376992329261</v>
      </c>
      <c r="Q161" s="178">
        <f t="shared" si="34"/>
        <v>0.11975168360103873</v>
      </c>
      <c r="R161" s="178">
        <f t="shared" si="34"/>
        <v>0.10126633746071254</v>
      </c>
      <c r="S161" s="178">
        <f t="shared" si="34"/>
        <v>8.8865494609232876E-2</v>
      </c>
      <c r="T161" s="178">
        <f t="shared" si="34"/>
        <v>7.7066788839769765E-2</v>
      </c>
      <c r="U161" s="178">
        <f t="shared" si="34"/>
        <v>6.5927539199147428E-2</v>
      </c>
      <c r="V161" s="178">
        <f t="shared" si="34"/>
        <v>5.5439426611829754E-2</v>
      </c>
      <c r="W161" s="178">
        <f t="shared" si="34"/>
        <v>4.5595996003770962E-2</v>
      </c>
      <c r="X161" s="178">
        <f t="shared" si="34"/>
        <v>3.6389757708511723E-2</v>
      </c>
      <c r="Y161" s="178">
        <f t="shared" si="34"/>
        <v>0</v>
      </c>
      <c r="Z161" s="178">
        <f t="shared" si="34"/>
        <v>0</v>
      </c>
      <c r="AA161" s="178">
        <f t="shared" si="34"/>
        <v>0</v>
      </c>
      <c r="AB161" s="178">
        <f t="shared" si="34"/>
        <v>0</v>
      </c>
      <c r="AC161" s="178">
        <f t="shared" si="34"/>
        <v>0</v>
      </c>
      <c r="AD161" s="178">
        <f t="shared" si="34"/>
        <v>0</v>
      </c>
      <c r="AE161" s="178">
        <f t="shared" si="34"/>
        <v>0</v>
      </c>
      <c r="AF161" s="178">
        <f t="shared" si="34"/>
        <v>0</v>
      </c>
      <c r="AG161" s="178">
        <f t="shared" si="34"/>
        <v>0</v>
      </c>
      <c r="AH161" s="178">
        <f t="shared" si="34"/>
        <v>0</v>
      </c>
      <c r="AI161" s="178">
        <f t="shared" si="34"/>
        <v>0</v>
      </c>
      <c r="AJ161" s="178">
        <f t="shared" si="34"/>
        <v>0</v>
      </c>
      <c r="AK161" s="178">
        <f t="shared" si="33"/>
        <v>0</v>
      </c>
      <c r="AL161" s="178">
        <f t="shared" si="33"/>
        <v>0</v>
      </c>
      <c r="AM161" s="178">
        <f t="shared" si="33"/>
        <v>0</v>
      </c>
      <c r="AN161" s="178">
        <f t="shared" si="33"/>
        <v>0</v>
      </c>
      <c r="AO161" s="178">
        <f t="shared" si="33"/>
        <v>0</v>
      </c>
      <c r="AP161" s="178">
        <f t="shared" si="33"/>
        <v>0</v>
      </c>
      <c r="AQ161" s="178">
        <f t="shared" si="33"/>
        <v>0</v>
      </c>
      <c r="AR161" s="178">
        <f t="shared" si="33"/>
        <v>0</v>
      </c>
      <c r="AS161" s="178">
        <f t="shared" si="33"/>
        <v>0</v>
      </c>
      <c r="AT161" s="178">
        <f t="shared" si="33"/>
        <v>0</v>
      </c>
      <c r="AU161" s="178">
        <f t="shared" si="33"/>
        <v>0</v>
      </c>
      <c r="AV161" s="178">
        <f t="shared" si="33"/>
        <v>0</v>
      </c>
      <c r="AW161" s="178">
        <f t="shared" si="33"/>
        <v>0</v>
      </c>
      <c r="AX161" s="178">
        <f t="shared" si="33"/>
        <v>0</v>
      </c>
      <c r="AY161" s="178">
        <f t="shared" si="33"/>
        <v>0</v>
      </c>
      <c r="AZ161" s="178">
        <f t="shared" si="33"/>
        <v>0</v>
      </c>
      <c r="BA161" s="178">
        <f t="shared" si="33"/>
        <v>0</v>
      </c>
      <c r="BB161" s="178">
        <f t="shared" si="33"/>
        <v>0</v>
      </c>
      <c r="BC161" s="178">
        <f t="shared" si="33"/>
        <v>0</v>
      </c>
      <c r="BD161" s="178">
        <f t="shared" si="33"/>
        <v>0</v>
      </c>
      <c r="BE161" s="178">
        <f t="shared" si="33"/>
        <v>0</v>
      </c>
      <c r="BF161" s="178">
        <f t="shared" si="33"/>
        <v>0</v>
      </c>
      <c r="BG161" s="178">
        <f t="shared" si="33"/>
        <v>0</v>
      </c>
      <c r="BH161" s="178">
        <f t="shared" si="33"/>
        <v>0</v>
      </c>
      <c r="BI161" s="178">
        <f t="shared" si="33"/>
        <v>0</v>
      </c>
      <c r="BJ161" s="178">
        <f t="shared" si="33"/>
        <v>0</v>
      </c>
      <c r="BK161" s="178">
        <f t="shared" si="33"/>
        <v>0</v>
      </c>
      <c r="BL161" s="178">
        <f t="shared" si="33"/>
        <v>0</v>
      </c>
    </row>
    <row r="162" spans="2:64" x14ac:dyDescent="0.15">
      <c r="C162" s="115" t="s">
        <v>427</v>
      </c>
      <c r="E162" s="178">
        <f t="shared" si="34"/>
        <v>0</v>
      </c>
      <c r="F162" s="178">
        <f t="shared" si="34"/>
        <v>0</v>
      </c>
      <c r="G162" s="178">
        <f t="shared" si="34"/>
        <v>0</v>
      </c>
      <c r="H162" s="178">
        <f t="shared" si="34"/>
        <v>0</v>
      </c>
      <c r="I162" s="178">
        <f t="shared" si="34"/>
        <v>0</v>
      </c>
      <c r="J162" s="178">
        <f t="shared" si="34"/>
        <v>0</v>
      </c>
      <c r="K162" s="178">
        <f t="shared" si="34"/>
        <v>0</v>
      </c>
      <c r="L162" s="178">
        <f t="shared" si="34"/>
        <v>0</v>
      </c>
      <c r="M162" s="178">
        <f t="shared" si="34"/>
        <v>0</v>
      </c>
      <c r="N162" s="178">
        <f t="shared" si="34"/>
        <v>0</v>
      </c>
      <c r="O162" s="178">
        <f t="shared" si="34"/>
        <v>0</v>
      </c>
      <c r="P162" s="178">
        <f t="shared" si="34"/>
        <v>0.16756758184435058</v>
      </c>
      <c r="Q162" s="178">
        <f t="shared" si="34"/>
        <v>0.1398376992329261</v>
      </c>
      <c r="R162" s="178">
        <f t="shared" si="34"/>
        <v>0.11975168360103873</v>
      </c>
      <c r="S162" s="178">
        <f t="shared" si="34"/>
        <v>0.10126633746071254</v>
      </c>
      <c r="T162" s="178">
        <f t="shared" si="34"/>
        <v>8.8865494609232876E-2</v>
      </c>
      <c r="U162" s="178">
        <f t="shared" si="34"/>
        <v>7.7066788839769765E-2</v>
      </c>
      <c r="V162" s="178">
        <f t="shared" si="34"/>
        <v>6.5927539199147428E-2</v>
      </c>
      <c r="W162" s="178">
        <f t="shared" si="34"/>
        <v>5.5439426611829754E-2</v>
      </c>
      <c r="X162" s="178">
        <f t="shared" si="34"/>
        <v>4.5595996003770962E-2</v>
      </c>
      <c r="Y162" s="178">
        <f t="shared" si="34"/>
        <v>0</v>
      </c>
      <c r="Z162" s="178">
        <f t="shared" si="34"/>
        <v>0</v>
      </c>
      <c r="AA162" s="178">
        <f t="shared" si="34"/>
        <v>0</v>
      </c>
      <c r="AB162" s="178">
        <f t="shared" si="34"/>
        <v>0</v>
      </c>
      <c r="AC162" s="178">
        <f t="shared" si="34"/>
        <v>0</v>
      </c>
      <c r="AD162" s="178">
        <f t="shared" si="34"/>
        <v>0</v>
      </c>
      <c r="AE162" s="178">
        <f t="shared" si="34"/>
        <v>0</v>
      </c>
      <c r="AF162" s="178">
        <f t="shared" si="34"/>
        <v>0</v>
      </c>
      <c r="AG162" s="178">
        <f t="shared" si="34"/>
        <v>0</v>
      </c>
      <c r="AH162" s="178">
        <f t="shared" si="34"/>
        <v>0</v>
      </c>
      <c r="AI162" s="178">
        <f t="shared" si="34"/>
        <v>0</v>
      </c>
      <c r="AJ162" s="178">
        <f t="shared" ref="AJ162:BO162" si="35">IF(AJ$5&gt;$D$7,0,AJ39*$F124)</f>
        <v>0</v>
      </c>
      <c r="AK162" s="178">
        <f t="shared" si="33"/>
        <v>0</v>
      </c>
      <c r="AL162" s="178">
        <f t="shared" si="33"/>
        <v>0</v>
      </c>
      <c r="AM162" s="178">
        <f t="shared" si="33"/>
        <v>0</v>
      </c>
      <c r="AN162" s="178">
        <f t="shared" si="33"/>
        <v>0</v>
      </c>
      <c r="AO162" s="178">
        <f t="shared" si="33"/>
        <v>0</v>
      </c>
      <c r="AP162" s="178">
        <f t="shared" si="33"/>
        <v>0</v>
      </c>
      <c r="AQ162" s="178">
        <f t="shared" si="33"/>
        <v>0</v>
      </c>
      <c r="AR162" s="178">
        <f t="shared" si="33"/>
        <v>0</v>
      </c>
      <c r="AS162" s="178">
        <f t="shared" si="33"/>
        <v>0</v>
      </c>
      <c r="AT162" s="178">
        <f t="shared" si="33"/>
        <v>0</v>
      </c>
      <c r="AU162" s="178">
        <f t="shared" si="33"/>
        <v>0</v>
      </c>
      <c r="AV162" s="178">
        <f t="shared" si="33"/>
        <v>0</v>
      </c>
      <c r="AW162" s="178">
        <f t="shared" si="33"/>
        <v>0</v>
      </c>
      <c r="AX162" s="178">
        <f t="shared" si="33"/>
        <v>0</v>
      </c>
      <c r="AY162" s="178">
        <f t="shared" ref="AY162:BZ162" si="36">IF(AY$5&gt;$D$7,0,AY39*$F124)</f>
        <v>0</v>
      </c>
      <c r="AZ162" s="178">
        <f t="shared" si="36"/>
        <v>0</v>
      </c>
      <c r="BA162" s="178">
        <f t="shared" si="36"/>
        <v>0</v>
      </c>
      <c r="BB162" s="178">
        <f t="shared" si="36"/>
        <v>0</v>
      </c>
      <c r="BC162" s="178">
        <f t="shared" si="36"/>
        <v>0</v>
      </c>
      <c r="BD162" s="178">
        <f t="shared" si="36"/>
        <v>0</v>
      </c>
      <c r="BE162" s="178">
        <f t="shared" si="36"/>
        <v>0</v>
      </c>
      <c r="BF162" s="178">
        <f t="shared" si="36"/>
        <v>0</v>
      </c>
      <c r="BG162" s="178">
        <f t="shared" si="36"/>
        <v>0</v>
      </c>
      <c r="BH162" s="178">
        <f t="shared" si="36"/>
        <v>0</v>
      </c>
      <c r="BI162" s="178">
        <f t="shared" si="36"/>
        <v>0</v>
      </c>
      <c r="BJ162" s="178">
        <f t="shared" si="36"/>
        <v>0</v>
      </c>
      <c r="BK162" s="178">
        <f t="shared" si="36"/>
        <v>0</v>
      </c>
      <c r="BL162" s="178">
        <f t="shared" si="36"/>
        <v>0</v>
      </c>
    </row>
    <row r="163" spans="2:64" x14ac:dyDescent="0.15">
      <c r="C163" s="115" t="s">
        <v>429</v>
      </c>
      <c r="E163" s="178">
        <f t="shared" ref="E163:BL164" si="37">IF(E$5&gt;$D$7,0,E40*$F125)</f>
        <v>0</v>
      </c>
      <c r="F163" s="178">
        <f t="shared" si="37"/>
        <v>0</v>
      </c>
      <c r="G163" s="178">
        <f t="shared" si="37"/>
        <v>0</v>
      </c>
      <c r="H163" s="178">
        <f t="shared" si="37"/>
        <v>0</v>
      </c>
      <c r="I163" s="178">
        <f t="shared" si="37"/>
        <v>0</v>
      </c>
      <c r="J163" s="178">
        <f t="shared" si="37"/>
        <v>0</v>
      </c>
      <c r="K163" s="178">
        <f t="shared" si="37"/>
        <v>0</v>
      </c>
      <c r="L163" s="178">
        <f t="shared" si="37"/>
        <v>0</v>
      </c>
      <c r="M163" s="178">
        <f t="shared" si="37"/>
        <v>0</v>
      </c>
      <c r="N163" s="178">
        <f t="shared" si="37"/>
        <v>0</v>
      </c>
      <c r="O163" s="178">
        <f t="shared" si="37"/>
        <v>0</v>
      </c>
      <c r="P163" s="178">
        <f t="shared" si="37"/>
        <v>0</v>
      </c>
      <c r="Q163" s="178">
        <f t="shared" si="37"/>
        <v>0.33018242727950858</v>
      </c>
      <c r="R163" s="178">
        <f t="shared" si="37"/>
        <v>0.2755422644983766</v>
      </c>
      <c r="S163" s="178">
        <f t="shared" si="37"/>
        <v>0.23596390857347535</v>
      </c>
      <c r="T163" s="178">
        <f t="shared" si="37"/>
        <v>0.19953958120337448</v>
      </c>
      <c r="U163" s="178">
        <f t="shared" si="37"/>
        <v>0.17510442287533573</v>
      </c>
      <c r="V163" s="178">
        <f t="shared" si="37"/>
        <v>0.15185574155619661</v>
      </c>
      <c r="W163" s="178">
        <f t="shared" si="37"/>
        <v>0.12990648118058606</v>
      </c>
      <c r="X163" s="178">
        <f t="shared" si="37"/>
        <v>0.10924024948143794</v>
      </c>
      <c r="Y163" s="178">
        <f t="shared" si="37"/>
        <v>0</v>
      </c>
      <c r="Z163" s="178">
        <f t="shared" si="37"/>
        <v>0</v>
      </c>
      <c r="AA163" s="178">
        <f t="shared" si="37"/>
        <v>0</v>
      </c>
      <c r="AB163" s="178">
        <f t="shared" si="37"/>
        <v>0</v>
      </c>
      <c r="AC163" s="178">
        <f t="shared" si="37"/>
        <v>0</v>
      </c>
      <c r="AD163" s="178">
        <f t="shared" si="37"/>
        <v>0</v>
      </c>
      <c r="AE163" s="178">
        <f t="shared" si="37"/>
        <v>0</v>
      </c>
      <c r="AF163" s="178">
        <f t="shared" si="37"/>
        <v>0</v>
      </c>
      <c r="AG163" s="178">
        <f t="shared" si="37"/>
        <v>0</v>
      </c>
      <c r="AH163" s="178">
        <f t="shared" si="37"/>
        <v>0</v>
      </c>
      <c r="AI163" s="178">
        <f t="shared" si="37"/>
        <v>0</v>
      </c>
      <c r="AJ163" s="178">
        <f t="shared" si="37"/>
        <v>0</v>
      </c>
      <c r="AK163" s="178">
        <f t="shared" si="37"/>
        <v>0</v>
      </c>
      <c r="AL163" s="178">
        <f t="shared" si="37"/>
        <v>0</v>
      </c>
      <c r="AM163" s="178">
        <f t="shared" si="37"/>
        <v>0</v>
      </c>
      <c r="AN163" s="178">
        <f t="shared" si="37"/>
        <v>0</v>
      </c>
      <c r="AO163" s="178">
        <f t="shared" si="37"/>
        <v>0</v>
      </c>
      <c r="AP163" s="178">
        <f t="shared" si="37"/>
        <v>0</v>
      </c>
      <c r="AQ163" s="178">
        <f t="shared" si="37"/>
        <v>0</v>
      </c>
      <c r="AR163" s="178">
        <f t="shared" si="37"/>
        <v>0</v>
      </c>
      <c r="AS163" s="178">
        <f t="shared" si="37"/>
        <v>0</v>
      </c>
      <c r="AT163" s="178">
        <f t="shared" si="37"/>
        <v>0</v>
      </c>
      <c r="AU163" s="178">
        <f t="shared" si="37"/>
        <v>0</v>
      </c>
      <c r="AV163" s="178">
        <f t="shared" si="37"/>
        <v>0</v>
      </c>
      <c r="AW163" s="178">
        <f t="shared" si="37"/>
        <v>0</v>
      </c>
      <c r="AX163" s="178">
        <f t="shared" si="37"/>
        <v>0</v>
      </c>
      <c r="AY163" s="178">
        <f t="shared" si="37"/>
        <v>0</v>
      </c>
      <c r="AZ163" s="178">
        <f t="shared" si="37"/>
        <v>0</v>
      </c>
      <c r="BA163" s="178">
        <f t="shared" si="37"/>
        <v>0</v>
      </c>
      <c r="BB163" s="178">
        <f t="shared" si="37"/>
        <v>0</v>
      </c>
      <c r="BC163" s="178">
        <f t="shared" si="37"/>
        <v>0</v>
      </c>
      <c r="BD163" s="178">
        <f t="shared" si="37"/>
        <v>0</v>
      </c>
      <c r="BE163" s="178">
        <f t="shared" si="37"/>
        <v>0</v>
      </c>
      <c r="BF163" s="178">
        <f t="shared" si="37"/>
        <v>0</v>
      </c>
      <c r="BG163" s="178">
        <f t="shared" si="37"/>
        <v>0</v>
      </c>
      <c r="BH163" s="178">
        <f t="shared" si="37"/>
        <v>0</v>
      </c>
      <c r="BI163" s="178">
        <f t="shared" si="37"/>
        <v>0</v>
      </c>
      <c r="BJ163" s="178">
        <f t="shared" si="37"/>
        <v>0</v>
      </c>
      <c r="BK163" s="178">
        <f t="shared" si="37"/>
        <v>0</v>
      </c>
      <c r="BL163" s="178">
        <f t="shared" si="37"/>
        <v>0</v>
      </c>
    </row>
    <row r="164" spans="2:64" x14ac:dyDescent="0.15">
      <c r="C164" s="115" t="s">
        <v>431</v>
      </c>
      <c r="E164" s="178">
        <f t="shared" si="37"/>
        <v>0</v>
      </c>
      <c r="F164" s="178">
        <f t="shared" si="37"/>
        <v>0</v>
      </c>
      <c r="G164" s="178">
        <f t="shared" si="37"/>
        <v>0</v>
      </c>
      <c r="H164" s="178">
        <f t="shared" si="37"/>
        <v>0</v>
      </c>
      <c r="I164" s="178">
        <f t="shared" si="37"/>
        <v>0</v>
      </c>
      <c r="J164" s="178">
        <f t="shared" si="37"/>
        <v>0</v>
      </c>
      <c r="K164" s="178">
        <f t="shared" si="37"/>
        <v>0</v>
      </c>
      <c r="L164" s="178">
        <f t="shared" si="37"/>
        <v>0</v>
      </c>
      <c r="M164" s="178">
        <f t="shared" si="37"/>
        <v>0</v>
      </c>
      <c r="N164" s="178">
        <f t="shared" si="37"/>
        <v>0</v>
      </c>
      <c r="O164" s="178">
        <f t="shared" si="37"/>
        <v>0</v>
      </c>
      <c r="P164" s="178">
        <f t="shared" si="37"/>
        <v>0</v>
      </c>
      <c r="Q164" s="178">
        <f t="shared" si="37"/>
        <v>0</v>
      </c>
      <c r="R164" s="178">
        <f t="shared" si="37"/>
        <v>0.33018242727950858</v>
      </c>
      <c r="S164" s="178">
        <f t="shared" si="37"/>
        <v>0.60572469177788513</v>
      </c>
      <c r="T164" s="178">
        <f t="shared" si="37"/>
        <v>0.84168860035136051</v>
      </c>
      <c r="U164" s="178">
        <f t="shared" si="37"/>
        <v>1.0412281815547351</v>
      </c>
      <c r="V164" s="178">
        <f t="shared" si="37"/>
        <v>1.2163326044300709</v>
      </c>
      <c r="W164" s="178">
        <f t="shared" si="37"/>
        <v>1.3681883459862674</v>
      </c>
      <c r="X164" s="178">
        <f t="shared" si="37"/>
        <v>1.4980948271668535</v>
      </c>
      <c r="Y164" s="178">
        <f t="shared" si="37"/>
        <v>0</v>
      </c>
      <c r="Z164" s="178">
        <f t="shared" si="37"/>
        <v>0</v>
      </c>
      <c r="AA164" s="178">
        <f t="shared" si="37"/>
        <v>0</v>
      </c>
      <c r="AB164" s="178">
        <f t="shared" si="37"/>
        <v>0</v>
      </c>
      <c r="AC164" s="178">
        <f t="shared" si="37"/>
        <v>0</v>
      </c>
      <c r="AD164" s="178">
        <f t="shared" si="37"/>
        <v>0</v>
      </c>
      <c r="AE164" s="178">
        <f t="shared" si="37"/>
        <v>0</v>
      </c>
      <c r="AF164" s="178">
        <f t="shared" si="37"/>
        <v>0</v>
      </c>
      <c r="AG164" s="178">
        <f t="shared" si="37"/>
        <v>0</v>
      </c>
      <c r="AH164" s="178">
        <f t="shared" si="37"/>
        <v>0</v>
      </c>
      <c r="AI164" s="178">
        <f t="shared" si="37"/>
        <v>0</v>
      </c>
      <c r="AJ164" s="178">
        <f t="shared" si="37"/>
        <v>0</v>
      </c>
      <c r="AK164" s="178">
        <f t="shared" si="37"/>
        <v>0</v>
      </c>
      <c r="AL164" s="178">
        <f t="shared" si="37"/>
        <v>0</v>
      </c>
      <c r="AM164" s="178">
        <f t="shared" si="37"/>
        <v>0</v>
      </c>
      <c r="AN164" s="178">
        <f t="shared" si="37"/>
        <v>0</v>
      </c>
      <c r="AO164" s="178">
        <f t="shared" si="37"/>
        <v>0</v>
      </c>
      <c r="AP164" s="178">
        <f t="shared" si="37"/>
        <v>0</v>
      </c>
      <c r="AQ164" s="178">
        <f t="shared" si="37"/>
        <v>0</v>
      </c>
      <c r="AR164" s="178">
        <f t="shared" si="37"/>
        <v>0</v>
      </c>
      <c r="AS164" s="178">
        <f t="shared" si="37"/>
        <v>0</v>
      </c>
      <c r="AT164" s="178">
        <f t="shared" si="37"/>
        <v>0</v>
      </c>
      <c r="AU164" s="178">
        <f t="shared" si="37"/>
        <v>0</v>
      </c>
      <c r="AV164" s="178">
        <f t="shared" si="37"/>
        <v>0</v>
      </c>
      <c r="AW164" s="178">
        <f t="shared" si="37"/>
        <v>0</v>
      </c>
      <c r="AX164" s="178">
        <f t="shared" si="37"/>
        <v>0</v>
      </c>
      <c r="AY164" s="178">
        <f t="shared" si="37"/>
        <v>0</v>
      </c>
      <c r="AZ164" s="178">
        <f t="shared" si="37"/>
        <v>0</v>
      </c>
      <c r="BA164" s="178">
        <f t="shared" si="37"/>
        <v>0</v>
      </c>
      <c r="BB164" s="178">
        <f t="shared" si="37"/>
        <v>0</v>
      </c>
      <c r="BC164" s="178">
        <f t="shared" si="37"/>
        <v>0</v>
      </c>
      <c r="BD164" s="178">
        <f t="shared" si="37"/>
        <v>0</v>
      </c>
      <c r="BE164" s="178">
        <f t="shared" si="37"/>
        <v>0</v>
      </c>
      <c r="BF164" s="178">
        <f t="shared" si="37"/>
        <v>0</v>
      </c>
      <c r="BG164" s="178">
        <f t="shared" si="37"/>
        <v>0</v>
      </c>
      <c r="BH164" s="178">
        <f t="shared" si="37"/>
        <v>0</v>
      </c>
      <c r="BI164" s="178">
        <f t="shared" si="37"/>
        <v>0</v>
      </c>
      <c r="BJ164" s="178">
        <f t="shared" si="37"/>
        <v>0</v>
      </c>
      <c r="BK164" s="178">
        <f t="shared" si="37"/>
        <v>0</v>
      </c>
      <c r="BL164" s="178">
        <f t="shared" si="37"/>
        <v>0</v>
      </c>
    </row>
    <row r="165" spans="2:64" x14ac:dyDescent="0.15">
      <c r="C165" s="115" t="s">
        <v>458</v>
      </c>
      <c r="E165" s="171">
        <f t="shared" ref="E165:BL165" si="38">IF(E$5&gt;$D$7,0,IF(E$5=$D$7,E44,SUM(E150:E164)))</f>
        <v>0.11804319002171305</v>
      </c>
      <c r="F165" s="171">
        <f t="shared" si="38"/>
        <v>0.11993697390299271</v>
      </c>
      <c r="G165" s="171">
        <f t="shared" si="38"/>
        <v>0.12072837263348066</v>
      </c>
      <c r="H165" s="171">
        <f t="shared" si="38"/>
        <v>0.1726459041847154</v>
      </c>
      <c r="I165" s="171">
        <f t="shared" si="38"/>
        <v>0.21569444400712645</v>
      </c>
      <c r="J165" s="171">
        <f t="shared" si="38"/>
        <v>0.25194645742302874</v>
      </c>
      <c r="K165" s="171">
        <f t="shared" si="38"/>
        <v>0.3809943167081758</v>
      </c>
      <c r="L165" s="171">
        <f t="shared" si="38"/>
        <v>0.48924960203618817</v>
      </c>
      <c r="M165" s="171">
        <f t="shared" si="38"/>
        <v>0.58147677376547213</v>
      </c>
      <c r="N165" s="171">
        <f t="shared" si="38"/>
        <v>0.65888491368683944</v>
      </c>
      <c r="O165" s="171">
        <f t="shared" si="38"/>
        <v>0.72533208663204574</v>
      </c>
      <c r="P165" s="171">
        <f t="shared" si="38"/>
        <v>0.78143603725303268</v>
      </c>
      <c r="Q165" s="171">
        <f t="shared" si="38"/>
        <v>0.99046769606980711</v>
      </c>
      <c r="R165" s="171">
        <f t="shared" si="38"/>
        <v>1.1636579669577622</v>
      </c>
      <c r="S165" s="171">
        <f t="shared" si="38"/>
        <v>1.3123491822833402</v>
      </c>
      <c r="T165" s="171">
        <f t="shared" si="38"/>
        <v>1.4358145158893998</v>
      </c>
      <c r="U165" s="171">
        <f t="shared" si="38"/>
        <v>1.5402201555355921</v>
      </c>
      <c r="V165" s="171">
        <f t="shared" si="38"/>
        <v>1.6267534798741625</v>
      </c>
      <c r="W165" s="171">
        <f t="shared" si="38"/>
        <v>1.6981502930249452</v>
      </c>
      <c r="X165" s="171">
        <f t="shared" si="38"/>
        <v>1.8991281270905886</v>
      </c>
      <c r="Y165" s="171">
        <f t="shared" si="38"/>
        <v>0</v>
      </c>
      <c r="Z165" s="171">
        <f t="shared" si="38"/>
        <v>0</v>
      </c>
      <c r="AA165" s="171">
        <f t="shared" si="38"/>
        <v>0</v>
      </c>
      <c r="AB165" s="171">
        <f t="shared" si="38"/>
        <v>0</v>
      </c>
      <c r="AC165" s="171">
        <f t="shared" si="38"/>
        <v>0</v>
      </c>
      <c r="AD165" s="171">
        <f t="shared" si="38"/>
        <v>0</v>
      </c>
      <c r="AE165" s="171">
        <f t="shared" si="38"/>
        <v>0</v>
      </c>
      <c r="AF165" s="171">
        <f t="shared" si="38"/>
        <v>0</v>
      </c>
      <c r="AG165" s="171">
        <f t="shared" si="38"/>
        <v>0</v>
      </c>
      <c r="AH165" s="171">
        <f t="shared" si="38"/>
        <v>0</v>
      </c>
      <c r="AI165" s="171">
        <f t="shared" si="38"/>
        <v>0</v>
      </c>
      <c r="AJ165" s="171">
        <f t="shared" si="38"/>
        <v>0</v>
      </c>
      <c r="AK165" s="171">
        <f t="shared" si="38"/>
        <v>0</v>
      </c>
      <c r="AL165" s="171">
        <f t="shared" si="38"/>
        <v>0</v>
      </c>
      <c r="AM165" s="171">
        <f t="shared" si="38"/>
        <v>0</v>
      </c>
      <c r="AN165" s="171">
        <f t="shared" si="38"/>
        <v>0</v>
      </c>
      <c r="AO165" s="171">
        <f t="shared" si="38"/>
        <v>0</v>
      </c>
      <c r="AP165" s="171">
        <f t="shared" si="38"/>
        <v>0</v>
      </c>
      <c r="AQ165" s="171">
        <f t="shared" si="38"/>
        <v>0</v>
      </c>
      <c r="AR165" s="171">
        <f t="shared" si="38"/>
        <v>0</v>
      </c>
      <c r="AS165" s="171">
        <f t="shared" si="38"/>
        <v>0</v>
      </c>
      <c r="AT165" s="171">
        <f t="shared" si="38"/>
        <v>0</v>
      </c>
      <c r="AU165" s="171">
        <f t="shared" si="38"/>
        <v>0</v>
      </c>
      <c r="AV165" s="171">
        <f t="shared" si="38"/>
        <v>0</v>
      </c>
      <c r="AW165" s="171">
        <f t="shared" si="38"/>
        <v>0</v>
      </c>
      <c r="AX165" s="171">
        <f t="shared" si="38"/>
        <v>0</v>
      </c>
      <c r="AY165" s="171">
        <f t="shared" si="38"/>
        <v>0</v>
      </c>
      <c r="AZ165" s="171">
        <f t="shared" si="38"/>
        <v>0</v>
      </c>
      <c r="BA165" s="171">
        <f t="shared" si="38"/>
        <v>0</v>
      </c>
      <c r="BB165" s="171">
        <f t="shared" si="38"/>
        <v>0</v>
      </c>
      <c r="BC165" s="171">
        <f t="shared" si="38"/>
        <v>0</v>
      </c>
      <c r="BD165" s="171">
        <f t="shared" si="38"/>
        <v>0</v>
      </c>
      <c r="BE165" s="171">
        <f t="shared" si="38"/>
        <v>0</v>
      </c>
      <c r="BF165" s="171">
        <f t="shared" si="38"/>
        <v>0</v>
      </c>
      <c r="BG165" s="171">
        <f t="shared" si="38"/>
        <v>0</v>
      </c>
      <c r="BH165" s="171">
        <f t="shared" si="38"/>
        <v>0</v>
      </c>
      <c r="BI165" s="171">
        <f t="shared" si="38"/>
        <v>0</v>
      </c>
      <c r="BJ165" s="171">
        <f t="shared" si="38"/>
        <v>0</v>
      </c>
      <c r="BK165" s="171">
        <f t="shared" si="38"/>
        <v>0</v>
      </c>
      <c r="BL165" s="171">
        <f t="shared" si="38"/>
        <v>0</v>
      </c>
    </row>
    <row r="166" spans="2:64" x14ac:dyDescent="0.15">
      <c r="C166" s="186" t="s">
        <v>457</v>
      </c>
      <c r="D166" s="311"/>
      <c r="E166" s="311">
        <f t="shared" ref="E166:BL166" si="39">-IF(E$5&gt;$D$7,0,E165-D165)</f>
        <v>-0.11804319002171305</v>
      </c>
      <c r="F166" s="311">
        <f t="shared" si="39"/>
        <v>-1.8937838812796565E-3</v>
      </c>
      <c r="G166" s="311">
        <f t="shared" si="39"/>
        <v>-7.9139873048794662E-4</v>
      </c>
      <c r="H166" s="311">
        <f t="shared" si="39"/>
        <v>-5.1917531551234741E-2</v>
      </c>
      <c r="I166" s="311">
        <f t="shared" si="39"/>
        <v>-4.3048539822411053E-2</v>
      </c>
      <c r="J166" s="311">
        <f t="shared" si="39"/>
        <v>-3.6252013415902284E-2</v>
      </c>
      <c r="K166" s="311">
        <f t="shared" si="39"/>
        <v>-0.12904785928514706</v>
      </c>
      <c r="L166" s="311">
        <f t="shared" si="39"/>
        <v>-0.10825528532801237</v>
      </c>
      <c r="M166" s="311">
        <f t="shared" si="39"/>
        <v>-9.2227171729283963E-2</v>
      </c>
      <c r="N166" s="311">
        <f t="shared" si="39"/>
        <v>-7.7408139921367303E-2</v>
      </c>
      <c r="O166" s="311">
        <f t="shared" si="39"/>
        <v>-6.6447172945206301E-2</v>
      </c>
      <c r="P166" s="311">
        <f t="shared" si="39"/>
        <v>-5.6103950620986942E-2</v>
      </c>
      <c r="Q166" s="311">
        <f t="shared" si="39"/>
        <v>-0.20903165881677443</v>
      </c>
      <c r="R166" s="311">
        <f t="shared" si="39"/>
        <v>-0.17319027088795513</v>
      </c>
      <c r="S166" s="311">
        <f t="shared" si="39"/>
        <v>-0.14869121532557794</v>
      </c>
      <c r="T166" s="311">
        <f t="shared" si="39"/>
        <v>-0.1234653336060596</v>
      </c>
      <c r="U166" s="311">
        <f t="shared" si="39"/>
        <v>-0.10440563964619232</v>
      </c>
      <c r="V166" s="311">
        <f t="shared" si="39"/>
        <v>-8.6533324338570417E-2</v>
      </c>
      <c r="W166" s="311">
        <f t="shared" si="39"/>
        <v>-7.1396813150782723E-2</v>
      </c>
      <c r="X166" s="311">
        <f t="shared" si="39"/>
        <v>-0.2009778340656434</v>
      </c>
      <c r="Y166" s="311">
        <f t="shared" si="39"/>
        <v>0</v>
      </c>
      <c r="Z166" s="311">
        <f t="shared" si="39"/>
        <v>0</v>
      </c>
      <c r="AA166" s="311">
        <f t="shared" si="39"/>
        <v>0</v>
      </c>
      <c r="AB166" s="311">
        <f t="shared" si="39"/>
        <v>0</v>
      </c>
      <c r="AC166" s="311">
        <f t="shared" si="39"/>
        <v>0</v>
      </c>
      <c r="AD166" s="311">
        <f t="shared" si="39"/>
        <v>0</v>
      </c>
      <c r="AE166" s="311">
        <f t="shared" si="39"/>
        <v>0</v>
      </c>
      <c r="AF166" s="311">
        <f t="shared" si="39"/>
        <v>0</v>
      </c>
      <c r="AG166" s="311">
        <f t="shared" si="39"/>
        <v>0</v>
      </c>
      <c r="AH166" s="311">
        <f t="shared" si="39"/>
        <v>0</v>
      </c>
      <c r="AI166" s="311">
        <f t="shared" si="39"/>
        <v>0</v>
      </c>
      <c r="AJ166" s="311">
        <f t="shared" si="39"/>
        <v>0</v>
      </c>
      <c r="AK166" s="311">
        <f t="shared" si="39"/>
        <v>0</v>
      </c>
      <c r="AL166" s="311">
        <f t="shared" si="39"/>
        <v>0</v>
      </c>
      <c r="AM166" s="311">
        <f t="shared" si="39"/>
        <v>0</v>
      </c>
      <c r="AN166" s="311">
        <f t="shared" si="39"/>
        <v>0</v>
      </c>
      <c r="AO166" s="311">
        <f t="shared" si="39"/>
        <v>0</v>
      </c>
      <c r="AP166" s="311">
        <f t="shared" si="39"/>
        <v>0</v>
      </c>
      <c r="AQ166" s="311">
        <f t="shared" si="39"/>
        <v>0</v>
      </c>
      <c r="AR166" s="311">
        <f t="shared" si="39"/>
        <v>0</v>
      </c>
      <c r="AS166" s="311">
        <f t="shared" si="39"/>
        <v>0</v>
      </c>
      <c r="AT166" s="311">
        <f t="shared" si="39"/>
        <v>0</v>
      </c>
      <c r="AU166" s="311">
        <f t="shared" si="39"/>
        <v>0</v>
      </c>
      <c r="AV166" s="311">
        <f t="shared" si="39"/>
        <v>0</v>
      </c>
      <c r="AW166" s="311">
        <f t="shared" si="39"/>
        <v>0</v>
      </c>
      <c r="AX166" s="311">
        <f t="shared" si="39"/>
        <v>0</v>
      </c>
      <c r="AY166" s="311">
        <f t="shared" si="39"/>
        <v>0</v>
      </c>
      <c r="AZ166" s="311">
        <f t="shared" si="39"/>
        <v>0</v>
      </c>
      <c r="BA166" s="311">
        <f t="shared" si="39"/>
        <v>0</v>
      </c>
      <c r="BB166" s="311">
        <f t="shared" si="39"/>
        <v>0</v>
      </c>
      <c r="BC166" s="311">
        <f t="shared" si="39"/>
        <v>0</v>
      </c>
      <c r="BD166" s="311">
        <f t="shared" si="39"/>
        <v>0</v>
      </c>
      <c r="BE166" s="311">
        <f t="shared" si="39"/>
        <v>0</v>
      </c>
      <c r="BF166" s="311">
        <f t="shared" si="39"/>
        <v>0</v>
      </c>
      <c r="BG166" s="311">
        <f t="shared" si="39"/>
        <v>0</v>
      </c>
      <c r="BH166" s="311">
        <f t="shared" si="39"/>
        <v>0</v>
      </c>
      <c r="BI166" s="311">
        <f t="shared" si="39"/>
        <v>0</v>
      </c>
      <c r="BJ166" s="311">
        <f t="shared" si="39"/>
        <v>0</v>
      </c>
      <c r="BK166" s="311">
        <f t="shared" si="39"/>
        <v>0</v>
      </c>
      <c r="BL166" s="311">
        <f t="shared" si="39"/>
        <v>0</v>
      </c>
    </row>
    <row r="168" spans="2:64" x14ac:dyDescent="0.15">
      <c r="B168" s="186" t="s">
        <v>461</v>
      </c>
      <c r="Y168" s="115" t="s">
        <v>460</v>
      </c>
    </row>
    <row r="169" spans="2:64" s="186" customFormat="1" x14ac:dyDescent="0.15">
      <c r="C169" s="186" t="s">
        <v>457</v>
      </c>
    </row>
    <row r="170" spans="2:64" s="186" customFormat="1" x14ac:dyDescent="0.15">
      <c r="C170" s="115" t="s">
        <v>412</v>
      </c>
      <c r="E170" s="178">
        <f t="shared" ref="E170:BL174" si="40">IF(E$5&gt;$D$7,0,E27*$G112)</f>
        <v>9.0060956974252968E-2</v>
      </c>
      <c r="F170" s="178">
        <f t="shared" si="40"/>
        <v>7.7124775962046754E-2</v>
      </c>
      <c r="G170" s="178">
        <f t="shared" si="40"/>
        <v>6.5219488814658569E-2</v>
      </c>
      <c r="H170" s="178">
        <f t="shared" si="40"/>
        <v>5.723286016860734E-2</v>
      </c>
      <c r="I170" s="178">
        <f t="shared" si="40"/>
        <v>4.9634031394361552E-2</v>
      </c>
      <c r="J170" s="178">
        <f t="shared" si="40"/>
        <v>4.245991820376542E-2</v>
      </c>
      <c r="K170" s="178">
        <f t="shared" si="40"/>
        <v>3.570516278624257E-2</v>
      </c>
      <c r="L170" s="178">
        <f t="shared" si="40"/>
        <v>2.936560782120571E-2</v>
      </c>
      <c r="M170" s="178">
        <f t="shared" si="40"/>
        <v>2.3436429670019153E-2</v>
      </c>
      <c r="N170" s="178">
        <f t="shared" si="40"/>
        <v>1.7913828826034681E-2</v>
      </c>
      <c r="O170" s="178">
        <f t="shared" si="40"/>
        <v>1.2795488310744431E-2</v>
      </c>
      <c r="P170" s="178">
        <f t="shared" si="40"/>
        <v>8.081767751540939E-3</v>
      </c>
      <c r="Q170" s="178">
        <f t="shared" si="40"/>
        <v>3.7794020827579804E-3</v>
      </c>
      <c r="R170" s="178">
        <f t="shared" si="40"/>
        <v>0</v>
      </c>
      <c r="S170" s="178">
        <f t="shared" si="40"/>
        <v>0</v>
      </c>
      <c r="T170" s="178">
        <f t="shared" si="40"/>
        <v>0</v>
      </c>
      <c r="U170" s="178">
        <f t="shared" si="40"/>
        <v>0</v>
      </c>
      <c r="V170" s="178">
        <f t="shared" si="40"/>
        <v>0</v>
      </c>
      <c r="W170" s="178">
        <f t="shared" si="40"/>
        <v>0</v>
      </c>
      <c r="X170" s="178">
        <f t="shared" si="40"/>
        <v>0</v>
      </c>
      <c r="Y170" s="178">
        <f t="shared" si="40"/>
        <v>0</v>
      </c>
      <c r="Z170" s="178">
        <f t="shared" si="40"/>
        <v>0</v>
      </c>
      <c r="AA170" s="178">
        <f t="shared" si="40"/>
        <v>0</v>
      </c>
      <c r="AB170" s="178">
        <f t="shared" si="40"/>
        <v>0</v>
      </c>
      <c r="AC170" s="178">
        <f t="shared" si="40"/>
        <v>0</v>
      </c>
      <c r="AD170" s="178">
        <f t="shared" si="40"/>
        <v>0</v>
      </c>
      <c r="AE170" s="178">
        <f t="shared" si="40"/>
        <v>0</v>
      </c>
      <c r="AF170" s="178">
        <f t="shared" si="40"/>
        <v>0</v>
      </c>
      <c r="AG170" s="178">
        <f t="shared" si="40"/>
        <v>0</v>
      </c>
      <c r="AH170" s="178">
        <f t="shared" si="40"/>
        <v>0</v>
      </c>
      <c r="AI170" s="178">
        <f t="shared" si="40"/>
        <v>0</v>
      </c>
      <c r="AJ170" s="178">
        <f t="shared" si="40"/>
        <v>0</v>
      </c>
      <c r="AK170" s="178">
        <f t="shared" si="40"/>
        <v>0</v>
      </c>
      <c r="AL170" s="178">
        <f t="shared" si="40"/>
        <v>0</v>
      </c>
      <c r="AM170" s="178">
        <f t="shared" si="40"/>
        <v>0</v>
      </c>
      <c r="AN170" s="178">
        <f t="shared" si="40"/>
        <v>0</v>
      </c>
      <c r="AO170" s="178">
        <f t="shared" si="40"/>
        <v>0</v>
      </c>
      <c r="AP170" s="178">
        <f t="shared" si="40"/>
        <v>0</v>
      </c>
      <c r="AQ170" s="178">
        <f t="shared" si="40"/>
        <v>0</v>
      </c>
      <c r="AR170" s="178">
        <f t="shared" si="40"/>
        <v>0</v>
      </c>
      <c r="AS170" s="178">
        <f t="shared" si="40"/>
        <v>0</v>
      </c>
      <c r="AT170" s="178">
        <f t="shared" si="40"/>
        <v>0</v>
      </c>
      <c r="AU170" s="178">
        <f t="shared" si="40"/>
        <v>0</v>
      </c>
      <c r="AV170" s="178">
        <f t="shared" si="40"/>
        <v>0</v>
      </c>
      <c r="AW170" s="178">
        <f t="shared" si="40"/>
        <v>0</v>
      </c>
      <c r="AX170" s="178">
        <f t="shared" si="40"/>
        <v>0</v>
      </c>
      <c r="AY170" s="178">
        <f t="shared" si="40"/>
        <v>0</v>
      </c>
      <c r="AZ170" s="178">
        <f t="shared" si="40"/>
        <v>0</v>
      </c>
      <c r="BA170" s="178">
        <f t="shared" si="40"/>
        <v>0</v>
      </c>
      <c r="BB170" s="178">
        <f t="shared" si="40"/>
        <v>0</v>
      </c>
      <c r="BC170" s="178">
        <f t="shared" si="40"/>
        <v>0</v>
      </c>
      <c r="BD170" s="178">
        <f t="shared" si="40"/>
        <v>0</v>
      </c>
      <c r="BE170" s="178">
        <f t="shared" si="40"/>
        <v>0</v>
      </c>
      <c r="BF170" s="178">
        <f t="shared" si="40"/>
        <v>0</v>
      </c>
      <c r="BG170" s="178">
        <f t="shared" si="40"/>
        <v>0</v>
      </c>
      <c r="BH170" s="178">
        <f t="shared" si="40"/>
        <v>0</v>
      </c>
      <c r="BI170" s="178">
        <f t="shared" si="40"/>
        <v>0</v>
      </c>
      <c r="BJ170" s="178">
        <f t="shared" si="40"/>
        <v>0</v>
      </c>
      <c r="BK170" s="178">
        <f t="shared" si="40"/>
        <v>0</v>
      </c>
      <c r="BL170" s="178">
        <f t="shared" si="40"/>
        <v>0</v>
      </c>
    </row>
    <row r="171" spans="2:64" s="186" customFormat="1" x14ac:dyDescent="0.15">
      <c r="C171" s="115" t="s">
        <v>414</v>
      </c>
      <c r="E171" s="178">
        <f t="shared" si="40"/>
        <v>2.7982233047460083E-2</v>
      </c>
      <c r="F171" s="178">
        <f t="shared" si="40"/>
        <v>2.3351599669147405E-2</v>
      </c>
      <c r="G171" s="178">
        <f t="shared" si="40"/>
        <v>1.9997421228305102E-2</v>
      </c>
      <c r="H171" s="178">
        <f t="shared" si="40"/>
        <v>1.6910539756553333E-2</v>
      </c>
      <c r="I171" s="178">
        <f t="shared" si="40"/>
        <v>1.4839713939078946E-2</v>
      </c>
      <c r="J171" s="178">
        <f t="shared" si="40"/>
        <v>1.2869439433320425E-2</v>
      </c>
      <c r="K171" s="178">
        <f t="shared" si="40"/>
        <v>1.1009287988828843E-2</v>
      </c>
      <c r="L171" s="178">
        <f t="shared" si="40"/>
        <v>9.2578703970960345E-3</v>
      </c>
      <c r="M171" s="178">
        <f t="shared" si="40"/>
        <v>7.6141087205859968E-3</v>
      </c>
      <c r="N171" s="178">
        <f t="shared" si="40"/>
        <v>6.0767522544189056E-3</v>
      </c>
      <c r="O171" s="178">
        <f t="shared" si="40"/>
        <v>4.6448158374198158E-3</v>
      </c>
      <c r="P171" s="178">
        <f t="shared" si="40"/>
        <v>3.3176987081003375E-3</v>
      </c>
      <c r="Q171" s="178">
        <f t="shared" si="40"/>
        <v>2.0954941130257184E-3</v>
      </c>
      <c r="R171" s="178">
        <f t="shared" si="40"/>
        <v>9.7994833044620037E-4</v>
      </c>
      <c r="S171" s="178">
        <f t="shared" si="40"/>
        <v>0</v>
      </c>
      <c r="T171" s="178">
        <f t="shared" si="40"/>
        <v>0</v>
      </c>
      <c r="U171" s="178">
        <f t="shared" si="40"/>
        <v>0</v>
      </c>
      <c r="V171" s="178">
        <f t="shared" si="40"/>
        <v>0</v>
      </c>
      <c r="W171" s="178">
        <f t="shared" si="40"/>
        <v>0</v>
      </c>
      <c r="X171" s="178">
        <f t="shared" si="40"/>
        <v>0</v>
      </c>
      <c r="Y171" s="178">
        <f t="shared" si="40"/>
        <v>0</v>
      </c>
      <c r="Z171" s="178">
        <f t="shared" si="40"/>
        <v>0</v>
      </c>
      <c r="AA171" s="178">
        <f t="shared" si="40"/>
        <v>0</v>
      </c>
      <c r="AB171" s="178">
        <f t="shared" si="40"/>
        <v>0</v>
      </c>
      <c r="AC171" s="178">
        <f t="shared" si="40"/>
        <v>0</v>
      </c>
      <c r="AD171" s="178">
        <f t="shared" si="40"/>
        <v>0</v>
      </c>
      <c r="AE171" s="178">
        <f t="shared" si="40"/>
        <v>0</v>
      </c>
      <c r="AF171" s="178">
        <f t="shared" si="40"/>
        <v>0</v>
      </c>
      <c r="AG171" s="178">
        <f t="shared" si="40"/>
        <v>0</v>
      </c>
      <c r="AH171" s="178">
        <f t="shared" si="40"/>
        <v>0</v>
      </c>
      <c r="AI171" s="178">
        <f t="shared" si="40"/>
        <v>0</v>
      </c>
      <c r="AJ171" s="178">
        <f t="shared" si="40"/>
        <v>0</v>
      </c>
      <c r="AK171" s="178">
        <f t="shared" si="40"/>
        <v>0</v>
      </c>
      <c r="AL171" s="178">
        <f t="shared" si="40"/>
        <v>0</v>
      </c>
      <c r="AM171" s="178">
        <f t="shared" si="40"/>
        <v>0</v>
      </c>
      <c r="AN171" s="178">
        <f t="shared" si="40"/>
        <v>0</v>
      </c>
      <c r="AO171" s="178">
        <f t="shared" si="40"/>
        <v>0</v>
      </c>
      <c r="AP171" s="178">
        <f t="shared" si="40"/>
        <v>0</v>
      </c>
      <c r="AQ171" s="178">
        <f t="shared" si="40"/>
        <v>0</v>
      </c>
      <c r="AR171" s="178">
        <f t="shared" si="40"/>
        <v>0</v>
      </c>
      <c r="AS171" s="178">
        <f t="shared" si="40"/>
        <v>0</v>
      </c>
      <c r="AT171" s="178">
        <f t="shared" si="40"/>
        <v>0</v>
      </c>
      <c r="AU171" s="178">
        <f t="shared" si="40"/>
        <v>0</v>
      </c>
      <c r="AV171" s="178">
        <f t="shared" si="40"/>
        <v>0</v>
      </c>
      <c r="AW171" s="178">
        <f t="shared" si="40"/>
        <v>0</v>
      </c>
      <c r="AX171" s="178">
        <f t="shared" si="40"/>
        <v>0</v>
      </c>
      <c r="AY171" s="178">
        <f t="shared" si="40"/>
        <v>0</v>
      </c>
      <c r="AZ171" s="178">
        <f t="shared" si="40"/>
        <v>0</v>
      </c>
      <c r="BA171" s="178">
        <f t="shared" si="40"/>
        <v>0</v>
      </c>
      <c r="BB171" s="178">
        <f t="shared" si="40"/>
        <v>0</v>
      </c>
      <c r="BC171" s="178">
        <f t="shared" si="40"/>
        <v>0</v>
      </c>
      <c r="BD171" s="178">
        <f t="shared" si="40"/>
        <v>0</v>
      </c>
      <c r="BE171" s="178">
        <f t="shared" si="40"/>
        <v>0</v>
      </c>
      <c r="BF171" s="178">
        <f t="shared" si="40"/>
        <v>0</v>
      </c>
      <c r="BG171" s="178">
        <f t="shared" si="40"/>
        <v>0</v>
      </c>
      <c r="BH171" s="178">
        <f t="shared" si="40"/>
        <v>0</v>
      </c>
      <c r="BI171" s="178">
        <f t="shared" si="40"/>
        <v>0</v>
      </c>
      <c r="BJ171" s="178">
        <f t="shared" si="40"/>
        <v>0</v>
      </c>
      <c r="BK171" s="178">
        <f t="shared" si="40"/>
        <v>0</v>
      </c>
      <c r="BL171" s="178">
        <f t="shared" si="40"/>
        <v>0</v>
      </c>
    </row>
    <row r="172" spans="2:64" s="186" customFormat="1" x14ac:dyDescent="0.15">
      <c r="C172" s="115" t="s">
        <v>415</v>
      </c>
      <c r="E172" s="178">
        <f t="shared" si="40"/>
        <v>0</v>
      </c>
      <c r="F172" s="178">
        <f t="shared" si="40"/>
        <v>1.9460598271798552E-2</v>
      </c>
      <c r="G172" s="178">
        <f t="shared" si="40"/>
        <v>1.6240165657772272E-2</v>
      </c>
      <c r="H172" s="178">
        <f t="shared" si="40"/>
        <v>1.390745979193057E-2</v>
      </c>
      <c r="I172" s="178">
        <f t="shared" si="40"/>
        <v>1.176064898764159E-2</v>
      </c>
      <c r="J172" s="178">
        <f t="shared" si="40"/>
        <v>1.0320466952977427E-2</v>
      </c>
      <c r="K172" s="178">
        <f t="shared" si="40"/>
        <v>8.9502146011833164E-3</v>
      </c>
      <c r="L172" s="178">
        <f t="shared" si="40"/>
        <v>7.6565487266779132E-3</v>
      </c>
      <c r="M172" s="178">
        <f t="shared" si="40"/>
        <v>6.4385031868146531E-3</v>
      </c>
      <c r="N172" s="178">
        <f t="shared" si="40"/>
        <v>5.2953283162857443E-3</v>
      </c>
      <c r="O172" s="178">
        <f t="shared" si="40"/>
        <v>4.2261542965466295E-3</v>
      </c>
      <c r="P172" s="178">
        <f t="shared" si="40"/>
        <v>3.230295984784505E-3</v>
      </c>
      <c r="Q172" s="178">
        <f t="shared" si="40"/>
        <v>2.3073355738156918E-3</v>
      </c>
      <c r="R172" s="178">
        <f t="shared" si="40"/>
        <v>1.4573379131446354E-3</v>
      </c>
      <c r="S172" s="178">
        <f t="shared" si="40"/>
        <v>6.8151747409108928E-4</v>
      </c>
      <c r="T172" s="178">
        <f t="shared" si="40"/>
        <v>0</v>
      </c>
      <c r="U172" s="178">
        <f t="shared" si="40"/>
        <v>0</v>
      </c>
      <c r="V172" s="178">
        <f t="shared" si="40"/>
        <v>0</v>
      </c>
      <c r="W172" s="178">
        <f t="shared" si="40"/>
        <v>0</v>
      </c>
      <c r="X172" s="178">
        <f t="shared" si="40"/>
        <v>0</v>
      </c>
      <c r="Y172" s="178">
        <f t="shared" si="40"/>
        <v>0</v>
      </c>
      <c r="Z172" s="178">
        <f t="shared" si="40"/>
        <v>0</v>
      </c>
      <c r="AA172" s="178">
        <f t="shared" si="40"/>
        <v>0</v>
      </c>
      <c r="AB172" s="178">
        <f t="shared" si="40"/>
        <v>0</v>
      </c>
      <c r="AC172" s="178">
        <f t="shared" si="40"/>
        <v>0</v>
      </c>
      <c r="AD172" s="178">
        <f t="shared" si="40"/>
        <v>0</v>
      </c>
      <c r="AE172" s="178">
        <f t="shared" si="40"/>
        <v>0</v>
      </c>
      <c r="AF172" s="178">
        <f t="shared" si="40"/>
        <v>0</v>
      </c>
      <c r="AG172" s="178">
        <f t="shared" si="40"/>
        <v>0</v>
      </c>
      <c r="AH172" s="178">
        <f t="shared" si="40"/>
        <v>0</v>
      </c>
      <c r="AI172" s="178">
        <f t="shared" si="40"/>
        <v>0</v>
      </c>
      <c r="AJ172" s="178">
        <f t="shared" si="40"/>
        <v>0</v>
      </c>
      <c r="AK172" s="178">
        <f t="shared" si="40"/>
        <v>0</v>
      </c>
      <c r="AL172" s="178">
        <f t="shared" si="40"/>
        <v>0</v>
      </c>
      <c r="AM172" s="178">
        <f t="shared" si="40"/>
        <v>0</v>
      </c>
      <c r="AN172" s="178">
        <f t="shared" si="40"/>
        <v>0</v>
      </c>
      <c r="AO172" s="178">
        <f t="shared" si="40"/>
        <v>0</v>
      </c>
      <c r="AP172" s="178">
        <f t="shared" si="40"/>
        <v>0</v>
      </c>
      <c r="AQ172" s="178">
        <f t="shared" si="40"/>
        <v>0</v>
      </c>
      <c r="AR172" s="178">
        <f t="shared" si="40"/>
        <v>0</v>
      </c>
      <c r="AS172" s="178">
        <f t="shared" si="40"/>
        <v>0</v>
      </c>
      <c r="AT172" s="178">
        <f t="shared" si="40"/>
        <v>0</v>
      </c>
      <c r="AU172" s="178">
        <f t="shared" si="40"/>
        <v>0</v>
      </c>
      <c r="AV172" s="178">
        <f t="shared" si="40"/>
        <v>0</v>
      </c>
      <c r="AW172" s="178">
        <f t="shared" si="40"/>
        <v>0</v>
      </c>
      <c r="AX172" s="178">
        <f t="shared" si="40"/>
        <v>0</v>
      </c>
      <c r="AY172" s="178">
        <f t="shared" si="40"/>
        <v>0</v>
      </c>
      <c r="AZ172" s="178">
        <f t="shared" si="40"/>
        <v>0</v>
      </c>
      <c r="BA172" s="178">
        <f t="shared" si="40"/>
        <v>0</v>
      </c>
      <c r="BB172" s="178">
        <f t="shared" si="40"/>
        <v>0</v>
      </c>
      <c r="BC172" s="178">
        <f t="shared" si="40"/>
        <v>0</v>
      </c>
      <c r="BD172" s="178">
        <f t="shared" si="40"/>
        <v>0</v>
      </c>
      <c r="BE172" s="178">
        <f t="shared" si="40"/>
        <v>0</v>
      </c>
      <c r="BF172" s="178">
        <f t="shared" si="40"/>
        <v>0</v>
      </c>
      <c r="BG172" s="178">
        <f t="shared" si="40"/>
        <v>0</v>
      </c>
      <c r="BH172" s="178">
        <f t="shared" si="40"/>
        <v>0</v>
      </c>
      <c r="BI172" s="178">
        <f t="shared" si="40"/>
        <v>0</v>
      </c>
      <c r="BJ172" s="178">
        <f t="shared" si="40"/>
        <v>0</v>
      </c>
      <c r="BK172" s="178">
        <f t="shared" si="40"/>
        <v>0</v>
      </c>
      <c r="BL172" s="178">
        <f t="shared" si="40"/>
        <v>0</v>
      </c>
    </row>
    <row r="173" spans="2:64" s="186" customFormat="1" x14ac:dyDescent="0.15">
      <c r="C173" s="115" t="s">
        <v>416</v>
      </c>
      <c r="E173" s="178">
        <f t="shared" si="40"/>
        <v>0</v>
      </c>
      <c r="F173" s="178">
        <f t="shared" si="40"/>
        <v>0</v>
      </c>
      <c r="G173" s="178">
        <f t="shared" si="40"/>
        <v>1.9271296932744729E-2</v>
      </c>
      <c r="H173" s="178">
        <f t="shared" si="40"/>
        <v>1.6082190807126119E-2</v>
      </c>
      <c r="I173" s="178">
        <f t="shared" si="40"/>
        <v>1.3772176142133183E-2</v>
      </c>
      <c r="J173" s="178">
        <f t="shared" si="40"/>
        <v>1.1646248260058164E-2</v>
      </c>
      <c r="K173" s="178">
        <f t="shared" si="40"/>
        <v>1.0220075475461006E-2</v>
      </c>
      <c r="L173" s="178">
        <f t="shared" si="40"/>
        <v>8.8631521386033068E-3</v>
      </c>
      <c r="M173" s="178">
        <f t="shared" si="40"/>
        <v>7.5820702904937911E-3</v>
      </c>
      <c r="N173" s="178">
        <f t="shared" si="40"/>
        <v>6.3758731865575409E-3</v>
      </c>
      <c r="O173" s="178">
        <f t="shared" si="40"/>
        <v>5.2438184537932243E-3</v>
      </c>
      <c r="P173" s="178">
        <f t="shared" si="40"/>
        <v>4.1850447347432955E-3</v>
      </c>
      <c r="Q173" s="178">
        <f t="shared" si="40"/>
        <v>3.1988735512642548E-3</v>
      </c>
      <c r="R173" s="178">
        <f t="shared" si="40"/>
        <v>2.2848911603567902E-3</v>
      </c>
      <c r="S173" s="178">
        <f t="shared" si="40"/>
        <v>1.4431617807072288E-3</v>
      </c>
      <c r="T173" s="178">
        <f t="shared" si="40"/>
        <v>6.7488806996732296E-4</v>
      </c>
      <c r="U173" s="178">
        <f t="shared" si="40"/>
        <v>0</v>
      </c>
      <c r="V173" s="178">
        <f t="shared" si="40"/>
        <v>0</v>
      </c>
      <c r="W173" s="178">
        <f t="shared" si="40"/>
        <v>0</v>
      </c>
      <c r="X173" s="178">
        <f t="shared" si="40"/>
        <v>0</v>
      </c>
      <c r="Y173" s="178">
        <f t="shared" si="40"/>
        <v>0</v>
      </c>
      <c r="Z173" s="178">
        <f t="shared" si="40"/>
        <v>0</v>
      </c>
      <c r="AA173" s="178">
        <f t="shared" si="40"/>
        <v>0</v>
      </c>
      <c r="AB173" s="178">
        <f t="shared" si="40"/>
        <v>0</v>
      </c>
      <c r="AC173" s="178">
        <f t="shared" si="40"/>
        <v>0</v>
      </c>
      <c r="AD173" s="178">
        <f t="shared" si="40"/>
        <v>0</v>
      </c>
      <c r="AE173" s="178">
        <f t="shared" si="40"/>
        <v>0</v>
      </c>
      <c r="AF173" s="178">
        <f t="shared" si="40"/>
        <v>0</v>
      </c>
      <c r="AG173" s="178">
        <f t="shared" si="40"/>
        <v>0</v>
      </c>
      <c r="AH173" s="178">
        <f t="shared" si="40"/>
        <v>0</v>
      </c>
      <c r="AI173" s="178">
        <f t="shared" si="40"/>
        <v>0</v>
      </c>
      <c r="AJ173" s="178">
        <f t="shared" si="40"/>
        <v>0</v>
      </c>
      <c r="AK173" s="178">
        <f t="shared" si="40"/>
        <v>0</v>
      </c>
      <c r="AL173" s="178">
        <f t="shared" si="40"/>
        <v>0</v>
      </c>
      <c r="AM173" s="178">
        <f t="shared" si="40"/>
        <v>0</v>
      </c>
      <c r="AN173" s="178">
        <f t="shared" si="40"/>
        <v>0</v>
      </c>
      <c r="AO173" s="178">
        <f t="shared" si="40"/>
        <v>0</v>
      </c>
      <c r="AP173" s="178">
        <f t="shared" si="40"/>
        <v>0</v>
      </c>
      <c r="AQ173" s="178">
        <f t="shared" si="40"/>
        <v>0</v>
      </c>
      <c r="AR173" s="178">
        <f t="shared" si="40"/>
        <v>0</v>
      </c>
      <c r="AS173" s="178">
        <f t="shared" si="40"/>
        <v>0</v>
      </c>
      <c r="AT173" s="178">
        <f t="shared" si="40"/>
        <v>0</v>
      </c>
      <c r="AU173" s="178">
        <f t="shared" si="40"/>
        <v>0</v>
      </c>
      <c r="AV173" s="178">
        <f t="shared" si="40"/>
        <v>0</v>
      </c>
      <c r="AW173" s="178">
        <f t="shared" si="40"/>
        <v>0</v>
      </c>
      <c r="AX173" s="178">
        <f t="shared" si="40"/>
        <v>0</v>
      </c>
      <c r="AY173" s="178">
        <f t="shared" si="40"/>
        <v>0</v>
      </c>
      <c r="AZ173" s="178">
        <f t="shared" si="40"/>
        <v>0</v>
      </c>
      <c r="BA173" s="178">
        <f t="shared" si="40"/>
        <v>0</v>
      </c>
      <c r="BB173" s="178">
        <f t="shared" si="40"/>
        <v>0</v>
      </c>
      <c r="BC173" s="178">
        <f t="shared" si="40"/>
        <v>0</v>
      </c>
      <c r="BD173" s="178">
        <f t="shared" si="40"/>
        <v>0</v>
      </c>
      <c r="BE173" s="178">
        <f t="shared" si="40"/>
        <v>0</v>
      </c>
      <c r="BF173" s="178">
        <f t="shared" si="40"/>
        <v>0</v>
      </c>
      <c r="BG173" s="178">
        <f t="shared" si="40"/>
        <v>0</v>
      </c>
      <c r="BH173" s="178">
        <f t="shared" si="40"/>
        <v>0</v>
      </c>
      <c r="BI173" s="178">
        <f t="shared" si="40"/>
        <v>0</v>
      </c>
      <c r="BJ173" s="178">
        <f t="shared" si="40"/>
        <v>0</v>
      </c>
      <c r="BK173" s="178">
        <f t="shared" si="40"/>
        <v>0</v>
      </c>
      <c r="BL173" s="178">
        <f t="shared" si="40"/>
        <v>0</v>
      </c>
    </row>
    <row r="174" spans="2:64" s="186" customFormat="1" x14ac:dyDescent="0.15">
      <c r="C174" s="115" t="s">
        <v>418</v>
      </c>
      <c r="E174" s="178">
        <f t="shared" si="40"/>
        <v>0</v>
      </c>
      <c r="F174" s="178">
        <f t="shared" si="40"/>
        <v>0</v>
      </c>
      <c r="G174" s="178">
        <f t="shared" si="40"/>
        <v>0</v>
      </c>
      <c r="H174" s="178">
        <f t="shared" si="40"/>
        <v>6.851285366049803E-2</v>
      </c>
      <c r="I174" s="178">
        <f t="shared" si="40"/>
        <v>5.7175019883413142E-2</v>
      </c>
      <c r="J174" s="178">
        <f t="shared" si="40"/>
        <v>4.8962511028996132E-2</v>
      </c>
      <c r="K174" s="178">
        <f t="shared" si="40"/>
        <v>4.1404463099700202E-2</v>
      </c>
      <c r="L174" s="178">
        <f t="shared" si="40"/>
        <v>3.6334167746632159E-2</v>
      </c>
      <c r="M174" s="178">
        <f t="shared" si="40"/>
        <v>3.1510066372910796E-2</v>
      </c>
      <c r="N174" s="178">
        <f t="shared" si="40"/>
        <v>2.6955594844971606E-2</v>
      </c>
      <c r="O174" s="178">
        <f t="shared" si="40"/>
        <v>2.2667351767398373E-2</v>
      </c>
      <c r="P174" s="178">
        <f t="shared" si="40"/>
        <v>1.8642697873463007E-2</v>
      </c>
      <c r="Q174" s="178">
        <f t="shared" si="40"/>
        <v>1.4878570885746173E-2</v>
      </c>
      <c r="R174" s="178">
        <f t="shared" si="40"/>
        <v>1.1372558694989241E-2</v>
      </c>
      <c r="S174" s="178">
        <f t="shared" si="40"/>
        <v>8.1231903719826276E-3</v>
      </c>
      <c r="T174" s="178">
        <f t="shared" ref="T174:BL178" si="41">IF(T$5&gt;$D$7,0,T31*$G116)</f>
        <v>5.1306942254630995E-3</v>
      </c>
      <c r="U174" s="178">
        <f t="shared" si="41"/>
        <v>2.3993459151325325E-3</v>
      </c>
      <c r="V174" s="178">
        <f t="shared" si="41"/>
        <v>0</v>
      </c>
      <c r="W174" s="178">
        <f t="shared" si="41"/>
        <v>0</v>
      </c>
      <c r="X174" s="178">
        <f t="shared" si="41"/>
        <v>0</v>
      </c>
      <c r="Y174" s="178">
        <f t="shared" si="41"/>
        <v>0</v>
      </c>
      <c r="Z174" s="178">
        <f t="shared" si="41"/>
        <v>0</v>
      </c>
      <c r="AA174" s="178">
        <f t="shared" si="41"/>
        <v>0</v>
      </c>
      <c r="AB174" s="178">
        <f t="shared" si="41"/>
        <v>0</v>
      </c>
      <c r="AC174" s="178">
        <f t="shared" si="41"/>
        <v>0</v>
      </c>
      <c r="AD174" s="178">
        <f t="shared" si="41"/>
        <v>0</v>
      </c>
      <c r="AE174" s="178">
        <f t="shared" si="41"/>
        <v>0</v>
      </c>
      <c r="AF174" s="178">
        <f t="shared" si="41"/>
        <v>0</v>
      </c>
      <c r="AG174" s="178">
        <f t="shared" si="41"/>
        <v>0</v>
      </c>
      <c r="AH174" s="178">
        <f t="shared" si="41"/>
        <v>0</v>
      </c>
      <c r="AI174" s="178">
        <f t="shared" si="41"/>
        <v>0</v>
      </c>
      <c r="AJ174" s="178">
        <f t="shared" si="41"/>
        <v>0</v>
      </c>
      <c r="AK174" s="178">
        <f t="shared" si="41"/>
        <v>0</v>
      </c>
      <c r="AL174" s="178">
        <f t="shared" si="41"/>
        <v>0</v>
      </c>
      <c r="AM174" s="178">
        <f t="shared" si="41"/>
        <v>0</v>
      </c>
      <c r="AN174" s="178">
        <f t="shared" si="41"/>
        <v>0</v>
      </c>
      <c r="AO174" s="178">
        <f t="shared" si="41"/>
        <v>0</v>
      </c>
      <c r="AP174" s="178">
        <f t="shared" si="41"/>
        <v>0</v>
      </c>
      <c r="AQ174" s="178">
        <f t="shared" si="41"/>
        <v>0</v>
      </c>
      <c r="AR174" s="178">
        <f t="shared" si="41"/>
        <v>0</v>
      </c>
      <c r="AS174" s="178">
        <f t="shared" si="41"/>
        <v>0</v>
      </c>
      <c r="AT174" s="178">
        <f t="shared" si="41"/>
        <v>0</v>
      </c>
      <c r="AU174" s="178">
        <f t="shared" si="41"/>
        <v>0</v>
      </c>
      <c r="AV174" s="178">
        <f t="shared" si="41"/>
        <v>0</v>
      </c>
      <c r="AW174" s="178">
        <f t="shared" si="41"/>
        <v>0</v>
      </c>
      <c r="AX174" s="178">
        <f t="shared" si="41"/>
        <v>0</v>
      </c>
      <c r="AY174" s="178">
        <f t="shared" si="41"/>
        <v>0</v>
      </c>
      <c r="AZ174" s="178">
        <f t="shared" si="41"/>
        <v>0</v>
      </c>
      <c r="BA174" s="178">
        <f t="shared" si="41"/>
        <v>0</v>
      </c>
      <c r="BB174" s="178">
        <f t="shared" si="41"/>
        <v>0</v>
      </c>
      <c r="BC174" s="178">
        <f t="shared" si="41"/>
        <v>0</v>
      </c>
      <c r="BD174" s="178">
        <f t="shared" si="41"/>
        <v>0</v>
      </c>
      <c r="BE174" s="178">
        <f t="shared" si="41"/>
        <v>0</v>
      </c>
      <c r="BF174" s="178">
        <f t="shared" si="41"/>
        <v>0</v>
      </c>
      <c r="BG174" s="178">
        <f t="shared" si="41"/>
        <v>0</v>
      </c>
      <c r="BH174" s="178">
        <f t="shared" si="41"/>
        <v>0</v>
      </c>
      <c r="BI174" s="178">
        <f t="shared" si="41"/>
        <v>0</v>
      </c>
      <c r="BJ174" s="178">
        <f t="shared" si="41"/>
        <v>0</v>
      </c>
      <c r="BK174" s="178">
        <f t="shared" si="41"/>
        <v>0</v>
      </c>
      <c r="BL174" s="178">
        <f t="shared" si="41"/>
        <v>0</v>
      </c>
    </row>
    <row r="175" spans="2:64" s="186" customFormat="1" x14ac:dyDescent="0.15">
      <c r="C175" s="115" t="s">
        <v>419</v>
      </c>
      <c r="E175" s="178">
        <f t="shared" ref="E175:AJ178" si="42">IF(E$5&gt;$D$7,0,E32*$G117)</f>
        <v>0</v>
      </c>
      <c r="F175" s="178">
        <f t="shared" si="42"/>
        <v>0</v>
      </c>
      <c r="G175" s="178">
        <f t="shared" si="42"/>
        <v>0</v>
      </c>
      <c r="H175" s="178">
        <f t="shared" si="42"/>
        <v>0</v>
      </c>
      <c r="I175" s="178">
        <f t="shared" si="42"/>
        <v>6.851285366049803E-2</v>
      </c>
      <c r="J175" s="178">
        <f t="shared" si="42"/>
        <v>5.7175019883413142E-2</v>
      </c>
      <c r="K175" s="178">
        <f t="shared" si="42"/>
        <v>4.8962511028996132E-2</v>
      </c>
      <c r="L175" s="178">
        <f t="shared" si="42"/>
        <v>4.1404463099700202E-2</v>
      </c>
      <c r="M175" s="178">
        <f t="shared" si="42"/>
        <v>3.6334167746632159E-2</v>
      </c>
      <c r="N175" s="178">
        <f t="shared" si="42"/>
        <v>3.1510066372910796E-2</v>
      </c>
      <c r="O175" s="178">
        <f t="shared" si="42"/>
        <v>2.6955594844971606E-2</v>
      </c>
      <c r="P175" s="178">
        <f t="shared" si="42"/>
        <v>2.2667351767398373E-2</v>
      </c>
      <c r="Q175" s="178">
        <f t="shared" si="42"/>
        <v>1.8642697873463007E-2</v>
      </c>
      <c r="R175" s="178">
        <f t="shared" si="42"/>
        <v>1.4878570885746173E-2</v>
      </c>
      <c r="S175" s="178">
        <f t="shared" si="42"/>
        <v>1.1372558694989241E-2</v>
      </c>
      <c r="T175" s="178">
        <f t="shared" si="42"/>
        <v>8.1231903719826276E-3</v>
      </c>
      <c r="U175" s="178">
        <f t="shared" si="42"/>
        <v>5.1306942254630995E-3</v>
      </c>
      <c r="V175" s="178">
        <f t="shared" si="42"/>
        <v>2.3993459151325325E-3</v>
      </c>
      <c r="W175" s="178">
        <f t="shared" si="42"/>
        <v>0</v>
      </c>
      <c r="X175" s="178">
        <f t="shared" si="42"/>
        <v>0</v>
      </c>
      <c r="Y175" s="178">
        <f t="shared" si="42"/>
        <v>0</v>
      </c>
      <c r="Z175" s="178">
        <f t="shared" si="42"/>
        <v>0</v>
      </c>
      <c r="AA175" s="178">
        <f t="shared" si="42"/>
        <v>0</v>
      </c>
      <c r="AB175" s="178">
        <f t="shared" si="42"/>
        <v>0</v>
      </c>
      <c r="AC175" s="178">
        <f t="shared" si="42"/>
        <v>0</v>
      </c>
      <c r="AD175" s="178">
        <f t="shared" si="42"/>
        <v>0</v>
      </c>
      <c r="AE175" s="178">
        <f t="shared" si="42"/>
        <v>0</v>
      </c>
      <c r="AF175" s="178">
        <f t="shared" si="42"/>
        <v>0</v>
      </c>
      <c r="AG175" s="178">
        <f t="shared" si="42"/>
        <v>0</v>
      </c>
      <c r="AH175" s="178">
        <f t="shared" si="42"/>
        <v>0</v>
      </c>
      <c r="AI175" s="178">
        <f t="shared" si="42"/>
        <v>0</v>
      </c>
      <c r="AJ175" s="178">
        <f t="shared" si="42"/>
        <v>0</v>
      </c>
      <c r="AK175" s="178">
        <f t="shared" si="41"/>
        <v>0</v>
      </c>
      <c r="AL175" s="178">
        <f t="shared" si="41"/>
        <v>0</v>
      </c>
      <c r="AM175" s="178">
        <f t="shared" si="41"/>
        <v>0</v>
      </c>
      <c r="AN175" s="178">
        <f t="shared" si="41"/>
        <v>0</v>
      </c>
      <c r="AO175" s="178">
        <f t="shared" si="41"/>
        <v>0</v>
      </c>
      <c r="AP175" s="178">
        <f t="shared" si="41"/>
        <v>0</v>
      </c>
      <c r="AQ175" s="178">
        <f t="shared" si="41"/>
        <v>0</v>
      </c>
      <c r="AR175" s="178">
        <f t="shared" si="41"/>
        <v>0</v>
      </c>
      <c r="AS175" s="178">
        <f t="shared" si="41"/>
        <v>0</v>
      </c>
      <c r="AT175" s="178">
        <f t="shared" si="41"/>
        <v>0</v>
      </c>
      <c r="AU175" s="178">
        <f t="shared" si="41"/>
        <v>0</v>
      </c>
      <c r="AV175" s="178">
        <f t="shared" si="41"/>
        <v>0</v>
      </c>
      <c r="AW175" s="178">
        <f t="shared" si="41"/>
        <v>0</v>
      </c>
      <c r="AX175" s="178">
        <f t="shared" si="41"/>
        <v>0</v>
      </c>
      <c r="AY175" s="178">
        <f t="shared" si="41"/>
        <v>0</v>
      </c>
      <c r="AZ175" s="178">
        <f t="shared" si="41"/>
        <v>0</v>
      </c>
      <c r="BA175" s="178">
        <f t="shared" si="41"/>
        <v>0</v>
      </c>
      <c r="BB175" s="178">
        <f t="shared" si="41"/>
        <v>0</v>
      </c>
      <c r="BC175" s="178">
        <f t="shared" si="41"/>
        <v>0</v>
      </c>
      <c r="BD175" s="178">
        <f t="shared" si="41"/>
        <v>0</v>
      </c>
      <c r="BE175" s="178">
        <f t="shared" si="41"/>
        <v>0</v>
      </c>
      <c r="BF175" s="178">
        <f t="shared" si="41"/>
        <v>0</v>
      </c>
      <c r="BG175" s="178">
        <f t="shared" si="41"/>
        <v>0</v>
      </c>
      <c r="BH175" s="178">
        <f t="shared" si="41"/>
        <v>0</v>
      </c>
      <c r="BI175" s="178">
        <f t="shared" si="41"/>
        <v>0</v>
      </c>
      <c r="BJ175" s="178">
        <f t="shared" si="41"/>
        <v>0</v>
      </c>
      <c r="BK175" s="178">
        <f t="shared" si="41"/>
        <v>0</v>
      </c>
      <c r="BL175" s="178">
        <f t="shared" si="41"/>
        <v>0</v>
      </c>
    </row>
    <row r="176" spans="2:64" s="186" customFormat="1" x14ac:dyDescent="0.15">
      <c r="C176" s="115" t="s">
        <v>420</v>
      </c>
      <c r="E176" s="178">
        <f t="shared" si="42"/>
        <v>0</v>
      </c>
      <c r="F176" s="178">
        <f t="shared" si="42"/>
        <v>0</v>
      </c>
      <c r="G176" s="178">
        <f t="shared" si="42"/>
        <v>0</v>
      </c>
      <c r="H176" s="178">
        <f t="shared" si="42"/>
        <v>0</v>
      </c>
      <c r="I176" s="178">
        <f t="shared" si="42"/>
        <v>0</v>
      </c>
      <c r="J176" s="178">
        <f t="shared" si="42"/>
        <v>6.851285366049803E-2</v>
      </c>
      <c r="K176" s="178">
        <f t="shared" si="42"/>
        <v>5.7175019883413142E-2</v>
      </c>
      <c r="L176" s="178">
        <f t="shared" si="42"/>
        <v>4.8962511028996132E-2</v>
      </c>
      <c r="M176" s="178">
        <f t="shared" si="42"/>
        <v>4.1404463099700202E-2</v>
      </c>
      <c r="N176" s="178">
        <f t="shared" si="42"/>
        <v>3.6334167746632159E-2</v>
      </c>
      <c r="O176" s="178">
        <f t="shared" si="42"/>
        <v>3.1510066372910796E-2</v>
      </c>
      <c r="P176" s="178">
        <f t="shared" si="42"/>
        <v>2.6955594844971606E-2</v>
      </c>
      <c r="Q176" s="178">
        <f t="shared" si="42"/>
        <v>2.2667351767398373E-2</v>
      </c>
      <c r="R176" s="178">
        <f t="shared" si="42"/>
        <v>1.8642697873463007E-2</v>
      </c>
      <c r="S176" s="178">
        <f t="shared" si="42"/>
        <v>1.4878570885746173E-2</v>
      </c>
      <c r="T176" s="178">
        <f t="shared" si="42"/>
        <v>1.1372558694989241E-2</v>
      </c>
      <c r="U176" s="178">
        <f t="shared" si="42"/>
        <v>8.1231903719826276E-3</v>
      </c>
      <c r="V176" s="178">
        <f t="shared" si="42"/>
        <v>5.1306942254630995E-3</v>
      </c>
      <c r="W176" s="178">
        <f t="shared" si="42"/>
        <v>2.3993459151325325E-3</v>
      </c>
      <c r="X176" s="178">
        <f t="shared" si="42"/>
        <v>0</v>
      </c>
      <c r="Y176" s="178">
        <f t="shared" si="42"/>
        <v>0</v>
      </c>
      <c r="Z176" s="178">
        <f t="shared" si="42"/>
        <v>0</v>
      </c>
      <c r="AA176" s="178">
        <f t="shared" si="42"/>
        <v>0</v>
      </c>
      <c r="AB176" s="178">
        <f t="shared" si="42"/>
        <v>0</v>
      </c>
      <c r="AC176" s="178">
        <f t="shared" si="42"/>
        <v>0</v>
      </c>
      <c r="AD176" s="178">
        <f t="shared" si="42"/>
        <v>0</v>
      </c>
      <c r="AE176" s="178">
        <f t="shared" si="42"/>
        <v>0</v>
      </c>
      <c r="AF176" s="178">
        <f t="shared" si="42"/>
        <v>0</v>
      </c>
      <c r="AG176" s="178">
        <f t="shared" si="42"/>
        <v>0</v>
      </c>
      <c r="AH176" s="178">
        <f t="shared" si="42"/>
        <v>0</v>
      </c>
      <c r="AI176" s="178">
        <f t="shared" si="42"/>
        <v>0</v>
      </c>
      <c r="AJ176" s="178">
        <f t="shared" si="42"/>
        <v>0</v>
      </c>
      <c r="AK176" s="178">
        <f t="shared" si="41"/>
        <v>0</v>
      </c>
      <c r="AL176" s="178">
        <f t="shared" si="41"/>
        <v>0</v>
      </c>
      <c r="AM176" s="178">
        <f t="shared" si="41"/>
        <v>0</v>
      </c>
      <c r="AN176" s="178">
        <f t="shared" si="41"/>
        <v>0</v>
      </c>
      <c r="AO176" s="178">
        <f t="shared" si="41"/>
        <v>0</v>
      </c>
      <c r="AP176" s="178">
        <f t="shared" si="41"/>
        <v>0</v>
      </c>
      <c r="AQ176" s="178">
        <f t="shared" si="41"/>
        <v>0</v>
      </c>
      <c r="AR176" s="178">
        <f t="shared" si="41"/>
        <v>0</v>
      </c>
      <c r="AS176" s="178">
        <f t="shared" si="41"/>
        <v>0</v>
      </c>
      <c r="AT176" s="178">
        <f t="shared" si="41"/>
        <v>0</v>
      </c>
      <c r="AU176" s="178">
        <f t="shared" si="41"/>
        <v>0</v>
      </c>
      <c r="AV176" s="178">
        <f t="shared" si="41"/>
        <v>0</v>
      </c>
      <c r="AW176" s="178">
        <f t="shared" si="41"/>
        <v>0</v>
      </c>
      <c r="AX176" s="178">
        <f t="shared" si="41"/>
        <v>0</v>
      </c>
      <c r="AY176" s="178">
        <f t="shared" si="41"/>
        <v>0</v>
      </c>
      <c r="AZ176" s="178">
        <f t="shared" si="41"/>
        <v>0</v>
      </c>
      <c r="BA176" s="178">
        <f t="shared" si="41"/>
        <v>0</v>
      </c>
      <c r="BB176" s="178">
        <f t="shared" si="41"/>
        <v>0</v>
      </c>
      <c r="BC176" s="178">
        <f t="shared" si="41"/>
        <v>0</v>
      </c>
      <c r="BD176" s="178">
        <f t="shared" si="41"/>
        <v>0</v>
      </c>
      <c r="BE176" s="178">
        <f t="shared" si="41"/>
        <v>0</v>
      </c>
      <c r="BF176" s="178">
        <f t="shared" si="41"/>
        <v>0</v>
      </c>
      <c r="BG176" s="178">
        <f t="shared" si="41"/>
        <v>0</v>
      </c>
      <c r="BH176" s="178">
        <f t="shared" si="41"/>
        <v>0</v>
      </c>
      <c r="BI176" s="178">
        <f t="shared" si="41"/>
        <v>0</v>
      </c>
      <c r="BJ176" s="178">
        <f t="shared" si="41"/>
        <v>0</v>
      </c>
      <c r="BK176" s="178">
        <f t="shared" si="41"/>
        <v>0</v>
      </c>
      <c r="BL176" s="178">
        <f t="shared" si="41"/>
        <v>0</v>
      </c>
    </row>
    <row r="177" spans="1:64" s="186" customFormat="1" x14ac:dyDescent="0.15">
      <c r="C177" s="115" t="s">
        <v>422</v>
      </c>
      <c r="E177" s="178">
        <f t="shared" si="42"/>
        <v>0</v>
      </c>
      <c r="F177" s="178">
        <f t="shared" si="42"/>
        <v>0</v>
      </c>
      <c r="G177" s="178">
        <f t="shared" si="42"/>
        <v>0</v>
      </c>
      <c r="H177" s="178">
        <f t="shared" si="42"/>
        <v>0</v>
      </c>
      <c r="I177" s="178">
        <f t="shared" si="42"/>
        <v>0</v>
      </c>
      <c r="J177" s="178">
        <f t="shared" si="42"/>
        <v>0</v>
      </c>
      <c r="K177" s="178">
        <f t="shared" si="42"/>
        <v>0.16756758184435058</v>
      </c>
      <c r="L177" s="178">
        <f t="shared" si="42"/>
        <v>0.1398376992329261</v>
      </c>
      <c r="M177" s="178">
        <f t="shared" si="42"/>
        <v>0.11975168360103873</v>
      </c>
      <c r="N177" s="178">
        <f t="shared" si="42"/>
        <v>0.10126633746071254</v>
      </c>
      <c r="O177" s="178">
        <f t="shared" si="42"/>
        <v>8.8865494609232876E-2</v>
      </c>
      <c r="P177" s="178">
        <f t="shared" si="42"/>
        <v>7.7066788839769765E-2</v>
      </c>
      <c r="Q177" s="178">
        <f t="shared" si="42"/>
        <v>6.5927539199147428E-2</v>
      </c>
      <c r="R177" s="178">
        <f t="shared" si="42"/>
        <v>5.5439426611829754E-2</v>
      </c>
      <c r="S177" s="178">
        <f t="shared" si="42"/>
        <v>4.5595996003770962E-2</v>
      </c>
      <c r="T177" s="178">
        <f t="shared" si="42"/>
        <v>3.6389757708511723E-2</v>
      </c>
      <c r="U177" s="178">
        <f t="shared" si="42"/>
        <v>2.7814812229913444E-2</v>
      </c>
      <c r="V177" s="178">
        <f t="shared" si="42"/>
        <v>1.9867561994126186E-2</v>
      </c>
      <c r="W177" s="178">
        <f t="shared" si="42"/>
        <v>1.2548565394807339E-2</v>
      </c>
      <c r="X177" s="178">
        <f t="shared" si="42"/>
        <v>5.868279768336193E-3</v>
      </c>
      <c r="Y177" s="178">
        <f t="shared" si="42"/>
        <v>0</v>
      </c>
      <c r="Z177" s="178">
        <f t="shared" si="42"/>
        <v>0</v>
      </c>
      <c r="AA177" s="178">
        <f t="shared" si="42"/>
        <v>0</v>
      </c>
      <c r="AB177" s="178">
        <f t="shared" si="42"/>
        <v>0</v>
      </c>
      <c r="AC177" s="178">
        <f t="shared" si="42"/>
        <v>0</v>
      </c>
      <c r="AD177" s="178">
        <f t="shared" si="42"/>
        <v>0</v>
      </c>
      <c r="AE177" s="178">
        <f t="shared" si="42"/>
        <v>0</v>
      </c>
      <c r="AF177" s="178">
        <f t="shared" si="42"/>
        <v>0</v>
      </c>
      <c r="AG177" s="178">
        <f t="shared" si="42"/>
        <v>0</v>
      </c>
      <c r="AH177" s="178">
        <f t="shared" si="42"/>
        <v>0</v>
      </c>
      <c r="AI177" s="178">
        <f t="shared" si="42"/>
        <v>0</v>
      </c>
      <c r="AJ177" s="178">
        <f t="shared" si="42"/>
        <v>0</v>
      </c>
      <c r="AK177" s="178">
        <f t="shared" si="41"/>
        <v>0</v>
      </c>
      <c r="AL177" s="178">
        <f t="shared" si="41"/>
        <v>0</v>
      </c>
      <c r="AM177" s="178">
        <f t="shared" si="41"/>
        <v>0</v>
      </c>
      <c r="AN177" s="178">
        <f t="shared" si="41"/>
        <v>0</v>
      </c>
      <c r="AO177" s="178">
        <f t="shared" si="41"/>
        <v>0</v>
      </c>
      <c r="AP177" s="178">
        <f t="shared" si="41"/>
        <v>0</v>
      </c>
      <c r="AQ177" s="178">
        <f t="shared" si="41"/>
        <v>0</v>
      </c>
      <c r="AR177" s="178">
        <f t="shared" si="41"/>
        <v>0</v>
      </c>
      <c r="AS177" s="178">
        <f t="shared" si="41"/>
        <v>0</v>
      </c>
      <c r="AT177" s="178">
        <f t="shared" si="41"/>
        <v>0</v>
      </c>
      <c r="AU177" s="178">
        <f t="shared" si="41"/>
        <v>0</v>
      </c>
      <c r="AV177" s="178">
        <f t="shared" si="41"/>
        <v>0</v>
      </c>
      <c r="AW177" s="178">
        <f t="shared" si="41"/>
        <v>0</v>
      </c>
      <c r="AX177" s="178">
        <f t="shared" si="41"/>
        <v>0</v>
      </c>
      <c r="AY177" s="178">
        <f t="shared" si="41"/>
        <v>0</v>
      </c>
      <c r="AZ177" s="178">
        <f t="shared" si="41"/>
        <v>0</v>
      </c>
      <c r="BA177" s="178">
        <f t="shared" si="41"/>
        <v>0</v>
      </c>
      <c r="BB177" s="178">
        <f t="shared" si="41"/>
        <v>0</v>
      </c>
      <c r="BC177" s="178">
        <f t="shared" si="41"/>
        <v>0</v>
      </c>
      <c r="BD177" s="178">
        <f t="shared" si="41"/>
        <v>0</v>
      </c>
      <c r="BE177" s="178">
        <f t="shared" si="41"/>
        <v>0</v>
      </c>
      <c r="BF177" s="178">
        <f t="shared" si="41"/>
        <v>0</v>
      </c>
      <c r="BG177" s="178">
        <f t="shared" si="41"/>
        <v>0</v>
      </c>
      <c r="BH177" s="178">
        <f t="shared" si="41"/>
        <v>0</v>
      </c>
      <c r="BI177" s="178">
        <f t="shared" si="41"/>
        <v>0</v>
      </c>
      <c r="BJ177" s="178">
        <f t="shared" si="41"/>
        <v>0</v>
      </c>
      <c r="BK177" s="178">
        <f t="shared" si="41"/>
        <v>0</v>
      </c>
      <c r="BL177" s="178">
        <f t="shared" si="41"/>
        <v>0</v>
      </c>
    </row>
    <row r="178" spans="1:64" s="186" customFormat="1" x14ac:dyDescent="0.15">
      <c r="C178" s="115" t="s">
        <v>423</v>
      </c>
      <c r="E178" s="178">
        <f t="shared" si="42"/>
        <v>0</v>
      </c>
      <c r="F178" s="178">
        <f t="shared" si="42"/>
        <v>0</v>
      </c>
      <c r="G178" s="178">
        <f t="shared" si="42"/>
        <v>0</v>
      </c>
      <c r="H178" s="178">
        <f t="shared" si="42"/>
        <v>0</v>
      </c>
      <c r="I178" s="178">
        <f t="shared" si="42"/>
        <v>0</v>
      </c>
      <c r="J178" s="178">
        <f t="shared" si="42"/>
        <v>0</v>
      </c>
      <c r="K178" s="178">
        <f t="shared" si="42"/>
        <v>0</v>
      </c>
      <c r="L178" s="178">
        <f t="shared" si="42"/>
        <v>0.33018242727950858</v>
      </c>
      <c r="M178" s="178">
        <f t="shared" si="42"/>
        <v>0.2755422644983766</v>
      </c>
      <c r="N178" s="178">
        <f t="shared" si="42"/>
        <v>0.23596390857347535</v>
      </c>
      <c r="O178" s="178">
        <f t="shared" si="42"/>
        <v>0.19953958120337448</v>
      </c>
      <c r="P178" s="178">
        <f t="shared" si="42"/>
        <v>0.17510442287533573</v>
      </c>
      <c r="Q178" s="178">
        <f t="shared" si="42"/>
        <v>0.15185574155619661</v>
      </c>
      <c r="R178" s="178">
        <f t="shared" si="42"/>
        <v>0.12990648118058606</v>
      </c>
      <c r="S178" s="178">
        <f t="shared" si="42"/>
        <v>0.10924024948143794</v>
      </c>
      <c r="T178" s="178">
        <f t="shared" si="42"/>
        <v>8.9844327101026536E-2</v>
      </c>
      <c r="U178" s="178">
        <f t="shared" si="42"/>
        <v>7.1703956075885172E-2</v>
      </c>
      <c r="V178" s="178">
        <f t="shared" si="42"/>
        <v>5.480751178308068E-2</v>
      </c>
      <c r="W178" s="178">
        <f t="shared" si="42"/>
        <v>3.9147905407145196E-2</v>
      </c>
      <c r="X178" s="178">
        <f t="shared" si="42"/>
        <v>2.4726237231147467E-2</v>
      </c>
      <c r="Y178" s="178">
        <f t="shared" si="42"/>
        <v>0</v>
      </c>
      <c r="Z178" s="178">
        <f t="shared" si="42"/>
        <v>0</v>
      </c>
      <c r="AA178" s="178">
        <f t="shared" si="42"/>
        <v>0</v>
      </c>
      <c r="AB178" s="178">
        <f t="shared" si="42"/>
        <v>0</v>
      </c>
      <c r="AC178" s="178">
        <f t="shared" si="42"/>
        <v>0</v>
      </c>
      <c r="AD178" s="178">
        <f t="shared" si="42"/>
        <v>0</v>
      </c>
      <c r="AE178" s="178">
        <f t="shared" si="42"/>
        <v>0</v>
      </c>
      <c r="AF178" s="178">
        <f t="shared" si="42"/>
        <v>0</v>
      </c>
      <c r="AG178" s="178">
        <f t="shared" si="42"/>
        <v>0</v>
      </c>
      <c r="AH178" s="178">
        <f t="shared" si="42"/>
        <v>0</v>
      </c>
      <c r="AI178" s="178">
        <f t="shared" si="42"/>
        <v>0</v>
      </c>
      <c r="AJ178" s="178">
        <f t="shared" si="42"/>
        <v>0</v>
      </c>
      <c r="AK178" s="178">
        <f t="shared" si="41"/>
        <v>0</v>
      </c>
      <c r="AL178" s="178">
        <f t="shared" si="41"/>
        <v>0</v>
      </c>
      <c r="AM178" s="178">
        <f t="shared" si="41"/>
        <v>0</v>
      </c>
      <c r="AN178" s="178">
        <f t="shared" si="41"/>
        <v>0</v>
      </c>
      <c r="AO178" s="178">
        <f t="shared" si="41"/>
        <v>0</v>
      </c>
      <c r="AP178" s="178">
        <f t="shared" si="41"/>
        <v>0</v>
      </c>
      <c r="AQ178" s="178">
        <f t="shared" si="41"/>
        <v>0</v>
      </c>
      <c r="AR178" s="178">
        <f t="shared" si="41"/>
        <v>0</v>
      </c>
      <c r="AS178" s="178">
        <f t="shared" si="41"/>
        <v>0</v>
      </c>
      <c r="AT178" s="178">
        <f t="shared" si="41"/>
        <v>0</v>
      </c>
      <c r="AU178" s="178">
        <f t="shared" si="41"/>
        <v>0</v>
      </c>
      <c r="AV178" s="178">
        <f t="shared" si="41"/>
        <v>0</v>
      </c>
      <c r="AW178" s="178">
        <f t="shared" si="41"/>
        <v>0</v>
      </c>
      <c r="AX178" s="178">
        <f t="shared" si="41"/>
        <v>0</v>
      </c>
      <c r="AY178" s="178">
        <f t="shared" si="41"/>
        <v>0</v>
      </c>
      <c r="AZ178" s="178">
        <f t="shared" si="41"/>
        <v>0</v>
      </c>
      <c r="BA178" s="178">
        <f t="shared" si="41"/>
        <v>0</v>
      </c>
      <c r="BB178" s="178">
        <f t="shared" si="41"/>
        <v>0</v>
      </c>
      <c r="BC178" s="178">
        <f t="shared" si="41"/>
        <v>0</v>
      </c>
      <c r="BD178" s="178">
        <f t="shared" si="41"/>
        <v>0</v>
      </c>
      <c r="BE178" s="178">
        <f t="shared" si="41"/>
        <v>0</v>
      </c>
      <c r="BF178" s="178">
        <f t="shared" si="41"/>
        <v>0</v>
      </c>
      <c r="BG178" s="178">
        <f t="shared" si="41"/>
        <v>0</v>
      </c>
      <c r="BH178" s="178">
        <f t="shared" si="41"/>
        <v>0</v>
      </c>
      <c r="BI178" s="178">
        <f t="shared" si="41"/>
        <v>0</v>
      </c>
      <c r="BJ178" s="178">
        <f t="shared" si="41"/>
        <v>0</v>
      </c>
      <c r="BK178" s="178">
        <f t="shared" si="41"/>
        <v>0</v>
      </c>
      <c r="BL178" s="178">
        <f t="shared" si="41"/>
        <v>0</v>
      </c>
    </row>
    <row r="179" spans="1:64" s="186" customFormat="1" x14ac:dyDescent="0.15">
      <c r="C179" s="115" t="s">
        <v>462</v>
      </c>
      <c r="E179" s="178">
        <f t="shared" ref="E179:BL179" si="43">IF(E5&gt;$D$7,0,D179+D178)</f>
        <v>0</v>
      </c>
      <c r="F179" s="178">
        <f t="shared" si="43"/>
        <v>0</v>
      </c>
      <c r="G179" s="178">
        <f t="shared" si="43"/>
        <v>0</v>
      </c>
      <c r="H179" s="178">
        <f t="shared" si="43"/>
        <v>0</v>
      </c>
      <c r="I179" s="178">
        <f t="shared" si="43"/>
        <v>0</v>
      </c>
      <c r="J179" s="178">
        <f t="shared" si="43"/>
        <v>0</v>
      </c>
      <c r="K179" s="178">
        <f t="shared" si="43"/>
        <v>0</v>
      </c>
      <c r="L179" s="178">
        <f t="shared" si="43"/>
        <v>0</v>
      </c>
      <c r="M179" s="178">
        <f t="shared" si="43"/>
        <v>0.33018242727950858</v>
      </c>
      <c r="N179" s="178">
        <f t="shared" si="43"/>
        <v>0.60572469177788513</v>
      </c>
      <c r="O179" s="178">
        <f t="shared" si="43"/>
        <v>0.84168860035136051</v>
      </c>
      <c r="P179" s="178">
        <f t="shared" si="43"/>
        <v>1.0412281815547351</v>
      </c>
      <c r="Q179" s="178">
        <f t="shared" si="43"/>
        <v>1.2163326044300709</v>
      </c>
      <c r="R179" s="178">
        <f t="shared" si="43"/>
        <v>1.3681883459862674</v>
      </c>
      <c r="S179" s="178">
        <f t="shared" si="43"/>
        <v>1.4980948271668535</v>
      </c>
      <c r="T179" s="178">
        <f t="shared" si="43"/>
        <v>1.6073350766482914</v>
      </c>
      <c r="U179" s="178">
        <f t="shared" si="43"/>
        <v>1.697179403749318</v>
      </c>
      <c r="V179" s="178">
        <f t="shared" si="43"/>
        <v>1.7688833598252032</v>
      </c>
      <c r="W179" s="178">
        <f t="shared" si="43"/>
        <v>1.8236908716082838</v>
      </c>
      <c r="X179" s="178">
        <f t="shared" si="43"/>
        <v>1.8628387770154291</v>
      </c>
      <c r="Y179" s="178">
        <f t="shared" si="43"/>
        <v>0</v>
      </c>
      <c r="Z179" s="178">
        <f t="shared" si="43"/>
        <v>0</v>
      </c>
      <c r="AA179" s="178">
        <f t="shared" si="43"/>
        <v>0</v>
      </c>
      <c r="AB179" s="178">
        <f t="shared" si="43"/>
        <v>0</v>
      </c>
      <c r="AC179" s="178">
        <f t="shared" si="43"/>
        <v>0</v>
      </c>
      <c r="AD179" s="178">
        <f t="shared" si="43"/>
        <v>0</v>
      </c>
      <c r="AE179" s="178">
        <f t="shared" si="43"/>
        <v>0</v>
      </c>
      <c r="AF179" s="178">
        <f t="shared" si="43"/>
        <v>0</v>
      </c>
      <c r="AG179" s="178">
        <f t="shared" si="43"/>
        <v>0</v>
      </c>
      <c r="AH179" s="178">
        <f t="shared" si="43"/>
        <v>0</v>
      </c>
      <c r="AI179" s="178">
        <f t="shared" si="43"/>
        <v>0</v>
      </c>
      <c r="AJ179" s="178">
        <f t="shared" si="43"/>
        <v>0</v>
      </c>
      <c r="AK179" s="178">
        <f t="shared" si="43"/>
        <v>0</v>
      </c>
      <c r="AL179" s="178">
        <f t="shared" si="43"/>
        <v>0</v>
      </c>
      <c r="AM179" s="178">
        <f t="shared" si="43"/>
        <v>0</v>
      </c>
      <c r="AN179" s="178">
        <f t="shared" si="43"/>
        <v>0</v>
      </c>
      <c r="AO179" s="178">
        <f t="shared" si="43"/>
        <v>0</v>
      </c>
      <c r="AP179" s="178">
        <f t="shared" si="43"/>
        <v>0</v>
      </c>
      <c r="AQ179" s="178">
        <f t="shared" si="43"/>
        <v>0</v>
      </c>
      <c r="AR179" s="178">
        <f t="shared" si="43"/>
        <v>0</v>
      </c>
      <c r="AS179" s="178">
        <f t="shared" si="43"/>
        <v>0</v>
      </c>
      <c r="AT179" s="178">
        <f t="shared" si="43"/>
        <v>0</v>
      </c>
      <c r="AU179" s="178">
        <f t="shared" si="43"/>
        <v>0</v>
      </c>
      <c r="AV179" s="178">
        <f t="shared" si="43"/>
        <v>0</v>
      </c>
      <c r="AW179" s="178">
        <f t="shared" si="43"/>
        <v>0</v>
      </c>
      <c r="AX179" s="178">
        <f t="shared" si="43"/>
        <v>0</v>
      </c>
      <c r="AY179" s="178">
        <f t="shared" si="43"/>
        <v>0</v>
      </c>
      <c r="AZ179" s="178">
        <f t="shared" si="43"/>
        <v>0</v>
      </c>
      <c r="BA179" s="178">
        <f t="shared" si="43"/>
        <v>0</v>
      </c>
      <c r="BB179" s="178">
        <f t="shared" si="43"/>
        <v>0</v>
      </c>
      <c r="BC179" s="178">
        <f t="shared" si="43"/>
        <v>0</v>
      </c>
      <c r="BD179" s="178">
        <f t="shared" si="43"/>
        <v>0</v>
      </c>
      <c r="BE179" s="178">
        <f t="shared" si="43"/>
        <v>0</v>
      </c>
      <c r="BF179" s="178">
        <f t="shared" si="43"/>
        <v>0</v>
      </c>
      <c r="BG179" s="178">
        <f t="shared" si="43"/>
        <v>0</v>
      </c>
      <c r="BH179" s="178">
        <f t="shared" si="43"/>
        <v>0</v>
      </c>
      <c r="BI179" s="178">
        <f t="shared" si="43"/>
        <v>0</v>
      </c>
      <c r="BJ179" s="178">
        <f t="shared" si="43"/>
        <v>0</v>
      </c>
      <c r="BK179" s="178">
        <f t="shared" si="43"/>
        <v>0</v>
      </c>
      <c r="BL179" s="178">
        <f t="shared" si="43"/>
        <v>0</v>
      </c>
    </row>
    <row r="180" spans="1:64" x14ac:dyDescent="0.15">
      <c r="C180" s="115" t="s">
        <v>458</v>
      </c>
      <c r="E180" s="171">
        <f t="shared" ref="E180:BL180" si="44">IF(E$5&gt;$D$7,0,IF(E$5=$D$7,E44,SUM(E170:E179)))</f>
        <v>0.11804319002171305</v>
      </c>
      <c r="F180" s="171">
        <f t="shared" si="44"/>
        <v>0.11993697390299271</v>
      </c>
      <c r="G180" s="171">
        <f t="shared" si="44"/>
        <v>0.12072837263348066</v>
      </c>
      <c r="H180" s="171">
        <f t="shared" si="44"/>
        <v>0.1726459041847154</v>
      </c>
      <c r="I180" s="171">
        <f t="shared" si="44"/>
        <v>0.21569444400712645</v>
      </c>
      <c r="J180" s="171">
        <f t="shared" si="44"/>
        <v>0.25194645742302874</v>
      </c>
      <c r="K180" s="171">
        <f t="shared" si="44"/>
        <v>0.3809943167081758</v>
      </c>
      <c r="L180" s="171">
        <f t="shared" si="44"/>
        <v>0.6518644474713462</v>
      </c>
      <c r="M180" s="171">
        <f t="shared" si="44"/>
        <v>0.87979618446608066</v>
      </c>
      <c r="N180" s="171">
        <f t="shared" si="44"/>
        <v>1.0734165493598844</v>
      </c>
      <c r="O180" s="171">
        <f t="shared" si="44"/>
        <v>1.2381369660477528</v>
      </c>
      <c r="P180" s="171">
        <f t="shared" si="44"/>
        <v>1.3804798449348425</v>
      </c>
      <c r="Q180" s="171">
        <f t="shared" si="44"/>
        <v>1.5016856110328862</v>
      </c>
      <c r="R180" s="171">
        <f t="shared" si="44"/>
        <v>1.6031502586368291</v>
      </c>
      <c r="S180" s="171">
        <f t="shared" si="44"/>
        <v>1.6894300718595787</v>
      </c>
      <c r="T180" s="171">
        <f t="shared" si="44"/>
        <v>1.7588704928202321</v>
      </c>
      <c r="U180" s="171">
        <f t="shared" si="44"/>
        <v>1.8123514025676948</v>
      </c>
      <c r="V180" s="171">
        <f t="shared" si="44"/>
        <v>1.8510884737430056</v>
      </c>
      <c r="W180" s="171">
        <f t="shared" si="44"/>
        <v>1.8777866883253689</v>
      </c>
      <c r="X180" s="171">
        <f t="shared" si="44"/>
        <v>1.8991281270905886</v>
      </c>
      <c r="Y180" s="171">
        <f t="shared" si="44"/>
        <v>0</v>
      </c>
      <c r="Z180" s="171">
        <f t="shared" si="44"/>
        <v>0</v>
      </c>
      <c r="AA180" s="171">
        <f t="shared" si="44"/>
        <v>0</v>
      </c>
      <c r="AB180" s="171">
        <f t="shared" si="44"/>
        <v>0</v>
      </c>
      <c r="AC180" s="171">
        <f t="shared" si="44"/>
        <v>0</v>
      </c>
      <c r="AD180" s="171">
        <f t="shared" si="44"/>
        <v>0</v>
      </c>
      <c r="AE180" s="171">
        <f t="shared" si="44"/>
        <v>0</v>
      </c>
      <c r="AF180" s="171">
        <f t="shared" si="44"/>
        <v>0</v>
      </c>
      <c r="AG180" s="171">
        <f t="shared" si="44"/>
        <v>0</v>
      </c>
      <c r="AH180" s="171">
        <f t="shared" si="44"/>
        <v>0</v>
      </c>
      <c r="AI180" s="171">
        <f t="shared" si="44"/>
        <v>0</v>
      </c>
      <c r="AJ180" s="171">
        <f t="shared" si="44"/>
        <v>0</v>
      </c>
      <c r="AK180" s="171">
        <f t="shared" si="44"/>
        <v>0</v>
      </c>
      <c r="AL180" s="171">
        <f t="shared" si="44"/>
        <v>0</v>
      </c>
      <c r="AM180" s="171">
        <f t="shared" si="44"/>
        <v>0</v>
      </c>
      <c r="AN180" s="171">
        <f t="shared" si="44"/>
        <v>0</v>
      </c>
      <c r="AO180" s="171">
        <f t="shared" si="44"/>
        <v>0</v>
      </c>
      <c r="AP180" s="171">
        <f t="shared" si="44"/>
        <v>0</v>
      </c>
      <c r="AQ180" s="171">
        <f t="shared" si="44"/>
        <v>0</v>
      </c>
      <c r="AR180" s="171">
        <f t="shared" si="44"/>
        <v>0</v>
      </c>
      <c r="AS180" s="171">
        <f t="shared" si="44"/>
        <v>0</v>
      </c>
      <c r="AT180" s="171">
        <f t="shared" si="44"/>
        <v>0</v>
      </c>
      <c r="AU180" s="171">
        <f t="shared" si="44"/>
        <v>0</v>
      </c>
      <c r="AV180" s="171">
        <f t="shared" si="44"/>
        <v>0</v>
      </c>
      <c r="AW180" s="171">
        <f t="shared" si="44"/>
        <v>0</v>
      </c>
      <c r="AX180" s="171">
        <f t="shared" si="44"/>
        <v>0</v>
      </c>
      <c r="AY180" s="171">
        <f t="shared" si="44"/>
        <v>0</v>
      </c>
      <c r="AZ180" s="171">
        <f t="shared" si="44"/>
        <v>0</v>
      </c>
      <c r="BA180" s="171">
        <f t="shared" si="44"/>
        <v>0</v>
      </c>
      <c r="BB180" s="171">
        <f t="shared" si="44"/>
        <v>0</v>
      </c>
      <c r="BC180" s="171">
        <f t="shared" si="44"/>
        <v>0</v>
      </c>
      <c r="BD180" s="171">
        <f t="shared" si="44"/>
        <v>0</v>
      </c>
      <c r="BE180" s="171">
        <f t="shared" si="44"/>
        <v>0</v>
      </c>
      <c r="BF180" s="171">
        <f t="shared" si="44"/>
        <v>0</v>
      </c>
      <c r="BG180" s="171">
        <f t="shared" si="44"/>
        <v>0</v>
      </c>
      <c r="BH180" s="171">
        <f t="shared" si="44"/>
        <v>0</v>
      </c>
      <c r="BI180" s="171">
        <f t="shared" si="44"/>
        <v>0</v>
      </c>
      <c r="BJ180" s="171">
        <f t="shared" si="44"/>
        <v>0</v>
      </c>
      <c r="BK180" s="171">
        <f t="shared" si="44"/>
        <v>0</v>
      </c>
      <c r="BL180" s="171">
        <f t="shared" si="44"/>
        <v>0</v>
      </c>
    </row>
    <row r="181" spans="1:64" x14ac:dyDescent="0.15">
      <c r="C181" s="186" t="s">
        <v>457</v>
      </c>
      <c r="D181" s="311"/>
      <c r="E181" s="311">
        <f t="shared" ref="E181:BL181" si="45">-IF(E$5&gt;$D$7,0,E180-D180)</f>
        <v>-0.11804319002171305</v>
      </c>
      <c r="F181" s="311">
        <f t="shared" si="45"/>
        <v>-1.8937838812796565E-3</v>
      </c>
      <c r="G181" s="311">
        <f t="shared" si="45"/>
        <v>-7.9139873048794662E-4</v>
      </c>
      <c r="H181" s="311">
        <f t="shared" si="45"/>
        <v>-5.1917531551234741E-2</v>
      </c>
      <c r="I181" s="311">
        <f t="shared" si="45"/>
        <v>-4.3048539822411053E-2</v>
      </c>
      <c r="J181" s="311">
        <f t="shared" si="45"/>
        <v>-3.6252013415902284E-2</v>
      </c>
      <c r="K181" s="311">
        <f t="shared" si="45"/>
        <v>-0.12904785928514706</v>
      </c>
      <c r="L181" s="311">
        <f t="shared" si="45"/>
        <v>-0.2708701307631704</v>
      </c>
      <c r="M181" s="311">
        <f t="shared" si="45"/>
        <v>-0.22793173699473446</v>
      </c>
      <c r="N181" s="311">
        <f t="shared" si="45"/>
        <v>-0.19362036489380374</v>
      </c>
      <c r="O181" s="311">
        <f t="shared" si="45"/>
        <v>-0.16472041668786841</v>
      </c>
      <c r="P181" s="311">
        <f t="shared" si="45"/>
        <v>-0.14234287888708974</v>
      </c>
      <c r="Q181" s="311">
        <f t="shared" si="45"/>
        <v>-0.12120576609804368</v>
      </c>
      <c r="R181" s="311">
        <f t="shared" si="45"/>
        <v>-0.10146464760394291</v>
      </c>
      <c r="S181" s="311">
        <f t="shared" si="45"/>
        <v>-8.627981322274958E-2</v>
      </c>
      <c r="T181" s="311">
        <f t="shared" si="45"/>
        <v>-6.9440420960653393E-2</v>
      </c>
      <c r="U181" s="311">
        <f t="shared" si="45"/>
        <v>-5.3480909747462668E-2</v>
      </c>
      <c r="V181" s="311">
        <f t="shared" si="45"/>
        <v>-3.8737071175310778E-2</v>
      </c>
      <c r="W181" s="311">
        <f t="shared" si="45"/>
        <v>-2.6698214582363322E-2</v>
      </c>
      <c r="X181" s="311">
        <f t="shared" si="45"/>
        <v>-2.1341438765219767E-2</v>
      </c>
      <c r="Y181" s="311">
        <f t="shared" si="45"/>
        <v>0</v>
      </c>
      <c r="Z181" s="311">
        <f t="shared" si="45"/>
        <v>0</v>
      </c>
      <c r="AA181" s="311">
        <f t="shared" si="45"/>
        <v>0</v>
      </c>
      <c r="AB181" s="311">
        <f t="shared" si="45"/>
        <v>0</v>
      </c>
      <c r="AC181" s="311">
        <f t="shared" si="45"/>
        <v>0</v>
      </c>
      <c r="AD181" s="311">
        <f t="shared" si="45"/>
        <v>0</v>
      </c>
      <c r="AE181" s="311">
        <f t="shared" si="45"/>
        <v>0</v>
      </c>
      <c r="AF181" s="311">
        <f t="shared" si="45"/>
        <v>0</v>
      </c>
      <c r="AG181" s="311">
        <f t="shared" si="45"/>
        <v>0</v>
      </c>
      <c r="AH181" s="311">
        <f t="shared" si="45"/>
        <v>0</v>
      </c>
      <c r="AI181" s="311">
        <f t="shared" si="45"/>
        <v>0</v>
      </c>
      <c r="AJ181" s="311">
        <f t="shared" si="45"/>
        <v>0</v>
      </c>
      <c r="AK181" s="311">
        <f t="shared" si="45"/>
        <v>0</v>
      </c>
      <c r="AL181" s="311">
        <f t="shared" si="45"/>
        <v>0</v>
      </c>
      <c r="AM181" s="311">
        <f t="shared" si="45"/>
        <v>0</v>
      </c>
      <c r="AN181" s="311">
        <f t="shared" si="45"/>
        <v>0</v>
      </c>
      <c r="AO181" s="311">
        <f t="shared" si="45"/>
        <v>0</v>
      </c>
      <c r="AP181" s="311">
        <f t="shared" si="45"/>
        <v>0</v>
      </c>
      <c r="AQ181" s="311">
        <f t="shared" si="45"/>
        <v>0</v>
      </c>
      <c r="AR181" s="311">
        <f t="shared" si="45"/>
        <v>0</v>
      </c>
      <c r="AS181" s="311">
        <f t="shared" si="45"/>
        <v>0</v>
      </c>
      <c r="AT181" s="311">
        <f t="shared" si="45"/>
        <v>0</v>
      </c>
      <c r="AU181" s="311">
        <f t="shared" si="45"/>
        <v>0</v>
      </c>
      <c r="AV181" s="311">
        <f t="shared" si="45"/>
        <v>0</v>
      </c>
      <c r="AW181" s="311">
        <f t="shared" si="45"/>
        <v>0</v>
      </c>
      <c r="AX181" s="311">
        <f t="shared" si="45"/>
        <v>0</v>
      </c>
      <c r="AY181" s="311">
        <f t="shared" si="45"/>
        <v>0</v>
      </c>
      <c r="AZ181" s="311">
        <f t="shared" si="45"/>
        <v>0</v>
      </c>
      <c r="BA181" s="311">
        <f t="shared" si="45"/>
        <v>0</v>
      </c>
      <c r="BB181" s="311">
        <f t="shared" si="45"/>
        <v>0</v>
      </c>
      <c r="BC181" s="311">
        <f t="shared" si="45"/>
        <v>0</v>
      </c>
      <c r="BD181" s="311">
        <f t="shared" si="45"/>
        <v>0</v>
      </c>
      <c r="BE181" s="311">
        <f t="shared" si="45"/>
        <v>0</v>
      </c>
      <c r="BF181" s="311">
        <f t="shared" si="45"/>
        <v>0</v>
      </c>
      <c r="BG181" s="311">
        <f t="shared" si="45"/>
        <v>0</v>
      </c>
      <c r="BH181" s="311">
        <f t="shared" si="45"/>
        <v>0</v>
      </c>
      <c r="BI181" s="311">
        <f t="shared" si="45"/>
        <v>0</v>
      </c>
      <c r="BJ181" s="311">
        <f t="shared" si="45"/>
        <v>0</v>
      </c>
      <c r="BK181" s="311">
        <f t="shared" si="45"/>
        <v>0</v>
      </c>
      <c r="BL181" s="311">
        <f t="shared" si="45"/>
        <v>0</v>
      </c>
    </row>
    <row r="183" spans="1:64" x14ac:dyDescent="0.15">
      <c r="B183" s="186" t="s">
        <v>457</v>
      </c>
      <c r="C183" s="186"/>
      <c r="D183" s="178"/>
      <c r="E183" s="311" cm="1">
        <f t="array" ref="E183">_xlfn.IFS(Leadsheet!$G$4="IFRS",SAP_Speadsheet!E146,AND(Leadsheet!$G$4="VAS",Leadsheet!$G$5="DPD360+"),SAP_Speadsheet!E166,AND(Leadsheet!$G$4="VAS",Leadsheet!$G$5="DPD180+"),SAP_Speadsheet!E181)</f>
        <v>-0.56440220176277323</v>
      </c>
      <c r="F183" s="311" cm="1">
        <f t="array" ref="F183">_xlfn.IFS(Leadsheet!$G$4="IFRS",SAP_Speadsheet!F146,AND(Leadsheet!$G$4="VAS",Leadsheet!$G$5="DPD360+"),SAP_Speadsheet!F166,AND(Leadsheet!$G$4="VAS",Leadsheet!$G$5="DPD180+"),SAP_Speadsheet!F181)</f>
        <v>-0.21986646960770551</v>
      </c>
      <c r="G183" s="311" cm="1">
        <f t="array" ref="G183">_xlfn.IFS(Leadsheet!$G$4="IFRS",SAP_Speadsheet!G146,AND(Leadsheet!$G$4="VAS",Leadsheet!$G$5="DPD360+"),SAP_Speadsheet!G166,AND(Leadsheet!$G$4="VAS",Leadsheet!$G$5="DPD180+"),SAP_Speadsheet!G181)</f>
        <v>-0.18592700693684672</v>
      </c>
      <c r="H183" s="311" cm="1">
        <f t="array" ref="H183">_xlfn.IFS(Leadsheet!$G$4="IFRS",SAP_Speadsheet!H146,AND(Leadsheet!$G$4="VAS",Leadsheet!$G$5="DPD360+"),SAP_Speadsheet!H166,AND(Leadsheet!$G$4="VAS",Leadsheet!$G$5="DPD180+"),SAP_Speadsheet!H181)</f>
        <v>-0.16315881315513414</v>
      </c>
      <c r="I183" s="311" cm="1">
        <f t="array" ref="I183">_xlfn.IFS(Leadsheet!$G$4="IFRS",SAP_Speadsheet!I146,AND(Leadsheet!$G$4="VAS",Leadsheet!$G$5="DPD360+"),SAP_Speadsheet!I166,AND(Leadsheet!$G$4="VAS",Leadsheet!$G$5="DPD180+"),SAP_Speadsheet!I181)</f>
        <v>-0.14149615501569213</v>
      </c>
      <c r="J183" s="311" cm="1">
        <f t="array" ref="J183">_xlfn.IFS(Leadsheet!$G$4="IFRS",SAP_Speadsheet!J146,AND(Leadsheet!$G$4="VAS",Leadsheet!$G$5="DPD360+"),SAP_Speadsheet!J166,AND(Leadsheet!$G$4="VAS",Leadsheet!$G$5="DPD180+"),SAP_Speadsheet!J181)</f>
        <v>-0.12104427142696506</v>
      </c>
      <c r="K183" s="311" cm="1">
        <f t="array" ref="K183">_xlfn.IFS(Leadsheet!$G$4="IFRS",SAP_Speadsheet!K146,AND(Leadsheet!$G$4="VAS",Leadsheet!$G$5="DPD360+"),SAP_Speadsheet!K166,AND(Leadsheet!$G$4="VAS",Leadsheet!$G$5="DPD180+"),SAP_Speadsheet!K181)</f>
        <v>-0.10178788840103414</v>
      </c>
      <c r="L183" s="311" cm="1">
        <f t="array" ref="L183">_xlfn.IFS(Leadsheet!$G$4="IFRS",SAP_Speadsheet!L146,AND(Leadsheet!$G$4="VAS",Leadsheet!$G$5="DPD360+"),SAP_Speadsheet!L166,AND(Leadsheet!$G$4="VAS",Leadsheet!$G$5="DPD180+"),SAP_Speadsheet!L181)</f>
        <v>-8.9993876916293791E-2</v>
      </c>
      <c r="M183" s="311" cm="1">
        <f t="array" ref="M183">_xlfn.IFS(Leadsheet!$G$4="IFRS",SAP_Speadsheet!M146,AND(Leadsheet!$G$4="VAS",Leadsheet!$G$5="DPD360+"),SAP_Speadsheet!M166,AND(Leadsheet!$G$4="VAS",Leadsheet!$G$5="DPD180+"),SAP_Speadsheet!M181)</f>
        <v>-7.2052007587024569E-2</v>
      </c>
      <c r="N183" s="311" cm="1">
        <f t="array" ref="N183">_xlfn.IFS(Leadsheet!$G$4="IFRS",SAP_Speadsheet!N146,AND(Leadsheet!$G$4="VAS",Leadsheet!$G$5="DPD360+"),SAP_Speadsheet!N166,AND(Leadsheet!$G$4="VAS",Leadsheet!$G$5="DPD180+"),SAP_Speadsheet!N181)</f>
        <v>-5.5555618522160399E-2</v>
      </c>
      <c r="O183" s="311" cm="1">
        <f t="array" ref="O183">_xlfn.IFS(Leadsheet!$G$4="IFRS",SAP_Speadsheet!O146,AND(Leadsheet!$G$4="VAS",Leadsheet!$G$5="DPD360+"),SAP_Speadsheet!O166,AND(Leadsheet!$G$4="VAS",Leadsheet!$G$5="DPD180+"),SAP_Speadsheet!O181)</f>
        <v>-4.0271667145098888E-2</v>
      </c>
      <c r="P183" s="311" cm="1">
        <f t="array" ref="P183">_xlfn.IFS(Leadsheet!$G$4="IFRS",SAP_Speadsheet!P146,AND(Leadsheet!$G$4="VAS",Leadsheet!$G$5="DPD360+"),SAP_Speadsheet!P166,AND(Leadsheet!$G$4="VAS",Leadsheet!$G$5="DPD180+"),SAP_Speadsheet!P181)</f>
        <v>-2.6369187002381222E-2</v>
      </c>
      <c r="Q183" s="311" cm="1">
        <f t="array" ref="Q183">_xlfn.IFS(Leadsheet!$G$4="IFRS",SAP_Speadsheet!Q146,AND(Leadsheet!$G$4="VAS",Leadsheet!$G$5="DPD360+"),SAP_Speadsheet!Q166,AND(Leadsheet!$G$4="VAS",Leadsheet!$G$5="DPD180+"),SAP_Speadsheet!Q181)</f>
        <v>-1.3661954843815938E-2</v>
      </c>
      <c r="R183" s="311" cm="1">
        <f t="array" ref="R183">_xlfn.IFS(Leadsheet!$G$4="IFRS",SAP_Speadsheet!R146,AND(Leadsheet!$G$4="VAS",Leadsheet!$G$5="DPD360+"),SAP_Speadsheet!R166,AND(Leadsheet!$G$4="VAS",Leadsheet!$G$5="DPD180+"),SAP_Speadsheet!R181)</f>
        <v>-8.8771510725431657E-3</v>
      </c>
      <c r="S183" s="311" cm="1">
        <f t="array" ref="S183">_xlfn.IFS(Leadsheet!$G$4="IFRS",SAP_Speadsheet!S146,AND(Leadsheet!$G$4="VAS",Leadsheet!$G$5="DPD360+"),SAP_Speadsheet!S166,AND(Leadsheet!$G$4="VAS",Leadsheet!$G$5="DPD180+"),SAP_Speadsheet!S181)</f>
        <v>-7.4239259452453243E-3</v>
      </c>
      <c r="T183" s="311" cm="1">
        <f t="array" ref="T183">_xlfn.IFS(Leadsheet!$G$4="IFRS",SAP_Speadsheet!T146,AND(Leadsheet!$G$4="VAS",Leadsheet!$G$5="DPD360+"),SAP_Speadsheet!T166,AND(Leadsheet!$G$4="VAS",Leadsheet!$G$5="DPD180+"),SAP_Speadsheet!T181)</f>
        <v>-6.2871162185669238E-3</v>
      </c>
      <c r="U183" s="311" cm="1">
        <f t="array" ref="U183">_xlfn.IFS(Leadsheet!$G$4="IFRS",SAP_Speadsheet!U146,AND(Leadsheet!$G$4="VAS",Leadsheet!$G$5="DPD360+"),SAP_Speadsheet!U166,AND(Leadsheet!$G$4="VAS",Leadsheet!$G$5="DPD180+"),SAP_Speadsheet!U181)</f>
        <v>-5.2353827260929187E-3</v>
      </c>
      <c r="V183" s="311" cm="1">
        <f t="array" ref="V183">_xlfn.IFS(Leadsheet!$G$4="IFRS",SAP_Speadsheet!V146,AND(Leadsheet!$G$4="VAS",Leadsheet!$G$5="DPD360+"),SAP_Speadsheet!V166,AND(Leadsheet!$G$4="VAS",Leadsheet!$G$5="DPD180+"),SAP_Speadsheet!V181)</f>
        <v>-4.4399414809390692E-3</v>
      </c>
      <c r="W183" s="311" cm="1">
        <f t="array" ref="W183">_xlfn.IFS(Leadsheet!$G$4="IFRS",SAP_Speadsheet!W146,AND(Leadsheet!$G$4="VAS",Leadsheet!$G$5="DPD360+"),SAP_Speadsheet!W166,AND(Leadsheet!$G$4="VAS",Leadsheet!$G$5="DPD180+"),SAP_Speadsheet!W181)</f>
        <v>-3.6910422465463721E-3</v>
      </c>
      <c r="X183" s="311" cm="1">
        <f t="array" ref="X183">_xlfn.IFS(Leadsheet!$G$4="IFRS",SAP_Speadsheet!X146,AND(Leadsheet!$G$4="VAS",Leadsheet!$G$5="DPD360+"),SAP_Speadsheet!X166,AND(Leadsheet!$G$4="VAS",Leadsheet!$G$5="DPD180+"),SAP_Speadsheet!X181)</f>
        <v>-2.9908975099166568E-3</v>
      </c>
      <c r="Y183" s="311" cm="1">
        <f t="array" ref="Y183">_xlfn.IFS(Leadsheet!$G$4="IFRS",SAP_Speadsheet!Y146,AND(Leadsheet!$G$4="VAS",Leadsheet!$G$5="DPD360+"),SAP_Speadsheet!Y166,AND(Leadsheet!$G$4="VAS",Leadsheet!$G$5="DPD180+"),SAP_Speadsheet!Y181)</f>
        <v>0</v>
      </c>
      <c r="Z183" s="311" cm="1">
        <f t="array" ref="Z183">_xlfn.IFS(Leadsheet!$G$4="IFRS",SAP_Speadsheet!Z146,AND(Leadsheet!$G$4="VAS",Leadsheet!$G$5="DPD360+"),SAP_Speadsheet!Z166,AND(Leadsheet!$G$4="VAS",Leadsheet!$G$5="DPD180+"),SAP_Speadsheet!Z181)</f>
        <v>0</v>
      </c>
      <c r="AA183" s="311" cm="1">
        <f t="array" ref="AA183">_xlfn.IFS(Leadsheet!$G$4="IFRS",SAP_Speadsheet!AA146,AND(Leadsheet!$G$4="VAS",Leadsheet!$G$5="DPD360+"),SAP_Speadsheet!AA166,AND(Leadsheet!$G$4="VAS",Leadsheet!$G$5="DPD180+"),SAP_Speadsheet!AA181)</f>
        <v>0</v>
      </c>
      <c r="AB183" s="311" cm="1">
        <f t="array" ref="AB183">_xlfn.IFS(Leadsheet!$G$4="IFRS",SAP_Speadsheet!AB146,AND(Leadsheet!$G$4="VAS",Leadsheet!$G$5="DPD360+"),SAP_Speadsheet!AB166,AND(Leadsheet!$G$4="VAS",Leadsheet!$G$5="DPD180+"),SAP_Speadsheet!AB181)</f>
        <v>0</v>
      </c>
      <c r="AC183" s="311" cm="1">
        <f t="array" ref="AC183">_xlfn.IFS(Leadsheet!$G$4="IFRS",SAP_Speadsheet!AC146,AND(Leadsheet!$G$4="VAS",Leadsheet!$G$5="DPD360+"),SAP_Speadsheet!AC166,AND(Leadsheet!$G$4="VAS",Leadsheet!$G$5="DPD180+"),SAP_Speadsheet!AC181)</f>
        <v>0</v>
      </c>
      <c r="AD183" s="311" cm="1">
        <f t="array" ref="AD183">_xlfn.IFS(Leadsheet!$G$4="IFRS",SAP_Speadsheet!AD146,AND(Leadsheet!$G$4="VAS",Leadsheet!$G$5="DPD360+"),SAP_Speadsheet!AD166,AND(Leadsheet!$G$4="VAS",Leadsheet!$G$5="DPD180+"),SAP_Speadsheet!AD181)</f>
        <v>0</v>
      </c>
      <c r="AE183" s="311" cm="1">
        <f t="array" ref="AE183">_xlfn.IFS(Leadsheet!$G$4="IFRS",SAP_Speadsheet!AE146,AND(Leadsheet!$G$4="VAS",Leadsheet!$G$5="DPD360+"),SAP_Speadsheet!AE166,AND(Leadsheet!$G$4="VAS",Leadsheet!$G$5="DPD180+"),SAP_Speadsheet!AE181)</f>
        <v>0</v>
      </c>
      <c r="AF183" s="311" cm="1">
        <f t="array" ref="AF183">_xlfn.IFS(Leadsheet!$G$4="IFRS",SAP_Speadsheet!AF146,AND(Leadsheet!$G$4="VAS",Leadsheet!$G$5="DPD360+"),SAP_Speadsheet!AF166,AND(Leadsheet!$G$4="VAS",Leadsheet!$G$5="DPD180+"),SAP_Speadsheet!AF181)</f>
        <v>0</v>
      </c>
      <c r="AG183" s="311" cm="1">
        <f t="array" ref="AG183">_xlfn.IFS(Leadsheet!$G$4="IFRS",SAP_Speadsheet!AG146,AND(Leadsheet!$G$4="VAS",Leadsheet!$G$5="DPD360+"),SAP_Speadsheet!AG166,AND(Leadsheet!$G$4="VAS",Leadsheet!$G$5="DPD180+"),SAP_Speadsheet!AG181)</f>
        <v>0</v>
      </c>
      <c r="AH183" s="311" cm="1">
        <f t="array" ref="AH183">_xlfn.IFS(Leadsheet!$G$4="IFRS",SAP_Speadsheet!AH146,AND(Leadsheet!$G$4="VAS",Leadsheet!$G$5="DPD360+"),SAP_Speadsheet!AH166,AND(Leadsheet!$G$4="VAS",Leadsheet!$G$5="DPD180+"),SAP_Speadsheet!AH181)</f>
        <v>0</v>
      </c>
      <c r="AI183" s="311" cm="1">
        <f t="array" ref="AI183">_xlfn.IFS(Leadsheet!$G$4="IFRS",SAP_Speadsheet!AI146,AND(Leadsheet!$G$4="VAS",Leadsheet!$G$5="DPD360+"),SAP_Speadsheet!AI166,AND(Leadsheet!$G$4="VAS",Leadsheet!$G$5="DPD180+"),SAP_Speadsheet!AI181)</f>
        <v>0</v>
      </c>
      <c r="AJ183" s="311" cm="1">
        <f t="array" ref="AJ183">_xlfn.IFS(Leadsheet!$G$4="IFRS",SAP_Speadsheet!AJ146,AND(Leadsheet!$G$4="VAS",Leadsheet!$G$5="DPD360+"),SAP_Speadsheet!AJ166,AND(Leadsheet!$G$4="VAS",Leadsheet!$G$5="DPD180+"),SAP_Speadsheet!AJ181)</f>
        <v>0</v>
      </c>
      <c r="AK183" s="311" cm="1">
        <f t="array" ref="AK183">_xlfn.IFS(Leadsheet!$G$4="IFRS",SAP_Speadsheet!AK146,AND(Leadsheet!$G$4="VAS",Leadsheet!$G$5="DPD360+"),SAP_Speadsheet!AK166,AND(Leadsheet!$G$4="VAS",Leadsheet!$G$5="DPD180+"),SAP_Speadsheet!AK181)</f>
        <v>0</v>
      </c>
      <c r="AL183" s="311" cm="1">
        <f t="array" ref="AL183">_xlfn.IFS(Leadsheet!$G$4="IFRS",SAP_Speadsheet!AL146,AND(Leadsheet!$G$4="VAS",Leadsheet!$G$5="DPD360+"),SAP_Speadsheet!AL166,AND(Leadsheet!$G$4="VAS",Leadsheet!$G$5="DPD180+"),SAP_Speadsheet!AL181)</f>
        <v>0</v>
      </c>
      <c r="AM183" s="311" cm="1">
        <f t="array" ref="AM183">_xlfn.IFS(Leadsheet!$G$4="IFRS",SAP_Speadsheet!AM146,AND(Leadsheet!$G$4="VAS",Leadsheet!$G$5="DPD360+"),SAP_Speadsheet!AM166,AND(Leadsheet!$G$4="VAS",Leadsheet!$G$5="DPD180+"),SAP_Speadsheet!AM181)</f>
        <v>0</v>
      </c>
      <c r="AN183" s="311" cm="1">
        <f t="array" ref="AN183">_xlfn.IFS(Leadsheet!$G$4="IFRS",SAP_Speadsheet!AN146,AND(Leadsheet!$G$4="VAS",Leadsheet!$G$5="DPD360+"),SAP_Speadsheet!AN166,AND(Leadsheet!$G$4="VAS",Leadsheet!$G$5="DPD180+"),SAP_Speadsheet!AN181)</f>
        <v>0</v>
      </c>
      <c r="AO183" s="311" cm="1">
        <f t="array" ref="AO183">_xlfn.IFS(Leadsheet!$G$4="IFRS",SAP_Speadsheet!AO146,AND(Leadsheet!$G$4="VAS",Leadsheet!$G$5="DPD360+"),SAP_Speadsheet!AO166,AND(Leadsheet!$G$4="VAS",Leadsheet!$G$5="DPD180+"),SAP_Speadsheet!AO181)</f>
        <v>0</v>
      </c>
      <c r="AP183" s="311" cm="1">
        <f t="array" ref="AP183">_xlfn.IFS(Leadsheet!$G$4="IFRS",SAP_Speadsheet!AP146,AND(Leadsheet!$G$4="VAS",Leadsheet!$G$5="DPD360+"),SAP_Speadsheet!AP166,AND(Leadsheet!$G$4="VAS",Leadsheet!$G$5="DPD180+"),SAP_Speadsheet!AP181)</f>
        <v>0</v>
      </c>
      <c r="AQ183" s="311" cm="1">
        <f t="array" ref="AQ183">_xlfn.IFS(Leadsheet!$G$4="IFRS",SAP_Speadsheet!AQ146,AND(Leadsheet!$G$4="VAS",Leadsheet!$G$5="DPD360+"),SAP_Speadsheet!AQ166,AND(Leadsheet!$G$4="VAS",Leadsheet!$G$5="DPD180+"),SAP_Speadsheet!AQ181)</f>
        <v>0</v>
      </c>
      <c r="AR183" s="311" cm="1">
        <f t="array" ref="AR183">_xlfn.IFS(Leadsheet!$G$4="IFRS",SAP_Speadsheet!AR146,AND(Leadsheet!$G$4="VAS",Leadsheet!$G$5="DPD360+"),SAP_Speadsheet!AR166,AND(Leadsheet!$G$4="VAS",Leadsheet!$G$5="DPD180+"),SAP_Speadsheet!AR181)</f>
        <v>0</v>
      </c>
      <c r="AS183" s="311" cm="1">
        <f t="array" ref="AS183">_xlfn.IFS(Leadsheet!$G$4="IFRS",SAP_Speadsheet!AS146,AND(Leadsheet!$G$4="VAS",Leadsheet!$G$5="DPD360+"),SAP_Speadsheet!AS166,AND(Leadsheet!$G$4="VAS",Leadsheet!$G$5="DPD180+"),SAP_Speadsheet!AS181)</f>
        <v>0</v>
      </c>
      <c r="AT183" s="311" cm="1">
        <f t="array" ref="AT183">_xlfn.IFS(Leadsheet!$G$4="IFRS",SAP_Speadsheet!AT146,AND(Leadsheet!$G$4="VAS",Leadsheet!$G$5="DPD360+"),SAP_Speadsheet!AT166,AND(Leadsheet!$G$4="VAS",Leadsheet!$G$5="DPD180+"),SAP_Speadsheet!AT181)</f>
        <v>0</v>
      </c>
      <c r="AU183" s="311" cm="1">
        <f t="array" ref="AU183">_xlfn.IFS(Leadsheet!$G$4="IFRS",SAP_Speadsheet!AU146,AND(Leadsheet!$G$4="VAS",Leadsheet!$G$5="DPD360+"),SAP_Speadsheet!AU166,AND(Leadsheet!$G$4="VAS",Leadsheet!$G$5="DPD180+"),SAP_Speadsheet!AU181)</f>
        <v>0</v>
      </c>
      <c r="AV183" s="311" cm="1">
        <f t="array" ref="AV183">_xlfn.IFS(Leadsheet!$G$4="IFRS",SAP_Speadsheet!AV146,AND(Leadsheet!$G$4="VAS",Leadsheet!$G$5="DPD360+"),SAP_Speadsheet!AV166,AND(Leadsheet!$G$4="VAS",Leadsheet!$G$5="DPD180+"),SAP_Speadsheet!AV181)</f>
        <v>0</v>
      </c>
      <c r="AW183" s="311" cm="1">
        <f t="array" ref="AW183">_xlfn.IFS(Leadsheet!$G$4="IFRS",SAP_Speadsheet!AW146,AND(Leadsheet!$G$4="VAS",Leadsheet!$G$5="DPD360+"),SAP_Speadsheet!AW166,AND(Leadsheet!$G$4="VAS",Leadsheet!$G$5="DPD180+"),SAP_Speadsheet!AW181)</f>
        <v>0</v>
      </c>
      <c r="AX183" s="311" cm="1">
        <f t="array" ref="AX183">_xlfn.IFS(Leadsheet!$G$4="IFRS",SAP_Speadsheet!AX146,AND(Leadsheet!$G$4="VAS",Leadsheet!$G$5="DPD360+"),SAP_Speadsheet!AX166,AND(Leadsheet!$G$4="VAS",Leadsheet!$G$5="DPD180+"),SAP_Speadsheet!AX181)</f>
        <v>0</v>
      </c>
      <c r="AY183" s="311" cm="1">
        <f t="array" ref="AY183">_xlfn.IFS(Leadsheet!$G$4="IFRS",SAP_Speadsheet!AY146,AND(Leadsheet!$G$4="VAS",Leadsheet!$G$5="DPD360+"),SAP_Speadsheet!AY166,AND(Leadsheet!$G$4="VAS",Leadsheet!$G$5="DPD180+"),SAP_Speadsheet!AY181)</f>
        <v>0</v>
      </c>
      <c r="AZ183" s="311" cm="1">
        <f t="array" ref="AZ183">_xlfn.IFS(Leadsheet!$G$4="IFRS",SAP_Speadsheet!AZ146,AND(Leadsheet!$G$4="VAS",Leadsheet!$G$5="DPD360+"),SAP_Speadsheet!AZ166,AND(Leadsheet!$G$4="VAS",Leadsheet!$G$5="DPD180+"),SAP_Speadsheet!AZ181)</f>
        <v>0</v>
      </c>
      <c r="BA183" s="311" cm="1">
        <f t="array" ref="BA183">_xlfn.IFS(Leadsheet!$G$4="IFRS",SAP_Speadsheet!BA146,AND(Leadsheet!$G$4="VAS",Leadsheet!$G$5="DPD360+"),SAP_Speadsheet!BA166,AND(Leadsheet!$G$4="VAS",Leadsheet!$G$5="DPD180+"),SAP_Speadsheet!BA181)</f>
        <v>0</v>
      </c>
      <c r="BB183" s="311" cm="1">
        <f t="array" ref="BB183">_xlfn.IFS(Leadsheet!$G$4="IFRS",SAP_Speadsheet!BB146,AND(Leadsheet!$G$4="VAS",Leadsheet!$G$5="DPD360+"),SAP_Speadsheet!BB166,AND(Leadsheet!$G$4="VAS",Leadsheet!$G$5="DPD180+"),SAP_Speadsheet!BB181)</f>
        <v>0</v>
      </c>
      <c r="BC183" s="311" cm="1">
        <f t="array" ref="BC183">_xlfn.IFS(Leadsheet!$G$4="IFRS",SAP_Speadsheet!BC146,AND(Leadsheet!$G$4="VAS",Leadsheet!$G$5="DPD360+"),SAP_Speadsheet!BC166,AND(Leadsheet!$G$4="VAS",Leadsheet!$G$5="DPD180+"),SAP_Speadsheet!BC181)</f>
        <v>0</v>
      </c>
      <c r="BD183" s="311" cm="1">
        <f t="array" ref="BD183">_xlfn.IFS(Leadsheet!$G$4="IFRS",SAP_Speadsheet!BD146,AND(Leadsheet!$G$4="VAS",Leadsheet!$G$5="DPD360+"),SAP_Speadsheet!BD166,AND(Leadsheet!$G$4="VAS",Leadsheet!$G$5="DPD180+"),SAP_Speadsheet!BD181)</f>
        <v>0</v>
      </c>
      <c r="BE183" s="311" cm="1">
        <f t="array" ref="BE183">_xlfn.IFS(Leadsheet!$G$4="IFRS",SAP_Speadsheet!BE146,AND(Leadsheet!$G$4="VAS",Leadsheet!$G$5="DPD360+"),SAP_Speadsheet!BE166,AND(Leadsheet!$G$4="VAS",Leadsheet!$G$5="DPD180+"),SAP_Speadsheet!BE181)</f>
        <v>0</v>
      </c>
      <c r="BF183" s="311" cm="1">
        <f t="array" ref="BF183">_xlfn.IFS(Leadsheet!$G$4="IFRS",SAP_Speadsheet!BF146,AND(Leadsheet!$G$4="VAS",Leadsheet!$G$5="DPD360+"),SAP_Speadsheet!BF166,AND(Leadsheet!$G$4="VAS",Leadsheet!$G$5="DPD180+"),SAP_Speadsheet!BF181)</f>
        <v>0</v>
      </c>
      <c r="BG183" s="311" cm="1">
        <f t="array" ref="BG183">_xlfn.IFS(Leadsheet!$G$4="IFRS",SAP_Speadsheet!BG146,AND(Leadsheet!$G$4="VAS",Leadsheet!$G$5="DPD360+"),SAP_Speadsheet!BG166,AND(Leadsheet!$G$4="VAS",Leadsheet!$G$5="DPD180+"),SAP_Speadsheet!BG181)</f>
        <v>0</v>
      </c>
      <c r="BH183" s="311" cm="1">
        <f t="array" ref="BH183">_xlfn.IFS(Leadsheet!$G$4="IFRS",SAP_Speadsheet!BH146,AND(Leadsheet!$G$4="VAS",Leadsheet!$G$5="DPD360+"),SAP_Speadsheet!BH166,AND(Leadsheet!$G$4="VAS",Leadsheet!$G$5="DPD180+"),SAP_Speadsheet!BH181)</f>
        <v>0</v>
      </c>
      <c r="BI183" s="311" cm="1">
        <f t="array" ref="BI183">_xlfn.IFS(Leadsheet!$G$4="IFRS",SAP_Speadsheet!BI146,AND(Leadsheet!$G$4="VAS",Leadsheet!$G$5="DPD360+"),SAP_Speadsheet!BI166,AND(Leadsheet!$G$4="VAS",Leadsheet!$G$5="DPD180+"),SAP_Speadsheet!BI181)</f>
        <v>0</v>
      </c>
      <c r="BJ183" s="311" cm="1">
        <f t="array" ref="BJ183">_xlfn.IFS(Leadsheet!$G$4="IFRS",SAP_Speadsheet!BJ146,AND(Leadsheet!$G$4="VAS",Leadsheet!$G$5="DPD360+"),SAP_Speadsheet!BJ166,AND(Leadsheet!$G$4="VAS",Leadsheet!$G$5="DPD180+"),SAP_Speadsheet!BJ181)</f>
        <v>0</v>
      </c>
      <c r="BK183" s="311" cm="1">
        <f t="array" ref="BK183">_xlfn.IFS(Leadsheet!$G$4="IFRS",SAP_Speadsheet!BK146,AND(Leadsheet!$G$4="VAS",Leadsheet!$G$5="DPD360+"),SAP_Speadsheet!BK166,AND(Leadsheet!$G$4="VAS",Leadsheet!$G$5="DPD180+"),SAP_Speadsheet!BK181)</f>
        <v>0</v>
      </c>
      <c r="BL183" s="311" cm="1">
        <f t="array" ref="BL183">_xlfn.IFS(Leadsheet!$G$4="IFRS",SAP_Speadsheet!BL146,AND(Leadsheet!$G$4="VAS",Leadsheet!$G$5="DPD360+"),SAP_Speadsheet!BL166,AND(Leadsheet!$G$4="VAS",Leadsheet!$G$5="DPD180+"),SAP_Speadsheet!BL181)</f>
        <v>0</v>
      </c>
    </row>
    <row r="185" spans="1:64" ht="13" thickBot="1" x14ac:dyDescent="0.2">
      <c r="A185" s="186"/>
      <c r="B185" s="286" t="s">
        <v>463</v>
      </c>
      <c r="C185" s="287"/>
      <c r="D185" s="288"/>
      <c r="E185" s="289"/>
      <c r="F185" s="288"/>
      <c r="G185" s="288"/>
      <c r="H185" s="288"/>
      <c r="I185" s="288"/>
      <c r="J185" s="288"/>
      <c r="K185" s="288"/>
      <c r="L185" s="288"/>
      <c r="M185" s="288"/>
      <c r="N185" s="288"/>
      <c r="O185" s="288"/>
      <c r="P185" s="288"/>
      <c r="Q185" s="288"/>
      <c r="R185" s="288"/>
      <c r="S185" s="288"/>
      <c r="T185" s="288"/>
      <c r="U185" s="288"/>
      <c r="V185" s="288"/>
      <c r="W185" s="288"/>
      <c r="X185" s="288"/>
      <c r="Y185" s="288"/>
      <c r="Z185" s="288"/>
      <c r="AA185" s="288"/>
      <c r="AB185" s="288"/>
      <c r="AC185" s="288"/>
      <c r="AD185" s="288"/>
      <c r="AE185" s="288"/>
      <c r="AF185" s="288"/>
      <c r="AG185" s="288"/>
      <c r="AH185" s="288"/>
      <c r="AI185" s="288"/>
      <c r="AJ185" s="288"/>
      <c r="AK185" s="288"/>
      <c r="AL185" s="288"/>
      <c r="AM185" s="288"/>
      <c r="AN185" s="288"/>
      <c r="AO185" s="288"/>
      <c r="AP185" s="288"/>
      <c r="AQ185" s="288"/>
      <c r="AR185" s="288"/>
      <c r="AS185" s="288"/>
      <c r="AT185" s="288"/>
      <c r="AU185" s="288"/>
      <c r="AV185" s="288"/>
      <c r="AW185" s="288"/>
      <c r="AX185" s="288"/>
      <c r="AY185" s="288"/>
      <c r="AZ185" s="288"/>
      <c r="BA185" s="288"/>
      <c r="BB185" s="288"/>
      <c r="BC185" s="288"/>
      <c r="BD185" s="288"/>
      <c r="BE185" s="288"/>
      <c r="BF185" s="288"/>
      <c r="BG185" s="288"/>
      <c r="BH185" s="288"/>
      <c r="BI185" s="288"/>
      <c r="BJ185" s="288"/>
      <c r="BK185" s="288"/>
      <c r="BL185" s="288"/>
    </row>
    <row r="186" spans="1:64" ht="12" thickTop="1" x14ac:dyDescent="0.15"/>
    <row r="187" spans="1:64" x14ac:dyDescent="0.15">
      <c r="C187" s="115" t="s">
        <v>464</v>
      </c>
      <c r="D187" s="178"/>
      <c r="E187" s="178">
        <f t="shared" ref="E187:BL187" si="46">E55+E71</f>
        <v>0.55416922326322782</v>
      </c>
      <c r="F187" s="178">
        <f t="shared" si="46"/>
        <v>0.45437131271798759</v>
      </c>
      <c r="G187" s="178">
        <f t="shared" si="46"/>
        <v>0.38814943726825624</v>
      </c>
      <c r="H187" s="178">
        <f t="shared" si="46"/>
        <v>0.31482680929150481</v>
      </c>
      <c r="I187" s="178">
        <f t="shared" si="46"/>
        <v>0.27419424712149254</v>
      </c>
      <c r="J187" s="178">
        <f t="shared" si="46"/>
        <v>0.2357557780006079</v>
      </c>
      <c r="K187" s="178">
        <f t="shared" si="46"/>
        <v>0.19950802920797264</v>
      </c>
      <c r="L187" s="178">
        <f t="shared" si="46"/>
        <v>0.1663883242451312</v>
      </c>
      <c r="M187" s="178">
        <f t="shared" si="46"/>
        <v>0.13620949890882478</v>
      </c>
      <c r="N187" s="178">
        <f t="shared" si="46"/>
        <v>0.10785605291341192</v>
      </c>
      <c r="O187" s="178">
        <f t="shared" si="46"/>
        <v>8.1355107358302564E-2</v>
      </c>
      <c r="P187" s="178">
        <f t="shared" si="46"/>
        <v>5.6563759882473794E-2</v>
      </c>
      <c r="Q187" s="178">
        <f t="shared" si="46"/>
        <v>3.3856305551802288E-2</v>
      </c>
      <c r="R187" s="178">
        <f t="shared" si="46"/>
        <v>1.2346388331885741E-2</v>
      </c>
      <c r="S187" s="178">
        <f t="shared" si="46"/>
        <v>-2.922092978619526E-3</v>
      </c>
      <c r="T187" s="178">
        <f t="shared" si="46"/>
        <v>-2.5432166775119342E-3</v>
      </c>
      <c r="U187" s="178">
        <f t="shared" si="46"/>
        <v>-2.0674488720534888E-3</v>
      </c>
      <c r="V187" s="178">
        <f t="shared" si="46"/>
        <v>-1.6959535439703033E-3</v>
      </c>
      <c r="W187" s="178">
        <f t="shared" si="46"/>
        <v>-1.420436710291061E-3</v>
      </c>
      <c r="X187" s="178">
        <f t="shared" si="46"/>
        <v>-1.1992229219487018E-3</v>
      </c>
      <c r="Y187" s="178">
        <f t="shared" si="46"/>
        <v>0</v>
      </c>
      <c r="Z187" s="178">
        <f t="shared" si="46"/>
        <v>0</v>
      </c>
      <c r="AA187" s="178">
        <f t="shared" si="46"/>
        <v>0</v>
      </c>
      <c r="AB187" s="178">
        <f t="shared" si="46"/>
        <v>0</v>
      </c>
      <c r="AC187" s="178">
        <f t="shared" si="46"/>
        <v>0</v>
      </c>
      <c r="AD187" s="178">
        <f t="shared" si="46"/>
        <v>0</v>
      </c>
      <c r="AE187" s="178">
        <f t="shared" si="46"/>
        <v>0</v>
      </c>
      <c r="AF187" s="178">
        <f t="shared" si="46"/>
        <v>0</v>
      </c>
      <c r="AG187" s="178">
        <f t="shared" si="46"/>
        <v>0</v>
      </c>
      <c r="AH187" s="178">
        <f t="shared" si="46"/>
        <v>0</v>
      </c>
      <c r="AI187" s="178">
        <f t="shared" si="46"/>
        <v>0</v>
      </c>
      <c r="AJ187" s="178">
        <f t="shared" si="46"/>
        <v>0</v>
      </c>
      <c r="AK187" s="178">
        <f t="shared" si="46"/>
        <v>0</v>
      </c>
      <c r="AL187" s="178">
        <f t="shared" si="46"/>
        <v>0</v>
      </c>
      <c r="AM187" s="178">
        <f t="shared" si="46"/>
        <v>0</v>
      </c>
      <c r="AN187" s="178">
        <f t="shared" si="46"/>
        <v>0</v>
      </c>
      <c r="AO187" s="178">
        <f t="shared" si="46"/>
        <v>0</v>
      </c>
      <c r="AP187" s="178">
        <f t="shared" si="46"/>
        <v>0</v>
      </c>
      <c r="AQ187" s="178">
        <f t="shared" si="46"/>
        <v>0</v>
      </c>
      <c r="AR187" s="178">
        <f t="shared" si="46"/>
        <v>0</v>
      </c>
      <c r="AS187" s="178">
        <f t="shared" si="46"/>
        <v>0</v>
      </c>
      <c r="AT187" s="178">
        <f t="shared" si="46"/>
        <v>0</v>
      </c>
      <c r="AU187" s="178">
        <f t="shared" si="46"/>
        <v>0</v>
      </c>
      <c r="AV187" s="178">
        <f t="shared" si="46"/>
        <v>0</v>
      </c>
      <c r="AW187" s="178">
        <f t="shared" si="46"/>
        <v>0</v>
      </c>
      <c r="AX187" s="178">
        <f t="shared" si="46"/>
        <v>0</v>
      </c>
      <c r="AY187" s="178">
        <f t="shared" si="46"/>
        <v>0</v>
      </c>
      <c r="AZ187" s="178">
        <f t="shared" si="46"/>
        <v>0</v>
      </c>
      <c r="BA187" s="178">
        <f t="shared" si="46"/>
        <v>0</v>
      </c>
      <c r="BB187" s="178">
        <f t="shared" si="46"/>
        <v>0</v>
      </c>
      <c r="BC187" s="178">
        <f t="shared" si="46"/>
        <v>0</v>
      </c>
      <c r="BD187" s="178">
        <f t="shared" si="46"/>
        <v>0</v>
      </c>
      <c r="BE187" s="178">
        <f t="shared" si="46"/>
        <v>0</v>
      </c>
      <c r="BF187" s="178">
        <f t="shared" si="46"/>
        <v>0</v>
      </c>
      <c r="BG187" s="178">
        <f t="shared" si="46"/>
        <v>0</v>
      </c>
      <c r="BH187" s="178">
        <f t="shared" si="46"/>
        <v>0</v>
      </c>
      <c r="BI187" s="178">
        <f t="shared" si="46"/>
        <v>0</v>
      </c>
      <c r="BJ187" s="178">
        <f t="shared" si="46"/>
        <v>0</v>
      </c>
      <c r="BK187" s="178">
        <f t="shared" si="46"/>
        <v>0</v>
      </c>
      <c r="BL187" s="178">
        <f t="shared" si="46"/>
        <v>0</v>
      </c>
    </row>
    <row r="188" spans="1:64" x14ac:dyDescent="0.15">
      <c r="C188" s="115" t="s">
        <v>465</v>
      </c>
      <c r="D188" s="178"/>
      <c r="E188" s="178">
        <f t="shared" ref="E188:BL188" si="47">E55+E71+E183</f>
        <v>-1.0232978499545409E-2</v>
      </c>
      <c r="F188" s="178">
        <f t="shared" si="47"/>
        <v>0.23450484311028208</v>
      </c>
      <c r="G188" s="178">
        <f t="shared" si="47"/>
        <v>0.20222243033140952</v>
      </c>
      <c r="H188" s="178">
        <f t="shared" si="47"/>
        <v>0.15166799613637066</v>
      </c>
      <c r="I188" s="178">
        <f t="shared" si="47"/>
        <v>0.13269809210580041</v>
      </c>
      <c r="J188" s="178">
        <f t="shared" si="47"/>
        <v>0.11471150657364285</v>
      </c>
      <c r="K188" s="178">
        <f t="shared" si="47"/>
        <v>9.7720140806938499E-2</v>
      </c>
      <c r="L188" s="178">
        <f t="shared" si="47"/>
        <v>7.6394447328837406E-2</v>
      </c>
      <c r="M188" s="178">
        <f t="shared" si="47"/>
        <v>6.4157491321800209E-2</v>
      </c>
      <c r="N188" s="178">
        <f t="shared" si="47"/>
        <v>5.2300434391251524E-2</v>
      </c>
      <c r="O188" s="178">
        <f t="shared" si="47"/>
        <v>4.1083440213203676E-2</v>
      </c>
      <c r="P188" s="178">
        <f t="shared" si="47"/>
        <v>3.0194572880092571E-2</v>
      </c>
      <c r="Q188" s="178">
        <f t="shared" si="47"/>
        <v>2.019435070798635E-2</v>
      </c>
      <c r="R188" s="178">
        <f t="shared" si="47"/>
        <v>3.4692372593425752E-3</v>
      </c>
      <c r="S188" s="178">
        <f t="shared" si="47"/>
        <v>-1.0346018923864851E-2</v>
      </c>
      <c r="T188" s="178">
        <f t="shared" si="47"/>
        <v>-8.8303328960788584E-3</v>
      </c>
      <c r="U188" s="178">
        <f t="shared" si="47"/>
        <v>-7.3028315981464075E-3</v>
      </c>
      <c r="V188" s="178">
        <f t="shared" si="47"/>
        <v>-6.135895024909372E-3</v>
      </c>
      <c r="W188" s="178">
        <f t="shared" si="47"/>
        <v>-5.1114789568374331E-3</v>
      </c>
      <c r="X188" s="178">
        <f t="shared" si="47"/>
        <v>-4.1901204318653589E-3</v>
      </c>
      <c r="Y188" s="178">
        <f t="shared" si="47"/>
        <v>0</v>
      </c>
      <c r="Z188" s="178">
        <f t="shared" si="47"/>
        <v>0</v>
      </c>
      <c r="AA188" s="178">
        <f t="shared" si="47"/>
        <v>0</v>
      </c>
      <c r="AB188" s="178">
        <f t="shared" si="47"/>
        <v>0</v>
      </c>
      <c r="AC188" s="178">
        <f t="shared" si="47"/>
        <v>0</v>
      </c>
      <c r="AD188" s="178">
        <f t="shared" si="47"/>
        <v>0</v>
      </c>
      <c r="AE188" s="178">
        <f t="shared" si="47"/>
        <v>0</v>
      </c>
      <c r="AF188" s="178">
        <f t="shared" si="47"/>
        <v>0</v>
      </c>
      <c r="AG188" s="178">
        <f t="shared" si="47"/>
        <v>0</v>
      </c>
      <c r="AH188" s="178">
        <f t="shared" si="47"/>
        <v>0</v>
      </c>
      <c r="AI188" s="178">
        <f t="shared" si="47"/>
        <v>0</v>
      </c>
      <c r="AJ188" s="178">
        <f t="shared" si="47"/>
        <v>0</v>
      </c>
      <c r="AK188" s="178">
        <f t="shared" si="47"/>
        <v>0</v>
      </c>
      <c r="AL188" s="178">
        <f t="shared" si="47"/>
        <v>0</v>
      </c>
      <c r="AM188" s="178">
        <f t="shared" si="47"/>
        <v>0</v>
      </c>
      <c r="AN188" s="178">
        <f t="shared" si="47"/>
        <v>0</v>
      </c>
      <c r="AO188" s="178">
        <f t="shared" si="47"/>
        <v>0</v>
      </c>
      <c r="AP188" s="178">
        <f t="shared" si="47"/>
        <v>0</v>
      </c>
      <c r="AQ188" s="178">
        <f t="shared" si="47"/>
        <v>0</v>
      </c>
      <c r="AR188" s="178">
        <f t="shared" si="47"/>
        <v>0</v>
      </c>
      <c r="AS188" s="178">
        <f t="shared" si="47"/>
        <v>0</v>
      </c>
      <c r="AT188" s="178">
        <f t="shared" si="47"/>
        <v>0</v>
      </c>
      <c r="AU188" s="178">
        <f t="shared" si="47"/>
        <v>0</v>
      </c>
      <c r="AV188" s="178">
        <f t="shared" si="47"/>
        <v>0</v>
      </c>
      <c r="AW188" s="178">
        <f t="shared" si="47"/>
        <v>0</v>
      </c>
      <c r="AX188" s="178">
        <f t="shared" si="47"/>
        <v>0</v>
      </c>
      <c r="AY188" s="178">
        <f t="shared" si="47"/>
        <v>0</v>
      </c>
      <c r="AZ188" s="178">
        <f t="shared" si="47"/>
        <v>0</v>
      </c>
      <c r="BA188" s="178">
        <f t="shared" si="47"/>
        <v>0</v>
      </c>
      <c r="BB188" s="178">
        <f t="shared" si="47"/>
        <v>0</v>
      </c>
      <c r="BC188" s="178">
        <f t="shared" si="47"/>
        <v>0</v>
      </c>
      <c r="BD188" s="178">
        <f t="shared" si="47"/>
        <v>0</v>
      </c>
      <c r="BE188" s="178">
        <f t="shared" si="47"/>
        <v>0</v>
      </c>
      <c r="BF188" s="178">
        <f t="shared" si="47"/>
        <v>0</v>
      </c>
      <c r="BG188" s="178">
        <f t="shared" si="47"/>
        <v>0</v>
      </c>
      <c r="BH188" s="178">
        <f t="shared" si="47"/>
        <v>0</v>
      </c>
      <c r="BI188" s="178">
        <f t="shared" si="47"/>
        <v>0</v>
      </c>
      <c r="BJ188" s="178">
        <f t="shared" si="47"/>
        <v>0</v>
      </c>
      <c r="BK188" s="178">
        <f t="shared" si="47"/>
        <v>0</v>
      </c>
      <c r="BL188" s="178">
        <f t="shared" si="47"/>
        <v>0</v>
      </c>
    </row>
    <row r="189" spans="1:64" s="186" customFormat="1" x14ac:dyDescent="0.15">
      <c r="C189" s="186" t="s">
        <v>283</v>
      </c>
      <c r="D189" s="311"/>
      <c r="E189" s="311">
        <f t="shared" ref="E189:BL189" si="48">E55+E71+E103+E183</f>
        <v>-5.9033189722761614E-2</v>
      </c>
      <c r="F189" s="311">
        <f t="shared" si="48"/>
        <v>0.18960864878492317</v>
      </c>
      <c r="G189" s="311">
        <f t="shared" si="48"/>
        <v>0.1602542486794436</v>
      </c>
      <c r="H189" s="311">
        <f t="shared" si="48"/>
        <v>0.11262782715779768</v>
      </c>
      <c r="I189" s="311">
        <f t="shared" si="48"/>
        <v>9.4877928407807843E-2</v>
      </c>
      <c r="J189" s="311">
        <f t="shared" si="48"/>
        <v>7.8111348156230692E-2</v>
      </c>
      <c r="K189" s="311">
        <f t="shared" si="48"/>
        <v>6.2339987670106733E-2</v>
      </c>
      <c r="L189" s="311">
        <f t="shared" si="48"/>
        <v>4.2234299472586057E-2</v>
      </c>
      <c r="M189" s="311">
        <f t="shared" si="48"/>
        <v>3.1217348746129261E-2</v>
      </c>
      <c r="N189" s="311">
        <f t="shared" si="48"/>
        <v>2.0580297096160993E-2</v>
      </c>
      <c r="O189" s="311">
        <f t="shared" si="48"/>
        <v>1.0583308198693547E-2</v>
      </c>
      <c r="P189" s="311">
        <f t="shared" si="48"/>
        <v>-1.1035828952469032E-4</v>
      </c>
      <c r="Q189" s="311">
        <f t="shared" si="48"/>
        <v>-8.8478749962301907E-3</v>
      </c>
      <c r="R189" s="311">
        <f t="shared" si="48"/>
        <v>-2.4310282979473245E-2</v>
      </c>
      <c r="S189" s="311">
        <f t="shared" si="48"/>
        <v>-1.0346018923864851E-2</v>
      </c>
      <c r="T189" s="311">
        <f t="shared" si="48"/>
        <v>-8.8303328960788584E-3</v>
      </c>
      <c r="U189" s="311">
        <f t="shared" si="48"/>
        <v>-7.3028315981464075E-3</v>
      </c>
      <c r="V189" s="311">
        <f t="shared" si="48"/>
        <v>-6.135895024909372E-3</v>
      </c>
      <c r="W189" s="311">
        <f t="shared" si="48"/>
        <v>-5.1114789568374331E-3</v>
      </c>
      <c r="X189" s="311">
        <f t="shared" si="48"/>
        <v>-4.1901204318653589E-3</v>
      </c>
      <c r="Y189" s="311">
        <f t="shared" si="48"/>
        <v>0</v>
      </c>
      <c r="Z189" s="311">
        <f t="shared" si="48"/>
        <v>0</v>
      </c>
      <c r="AA189" s="311">
        <f t="shared" si="48"/>
        <v>0</v>
      </c>
      <c r="AB189" s="311">
        <f t="shared" si="48"/>
        <v>0</v>
      </c>
      <c r="AC189" s="311">
        <f t="shared" si="48"/>
        <v>0</v>
      </c>
      <c r="AD189" s="311">
        <f t="shared" si="48"/>
        <v>0</v>
      </c>
      <c r="AE189" s="311">
        <f t="shared" si="48"/>
        <v>0</v>
      </c>
      <c r="AF189" s="311">
        <f t="shared" si="48"/>
        <v>0</v>
      </c>
      <c r="AG189" s="311">
        <f t="shared" si="48"/>
        <v>0</v>
      </c>
      <c r="AH189" s="311">
        <f t="shared" si="48"/>
        <v>0</v>
      </c>
      <c r="AI189" s="311">
        <f t="shared" si="48"/>
        <v>0</v>
      </c>
      <c r="AJ189" s="311">
        <f t="shared" si="48"/>
        <v>0</v>
      </c>
      <c r="AK189" s="311">
        <f t="shared" si="48"/>
        <v>0</v>
      </c>
      <c r="AL189" s="311">
        <f t="shared" si="48"/>
        <v>0</v>
      </c>
      <c r="AM189" s="311">
        <f t="shared" si="48"/>
        <v>0</v>
      </c>
      <c r="AN189" s="311">
        <f t="shared" si="48"/>
        <v>0</v>
      </c>
      <c r="AO189" s="311">
        <f t="shared" si="48"/>
        <v>0</v>
      </c>
      <c r="AP189" s="311">
        <f t="shared" si="48"/>
        <v>0</v>
      </c>
      <c r="AQ189" s="311">
        <f t="shared" si="48"/>
        <v>0</v>
      </c>
      <c r="AR189" s="311">
        <f t="shared" si="48"/>
        <v>0</v>
      </c>
      <c r="AS189" s="311">
        <f t="shared" si="48"/>
        <v>0</v>
      </c>
      <c r="AT189" s="311">
        <f t="shared" si="48"/>
        <v>0</v>
      </c>
      <c r="AU189" s="311">
        <f t="shared" si="48"/>
        <v>0</v>
      </c>
      <c r="AV189" s="311">
        <f t="shared" si="48"/>
        <v>0</v>
      </c>
      <c r="AW189" s="311">
        <f t="shared" si="48"/>
        <v>0</v>
      </c>
      <c r="AX189" s="311">
        <f t="shared" si="48"/>
        <v>0</v>
      </c>
      <c r="AY189" s="311">
        <f t="shared" si="48"/>
        <v>0</v>
      </c>
      <c r="AZ189" s="311">
        <f t="shared" si="48"/>
        <v>0</v>
      </c>
      <c r="BA189" s="311">
        <f t="shared" si="48"/>
        <v>0</v>
      </c>
      <c r="BB189" s="311">
        <f t="shared" si="48"/>
        <v>0</v>
      </c>
      <c r="BC189" s="311">
        <f t="shared" si="48"/>
        <v>0</v>
      </c>
      <c r="BD189" s="311">
        <f t="shared" si="48"/>
        <v>0</v>
      </c>
      <c r="BE189" s="311">
        <f t="shared" si="48"/>
        <v>0</v>
      </c>
      <c r="BF189" s="311">
        <f t="shared" si="48"/>
        <v>0</v>
      </c>
      <c r="BG189" s="311">
        <f t="shared" si="48"/>
        <v>0</v>
      </c>
      <c r="BH189" s="311">
        <f t="shared" si="48"/>
        <v>0</v>
      </c>
      <c r="BI189" s="311">
        <f t="shared" si="48"/>
        <v>0</v>
      </c>
      <c r="BJ189" s="311">
        <f t="shared" si="48"/>
        <v>0</v>
      </c>
      <c r="BK189" s="311">
        <f t="shared" si="48"/>
        <v>0</v>
      </c>
      <c r="BL189" s="311">
        <f t="shared" si="48"/>
        <v>0</v>
      </c>
    </row>
    <row r="190" spans="1:64" x14ac:dyDescent="0.15">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78"/>
      <c r="AB190" s="178"/>
      <c r="AC190" s="178"/>
      <c r="AD190" s="178"/>
      <c r="AE190" s="178"/>
      <c r="AF190" s="178"/>
      <c r="AG190" s="178"/>
      <c r="AH190" s="178"/>
      <c r="AI190" s="178"/>
      <c r="AJ190" s="178"/>
      <c r="AK190" s="178"/>
      <c r="AL190" s="178"/>
      <c r="AM190" s="178"/>
      <c r="AN190" s="178"/>
      <c r="AO190" s="178"/>
      <c r="AP190" s="178"/>
      <c r="AQ190" s="178"/>
      <c r="AR190" s="178"/>
      <c r="AS190" s="178"/>
      <c r="AT190" s="178"/>
      <c r="AU190" s="178"/>
      <c r="AV190" s="178"/>
      <c r="AW190" s="178"/>
      <c r="AX190" s="178"/>
      <c r="AY190" s="178"/>
      <c r="AZ190" s="178"/>
      <c r="BA190" s="178"/>
      <c r="BB190" s="178"/>
      <c r="BC190" s="178"/>
    </row>
    <row r="191" spans="1:64" x14ac:dyDescent="0.15">
      <c r="D191" s="290"/>
      <c r="F191" s="324"/>
      <c r="G191" s="324"/>
      <c r="H191" s="324"/>
      <c r="I191" s="324"/>
      <c r="J191" s="324"/>
      <c r="K191" s="324"/>
      <c r="L191" s="324"/>
      <c r="M191" s="324"/>
      <c r="N191" s="324"/>
      <c r="O191" s="324"/>
      <c r="P191" s="324"/>
      <c r="Q191" s="324"/>
      <c r="R191" s="324"/>
      <c r="S191" s="324"/>
      <c r="T191" s="324"/>
      <c r="U191" s="324"/>
      <c r="V191" s="324"/>
      <c r="W191" s="324"/>
      <c r="X191" s="324"/>
      <c r="Y191" s="324"/>
      <c r="Z191" s="324"/>
      <c r="AA191" s="324"/>
      <c r="AB191" s="324"/>
      <c r="AC191" s="324"/>
      <c r="AD191" s="324"/>
      <c r="AE191" s="324"/>
      <c r="AF191" s="324"/>
      <c r="AG191" s="324"/>
      <c r="AH191" s="324"/>
      <c r="AI191" s="324"/>
      <c r="AJ191" s="324"/>
      <c r="AK191" s="324"/>
      <c r="AL191" s="324"/>
      <c r="AM191" s="324"/>
      <c r="AN191" s="324"/>
      <c r="AO191" s="324"/>
      <c r="AP191" s="324"/>
      <c r="AQ191" s="324"/>
      <c r="AR191" s="324"/>
      <c r="AS191" s="324"/>
      <c r="AT191" s="324"/>
      <c r="AU191" s="324"/>
      <c r="AV191" s="324"/>
      <c r="AW191" s="324"/>
      <c r="AX191" s="324"/>
      <c r="AY191" s="324"/>
      <c r="AZ191" s="324"/>
      <c r="BA191" s="324"/>
      <c r="BB191" s="324"/>
      <c r="BC191" s="324"/>
      <c r="BD191" s="324"/>
      <c r="BE191" s="324"/>
      <c r="BF191" s="324"/>
      <c r="BG191" s="324"/>
      <c r="BH191" s="324"/>
      <c r="BI191" s="324"/>
      <c r="BJ191" s="324"/>
      <c r="BK191" s="324"/>
      <c r="BL191" s="324"/>
    </row>
    <row r="192" spans="1:64" x14ac:dyDescent="0.15">
      <c r="F192" s="324"/>
      <c r="G192" s="324"/>
      <c r="H192" s="324"/>
      <c r="I192" s="324"/>
      <c r="J192" s="324"/>
      <c r="K192" s="324"/>
      <c r="L192" s="324"/>
      <c r="M192" s="324"/>
      <c r="N192" s="324"/>
      <c r="O192" s="324"/>
      <c r="P192" s="324"/>
      <c r="Q192" s="324"/>
      <c r="R192" s="324"/>
      <c r="S192" s="324"/>
      <c r="T192" s="324"/>
      <c r="U192" s="324"/>
      <c r="V192" s="324"/>
      <c r="W192" s="324"/>
      <c r="X192" s="324"/>
      <c r="Y192" s="324"/>
      <c r="Z192" s="324"/>
      <c r="AA192" s="324"/>
      <c r="AB192" s="324"/>
      <c r="AC192" s="324"/>
      <c r="AD192" s="324"/>
      <c r="AE192" s="324"/>
      <c r="AF192" s="324"/>
      <c r="AG192" s="324"/>
      <c r="AH192" s="324"/>
      <c r="AI192" s="324"/>
      <c r="AJ192" s="324"/>
      <c r="AK192" s="324"/>
      <c r="AL192" s="324"/>
      <c r="AM192" s="324"/>
      <c r="AN192" s="324"/>
      <c r="AO192" s="324"/>
      <c r="AP192" s="324"/>
      <c r="AQ192" s="324"/>
      <c r="AR192" s="324"/>
      <c r="AS192" s="324"/>
      <c r="AT192" s="324"/>
      <c r="AU192" s="324"/>
      <c r="AV192" s="324"/>
      <c r="AW192" s="324"/>
      <c r="AX192" s="324"/>
      <c r="AY192" s="324"/>
      <c r="AZ192" s="324"/>
      <c r="BA192" s="324"/>
      <c r="BB192" s="324"/>
      <c r="BC192" s="324"/>
      <c r="BD192" s="324"/>
      <c r="BE192" s="324"/>
      <c r="BF192" s="324"/>
      <c r="BG192" s="324"/>
      <c r="BH192" s="324"/>
      <c r="BI192" s="324"/>
      <c r="BJ192" s="324"/>
      <c r="BK192" s="324"/>
      <c r="BL192" s="324"/>
    </row>
    <row r="193" spans="3:64" hidden="1" x14ac:dyDescent="0.15">
      <c r="C193" s="115" t="s">
        <v>466</v>
      </c>
      <c r="D193" s="171"/>
      <c r="E193" s="171">
        <f t="shared" ref="E193:BF193" si="49">D197</f>
        <v>0</v>
      </c>
      <c r="F193" s="171" t="e">
        <f t="shared" si="49"/>
        <v>#REF!</v>
      </c>
      <c r="G193" s="171" t="e">
        <f t="shared" si="49"/>
        <v>#REF!</v>
      </c>
      <c r="H193" s="171" t="e">
        <f t="shared" si="49"/>
        <v>#REF!</v>
      </c>
      <c r="I193" s="171" t="e">
        <f t="shared" si="49"/>
        <v>#REF!</v>
      </c>
      <c r="J193" s="171" t="e">
        <f t="shared" si="49"/>
        <v>#REF!</v>
      </c>
      <c r="K193" s="171" t="e">
        <f t="shared" si="49"/>
        <v>#REF!</v>
      </c>
      <c r="L193" s="171" t="e">
        <f t="shared" si="49"/>
        <v>#REF!</v>
      </c>
      <c r="M193" s="171" t="e">
        <f t="shared" si="49"/>
        <v>#REF!</v>
      </c>
      <c r="N193" s="171" t="e">
        <f t="shared" si="49"/>
        <v>#REF!</v>
      </c>
      <c r="O193" s="171" t="e">
        <f t="shared" si="49"/>
        <v>#REF!</v>
      </c>
      <c r="P193" s="171" t="e">
        <f t="shared" si="49"/>
        <v>#REF!</v>
      </c>
      <c r="Q193" s="171" t="e">
        <f t="shared" si="49"/>
        <v>#REF!</v>
      </c>
      <c r="R193" s="171" t="e">
        <f t="shared" si="49"/>
        <v>#REF!</v>
      </c>
      <c r="S193" s="171" t="e">
        <f t="shared" si="49"/>
        <v>#REF!</v>
      </c>
      <c r="T193" s="171" t="e">
        <f t="shared" si="49"/>
        <v>#REF!</v>
      </c>
      <c r="U193" s="171" t="e">
        <f t="shared" si="49"/>
        <v>#REF!</v>
      </c>
      <c r="V193" s="171" t="e">
        <f t="shared" si="49"/>
        <v>#REF!</v>
      </c>
      <c r="W193" s="171" t="e">
        <f t="shared" si="49"/>
        <v>#REF!</v>
      </c>
      <c r="X193" s="171" t="e">
        <f t="shared" si="49"/>
        <v>#REF!</v>
      </c>
      <c r="Y193" s="171" t="e">
        <f t="shared" si="49"/>
        <v>#REF!</v>
      </c>
      <c r="Z193" s="171">
        <f t="shared" si="49"/>
        <v>0</v>
      </c>
      <c r="AA193" s="171">
        <f t="shared" si="49"/>
        <v>0</v>
      </c>
      <c r="AB193" s="171">
        <f t="shared" si="49"/>
        <v>0</v>
      </c>
      <c r="AC193" s="171">
        <f t="shared" si="49"/>
        <v>0</v>
      </c>
      <c r="AD193" s="171">
        <f t="shared" si="49"/>
        <v>0</v>
      </c>
      <c r="AE193" s="171">
        <f t="shared" si="49"/>
        <v>0</v>
      </c>
      <c r="AF193" s="171">
        <f t="shared" si="49"/>
        <v>0</v>
      </c>
      <c r="AG193" s="171">
        <f t="shared" si="49"/>
        <v>0</v>
      </c>
      <c r="AH193" s="171">
        <f t="shared" si="49"/>
        <v>0</v>
      </c>
      <c r="AI193" s="171">
        <f t="shared" si="49"/>
        <v>0</v>
      </c>
      <c r="AJ193" s="171">
        <f t="shared" si="49"/>
        <v>0</v>
      </c>
      <c r="AK193" s="171">
        <f t="shared" si="49"/>
        <v>0</v>
      </c>
      <c r="AL193" s="171">
        <f t="shared" si="49"/>
        <v>0</v>
      </c>
      <c r="AM193" s="171">
        <f t="shared" si="49"/>
        <v>0</v>
      </c>
      <c r="AN193" s="171">
        <f t="shared" si="49"/>
        <v>0</v>
      </c>
      <c r="AO193" s="171">
        <f t="shared" si="49"/>
        <v>0</v>
      </c>
      <c r="AP193" s="171">
        <f t="shared" si="49"/>
        <v>0</v>
      </c>
      <c r="AQ193" s="171">
        <f t="shared" si="49"/>
        <v>0</v>
      </c>
      <c r="AR193" s="171">
        <f t="shared" si="49"/>
        <v>0</v>
      </c>
      <c r="AS193" s="171">
        <f t="shared" si="49"/>
        <v>0</v>
      </c>
      <c r="AT193" s="171">
        <f t="shared" si="49"/>
        <v>0</v>
      </c>
      <c r="AU193" s="171">
        <f t="shared" si="49"/>
        <v>0</v>
      </c>
      <c r="AV193" s="171">
        <f t="shared" si="49"/>
        <v>0</v>
      </c>
      <c r="AW193" s="171">
        <f t="shared" si="49"/>
        <v>0</v>
      </c>
      <c r="AX193" s="171">
        <f t="shared" si="49"/>
        <v>0</v>
      </c>
      <c r="AY193" s="171">
        <f t="shared" si="49"/>
        <v>0</v>
      </c>
      <c r="AZ193" s="171">
        <f t="shared" si="49"/>
        <v>0</v>
      </c>
      <c r="BA193" s="171">
        <f t="shared" si="49"/>
        <v>0</v>
      </c>
      <c r="BB193" s="171">
        <f t="shared" si="49"/>
        <v>0</v>
      </c>
      <c r="BC193" s="171">
        <f t="shared" si="49"/>
        <v>0</v>
      </c>
      <c r="BD193" s="171">
        <f t="shared" si="49"/>
        <v>0</v>
      </c>
      <c r="BE193" s="171">
        <f t="shared" si="49"/>
        <v>0</v>
      </c>
      <c r="BF193" s="171">
        <f t="shared" si="49"/>
        <v>0</v>
      </c>
      <c r="BG193" s="171"/>
      <c r="BH193" s="171"/>
      <c r="BI193" s="171"/>
      <c r="BJ193" s="171"/>
      <c r="BK193" s="171"/>
      <c r="BL193" s="171"/>
    </row>
    <row r="194" spans="3:64" hidden="1" x14ac:dyDescent="0.15">
      <c r="C194" s="115" t="s">
        <v>467</v>
      </c>
      <c r="D194" s="171"/>
      <c r="E194" s="171" t="e">
        <f>-#REF!</f>
        <v>#REF!</v>
      </c>
      <c r="F194" s="171" t="e">
        <f>-#REF!</f>
        <v>#REF!</v>
      </c>
      <c r="G194" s="171" t="e">
        <f>-#REF!</f>
        <v>#REF!</v>
      </c>
      <c r="H194" s="171" t="e">
        <f>-#REF!</f>
        <v>#REF!</v>
      </c>
      <c r="I194" s="171" t="e">
        <f>-#REF!</f>
        <v>#REF!</v>
      </c>
      <c r="J194" s="171" t="e">
        <f>-#REF!</f>
        <v>#REF!</v>
      </c>
      <c r="K194" s="171" t="e">
        <f>-#REF!</f>
        <v>#REF!</v>
      </c>
      <c r="L194" s="171" t="e">
        <f>-#REF!</f>
        <v>#REF!</v>
      </c>
      <c r="M194" s="171" t="e">
        <f>-#REF!</f>
        <v>#REF!</v>
      </c>
      <c r="N194" s="171" t="e">
        <f>-#REF!</f>
        <v>#REF!</v>
      </c>
      <c r="O194" s="171" t="e">
        <f>-#REF!</f>
        <v>#REF!</v>
      </c>
      <c r="P194" s="171" t="e">
        <f>-#REF!</f>
        <v>#REF!</v>
      </c>
      <c r="Q194" s="171" t="e">
        <f>-#REF!</f>
        <v>#REF!</v>
      </c>
      <c r="R194" s="171" t="e">
        <f>-#REF!</f>
        <v>#REF!</v>
      </c>
      <c r="S194" s="171" t="e">
        <f>-#REF!</f>
        <v>#REF!</v>
      </c>
      <c r="T194" s="171" t="e">
        <f>-#REF!</f>
        <v>#REF!</v>
      </c>
      <c r="U194" s="171" t="e">
        <f>-#REF!</f>
        <v>#REF!</v>
      </c>
      <c r="V194" s="171" t="e">
        <f>-#REF!</f>
        <v>#REF!</v>
      </c>
      <c r="W194" s="171" t="e">
        <f>-#REF!</f>
        <v>#REF!</v>
      </c>
      <c r="X194" s="171" t="e">
        <f>-#REF!</f>
        <v>#REF!</v>
      </c>
      <c r="Y194" s="171" t="e">
        <f>-#REF!</f>
        <v>#REF!</v>
      </c>
      <c r="Z194" s="171" t="e">
        <f>-#REF!</f>
        <v>#REF!</v>
      </c>
      <c r="AA194" s="171" t="e">
        <f>-#REF!</f>
        <v>#REF!</v>
      </c>
      <c r="AB194" s="171" t="e">
        <f>-#REF!</f>
        <v>#REF!</v>
      </c>
      <c r="AC194" s="171" t="e">
        <f>-#REF!</f>
        <v>#REF!</v>
      </c>
      <c r="AD194" s="171" t="e">
        <f>-#REF!</f>
        <v>#REF!</v>
      </c>
      <c r="AE194" s="171" t="e">
        <f>-#REF!</f>
        <v>#REF!</v>
      </c>
      <c r="AF194" s="171" t="e">
        <f>-#REF!</f>
        <v>#REF!</v>
      </c>
      <c r="AG194" s="171" t="e">
        <f>-#REF!</f>
        <v>#REF!</v>
      </c>
      <c r="AH194" s="171" t="e">
        <f>-#REF!</f>
        <v>#REF!</v>
      </c>
      <c r="AI194" s="171" t="e">
        <f>-#REF!</f>
        <v>#REF!</v>
      </c>
      <c r="AJ194" s="171" t="e">
        <f>-#REF!</f>
        <v>#REF!</v>
      </c>
      <c r="AK194" s="171" t="e">
        <f>-#REF!</f>
        <v>#REF!</v>
      </c>
      <c r="AL194" s="171" t="e">
        <f>-#REF!</f>
        <v>#REF!</v>
      </c>
      <c r="AM194" s="171" t="e">
        <f>-#REF!</f>
        <v>#REF!</v>
      </c>
      <c r="AN194" s="171" t="e">
        <f>-#REF!</f>
        <v>#REF!</v>
      </c>
      <c r="AO194" s="171" t="e">
        <f>-#REF!</f>
        <v>#REF!</v>
      </c>
      <c r="AP194" s="171" t="e">
        <f>-#REF!</f>
        <v>#REF!</v>
      </c>
      <c r="AQ194" s="171" t="e">
        <f>-#REF!</f>
        <v>#REF!</v>
      </c>
      <c r="AR194" s="171" t="e">
        <f>-#REF!</f>
        <v>#REF!</v>
      </c>
      <c r="AS194" s="171" t="e">
        <f>-#REF!</f>
        <v>#REF!</v>
      </c>
      <c r="AT194" s="171" t="e">
        <f>-#REF!</f>
        <v>#REF!</v>
      </c>
      <c r="AU194" s="171" t="e">
        <f>-#REF!</f>
        <v>#REF!</v>
      </c>
      <c r="AV194" s="171" t="e">
        <f>-#REF!</f>
        <v>#REF!</v>
      </c>
      <c r="AW194" s="171" t="e">
        <f>-#REF!</f>
        <v>#REF!</v>
      </c>
      <c r="AX194" s="171" t="e">
        <f>-#REF!</f>
        <v>#REF!</v>
      </c>
      <c r="AY194" s="171" t="e">
        <f>-#REF!</f>
        <v>#REF!</v>
      </c>
      <c r="AZ194" s="171" t="e">
        <f>-#REF!</f>
        <v>#REF!</v>
      </c>
      <c r="BA194" s="171" t="e">
        <f>-#REF!</f>
        <v>#REF!</v>
      </c>
      <c r="BB194" s="171" t="e">
        <f>-#REF!</f>
        <v>#REF!</v>
      </c>
      <c r="BC194" s="171" t="e">
        <f>-#REF!</f>
        <v>#REF!</v>
      </c>
      <c r="BD194" s="171" t="e">
        <f>-#REF!</f>
        <v>#REF!</v>
      </c>
      <c r="BE194" s="171" t="e">
        <f>-#REF!</f>
        <v>#REF!</v>
      </c>
      <c r="BF194" s="171" t="e">
        <f>-#REF!</f>
        <v>#REF!</v>
      </c>
      <c r="BG194" s="171"/>
      <c r="BH194" s="171"/>
      <c r="BI194" s="171"/>
      <c r="BJ194" s="171"/>
      <c r="BK194" s="171"/>
      <c r="BL194" s="171"/>
    </row>
    <row r="195" spans="3:64" hidden="1" x14ac:dyDescent="0.15">
      <c r="C195" s="115" t="s">
        <v>468</v>
      </c>
      <c r="D195" s="171"/>
      <c r="E195" s="171">
        <f>IFERROR((#REF!/#REF!)*E193,0)</f>
        <v>0</v>
      </c>
      <c r="F195" s="171">
        <f>IFERROR((#REF!/#REF!)*F193,0)</f>
        <v>0</v>
      </c>
      <c r="G195" s="171">
        <f>IFERROR((#REF!/#REF!)*G193,0)</f>
        <v>0</v>
      </c>
      <c r="H195" s="171">
        <f>IFERROR((#REF!/#REF!)*H193,0)</f>
        <v>0</v>
      </c>
      <c r="I195" s="171">
        <f>IFERROR((#REF!/#REF!)*I193,0)</f>
        <v>0</v>
      </c>
      <c r="J195" s="171">
        <f>IFERROR((#REF!/#REF!)*J193,0)</f>
        <v>0</v>
      </c>
      <c r="K195" s="171">
        <f>IFERROR((#REF!/#REF!)*K193,0)</f>
        <v>0</v>
      </c>
      <c r="L195" s="171">
        <f>IFERROR((#REF!/#REF!)*L193,0)</f>
        <v>0</v>
      </c>
      <c r="M195" s="171">
        <f>IFERROR((#REF!/#REF!)*M193,0)</f>
        <v>0</v>
      </c>
      <c r="N195" s="171">
        <f>IFERROR((#REF!/#REF!)*N193,0)</f>
        <v>0</v>
      </c>
      <c r="O195" s="171">
        <f>IFERROR((#REF!/#REF!)*O193,0)</f>
        <v>0</v>
      </c>
      <c r="P195" s="171">
        <f>IFERROR((#REF!/#REF!)*P193,0)</f>
        <v>0</v>
      </c>
      <c r="Q195" s="171">
        <f>IFERROR((#REF!/#REF!)*Q193,0)</f>
        <v>0</v>
      </c>
      <c r="R195" s="171">
        <f>IFERROR((#REF!/#REF!)*R193,0)</f>
        <v>0</v>
      </c>
      <c r="S195" s="171">
        <f>IFERROR((#REF!/#REF!)*S193,0)</f>
        <v>0</v>
      </c>
      <c r="T195" s="171">
        <f>IFERROR((#REF!/#REF!)*T193,0)</f>
        <v>0</v>
      </c>
      <c r="U195" s="171">
        <f>IFERROR((#REF!/#REF!)*U193,0)</f>
        <v>0</v>
      </c>
      <c r="V195" s="171">
        <f>IFERROR((#REF!/#REF!)*V193,0)</f>
        <v>0</v>
      </c>
      <c r="W195" s="171">
        <f>IFERROR((#REF!/#REF!)*W193,0)</f>
        <v>0</v>
      </c>
      <c r="X195" s="171">
        <f>IFERROR((#REF!/#REF!)*X193,0)</f>
        <v>0</v>
      </c>
      <c r="Y195" s="171">
        <f>IFERROR((#REF!/#REF!)*Y193,0)</f>
        <v>0</v>
      </c>
      <c r="Z195" s="171">
        <f>IFERROR((#REF!/#REF!)*Z193,0)</f>
        <v>0</v>
      </c>
      <c r="AA195" s="171">
        <f>IFERROR((#REF!/#REF!)*AA193,0)</f>
        <v>0</v>
      </c>
      <c r="AB195" s="171">
        <f>IFERROR((#REF!/#REF!)*AB193,0)</f>
        <v>0</v>
      </c>
      <c r="AC195" s="171">
        <f>IFERROR((#REF!/#REF!)*AC193,0)</f>
        <v>0</v>
      </c>
      <c r="AD195" s="171">
        <f>IFERROR((#REF!/#REF!)*AD193,0)</f>
        <v>0</v>
      </c>
      <c r="AE195" s="171">
        <f>IFERROR((#REF!/#REF!)*AE193,0)</f>
        <v>0</v>
      </c>
      <c r="AF195" s="171">
        <f>IFERROR((#REF!/#REF!)*AF193,0)</f>
        <v>0</v>
      </c>
      <c r="AG195" s="171">
        <f>IFERROR((#REF!/#REF!)*AG193,0)</f>
        <v>0</v>
      </c>
      <c r="AH195" s="171">
        <f>IFERROR((#REF!/#REF!)*AH193,0)</f>
        <v>0</v>
      </c>
      <c r="AI195" s="171">
        <f>IFERROR((#REF!/#REF!)*AI193,0)</f>
        <v>0</v>
      </c>
      <c r="AJ195" s="171">
        <f>IFERROR((#REF!/#REF!)*AJ193,0)</f>
        <v>0</v>
      </c>
      <c r="AK195" s="171">
        <f>IFERROR((#REF!/#REF!)*AK193,0)</f>
        <v>0</v>
      </c>
      <c r="AL195" s="171">
        <f>IFERROR((#REF!/#REF!)*AL193,0)</f>
        <v>0</v>
      </c>
      <c r="AM195" s="171">
        <f>IFERROR((#REF!/#REF!)*AM193,0)</f>
        <v>0</v>
      </c>
      <c r="AN195" s="171">
        <f>IFERROR((#REF!/#REF!)*AN193,0)</f>
        <v>0</v>
      </c>
      <c r="AO195" s="171">
        <f>IFERROR((#REF!/#REF!)*AO193,0)</f>
        <v>0</v>
      </c>
      <c r="AP195" s="171">
        <f>IFERROR((#REF!/#REF!)*AP193,0)</f>
        <v>0</v>
      </c>
      <c r="AQ195" s="171">
        <f>IFERROR((#REF!/#REF!)*AQ193,0)</f>
        <v>0</v>
      </c>
      <c r="AR195" s="171">
        <f>IFERROR((#REF!/#REF!)*AR193,0)</f>
        <v>0</v>
      </c>
      <c r="AS195" s="171">
        <f>IFERROR((#REF!/#REF!)*AS193,0)</f>
        <v>0</v>
      </c>
      <c r="AT195" s="171">
        <f>IFERROR((#REF!/#REF!)*AT193,0)</f>
        <v>0</v>
      </c>
      <c r="AU195" s="171">
        <f>IFERROR((#REF!/#REF!)*AU193,0)</f>
        <v>0</v>
      </c>
      <c r="AV195" s="171">
        <f>IFERROR((#REF!/#REF!)*AV193,0)</f>
        <v>0</v>
      </c>
      <c r="AW195" s="171">
        <f>IFERROR((#REF!/#REF!)*AW193,0)</f>
        <v>0</v>
      </c>
      <c r="AX195" s="171">
        <f>IFERROR((#REF!/#REF!)*AX193,0)</f>
        <v>0</v>
      </c>
      <c r="AY195" s="171">
        <f>IFERROR((#REF!/#REF!)*AY193,0)</f>
        <v>0</v>
      </c>
      <c r="AZ195" s="171">
        <f>IFERROR((#REF!/#REF!)*AZ193,0)</f>
        <v>0</v>
      </c>
      <c r="BA195" s="171">
        <f>IFERROR((#REF!/#REF!)*BA193,0)</f>
        <v>0</v>
      </c>
      <c r="BB195" s="171">
        <f>IFERROR((#REF!/#REF!)*BB193,0)</f>
        <v>0</v>
      </c>
      <c r="BC195" s="171">
        <f>IFERROR((#REF!/#REF!)*BC193,0)</f>
        <v>0</v>
      </c>
      <c r="BD195" s="171">
        <f>IFERROR((#REF!/#REF!)*BD193,0)</f>
        <v>0</v>
      </c>
      <c r="BE195" s="171">
        <f>IFERROR((#REF!/#REF!)*BE193,0)</f>
        <v>0</v>
      </c>
      <c r="BF195" s="171">
        <f>IFERROR((#REF!/#REF!)*BF193,0)</f>
        <v>0</v>
      </c>
      <c r="BG195" s="171"/>
      <c r="BH195" s="171"/>
      <c r="BI195" s="171"/>
      <c r="BJ195" s="171"/>
      <c r="BK195" s="171"/>
      <c r="BL195" s="171"/>
    </row>
    <row r="196" spans="3:64" hidden="1" x14ac:dyDescent="0.15">
      <c r="C196" s="115" t="s">
        <v>469</v>
      </c>
      <c r="D196" s="171"/>
      <c r="E196" s="171">
        <f>IFERROR((#REF!/#REF!)*E193,0)</f>
        <v>0</v>
      </c>
      <c r="F196" s="171">
        <f>IFERROR((#REF!/#REF!)*F193,0)</f>
        <v>0</v>
      </c>
      <c r="G196" s="171">
        <f>IFERROR((#REF!/#REF!)*G193,0)</f>
        <v>0</v>
      </c>
      <c r="H196" s="171">
        <f>IFERROR((#REF!/#REF!)*H193,0)</f>
        <v>0</v>
      </c>
      <c r="I196" s="171">
        <f>IFERROR((#REF!/#REF!)*I193,0)</f>
        <v>0</v>
      </c>
      <c r="J196" s="171">
        <f>IFERROR((#REF!/#REF!)*J193,0)</f>
        <v>0</v>
      </c>
      <c r="K196" s="171">
        <f>IFERROR((#REF!/#REF!)*K193,0)</f>
        <v>0</v>
      </c>
      <c r="L196" s="171">
        <f>IFERROR((#REF!/#REF!)*L193,0)</f>
        <v>0</v>
      </c>
      <c r="M196" s="171">
        <f>IFERROR((#REF!/#REF!)*M193,0)</f>
        <v>0</v>
      </c>
      <c r="N196" s="171">
        <f>IFERROR((#REF!/#REF!)*N193,0)</f>
        <v>0</v>
      </c>
      <c r="O196" s="171">
        <f>IFERROR((#REF!/#REF!)*O193,0)</f>
        <v>0</v>
      </c>
      <c r="P196" s="171">
        <f>IFERROR((#REF!/#REF!)*P193,0)</f>
        <v>0</v>
      </c>
      <c r="Q196" s="171">
        <f>IFERROR((#REF!/#REF!)*Q193,0)</f>
        <v>0</v>
      </c>
      <c r="R196" s="171">
        <f>IFERROR((#REF!/#REF!)*R193,0)</f>
        <v>0</v>
      </c>
      <c r="S196" s="171">
        <f>IFERROR((#REF!/#REF!)*S193,0)</f>
        <v>0</v>
      </c>
      <c r="T196" s="171">
        <f>IFERROR((#REF!/#REF!)*T193,0)</f>
        <v>0</v>
      </c>
      <c r="U196" s="171">
        <f>IFERROR((#REF!/#REF!)*U193,0)</f>
        <v>0</v>
      </c>
      <c r="V196" s="171">
        <f>IFERROR((#REF!/#REF!)*V193,0)</f>
        <v>0</v>
      </c>
      <c r="W196" s="171">
        <f>IFERROR((#REF!/#REF!)*W193,0)</f>
        <v>0</v>
      </c>
      <c r="X196" s="171">
        <f>IFERROR((#REF!/#REF!)*X193,0)</f>
        <v>0</v>
      </c>
      <c r="Y196" s="171">
        <f>IFERROR((#REF!/#REF!)*Y193,0)</f>
        <v>0</v>
      </c>
      <c r="Z196" s="171">
        <f>IFERROR((#REF!/#REF!)*Z193,0)</f>
        <v>0</v>
      </c>
      <c r="AA196" s="171">
        <f>IFERROR((#REF!/#REF!)*AA193,0)</f>
        <v>0</v>
      </c>
      <c r="AB196" s="171">
        <f>IFERROR((#REF!/#REF!)*AB193,0)</f>
        <v>0</v>
      </c>
      <c r="AC196" s="171">
        <f>IFERROR((#REF!/#REF!)*AC193,0)</f>
        <v>0</v>
      </c>
      <c r="AD196" s="171">
        <f>IFERROR((#REF!/#REF!)*AD193,0)</f>
        <v>0</v>
      </c>
      <c r="AE196" s="171">
        <f>IFERROR((#REF!/#REF!)*AE193,0)</f>
        <v>0</v>
      </c>
      <c r="AF196" s="171">
        <f>IFERROR((#REF!/#REF!)*AF193,0)</f>
        <v>0</v>
      </c>
      <c r="AG196" s="171">
        <f>IFERROR((#REF!/#REF!)*AG193,0)</f>
        <v>0</v>
      </c>
      <c r="AH196" s="171">
        <f>IFERROR((#REF!/#REF!)*AH193,0)</f>
        <v>0</v>
      </c>
      <c r="AI196" s="171">
        <f>IFERROR((#REF!/#REF!)*AI193,0)</f>
        <v>0</v>
      </c>
      <c r="AJ196" s="171">
        <f>IFERROR((#REF!/#REF!)*AJ193,0)</f>
        <v>0</v>
      </c>
      <c r="AK196" s="171">
        <f>IFERROR((#REF!/#REF!)*AK193,0)</f>
        <v>0</v>
      </c>
      <c r="AL196" s="171">
        <f>IFERROR((#REF!/#REF!)*AL193,0)</f>
        <v>0</v>
      </c>
      <c r="AM196" s="171">
        <f>IFERROR((#REF!/#REF!)*AM193,0)</f>
        <v>0</v>
      </c>
      <c r="AN196" s="171">
        <f>IFERROR((#REF!/#REF!)*AN193,0)</f>
        <v>0</v>
      </c>
      <c r="AO196" s="171">
        <f>IFERROR((#REF!/#REF!)*AO193,0)</f>
        <v>0</v>
      </c>
      <c r="AP196" s="171">
        <f>IFERROR((#REF!/#REF!)*AP193,0)</f>
        <v>0</v>
      </c>
      <c r="AQ196" s="171">
        <f>IFERROR((#REF!/#REF!)*AQ193,0)</f>
        <v>0</v>
      </c>
      <c r="AR196" s="171">
        <f>IFERROR((#REF!/#REF!)*AR193,0)</f>
        <v>0</v>
      </c>
      <c r="AS196" s="171">
        <f>IFERROR((#REF!/#REF!)*AS193,0)</f>
        <v>0</v>
      </c>
      <c r="AT196" s="171">
        <f>IFERROR((#REF!/#REF!)*AT193,0)</f>
        <v>0</v>
      </c>
      <c r="AU196" s="171">
        <f>IFERROR((#REF!/#REF!)*AU193,0)</f>
        <v>0</v>
      </c>
      <c r="AV196" s="171">
        <f>IFERROR((#REF!/#REF!)*AV193,0)</f>
        <v>0</v>
      </c>
      <c r="AW196" s="171">
        <f>IFERROR((#REF!/#REF!)*AW193,0)</f>
        <v>0</v>
      </c>
      <c r="AX196" s="171">
        <f>IFERROR((#REF!/#REF!)*AX193,0)</f>
        <v>0</v>
      </c>
      <c r="AY196" s="171">
        <f>IFERROR((#REF!/#REF!)*AY193,0)</f>
        <v>0</v>
      </c>
      <c r="AZ196" s="171">
        <f>IFERROR((#REF!/#REF!)*AZ193,0)</f>
        <v>0</v>
      </c>
      <c r="BA196" s="171">
        <f>IFERROR((#REF!/#REF!)*BA193,0)</f>
        <v>0</v>
      </c>
      <c r="BB196" s="171">
        <f>IFERROR((#REF!/#REF!)*BB193,0)</f>
        <v>0</v>
      </c>
      <c r="BC196" s="171">
        <f>IFERROR((#REF!/#REF!)*BC193,0)</f>
        <v>0</v>
      </c>
      <c r="BD196" s="171">
        <f>IFERROR((#REF!/#REF!)*BD193,0)</f>
        <v>0</v>
      </c>
      <c r="BE196" s="171">
        <f>IFERROR((#REF!/#REF!)*BE193,0)</f>
        <v>0</v>
      </c>
      <c r="BF196" s="171">
        <f>IFERROR((#REF!/#REF!)*BF193,0)</f>
        <v>0</v>
      </c>
      <c r="BG196" s="171"/>
      <c r="BH196" s="171"/>
      <c r="BI196" s="171"/>
      <c r="BJ196" s="171"/>
      <c r="BK196" s="171"/>
      <c r="BL196" s="171"/>
    </row>
    <row r="197" spans="3:64" hidden="1" x14ac:dyDescent="0.15">
      <c r="C197" s="115" t="s">
        <v>470</v>
      </c>
      <c r="D197" s="171"/>
      <c r="E197" s="171" t="e">
        <f>IF(E5&gt;Leadsheet!$E$14,0,SUM(E193:E196))</f>
        <v>#REF!</v>
      </c>
      <c r="F197" s="171" t="e">
        <f>IF(F5&gt;Leadsheet!$E$14,0,SUM(F193:F196))</f>
        <v>#REF!</v>
      </c>
      <c r="G197" s="171" t="e">
        <f>IF(G5&gt;Leadsheet!$E$14,0,SUM(G193:G196))</f>
        <v>#REF!</v>
      </c>
      <c r="H197" s="171" t="e">
        <f>IF(H5&gt;Leadsheet!$E$14,0,SUM(H193:H196))</f>
        <v>#REF!</v>
      </c>
      <c r="I197" s="171" t="e">
        <f>IF(I5&gt;Leadsheet!$E$14,0,SUM(I193:I196))</f>
        <v>#REF!</v>
      </c>
      <c r="J197" s="171" t="e">
        <f>IF(J5&gt;Leadsheet!$E$14,0,SUM(J193:J196))</f>
        <v>#REF!</v>
      </c>
      <c r="K197" s="171" t="e">
        <f>IF(K5&gt;Leadsheet!$E$14,0,SUM(K193:K196))</f>
        <v>#REF!</v>
      </c>
      <c r="L197" s="171" t="e">
        <f>IF(L5&gt;Leadsheet!$E$14,0,SUM(L193:L196))</f>
        <v>#REF!</v>
      </c>
      <c r="M197" s="171" t="e">
        <f>IF(M5&gt;Leadsheet!$E$14,0,SUM(M193:M196))</f>
        <v>#REF!</v>
      </c>
      <c r="N197" s="171" t="e">
        <f>IF(N5&gt;Leadsheet!$E$14,0,SUM(N193:N196))</f>
        <v>#REF!</v>
      </c>
      <c r="O197" s="171" t="e">
        <f>IF(O5&gt;Leadsheet!$E$14,0,SUM(O193:O196))</f>
        <v>#REF!</v>
      </c>
      <c r="P197" s="171" t="e">
        <f>IF(P5&gt;Leadsheet!$E$14,0,SUM(P193:P196))</f>
        <v>#REF!</v>
      </c>
      <c r="Q197" s="171" t="e">
        <f>IF(Q5&gt;Leadsheet!$E$14,0,SUM(Q193:Q196))</f>
        <v>#REF!</v>
      </c>
      <c r="R197" s="171" t="e">
        <f>IF(R5&gt;Leadsheet!$E$14,0,SUM(R193:R196))</f>
        <v>#REF!</v>
      </c>
      <c r="S197" s="171" t="e">
        <f>IF(S5&gt;Leadsheet!$E$14,0,SUM(S193:S196))</f>
        <v>#REF!</v>
      </c>
      <c r="T197" s="171" t="e">
        <f>IF(T5&gt;Leadsheet!$E$14,0,SUM(T193:T196))</f>
        <v>#REF!</v>
      </c>
      <c r="U197" s="171" t="e">
        <f>IF(U5&gt;Leadsheet!$E$14,0,SUM(U193:U196))</f>
        <v>#REF!</v>
      </c>
      <c r="V197" s="171" t="e">
        <f>IF(V5&gt;Leadsheet!$E$14,0,SUM(V193:V196))</f>
        <v>#REF!</v>
      </c>
      <c r="W197" s="171" t="e">
        <f>IF(W5&gt;Leadsheet!$E$14,0,SUM(W193:W196))</f>
        <v>#REF!</v>
      </c>
      <c r="X197" s="171" t="e">
        <f>IF(X5&gt;Leadsheet!$E$14,0,SUM(X193:X196))</f>
        <v>#REF!</v>
      </c>
      <c r="Y197" s="171">
        <f>IF(Y5&gt;Leadsheet!$E$14,0,SUM(Y193:Y196))</f>
        <v>0</v>
      </c>
      <c r="Z197" s="171">
        <f>IF(Z5&gt;Leadsheet!$E$14,0,SUM(Z193:Z196))</f>
        <v>0</v>
      </c>
      <c r="AA197" s="171">
        <f>IF(AA5&gt;Leadsheet!$E$14,0,SUM(AA193:AA196))</f>
        <v>0</v>
      </c>
      <c r="AB197" s="171">
        <f>IF(AB5&gt;Leadsheet!$E$14,0,SUM(AB193:AB196))</f>
        <v>0</v>
      </c>
      <c r="AC197" s="171">
        <f>IF(AC5&gt;Leadsheet!$E$14,0,SUM(AC193:AC196))</f>
        <v>0</v>
      </c>
      <c r="AD197" s="171">
        <f>IF(AD5&gt;Leadsheet!$E$14,0,SUM(AD193:AD196))</f>
        <v>0</v>
      </c>
      <c r="AE197" s="171">
        <f>IF(AE5&gt;Leadsheet!$E$14,0,SUM(AE193:AE196))</f>
        <v>0</v>
      </c>
      <c r="AF197" s="171">
        <f>IF(AF5&gt;Leadsheet!$E$14,0,SUM(AF193:AF196))</f>
        <v>0</v>
      </c>
      <c r="AG197" s="171">
        <f>IF(AG5&gt;Leadsheet!$E$14,0,SUM(AG193:AG196))</f>
        <v>0</v>
      </c>
      <c r="AH197" s="171">
        <f>IF(AH5&gt;Leadsheet!$E$14,0,SUM(AH193:AH196))</f>
        <v>0</v>
      </c>
      <c r="AI197" s="171">
        <f>IF(AI5&gt;Leadsheet!$E$14,0,SUM(AI193:AI196))</f>
        <v>0</v>
      </c>
      <c r="AJ197" s="171">
        <f>IF(AJ5&gt;Leadsheet!$E$14,0,SUM(AJ193:AJ196))</f>
        <v>0</v>
      </c>
      <c r="AK197" s="171">
        <f>IF(AK5&gt;Leadsheet!$E$14,0,SUM(AK193:AK196))</f>
        <v>0</v>
      </c>
      <c r="AL197" s="171">
        <f>IF(AL5&gt;Leadsheet!$E$14,0,SUM(AL193:AL196))</f>
        <v>0</v>
      </c>
      <c r="AM197" s="171">
        <f>IF(AM5&gt;Leadsheet!$E$14,0,SUM(AM193:AM196))</f>
        <v>0</v>
      </c>
      <c r="AN197" s="171">
        <f>IF(AN5&gt;Leadsheet!$E$14,0,SUM(AN193:AN196))</f>
        <v>0</v>
      </c>
      <c r="AO197" s="171">
        <f>IF(AO5&gt;Leadsheet!$E$14,0,SUM(AO193:AO196))</f>
        <v>0</v>
      </c>
      <c r="AP197" s="171">
        <f>IF(AP5&gt;Leadsheet!$E$14,0,SUM(AP193:AP196))</f>
        <v>0</v>
      </c>
      <c r="AQ197" s="171">
        <f>IF(AQ5&gt;Leadsheet!$E$14,0,SUM(AQ193:AQ196))</f>
        <v>0</v>
      </c>
      <c r="AR197" s="171">
        <f>IF(AR5&gt;Leadsheet!$E$14,0,SUM(AR193:AR196))</f>
        <v>0</v>
      </c>
      <c r="AS197" s="171">
        <f>IF(AS5&gt;Leadsheet!$E$14,0,SUM(AS193:AS196))</f>
        <v>0</v>
      </c>
      <c r="AT197" s="171">
        <f>IF(AT5&gt;Leadsheet!$E$14,0,SUM(AT193:AT196))</f>
        <v>0</v>
      </c>
      <c r="AU197" s="171">
        <f>IF(AU5&gt;Leadsheet!$E$14,0,SUM(AU193:AU196))</f>
        <v>0</v>
      </c>
      <c r="AV197" s="171">
        <f>IF(AV5&gt;Leadsheet!$E$14,0,SUM(AV193:AV196))</f>
        <v>0</v>
      </c>
      <c r="AW197" s="171">
        <f>IF(AW5&gt;Leadsheet!$E$14,0,SUM(AW193:AW196))</f>
        <v>0</v>
      </c>
      <c r="AX197" s="171">
        <f>IF(AX5&gt;Leadsheet!$E$14,0,SUM(AX193:AX196))</f>
        <v>0</v>
      </c>
      <c r="AY197" s="171">
        <f>IF(AY5&gt;Leadsheet!$E$14,0,SUM(AY193:AY196))</f>
        <v>0</v>
      </c>
      <c r="AZ197" s="171">
        <f>IF(AZ5&gt;Leadsheet!$E$14,0,SUM(AZ193:AZ196))</f>
        <v>0</v>
      </c>
      <c r="BA197" s="171">
        <f>IF(BA5&gt;Leadsheet!$E$14,0,SUM(BA193:BA196))</f>
        <v>0</v>
      </c>
      <c r="BB197" s="171">
        <f>IF(BB5&gt;Leadsheet!$E$14,0,SUM(BB193:BB196))</f>
        <v>0</v>
      </c>
      <c r="BC197" s="171">
        <f>IF(BC5&gt;Leadsheet!$E$14,0,SUM(BC193:BC196))</f>
        <v>0</v>
      </c>
      <c r="BD197" s="171">
        <f>IF(BD5&gt;Leadsheet!$E$14,0,SUM(BD193:BD196))</f>
        <v>0</v>
      </c>
      <c r="BE197" s="171">
        <f>IF(BE5&gt;Leadsheet!$E$14,0,SUM(BE193:BE196))</f>
        <v>0</v>
      </c>
      <c r="BF197" s="171">
        <f>IF(BF5&gt;Leadsheet!$E$14,0,SUM(BF193:BF196))</f>
        <v>0</v>
      </c>
      <c r="BG197" s="171"/>
      <c r="BH197" s="171"/>
      <c r="BI197" s="171"/>
      <c r="BJ197" s="171"/>
      <c r="BK197" s="171"/>
      <c r="BL197" s="171"/>
    </row>
    <row r="198" spans="3:64" hidden="1" x14ac:dyDescent="0.15"/>
    <row r="199" spans="3:64" hidden="1" x14ac:dyDescent="0.15"/>
    <row r="200" spans="3:64" hidden="1" x14ac:dyDescent="0.15">
      <c r="C200" s="186" t="s">
        <v>471</v>
      </c>
    </row>
    <row r="201" spans="3:64" hidden="1" x14ac:dyDescent="0.15">
      <c r="C201" s="325" t="s">
        <v>472</v>
      </c>
      <c r="E201" s="178" t="e">
        <f>+#REF!</f>
        <v>#REF!</v>
      </c>
      <c r="F201" s="178" t="e">
        <f>+#REF!</f>
        <v>#REF!</v>
      </c>
      <c r="G201" s="178" t="e">
        <f>+#REF!</f>
        <v>#REF!</v>
      </c>
      <c r="H201" s="178" t="e">
        <f>+#REF!</f>
        <v>#REF!</v>
      </c>
      <c r="I201" s="178" t="e">
        <f>+#REF!</f>
        <v>#REF!</v>
      </c>
      <c r="J201" s="178" t="e">
        <f>+#REF!</f>
        <v>#REF!</v>
      </c>
      <c r="K201" s="178" t="e">
        <f>+#REF!</f>
        <v>#REF!</v>
      </c>
      <c r="L201" s="178" t="e">
        <f>+#REF!</f>
        <v>#REF!</v>
      </c>
      <c r="M201" s="178" t="e">
        <f>+#REF!</f>
        <v>#REF!</v>
      </c>
      <c r="N201" s="178" t="e">
        <f>+#REF!</f>
        <v>#REF!</v>
      </c>
      <c r="O201" s="178" t="e">
        <f>+#REF!</f>
        <v>#REF!</v>
      </c>
      <c r="P201" s="178" t="e">
        <f>+#REF!</f>
        <v>#REF!</v>
      </c>
      <c r="Q201" s="178" t="e">
        <f>+#REF!</f>
        <v>#REF!</v>
      </c>
      <c r="R201" s="178" t="e">
        <f>+#REF!</f>
        <v>#REF!</v>
      </c>
      <c r="S201" s="178" t="e">
        <f>+#REF!</f>
        <v>#REF!</v>
      </c>
      <c r="T201" s="178" t="e">
        <f>+#REF!</f>
        <v>#REF!</v>
      </c>
      <c r="U201" s="178" t="e">
        <f>+#REF!</f>
        <v>#REF!</v>
      </c>
      <c r="V201" s="178" t="e">
        <f>+#REF!</f>
        <v>#REF!</v>
      </c>
      <c r="W201" s="178" t="e">
        <f>+#REF!</f>
        <v>#REF!</v>
      </c>
      <c r="X201" s="178" t="e">
        <f>+#REF!</f>
        <v>#REF!</v>
      </c>
      <c r="Y201" s="178" t="e">
        <f>+#REF!</f>
        <v>#REF!</v>
      </c>
      <c r="Z201" s="178" t="e">
        <f>+#REF!</f>
        <v>#REF!</v>
      </c>
      <c r="AA201" s="178" t="e">
        <f>+#REF!</f>
        <v>#REF!</v>
      </c>
      <c r="AB201" s="178" t="e">
        <f>+#REF!</f>
        <v>#REF!</v>
      </c>
      <c r="AC201" s="178" t="e">
        <f>+#REF!</f>
        <v>#REF!</v>
      </c>
      <c r="AD201" s="178" t="e">
        <f>+#REF!</f>
        <v>#REF!</v>
      </c>
      <c r="AE201" s="178" t="e">
        <f>+#REF!</f>
        <v>#REF!</v>
      </c>
      <c r="AF201" s="178" t="e">
        <f>+#REF!</f>
        <v>#REF!</v>
      </c>
      <c r="AG201" s="178" t="e">
        <f>+#REF!</f>
        <v>#REF!</v>
      </c>
      <c r="AH201" s="178" t="e">
        <f>+#REF!</f>
        <v>#REF!</v>
      </c>
      <c r="AI201" s="178" t="e">
        <f>+#REF!</f>
        <v>#REF!</v>
      </c>
      <c r="AJ201" s="178" t="e">
        <f>+#REF!</f>
        <v>#REF!</v>
      </c>
      <c r="AK201" s="178" t="e">
        <f>+#REF!</f>
        <v>#REF!</v>
      </c>
      <c r="AL201" s="178" t="e">
        <f>+#REF!</f>
        <v>#REF!</v>
      </c>
      <c r="AM201" s="178" t="e">
        <f>+#REF!</f>
        <v>#REF!</v>
      </c>
      <c r="AN201" s="178" t="e">
        <f>+#REF!</f>
        <v>#REF!</v>
      </c>
      <c r="AO201" s="178" t="e">
        <f>+#REF!</f>
        <v>#REF!</v>
      </c>
      <c r="AP201" s="178" t="e">
        <f>+#REF!</f>
        <v>#REF!</v>
      </c>
      <c r="AQ201" s="178" t="e">
        <f>+#REF!</f>
        <v>#REF!</v>
      </c>
      <c r="AR201" s="178" t="e">
        <f>+#REF!</f>
        <v>#REF!</v>
      </c>
      <c r="AS201" s="178" t="e">
        <f>+#REF!</f>
        <v>#REF!</v>
      </c>
      <c r="AT201" s="178" t="e">
        <f>+#REF!</f>
        <v>#REF!</v>
      </c>
      <c r="AU201" s="178" t="e">
        <f>+#REF!</f>
        <v>#REF!</v>
      </c>
      <c r="AV201" s="178" t="e">
        <f>+#REF!</f>
        <v>#REF!</v>
      </c>
      <c r="AW201" s="178" t="e">
        <f>+#REF!</f>
        <v>#REF!</v>
      </c>
      <c r="AX201" s="178" t="e">
        <f>+#REF!</f>
        <v>#REF!</v>
      </c>
      <c r="AY201" s="178" t="e">
        <f>+#REF!</f>
        <v>#REF!</v>
      </c>
      <c r="AZ201" s="178" t="e">
        <f>+#REF!</f>
        <v>#REF!</v>
      </c>
      <c r="BA201" s="178" t="e">
        <f>+#REF!</f>
        <v>#REF!</v>
      </c>
      <c r="BB201" s="178" t="e">
        <f>+#REF!</f>
        <v>#REF!</v>
      </c>
      <c r="BC201" s="178" t="e">
        <f>+#REF!</f>
        <v>#REF!</v>
      </c>
      <c r="BD201" s="178" t="e">
        <f>+#REF!</f>
        <v>#REF!</v>
      </c>
      <c r="BE201" s="178" t="e">
        <f>+#REF!</f>
        <v>#REF!</v>
      </c>
      <c r="BF201" s="178" t="e">
        <f>+#REF!</f>
        <v>#REF!</v>
      </c>
      <c r="BG201" s="178"/>
      <c r="BH201" s="178"/>
      <c r="BI201" s="178"/>
      <c r="BJ201" s="178"/>
      <c r="BK201" s="178"/>
      <c r="BL201" s="178"/>
    </row>
    <row r="202" spans="3:64" hidden="1" x14ac:dyDescent="0.15">
      <c r="C202" s="325" t="s">
        <v>473</v>
      </c>
      <c r="E202" s="171" t="e">
        <f>-D27*(E$13+#REF!*(1+#REF!))</f>
        <v>#REF!</v>
      </c>
      <c r="F202" s="171" t="e">
        <f>-#REF!*(F$13+#REF!*(1+#REF!))</f>
        <v>#REF!</v>
      </c>
      <c r="G202" s="171" t="e">
        <f>-#REF!*(G$13+#REF!*(1+#REF!))</f>
        <v>#REF!</v>
      </c>
      <c r="H202" s="171" t="e">
        <f>-#REF!*(H$13+#REF!*(1+#REF!))</f>
        <v>#REF!</v>
      </c>
      <c r="I202" s="171" t="e">
        <f>-#REF!*(I$13+#REF!*(1+#REF!))</f>
        <v>#REF!</v>
      </c>
      <c r="J202" s="171" t="e">
        <f>-#REF!*(J$13+#REF!*(1+#REF!))</f>
        <v>#REF!</v>
      </c>
      <c r="K202" s="171" t="e">
        <f>-#REF!*(K$13+#REF!*(1+#REF!))</f>
        <v>#REF!</v>
      </c>
      <c r="L202" s="171" t="e">
        <f>-#REF!*(L$13+#REF!*(1+#REF!))</f>
        <v>#REF!</v>
      </c>
      <c r="M202" s="171" t="e">
        <f>-#REF!*(M$13+#REF!*(1+#REF!))</f>
        <v>#REF!</v>
      </c>
      <c r="N202" s="171" t="e">
        <f>-#REF!*(N$13+#REF!*(1+#REF!))</f>
        <v>#REF!</v>
      </c>
      <c r="O202" s="171" t="e">
        <f>-#REF!*(O$13+#REF!*(1+#REF!))</f>
        <v>#REF!</v>
      </c>
      <c r="P202" s="171" t="e">
        <f>-#REF!*(P$13+#REF!*(1+#REF!))</f>
        <v>#REF!</v>
      </c>
      <c r="Q202" s="171" t="e">
        <f>-#REF!*(Q$13+#REF!*(1+#REF!))</f>
        <v>#REF!</v>
      </c>
      <c r="R202" s="171" t="e">
        <f>-#REF!*(R$13+#REF!*(1+#REF!))</f>
        <v>#REF!</v>
      </c>
      <c r="S202" s="171" t="e">
        <f>-#REF!*(S$13+#REF!*(1+#REF!))</f>
        <v>#REF!</v>
      </c>
      <c r="T202" s="171" t="e">
        <f>-#REF!*(T$13+#REF!*(1+#REF!))</f>
        <v>#REF!</v>
      </c>
      <c r="U202" s="171" t="e">
        <f>-#REF!*(U$13+#REF!*(1+#REF!))</f>
        <v>#REF!</v>
      </c>
      <c r="V202" s="171" t="e">
        <f>-#REF!*(V$13+#REF!*(1+#REF!))</f>
        <v>#REF!</v>
      </c>
      <c r="W202" s="171" t="e">
        <f>-#REF!*(W$13+#REF!*(1+#REF!))</f>
        <v>#REF!</v>
      </c>
      <c r="X202" s="171" t="e">
        <f>-#REF!*(X$13+#REF!*(1+#REF!))</f>
        <v>#REF!</v>
      </c>
      <c r="Y202" s="171" t="e">
        <f>-#REF!*(Y$13+#REF!*(1+#REF!))</f>
        <v>#REF!</v>
      </c>
      <c r="Z202" s="171" t="e">
        <f>-#REF!*(Z$13+#REF!*(1+#REF!))</f>
        <v>#REF!</v>
      </c>
      <c r="AA202" s="171" t="e">
        <f>-#REF!*(AA$13+#REF!*(1+#REF!))</f>
        <v>#REF!</v>
      </c>
      <c r="AB202" s="171" t="e">
        <f>-#REF!*(AB$13+#REF!*(1+#REF!))</f>
        <v>#REF!</v>
      </c>
      <c r="AC202" s="171" t="e">
        <f>-#REF!*(AC$13+#REF!*(1+#REF!))</f>
        <v>#REF!</v>
      </c>
      <c r="AD202" s="171" t="e">
        <f>-#REF!*(AD$13+#REF!*(1+#REF!))</f>
        <v>#REF!</v>
      </c>
      <c r="AE202" s="171" t="e">
        <f>-#REF!*(AE$13+#REF!*(1+#REF!))</f>
        <v>#REF!</v>
      </c>
      <c r="AF202" s="171" t="e">
        <f>-#REF!*(AF$13+#REF!*(1+#REF!))</f>
        <v>#REF!</v>
      </c>
      <c r="AG202" s="171" t="e">
        <f>-#REF!*(AG$13+#REF!*(1+#REF!))</f>
        <v>#REF!</v>
      </c>
      <c r="AH202" s="171" t="e">
        <f>-#REF!*(AH$13+#REF!*(1+#REF!))</f>
        <v>#REF!</v>
      </c>
      <c r="AI202" s="171" t="e">
        <f>-#REF!*(AI$13+#REF!*(1+#REF!))</f>
        <v>#REF!</v>
      </c>
      <c r="AJ202" s="171" t="e">
        <f>-#REF!*(AJ$13+#REF!*(1+#REF!))</f>
        <v>#REF!</v>
      </c>
      <c r="AK202" s="171" t="e">
        <f>-#REF!*(AK$13+#REF!*(1+#REF!))</f>
        <v>#REF!</v>
      </c>
      <c r="AL202" s="171" t="e">
        <f>-#REF!*(AL$13+#REF!*(1+#REF!))</f>
        <v>#REF!</v>
      </c>
      <c r="AM202" s="171" t="e">
        <f>-#REF!*(AM$13+#REF!*(1+#REF!))</f>
        <v>#REF!</v>
      </c>
      <c r="AN202" s="171" t="e">
        <f>-#REF!*(AN$13+#REF!*(1+#REF!))</f>
        <v>#REF!</v>
      </c>
      <c r="AO202" s="171" t="e">
        <f>-#REF!*(AO$13+#REF!*(1+#REF!))</f>
        <v>#REF!</v>
      </c>
      <c r="AP202" s="171" t="e">
        <f>-#REF!*(AP$13+#REF!*(1+#REF!))</f>
        <v>#REF!</v>
      </c>
      <c r="AQ202" s="171" t="e">
        <f>-#REF!*(AQ$13+#REF!*(1+#REF!))</f>
        <v>#REF!</v>
      </c>
      <c r="AR202" s="171" t="e">
        <f>-#REF!*(AR$13+#REF!*(1+#REF!))</f>
        <v>#REF!</v>
      </c>
      <c r="AS202" s="171" t="e">
        <f>-#REF!*(AS$13+#REF!*(1+#REF!))</f>
        <v>#REF!</v>
      </c>
      <c r="AT202" s="171" t="e">
        <f>-#REF!*(AT$13+#REF!*(1+#REF!))</f>
        <v>#REF!</v>
      </c>
      <c r="AU202" s="171" t="e">
        <f>-#REF!*(AU$13+#REF!*(1+#REF!))</f>
        <v>#REF!</v>
      </c>
      <c r="AV202" s="171" t="e">
        <f>-#REF!*(AV$13+#REF!*(1+#REF!))</f>
        <v>#REF!</v>
      </c>
      <c r="AW202" s="171" t="e">
        <f>-#REF!*(AW$13+#REF!*(1+#REF!))</f>
        <v>#REF!</v>
      </c>
      <c r="AX202" s="171" t="e">
        <f>-#REF!*(AX$13+#REF!*(1+#REF!))</f>
        <v>#REF!</v>
      </c>
      <c r="AY202" s="171" t="e">
        <f>-#REF!*(AY$13+#REF!*(1+#REF!))</f>
        <v>#REF!</v>
      </c>
      <c r="AZ202" s="171" t="e">
        <f>-#REF!*(AZ$13+#REF!*(1+#REF!))</f>
        <v>#REF!</v>
      </c>
      <c r="BA202" s="171" t="e">
        <f>-#REF!*(BA$13+#REF!*(1+#REF!))</f>
        <v>#REF!</v>
      </c>
      <c r="BB202" s="171" t="e">
        <f>-#REF!*(BB$13+#REF!*(1+#REF!))</f>
        <v>#REF!</v>
      </c>
      <c r="BC202" s="171" t="e">
        <f>-#REF!*(BC$13+#REF!*(1+#REF!))</f>
        <v>#REF!</v>
      </c>
      <c r="BD202" s="171" t="e">
        <f>-#REF!*(BD$13+#REF!*(1+#REF!))</f>
        <v>#REF!</v>
      </c>
      <c r="BE202" s="171" t="e">
        <f>-#REF!*(BE$13+#REF!*(1+#REF!))</f>
        <v>#REF!</v>
      </c>
      <c r="BF202" s="171" t="e">
        <f>-#REF!*(BF$13+#REF!*(1+#REF!))</f>
        <v>#REF!</v>
      </c>
      <c r="BG202" s="171"/>
      <c r="BH202" s="171"/>
      <c r="BI202" s="171"/>
      <c r="BJ202" s="171"/>
      <c r="BK202" s="171"/>
      <c r="BL202" s="171"/>
    </row>
    <row r="203" spans="3:64" hidden="1" x14ac:dyDescent="0.15">
      <c r="C203" s="325" t="s">
        <v>474</v>
      </c>
      <c r="E203" s="171" t="e">
        <v>#REF!</v>
      </c>
      <c r="F203" s="171" t="e">
        <v>#REF!</v>
      </c>
      <c r="G203" s="171" t="e">
        <v>#REF!</v>
      </c>
      <c r="H203" s="171" t="e">
        <v>#REF!</v>
      </c>
      <c r="I203" s="171" t="e">
        <v>#REF!</v>
      </c>
      <c r="J203" s="171" t="e">
        <v>#REF!</v>
      </c>
      <c r="K203" s="171" t="e">
        <v>#REF!</v>
      </c>
      <c r="L203" s="171" t="e">
        <v>#REF!</v>
      </c>
      <c r="M203" s="171" t="e">
        <v>#REF!</v>
      </c>
      <c r="N203" s="171" t="e">
        <v>#REF!</v>
      </c>
      <c r="O203" s="171" t="e">
        <v>#REF!</v>
      </c>
      <c r="P203" s="171" t="e">
        <v>#REF!</v>
      </c>
      <c r="Q203" s="171" t="e">
        <v>#REF!</v>
      </c>
      <c r="R203" s="171" t="e">
        <v>#REF!</v>
      </c>
      <c r="S203" s="171" t="e">
        <v>#REF!</v>
      </c>
      <c r="T203" s="171" t="e">
        <v>#REF!</v>
      </c>
      <c r="U203" s="171" t="e">
        <v>#REF!</v>
      </c>
      <c r="V203" s="171" t="e">
        <v>#REF!</v>
      </c>
      <c r="W203" s="171" t="e">
        <v>#REF!</v>
      </c>
      <c r="X203" s="171" t="e">
        <v>#REF!</v>
      </c>
      <c r="Y203" s="171" t="e">
        <v>#REF!</v>
      </c>
      <c r="Z203" s="171" t="e">
        <v>#REF!</v>
      </c>
      <c r="AA203" s="171" t="e">
        <v>#REF!</v>
      </c>
      <c r="AB203" s="171" t="e">
        <v>#REF!</v>
      </c>
      <c r="AC203" s="171" t="e">
        <v>#REF!</v>
      </c>
      <c r="AD203" s="171" t="e">
        <v>#REF!</v>
      </c>
      <c r="AE203" s="171" t="e">
        <v>#REF!</v>
      </c>
      <c r="AF203" s="171" t="e">
        <v>#REF!</v>
      </c>
      <c r="AG203" s="171" t="e">
        <v>#REF!</v>
      </c>
      <c r="AH203" s="171" t="e">
        <v>#REF!</v>
      </c>
      <c r="AI203" s="171" t="e">
        <v>#REF!</v>
      </c>
      <c r="AJ203" s="171" t="e">
        <v>#REF!</v>
      </c>
      <c r="AK203" s="171" t="e">
        <v>#REF!</v>
      </c>
      <c r="AL203" s="171" t="e">
        <v>#REF!</v>
      </c>
      <c r="AM203" s="171" t="e">
        <v>#REF!</v>
      </c>
      <c r="AN203" s="171" t="e">
        <v>#REF!</v>
      </c>
      <c r="AO203" s="171" t="e">
        <v>#REF!</v>
      </c>
      <c r="AP203" s="171" t="e">
        <v>#REF!</v>
      </c>
      <c r="AQ203" s="171" t="e">
        <v>#REF!</v>
      </c>
      <c r="AR203" s="171" t="e">
        <v>#REF!</v>
      </c>
      <c r="AS203" s="171" t="e">
        <v>#REF!</v>
      </c>
      <c r="AT203" s="171" t="e">
        <v>#REF!</v>
      </c>
      <c r="AU203" s="171" t="e">
        <v>#REF!</v>
      </c>
      <c r="AV203" s="171" t="e">
        <v>#REF!</v>
      </c>
      <c r="AW203" s="171" t="e">
        <v>#REF!</v>
      </c>
      <c r="AX203" s="171" t="e">
        <v>#REF!</v>
      </c>
      <c r="AY203" s="171" t="e">
        <v>#REF!</v>
      </c>
      <c r="AZ203" s="171" t="e">
        <v>#REF!</v>
      </c>
      <c r="BA203" s="171" t="e">
        <v>#REF!</v>
      </c>
      <c r="BB203" s="171" t="e">
        <v>#REF!</v>
      </c>
      <c r="BC203" s="171" t="e">
        <v>#REF!</v>
      </c>
      <c r="BD203" s="171" t="e">
        <v>#REF!</v>
      </c>
      <c r="BE203" s="171" t="e">
        <v>#REF!</v>
      </c>
      <c r="BF203" s="171" t="e">
        <v>#REF!</v>
      </c>
      <c r="BG203" s="171"/>
      <c r="BH203" s="171"/>
      <c r="BI203" s="171"/>
      <c r="BJ203" s="171"/>
      <c r="BK203" s="171"/>
      <c r="BL203" s="171"/>
    </row>
    <row r="204" spans="3:64" hidden="1" x14ac:dyDescent="0.15">
      <c r="C204" s="325" t="s">
        <v>475</v>
      </c>
      <c r="E204" s="171" t="e">
        <v>#REF!</v>
      </c>
      <c r="F204" s="171" t="e">
        <v>#REF!</v>
      </c>
      <c r="G204" s="171" t="e">
        <v>#REF!</v>
      </c>
      <c r="H204" s="171" t="e">
        <v>#REF!</v>
      </c>
      <c r="I204" s="171" t="e">
        <v>#REF!</v>
      </c>
      <c r="J204" s="171" t="e">
        <v>#REF!</v>
      </c>
      <c r="K204" s="171" t="e">
        <v>#REF!</v>
      </c>
      <c r="L204" s="171" t="e">
        <v>#REF!</v>
      </c>
      <c r="M204" s="171" t="e">
        <v>#REF!</v>
      </c>
      <c r="N204" s="171" t="e">
        <v>#REF!</v>
      </c>
      <c r="O204" s="171" t="e">
        <v>#REF!</v>
      </c>
      <c r="P204" s="171" t="e">
        <v>#REF!</v>
      </c>
      <c r="Q204" s="171" t="e">
        <v>#REF!</v>
      </c>
      <c r="R204" s="171" t="e">
        <v>#REF!</v>
      </c>
      <c r="S204" s="171" t="e">
        <v>#REF!</v>
      </c>
      <c r="T204" s="171" t="e">
        <v>#REF!</v>
      </c>
      <c r="U204" s="171" t="e">
        <v>#REF!</v>
      </c>
      <c r="V204" s="171" t="e">
        <v>#REF!</v>
      </c>
      <c r="W204" s="171" t="e">
        <v>#REF!</v>
      </c>
      <c r="X204" s="171" t="e">
        <v>#REF!</v>
      </c>
      <c r="Y204" s="171" t="e">
        <v>#REF!</v>
      </c>
      <c r="Z204" s="171" t="e">
        <v>#REF!</v>
      </c>
      <c r="AA204" s="171" t="e">
        <v>#REF!</v>
      </c>
      <c r="AB204" s="171" t="e">
        <v>#REF!</v>
      </c>
      <c r="AC204" s="171" t="e">
        <v>#REF!</v>
      </c>
      <c r="AD204" s="171" t="e">
        <v>#REF!</v>
      </c>
      <c r="AE204" s="171" t="e">
        <v>#REF!</v>
      </c>
      <c r="AF204" s="171" t="e">
        <v>#REF!</v>
      </c>
      <c r="AG204" s="171" t="e">
        <v>#REF!</v>
      </c>
      <c r="AH204" s="171" t="e">
        <v>#REF!</v>
      </c>
      <c r="AI204" s="171" t="e">
        <v>#REF!</v>
      </c>
      <c r="AJ204" s="171" t="e">
        <v>#REF!</v>
      </c>
      <c r="AK204" s="171" t="e">
        <v>#REF!</v>
      </c>
      <c r="AL204" s="171" t="e">
        <v>#REF!</v>
      </c>
      <c r="AM204" s="171" t="e">
        <v>#REF!</v>
      </c>
      <c r="AN204" s="171" t="e">
        <v>#REF!</v>
      </c>
      <c r="AO204" s="171" t="e">
        <v>#REF!</v>
      </c>
      <c r="AP204" s="171" t="e">
        <v>#REF!</v>
      </c>
      <c r="AQ204" s="171" t="e">
        <v>#REF!</v>
      </c>
      <c r="AR204" s="171" t="e">
        <v>#REF!</v>
      </c>
      <c r="AS204" s="171" t="e">
        <v>#REF!</v>
      </c>
      <c r="AT204" s="171" t="e">
        <v>#REF!</v>
      </c>
      <c r="AU204" s="171" t="e">
        <v>#REF!</v>
      </c>
      <c r="AV204" s="171" t="e">
        <v>#REF!</v>
      </c>
      <c r="AW204" s="171" t="e">
        <v>#REF!</v>
      </c>
      <c r="AX204" s="171" t="e">
        <v>#REF!</v>
      </c>
      <c r="AY204" s="171" t="e">
        <v>#REF!</v>
      </c>
      <c r="AZ204" s="171" t="e">
        <v>#REF!</v>
      </c>
      <c r="BA204" s="171" t="e">
        <v>#REF!</v>
      </c>
      <c r="BB204" s="171" t="e">
        <v>#REF!</v>
      </c>
      <c r="BC204" s="171" t="e">
        <v>#REF!</v>
      </c>
      <c r="BD204" s="171" t="e">
        <v>#REF!</v>
      </c>
      <c r="BE204" s="171" t="e">
        <v>#REF!</v>
      </c>
      <c r="BF204" s="171" t="e">
        <v>#REF!</v>
      </c>
      <c r="BG204" s="171"/>
      <c r="BH204" s="171"/>
      <c r="BI204" s="171"/>
      <c r="BJ204" s="171"/>
      <c r="BK204" s="171"/>
      <c r="BL204" s="171"/>
    </row>
    <row r="205" spans="3:64" hidden="1" x14ac:dyDescent="0.15">
      <c r="C205" s="325" t="s">
        <v>476</v>
      </c>
      <c r="E205" s="171" t="e">
        <f t="shared" ref="E205:BF205" si="50">SUM(E201:E204)</f>
        <v>#REF!</v>
      </c>
      <c r="F205" s="171" t="e">
        <f t="shared" si="50"/>
        <v>#REF!</v>
      </c>
      <c r="G205" s="171" t="e">
        <f t="shared" si="50"/>
        <v>#REF!</v>
      </c>
      <c r="H205" s="171" t="e">
        <f t="shared" si="50"/>
        <v>#REF!</v>
      </c>
      <c r="I205" s="171" t="e">
        <f t="shared" si="50"/>
        <v>#REF!</v>
      </c>
      <c r="J205" s="171" t="e">
        <f t="shared" si="50"/>
        <v>#REF!</v>
      </c>
      <c r="K205" s="171" t="e">
        <f t="shared" si="50"/>
        <v>#REF!</v>
      </c>
      <c r="L205" s="171" t="e">
        <f t="shared" si="50"/>
        <v>#REF!</v>
      </c>
      <c r="M205" s="171" t="e">
        <f t="shared" si="50"/>
        <v>#REF!</v>
      </c>
      <c r="N205" s="171" t="e">
        <f t="shared" si="50"/>
        <v>#REF!</v>
      </c>
      <c r="O205" s="171" t="e">
        <f t="shared" si="50"/>
        <v>#REF!</v>
      </c>
      <c r="P205" s="171" t="e">
        <f t="shared" si="50"/>
        <v>#REF!</v>
      </c>
      <c r="Q205" s="171" t="e">
        <f t="shared" si="50"/>
        <v>#REF!</v>
      </c>
      <c r="R205" s="171" t="e">
        <f t="shared" si="50"/>
        <v>#REF!</v>
      </c>
      <c r="S205" s="171" t="e">
        <f t="shared" si="50"/>
        <v>#REF!</v>
      </c>
      <c r="T205" s="171" t="e">
        <f t="shared" si="50"/>
        <v>#REF!</v>
      </c>
      <c r="U205" s="171" t="e">
        <f t="shared" si="50"/>
        <v>#REF!</v>
      </c>
      <c r="V205" s="171" t="e">
        <f t="shared" si="50"/>
        <v>#REF!</v>
      </c>
      <c r="W205" s="171" t="e">
        <f t="shared" si="50"/>
        <v>#REF!</v>
      </c>
      <c r="X205" s="171" t="e">
        <f t="shared" si="50"/>
        <v>#REF!</v>
      </c>
      <c r="Y205" s="171" t="e">
        <f t="shared" si="50"/>
        <v>#REF!</v>
      </c>
      <c r="Z205" s="171" t="e">
        <f t="shared" si="50"/>
        <v>#REF!</v>
      </c>
      <c r="AA205" s="171" t="e">
        <f t="shared" si="50"/>
        <v>#REF!</v>
      </c>
      <c r="AB205" s="171" t="e">
        <f t="shared" si="50"/>
        <v>#REF!</v>
      </c>
      <c r="AC205" s="171" t="e">
        <f t="shared" si="50"/>
        <v>#REF!</v>
      </c>
      <c r="AD205" s="171" t="e">
        <f t="shared" si="50"/>
        <v>#REF!</v>
      </c>
      <c r="AE205" s="171" t="e">
        <f t="shared" si="50"/>
        <v>#REF!</v>
      </c>
      <c r="AF205" s="171" t="e">
        <f t="shared" si="50"/>
        <v>#REF!</v>
      </c>
      <c r="AG205" s="171" t="e">
        <f t="shared" si="50"/>
        <v>#REF!</v>
      </c>
      <c r="AH205" s="171" t="e">
        <f t="shared" si="50"/>
        <v>#REF!</v>
      </c>
      <c r="AI205" s="171" t="e">
        <f t="shared" si="50"/>
        <v>#REF!</v>
      </c>
      <c r="AJ205" s="171" t="e">
        <f t="shared" si="50"/>
        <v>#REF!</v>
      </c>
      <c r="AK205" s="171" t="e">
        <f t="shared" si="50"/>
        <v>#REF!</v>
      </c>
      <c r="AL205" s="171" t="e">
        <f t="shared" si="50"/>
        <v>#REF!</v>
      </c>
      <c r="AM205" s="171" t="e">
        <f t="shared" si="50"/>
        <v>#REF!</v>
      </c>
      <c r="AN205" s="171" t="e">
        <f t="shared" si="50"/>
        <v>#REF!</v>
      </c>
      <c r="AO205" s="171" t="e">
        <f t="shared" si="50"/>
        <v>#REF!</v>
      </c>
      <c r="AP205" s="171" t="e">
        <f t="shared" si="50"/>
        <v>#REF!</v>
      </c>
      <c r="AQ205" s="171" t="e">
        <f t="shared" si="50"/>
        <v>#REF!</v>
      </c>
      <c r="AR205" s="171" t="e">
        <f t="shared" si="50"/>
        <v>#REF!</v>
      </c>
      <c r="AS205" s="171" t="e">
        <f t="shared" si="50"/>
        <v>#REF!</v>
      </c>
      <c r="AT205" s="171" t="e">
        <f t="shared" si="50"/>
        <v>#REF!</v>
      </c>
      <c r="AU205" s="171" t="e">
        <f t="shared" si="50"/>
        <v>#REF!</v>
      </c>
      <c r="AV205" s="171" t="e">
        <f t="shared" si="50"/>
        <v>#REF!</v>
      </c>
      <c r="AW205" s="171" t="e">
        <f t="shared" si="50"/>
        <v>#REF!</v>
      </c>
      <c r="AX205" s="171" t="e">
        <f t="shared" si="50"/>
        <v>#REF!</v>
      </c>
      <c r="AY205" s="171" t="e">
        <f t="shared" si="50"/>
        <v>#REF!</v>
      </c>
      <c r="AZ205" s="171" t="e">
        <f t="shared" si="50"/>
        <v>#REF!</v>
      </c>
      <c r="BA205" s="171" t="e">
        <f t="shared" si="50"/>
        <v>#REF!</v>
      </c>
      <c r="BB205" s="171" t="e">
        <f t="shared" si="50"/>
        <v>#REF!</v>
      </c>
      <c r="BC205" s="171" t="e">
        <f t="shared" si="50"/>
        <v>#REF!</v>
      </c>
      <c r="BD205" s="171" t="e">
        <f t="shared" si="50"/>
        <v>#REF!</v>
      </c>
      <c r="BE205" s="171" t="e">
        <f t="shared" si="50"/>
        <v>#REF!</v>
      </c>
      <c r="BF205" s="171" t="e">
        <f t="shared" si="50"/>
        <v>#REF!</v>
      </c>
      <c r="BG205" s="171"/>
      <c r="BH205" s="171"/>
      <c r="BI205" s="171"/>
      <c r="BJ205" s="171"/>
      <c r="BK205" s="171"/>
      <c r="BL205" s="171"/>
    </row>
    <row r="206" spans="3:64" hidden="1" x14ac:dyDescent="0.15"/>
    <row r="207" spans="3:64" hidden="1" x14ac:dyDescent="0.15"/>
    <row r="208" spans="3:64" hidden="1" x14ac:dyDescent="0.15">
      <c r="C208" s="186" t="s">
        <v>477</v>
      </c>
    </row>
    <row r="209" spans="3:64" hidden="1" x14ac:dyDescent="0.15">
      <c r="C209" s="325" t="s">
        <v>472</v>
      </c>
      <c r="E209" s="178">
        <f>+SUM(D28:D30)</f>
        <v>0</v>
      </c>
      <c r="F209" s="178">
        <f t="shared" ref="F209:BF209" si="51">+SUM(E43:E48)</f>
        <v>25.989550255654475</v>
      </c>
      <c r="G209" s="178">
        <f t="shared" si="51"/>
        <v>23.055726851593196</v>
      </c>
      <c r="H209" s="178">
        <f t="shared" si="51"/>
        <v>20.32260746891146</v>
      </c>
      <c r="I209" s="178">
        <f t="shared" si="51"/>
        <v>18.553771868411758</v>
      </c>
      <c r="J209" s="178">
        <f t="shared" si="51"/>
        <v>16.851453317200722</v>
      </c>
      <c r="K209" s="178">
        <f t="shared" si="51"/>
        <v>15.217714390565593</v>
      </c>
      <c r="L209" s="178">
        <f t="shared" si="51"/>
        <v>13.653557560558729</v>
      </c>
      <c r="M209" s="178">
        <f t="shared" si="51"/>
        <v>12.100933214961772</v>
      </c>
      <c r="N209" s="178">
        <f t="shared" si="51"/>
        <v>10.6142053135337</v>
      </c>
      <c r="O209" s="178">
        <f t="shared" si="51"/>
        <v>9.1899025924025342</v>
      </c>
      <c r="P209" s="178">
        <f t="shared" si="51"/>
        <v>7.8251772363570229</v>
      </c>
      <c r="Q209" s="178">
        <f t="shared" si="51"/>
        <v>6.5120924575093122</v>
      </c>
      <c r="R209" s="178">
        <f t="shared" si="51"/>
        <v>5.2411227575771031</v>
      </c>
      <c r="S209" s="178">
        <f t="shared" si="51"/>
        <v>4.0255664906576216</v>
      </c>
      <c r="T209" s="178">
        <f t="shared" si="51"/>
        <v>3.953519975078212</v>
      </c>
      <c r="U209" s="178">
        <f t="shared" si="51"/>
        <v>3.9050238982792083</v>
      </c>
      <c r="V209" s="178">
        <f t="shared" si="51"/>
        <v>3.8668376023311395</v>
      </c>
      <c r="W209" s="178">
        <f t="shared" si="51"/>
        <v>3.8379783005277148</v>
      </c>
      <c r="X209" s="178">
        <f t="shared" si="51"/>
        <v>3.8173646805993324</v>
      </c>
      <c r="Y209" s="178">
        <f t="shared" si="51"/>
        <v>3.7982562541811773</v>
      </c>
      <c r="Z209" s="178">
        <f t="shared" si="51"/>
        <v>0</v>
      </c>
      <c r="AA209" s="178">
        <f t="shared" si="51"/>
        <v>0</v>
      </c>
      <c r="AB209" s="178">
        <f t="shared" si="51"/>
        <v>0</v>
      </c>
      <c r="AC209" s="178">
        <f t="shared" si="51"/>
        <v>0</v>
      </c>
      <c r="AD209" s="178">
        <f t="shared" si="51"/>
        <v>0</v>
      </c>
      <c r="AE209" s="178">
        <f t="shared" si="51"/>
        <v>0</v>
      </c>
      <c r="AF209" s="178">
        <f t="shared" si="51"/>
        <v>0</v>
      </c>
      <c r="AG209" s="178">
        <f t="shared" si="51"/>
        <v>0</v>
      </c>
      <c r="AH209" s="178">
        <f t="shared" si="51"/>
        <v>0</v>
      </c>
      <c r="AI209" s="178">
        <f t="shared" si="51"/>
        <v>0</v>
      </c>
      <c r="AJ209" s="178">
        <f t="shared" si="51"/>
        <v>0</v>
      </c>
      <c r="AK209" s="178">
        <f t="shared" si="51"/>
        <v>0</v>
      </c>
      <c r="AL209" s="178">
        <f t="shared" si="51"/>
        <v>0</v>
      </c>
      <c r="AM209" s="178">
        <f t="shared" si="51"/>
        <v>0</v>
      </c>
      <c r="AN209" s="178">
        <f t="shared" si="51"/>
        <v>0</v>
      </c>
      <c r="AO209" s="178">
        <f t="shared" si="51"/>
        <v>0</v>
      </c>
      <c r="AP209" s="178">
        <f t="shared" si="51"/>
        <v>0</v>
      </c>
      <c r="AQ209" s="178">
        <f t="shared" si="51"/>
        <v>0</v>
      </c>
      <c r="AR209" s="178">
        <f t="shared" si="51"/>
        <v>0</v>
      </c>
      <c r="AS209" s="178">
        <f t="shared" si="51"/>
        <v>0</v>
      </c>
      <c r="AT209" s="178">
        <f t="shared" si="51"/>
        <v>0</v>
      </c>
      <c r="AU209" s="178">
        <f t="shared" si="51"/>
        <v>0</v>
      </c>
      <c r="AV209" s="178">
        <f t="shared" si="51"/>
        <v>0</v>
      </c>
      <c r="AW209" s="178">
        <f t="shared" si="51"/>
        <v>0</v>
      </c>
      <c r="AX209" s="178">
        <f t="shared" si="51"/>
        <v>0</v>
      </c>
      <c r="AY209" s="178">
        <f t="shared" si="51"/>
        <v>0</v>
      </c>
      <c r="AZ209" s="178">
        <f t="shared" si="51"/>
        <v>0</v>
      </c>
      <c r="BA209" s="178">
        <f t="shared" si="51"/>
        <v>0</v>
      </c>
      <c r="BB209" s="178">
        <f t="shared" si="51"/>
        <v>0</v>
      </c>
      <c r="BC209" s="178">
        <f t="shared" si="51"/>
        <v>0</v>
      </c>
      <c r="BD209" s="178">
        <f t="shared" si="51"/>
        <v>0</v>
      </c>
      <c r="BE209" s="178">
        <f t="shared" si="51"/>
        <v>0</v>
      </c>
      <c r="BF209" s="178">
        <f t="shared" si="51"/>
        <v>0</v>
      </c>
      <c r="BG209" s="178"/>
      <c r="BH209" s="178"/>
      <c r="BI209" s="178"/>
      <c r="BJ209" s="178"/>
      <c r="BK209" s="178"/>
      <c r="BL209" s="178"/>
    </row>
    <row r="210" spans="3:64" hidden="1" x14ac:dyDescent="0.15">
      <c r="C210" s="325" t="s">
        <v>473</v>
      </c>
      <c r="E210" s="171" t="e">
        <v>#REF!</v>
      </c>
      <c r="F210" s="171" t="e">
        <v>#REF!</v>
      </c>
      <c r="G210" s="171" t="e">
        <v>#REF!</v>
      </c>
      <c r="H210" s="171" t="e">
        <v>#REF!</v>
      </c>
      <c r="I210" s="171" t="e">
        <v>#REF!</v>
      </c>
      <c r="J210" s="171" t="e">
        <v>#REF!</v>
      </c>
      <c r="K210" s="171" t="e">
        <v>#REF!</v>
      </c>
      <c r="L210" s="171" t="e">
        <v>#REF!</v>
      </c>
      <c r="M210" s="171" t="e">
        <v>#REF!</v>
      </c>
      <c r="N210" s="171" t="e">
        <v>#REF!</v>
      </c>
      <c r="O210" s="171" t="e">
        <v>#REF!</v>
      </c>
      <c r="P210" s="171" t="e">
        <v>#REF!</v>
      </c>
      <c r="Q210" s="171" t="e">
        <v>#REF!</v>
      </c>
      <c r="R210" s="171" t="e">
        <v>#REF!</v>
      </c>
      <c r="S210" s="171" t="e">
        <v>#REF!</v>
      </c>
      <c r="T210" s="171" t="e">
        <v>#REF!</v>
      </c>
      <c r="U210" s="171" t="e">
        <v>#REF!</v>
      </c>
      <c r="V210" s="171" t="e">
        <v>#REF!</v>
      </c>
      <c r="W210" s="171" t="e">
        <v>#REF!</v>
      </c>
      <c r="X210" s="171" t="e">
        <v>#REF!</v>
      </c>
      <c r="Y210" s="171" t="e">
        <v>#REF!</v>
      </c>
      <c r="Z210" s="171" t="e">
        <v>#REF!</v>
      </c>
      <c r="AA210" s="171" t="e">
        <v>#REF!</v>
      </c>
      <c r="AB210" s="171" t="e">
        <v>#REF!</v>
      </c>
      <c r="AC210" s="171" t="e">
        <v>#REF!</v>
      </c>
      <c r="AD210" s="171" t="e">
        <v>#REF!</v>
      </c>
      <c r="AE210" s="171" t="e">
        <v>#REF!</v>
      </c>
      <c r="AF210" s="171" t="e">
        <v>#REF!</v>
      </c>
      <c r="AG210" s="171" t="e">
        <v>#REF!</v>
      </c>
      <c r="AH210" s="171" t="e">
        <v>#REF!</v>
      </c>
      <c r="AI210" s="171" t="e">
        <v>#REF!</v>
      </c>
      <c r="AJ210" s="171" t="e">
        <v>#REF!</v>
      </c>
      <c r="AK210" s="171" t="e">
        <v>#REF!</v>
      </c>
      <c r="AL210" s="171" t="e">
        <v>#REF!</v>
      </c>
      <c r="AM210" s="171" t="e">
        <v>#REF!</v>
      </c>
      <c r="AN210" s="171" t="e">
        <v>#REF!</v>
      </c>
      <c r="AO210" s="171" t="e">
        <v>#REF!</v>
      </c>
      <c r="AP210" s="171" t="e">
        <v>#REF!</v>
      </c>
      <c r="AQ210" s="171" t="e">
        <v>#REF!</v>
      </c>
      <c r="AR210" s="171" t="e">
        <v>#REF!</v>
      </c>
      <c r="AS210" s="171" t="e">
        <v>#REF!</v>
      </c>
      <c r="AT210" s="171" t="e">
        <v>#REF!</v>
      </c>
      <c r="AU210" s="171" t="e">
        <v>#REF!</v>
      </c>
      <c r="AV210" s="171" t="e">
        <v>#REF!</v>
      </c>
      <c r="AW210" s="171" t="e">
        <v>#REF!</v>
      </c>
      <c r="AX210" s="171" t="e">
        <v>#REF!</v>
      </c>
      <c r="AY210" s="171" t="e">
        <v>#REF!</v>
      </c>
      <c r="AZ210" s="171" t="e">
        <v>#REF!</v>
      </c>
      <c r="BA210" s="171" t="e">
        <v>#REF!</v>
      </c>
      <c r="BB210" s="171" t="e">
        <v>#REF!</v>
      </c>
      <c r="BC210" s="171" t="e">
        <v>#REF!</v>
      </c>
      <c r="BD210" s="171" t="e">
        <v>#REF!</v>
      </c>
      <c r="BE210" s="171" t="e">
        <v>#REF!</v>
      </c>
      <c r="BF210" s="171" t="e">
        <v>#REF!</v>
      </c>
      <c r="BG210" s="171"/>
      <c r="BH210" s="171"/>
      <c r="BI210" s="171"/>
      <c r="BJ210" s="171"/>
      <c r="BK210" s="171"/>
      <c r="BL210" s="171"/>
    </row>
    <row r="211" spans="3:64" hidden="1" x14ac:dyDescent="0.15">
      <c r="C211" s="325" t="s">
        <v>474</v>
      </c>
      <c r="E211" s="171" t="e">
        <v>#REF!</v>
      </c>
      <c r="F211" s="171" t="e">
        <v>#REF!</v>
      </c>
      <c r="G211" s="171" t="e">
        <v>#REF!</v>
      </c>
      <c r="H211" s="171" t="e">
        <v>#REF!</v>
      </c>
      <c r="I211" s="171" t="e">
        <v>#REF!</v>
      </c>
      <c r="J211" s="171" t="e">
        <v>#REF!</v>
      </c>
      <c r="K211" s="171" t="e">
        <v>#REF!</v>
      </c>
      <c r="L211" s="171" t="e">
        <v>#REF!</v>
      </c>
      <c r="M211" s="171" t="e">
        <v>#REF!</v>
      </c>
      <c r="N211" s="171" t="e">
        <v>#REF!</v>
      </c>
      <c r="O211" s="171" t="e">
        <v>#REF!</v>
      </c>
      <c r="P211" s="171" t="e">
        <v>#REF!</v>
      </c>
      <c r="Q211" s="171" t="e">
        <v>#REF!</v>
      </c>
      <c r="R211" s="171" t="e">
        <v>#REF!</v>
      </c>
      <c r="S211" s="171" t="e">
        <v>#REF!</v>
      </c>
      <c r="T211" s="171" t="e">
        <v>#REF!</v>
      </c>
      <c r="U211" s="171" t="e">
        <v>#REF!</v>
      </c>
      <c r="V211" s="171" t="e">
        <v>#REF!</v>
      </c>
      <c r="W211" s="171" t="e">
        <v>#REF!</v>
      </c>
      <c r="X211" s="171" t="e">
        <v>#REF!</v>
      </c>
      <c r="Y211" s="171" t="e">
        <v>#REF!</v>
      </c>
      <c r="Z211" s="171" t="e">
        <v>#REF!</v>
      </c>
      <c r="AA211" s="171" t="e">
        <v>#REF!</v>
      </c>
      <c r="AB211" s="171" t="e">
        <v>#REF!</v>
      </c>
      <c r="AC211" s="171" t="e">
        <v>#REF!</v>
      </c>
      <c r="AD211" s="171" t="e">
        <v>#REF!</v>
      </c>
      <c r="AE211" s="171" t="e">
        <v>#REF!</v>
      </c>
      <c r="AF211" s="171" t="e">
        <v>#REF!</v>
      </c>
      <c r="AG211" s="171" t="e">
        <v>#REF!</v>
      </c>
      <c r="AH211" s="171" t="e">
        <v>#REF!</v>
      </c>
      <c r="AI211" s="171" t="e">
        <v>#REF!</v>
      </c>
      <c r="AJ211" s="171" t="e">
        <v>#REF!</v>
      </c>
      <c r="AK211" s="171" t="e">
        <v>#REF!</v>
      </c>
      <c r="AL211" s="171" t="e">
        <v>#REF!</v>
      </c>
      <c r="AM211" s="171" t="e">
        <v>#REF!</v>
      </c>
      <c r="AN211" s="171" t="e">
        <v>#REF!</v>
      </c>
      <c r="AO211" s="171" t="e">
        <v>#REF!</v>
      </c>
      <c r="AP211" s="171" t="e">
        <v>#REF!</v>
      </c>
      <c r="AQ211" s="171" t="e">
        <v>#REF!</v>
      </c>
      <c r="AR211" s="171" t="e">
        <v>#REF!</v>
      </c>
      <c r="AS211" s="171" t="e">
        <v>#REF!</v>
      </c>
      <c r="AT211" s="171" t="e">
        <v>#REF!</v>
      </c>
      <c r="AU211" s="171" t="e">
        <v>#REF!</v>
      </c>
      <c r="AV211" s="171" t="e">
        <v>#REF!</v>
      </c>
      <c r="AW211" s="171" t="e">
        <v>#REF!</v>
      </c>
      <c r="AX211" s="171" t="e">
        <v>#REF!</v>
      </c>
      <c r="AY211" s="171" t="e">
        <v>#REF!</v>
      </c>
      <c r="AZ211" s="171" t="e">
        <v>#REF!</v>
      </c>
      <c r="BA211" s="171" t="e">
        <v>#REF!</v>
      </c>
      <c r="BB211" s="171" t="e">
        <v>#REF!</v>
      </c>
      <c r="BC211" s="171" t="e">
        <v>#REF!</v>
      </c>
      <c r="BD211" s="171" t="e">
        <v>#REF!</v>
      </c>
      <c r="BE211" s="171" t="e">
        <v>#REF!</v>
      </c>
      <c r="BF211" s="171" t="e">
        <v>#REF!</v>
      </c>
      <c r="BG211" s="171"/>
      <c r="BH211" s="171"/>
      <c r="BI211" s="171"/>
      <c r="BJ211" s="171"/>
      <c r="BK211" s="171"/>
      <c r="BL211" s="171"/>
    </row>
    <row r="212" spans="3:64" hidden="1" x14ac:dyDescent="0.15">
      <c r="C212" s="325" t="s">
        <v>475</v>
      </c>
      <c r="E212" s="171" t="e">
        <v>#REF!</v>
      </c>
      <c r="F212" s="171" t="e">
        <v>#REF!</v>
      </c>
      <c r="G212" s="171" t="e">
        <v>#REF!</v>
      </c>
      <c r="H212" s="171" t="e">
        <v>#REF!</v>
      </c>
      <c r="I212" s="171" t="e">
        <v>#REF!</v>
      </c>
      <c r="J212" s="171" t="e">
        <v>#REF!</v>
      </c>
      <c r="K212" s="171" t="e">
        <v>#REF!</v>
      </c>
      <c r="L212" s="171" t="e">
        <v>#REF!</v>
      </c>
      <c r="M212" s="171" t="e">
        <v>#REF!</v>
      </c>
      <c r="N212" s="171" t="e">
        <v>#REF!</v>
      </c>
      <c r="O212" s="171" t="e">
        <v>#REF!</v>
      </c>
      <c r="P212" s="171" t="e">
        <v>#REF!</v>
      </c>
      <c r="Q212" s="171" t="e">
        <v>#REF!</v>
      </c>
      <c r="R212" s="171" t="e">
        <v>#REF!</v>
      </c>
      <c r="S212" s="171" t="e">
        <v>#REF!</v>
      </c>
      <c r="T212" s="171" t="e">
        <v>#REF!</v>
      </c>
      <c r="U212" s="171" t="e">
        <v>#REF!</v>
      </c>
      <c r="V212" s="171" t="e">
        <v>#REF!</v>
      </c>
      <c r="W212" s="171" t="e">
        <v>#REF!</v>
      </c>
      <c r="X212" s="171" t="e">
        <v>#REF!</v>
      </c>
      <c r="Y212" s="171" t="e">
        <v>#REF!</v>
      </c>
      <c r="Z212" s="171" t="e">
        <v>#REF!</v>
      </c>
      <c r="AA212" s="171" t="e">
        <v>#REF!</v>
      </c>
      <c r="AB212" s="171" t="e">
        <v>#REF!</v>
      </c>
      <c r="AC212" s="171" t="e">
        <v>#REF!</v>
      </c>
      <c r="AD212" s="171" t="e">
        <v>#REF!</v>
      </c>
      <c r="AE212" s="171" t="e">
        <v>#REF!</v>
      </c>
      <c r="AF212" s="171" t="e">
        <v>#REF!</v>
      </c>
      <c r="AG212" s="171" t="e">
        <v>#REF!</v>
      </c>
      <c r="AH212" s="171" t="e">
        <v>#REF!</v>
      </c>
      <c r="AI212" s="171" t="e">
        <v>#REF!</v>
      </c>
      <c r="AJ212" s="171" t="e">
        <v>#REF!</v>
      </c>
      <c r="AK212" s="171" t="e">
        <v>#REF!</v>
      </c>
      <c r="AL212" s="171" t="e">
        <v>#REF!</v>
      </c>
      <c r="AM212" s="171" t="e">
        <v>#REF!</v>
      </c>
      <c r="AN212" s="171" t="e">
        <v>#REF!</v>
      </c>
      <c r="AO212" s="171" t="e">
        <v>#REF!</v>
      </c>
      <c r="AP212" s="171" t="e">
        <v>#REF!</v>
      </c>
      <c r="AQ212" s="171" t="e">
        <v>#REF!</v>
      </c>
      <c r="AR212" s="171" t="e">
        <v>#REF!</v>
      </c>
      <c r="AS212" s="171" t="e">
        <v>#REF!</v>
      </c>
      <c r="AT212" s="171" t="e">
        <v>#REF!</v>
      </c>
      <c r="AU212" s="171" t="e">
        <v>#REF!</v>
      </c>
      <c r="AV212" s="171" t="e">
        <v>#REF!</v>
      </c>
      <c r="AW212" s="171" t="e">
        <v>#REF!</v>
      </c>
      <c r="AX212" s="171" t="e">
        <v>#REF!</v>
      </c>
      <c r="AY212" s="171" t="e">
        <v>#REF!</v>
      </c>
      <c r="AZ212" s="171" t="e">
        <v>#REF!</v>
      </c>
      <c r="BA212" s="171" t="e">
        <v>#REF!</v>
      </c>
      <c r="BB212" s="171" t="e">
        <v>#REF!</v>
      </c>
      <c r="BC212" s="171" t="e">
        <v>#REF!</v>
      </c>
      <c r="BD212" s="171" t="e">
        <v>#REF!</v>
      </c>
      <c r="BE212" s="171" t="e">
        <v>#REF!</v>
      </c>
      <c r="BF212" s="171" t="e">
        <v>#REF!</v>
      </c>
      <c r="BG212" s="171"/>
      <c r="BH212" s="171"/>
      <c r="BI212" s="171"/>
      <c r="BJ212" s="171"/>
      <c r="BK212" s="171"/>
      <c r="BL212" s="171"/>
    </row>
    <row r="213" spans="3:64" hidden="1" x14ac:dyDescent="0.15">
      <c r="C213" s="325" t="s">
        <v>476</v>
      </c>
      <c r="E213" s="171" t="e">
        <f t="shared" ref="E213:BF213" si="52">SUM(E209:E212)</f>
        <v>#REF!</v>
      </c>
      <c r="F213" s="171" t="e">
        <f t="shared" si="52"/>
        <v>#REF!</v>
      </c>
      <c r="G213" s="171" t="e">
        <f t="shared" si="52"/>
        <v>#REF!</v>
      </c>
      <c r="H213" s="171" t="e">
        <f t="shared" si="52"/>
        <v>#REF!</v>
      </c>
      <c r="I213" s="171" t="e">
        <f t="shared" si="52"/>
        <v>#REF!</v>
      </c>
      <c r="J213" s="171" t="e">
        <f t="shared" si="52"/>
        <v>#REF!</v>
      </c>
      <c r="K213" s="171" t="e">
        <f t="shared" si="52"/>
        <v>#REF!</v>
      </c>
      <c r="L213" s="171" t="e">
        <f t="shared" si="52"/>
        <v>#REF!</v>
      </c>
      <c r="M213" s="171" t="e">
        <f t="shared" si="52"/>
        <v>#REF!</v>
      </c>
      <c r="N213" s="171" t="e">
        <f t="shared" si="52"/>
        <v>#REF!</v>
      </c>
      <c r="O213" s="171" t="e">
        <f t="shared" si="52"/>
        <v>#REF!</v>
      </c>
      <c r="P213" s="171" t="e">
        <f t="shared" si="52"/>
        <v>#REF!</v>
      </c>
      <c r="Q213" s="171" t="e">
        <f t="shared" si="52"/>
        <v>#REF!</v>
      </c>
      <c r="R213" s="171" t="e">
        <f t="shared" si="52"/>
        <v>#REF!</v>
      </c>
      <c r="S213" s="171" t="e">
        <f t="shared" si="52"/>
        <v>#REF!</v>
      </c>
      <c r="T213" s="171" t="e">
        <f t="shared" si="52"/>
        <v>#REF!</v>
      </c>
      <c r="U213" s="171" t="e">
        <f t="shared" si="52"/>
        <v>#REF!</v>
      </c>
      <c r="V213" s="171" t="e">
        <f t="shared" si="52"/>
        <v>#REF!</v>
      </c>
      <c r="W213" s="171" t="e">
        <f t="shared" si="52"/>
        <v>#REF!</v>
      </c>
      <c r="X213" s="171" t="e">
        <f t="shared" si="52"/>
        <v>#REF!</v>
      </c>
      <c r="Y213" s="171" t="e">
        <f t="shared" si="52"/>
        <v>#REF!</v>
      </c>
      <c r="Z213" s="171" t="e">
        <f t="shared" si="52"/>
        <v>#REF!</v>
      </c>
      <c r="AA213" s="171" t="e">
        <f t="shared" si="52"/>
        <v>#REF!</v>
      </c>
      <c r="AB213" s="171" t="e">
        <f t="shared" si="52"/>
        <v>#REF!</v>
      </c>
      <c r="AC213" s="171" t="e">
        <f t="shared" si="52"/>
        <v>#REF!</v>
      </c>
      <c r="AD213" s="171" t="e">
        <f t="shared" si="52"/>
        <v>#REF!</v>
      </c>
      <c r="AE213" s="171" t="e">
        <f t="shared" si="52"/>
        <v>#REF!</v>
      </c>
      <c r="AF213" s="171" t="e">
        <f t="shared" si="52"/>
        <v>#REF!</v>
      </c>
      <c r="AG213" s="171" t="e">
        <f t="shared" si="52"/>
        <v>#REF!</v>
      </c>
      <c r="AH213" s="171" t="e">
        <f t="shared" si="52"/>
        <v>#REF!</v>
      </c>
      <c r="AI213" s="171" t="e">
        <f t="shared" si="52"/>
        <v>#REF!</v>
      </c>
      <c r="AJ213" s="171" t="e">
        <f t="shared" si="52"/>
        <v>#REF!</v>
      </c>
      <c r="AK213" s="171" t="e">
        <f t="shared" si="52"/>
        <v>#REF!</v>
      </c>
      <c r="AL213" s="171" t="e">
        <f t="shared" si="52"/>
        <v>#REF!</v>
      </c>
      <c r="AM213" s="171" t="e">
        <f t="shared" si="52"/>
        <v>#REF!</v>
      </c>
      <c r="AN213" s="171" t="e">
        <f t="shared" si="52"/>
        <v>#REF!</v>
      </c>
      <c r="AO213" s="171" t="e">
        <f t="shared" si="52"/>
        <v>#REF!</v>
      </c>
      <c r="AP213" s="171" t="e">
        <f t="shared" si="52"/>
        <v>#REF!</v>
      </c>
      <c r="AQ213" s="171" t="e">
        <f t="shared" si="52"/>
        <v>#REF!</v>
      </c>
      <c r="AR213" s="171" t="e">
        <f t="shared" si="52"/>
        <v>#REF!</v>
      </c>
      <c r="AS213" s="171" t="e">
        <f t="shared" si="52"/>
        <v>#REF!</v>
      </c>
      <c r="AT213" s="171" t="e">
        <f t="shared" si="52"/>
        <v>#REF!</v>
      </c>
      <c r="AU213" s="171" t="e">
        <f t="shared" si="52"/>
        <v>#REF!</v>
      </c>
      <c r="AV213" s="171" t="e">
        <f t="shared" si="52"/>
        <v>#REF!</v>
      </c>
      <c r="AW213" s="171" t="e">
        <f t="shared" si="52"/>
        <v>#REF!</v>
      </c>
      <c r="AX213" s="171" t="e">
        <f t="shared" si="52"/>
        <v>#REF!</v>
      </c>
      <c r="AY213" s="171" t="e">
        <f t="shared" si="52"/>
        <v>#REF!</v>
      </c>
      <c r="AZ213" s="171" t="e">
        <f t="shared" si="52"/>
        <v>#REF!</v>
      </c>
      <c r="BA213" s="171" t="e">
        <f t="shared" si="52"/>
        <v>#REF!</v>
      </c>
      <c r="BB213" s="171" t="e">
        <f t="shared" si="52"/>
        <v>#REF!</v>
      </c>
      <c r="BC213" s="171" t="e">
        <f t="shared" si="52"/>
        <v>#REF!</v>
      </c>
      <c r="BD213" s="171" t="e">
        <f t="shared" si="52"/>
        <v>#REF!</v>
      </c>
      <c r="BE213" s="171" t="e">
        <f t="shared" si="52"/>
        <v>#REF!</v>
      </c>
      <c r="BF213" s="171" t="e">
        <f t="shared" si="52"/>
        <v>#REF!</v>
      </c>
      <c r="BG213" s="171"/>
      <c r="BH213" s="171"/>
      <c r="BI213" s="171"/>
      <c r="BJ213" s="171"/>
      <c r="BK213" s="171"/>
      <c r="BL213" s="171"/>
    </row>
    <row r="214" spans="3:64" hidden="1" x14ac:dyDescent="0.15">
      <c r="C214" s="325" t="s">
        <v>478</v>
      </c>
      <c r="E214" s="178" t="e">
        <f>E213+E205-#REF!</f>
        <v>#REF!</v>
      </c>
      <c r="F214" s="178" t="e">
        <f>F213+F205-#REF!</f>
        <v>#REF!</v>
      </c>
      <c r="G214" s="178" t="e">
        <f>G213+G205-#REF!</f>
        <v>#REF!</v>
      </c>
      <c r="H214" s="178" t="e">
        <f>H213+H205-#REF!</f>
        <v>#REF!</v>
      </c>
      <c r="I214" s="178" t="e">
        <f>I213+I205-#REF!</f>
        <v>#REF!</v>
      </c>
      <c r="J214" s="178" t="e">
        <f>J213+J205-#REF!</f>
        <v>#REF!</v>
      </c>
      <c r="K214" s="178" t="e">
        <f>K213+K205-#REF!</f>
        <v>#REF!</v>
      </c>
      <c r="L214" s="178" t="e">
        <f>L213+L205-#REF!</f>
        <v>#REF!</v>
      </c>
      <c r="M214" s="178" t="e">
        <f>M213+M205-#REF!</f>
        <v>#REF!</v>
      </c>
      <c r="N214" s="178" t="e">
        <f>N213+N205-#REF!</f>
        <v>#REF!</v>
      </c>
      <c r="O214" s="178" t="e">
        <f>O213+O205-#REF!</f>
        <v>#REF!</v>
      </c>
      <c r="P214" s="178" t="e">
        <f>P213+P205-#REF!</f>
        <v>#REF!</v>
      </c>
      <c r="Q214" s="178" t="e">
        <f>Q213+Q205-#REF!</f>
        <v>#REF!</v>
      </c>
      <c r="R214" s="178" t="e">
        <f>R213+R205-#REF!</f>
        <v>#REF!</v>
      </c>
      <c r="S214" s="178" t="e">
        <f>S213+S205-#REF!</f>
        <v>#REF!</v>
      </c>
      <c r="T214" s="178" t="e">
        <f>T213+T205-#REF!</f>
        <v>#REF!</v>
      </c>
      <c r="U214" s="178" t="e">
        <f>U213+U205-#REF!</f>
        <v>#REF!</v>
      </c>
      <c r="V214" s="178" t="e">
        <f>V213+V205-#REF!</f>
        <v>#REF!</v>
      </c>
      <c r="W214" s="178" t="e">
        <f>W213+W205-#REF!</f>
        <v>#REF!</v>
      </c>
      <c r="X214" s="178" t="e">
        <f>X213+X205-#REF!</f>
        <v>#REF!</v>
      </c>
      <c r="Y214" s="178" t="e">
        <f>Y213+Y205-#REF!</f>
        <v>#REF!</v>
      </c>
      <c r="Z214" s="178" t="e">
        <f>Z213+Z205-#REF!</f>
        <v>#REF!</v>
      </c>
      <c r="AA214" s="178" t="e">
        <f>AA213+AA205-#REF!</f>
        <v>#REF!</v>
      </c>
      <c r="AB214" s="178" t="e">
        <f>AB213+AB205-#REF!</f>
        <v>#REF!</v>
      </c>
      <c r="AC214" s="178" t="e">
        <f>AC213+AC205-#REF!</f>
        <v>#REF!</v>
      </c>
      <c r="AD214" s="178" t="e">
        <f>AD213+AD205-#REF!</f>
        <v>#REF!</v>
      </c>
      <c r="AE214" s="178" t="e">
        <f>AE213+AE205-#REF!</f>
        <v>#REF!</v>
      </c>
      <c r="AF214" s="178" t="e">
        <f>AF213+AF205-#REF!</f>
        <v>#REF!</v>
      </c>
      <c r="AG214" s="178" t="e">
        <f>AG213+AG205-#REF!</f>
        <v>#REF!</v>
      </c>
      <c r="AH214" s="178" t="e">
        <f>AH213+AH205-#REF!</f>
        <v>#REF!</v>
      </c>
      <c r="AI214" s="178" t="e">
        <f>AI213+AI205-#REF!</f>
        <v>#REF!</v>
      </c>
      <c r="AJ214" s="178" t="e">
        <f>AJ213+AJ205-#REF!</f>
        <v>#REF!</v>
      </c>
      <c r="AK214" s="178" t="e">
        <f>AK213+AK205-#REF!</f>
        <v>#REF!</v>
      </c>
      <c r="AL214" s="178" t="e">
        <f>AL213+AL205-#REF!</f>
        <v>#REF!</v>
      </c>
      <c r="AM214" s="178" t="e">
        <f>AM213+AM205-#REF!</f>
        <v>#REF!</v>
      </c>
      <c r="AN214" s="178" t="e">
        <f>AN213+AN205-#REF!</f>
        <v>#REF!</v>
      </c>
      <c r="AO214" s="178" t="e">
        <f>AO213+AO205-#REF!</f>
        <v>#REF!</v>
      </c>
      <c r="AP214" s="178" t="e">
        <f>AP213+AP205-#REF!</f>
        <v>#REF!</v>
      </c>
      <c r="AQ214" s="178" t="e">
        <f>AQ213+AQ205-#REF!</f>
        <v>#REF!</v>
      </c>
      <c r="AR214" s="178" t="e">
        <f>AR213+AR205-#REF!</f>
        <v>#REF!</v>
      </c>
      <c r="AS214" s="178" t="e">
        <f>AS213+AS205-#REF!</f>
        <v>#REF!</v>
      </c>
      <c r="AT214" s="178" t="e">
        <f>AT213+AT205-#REF!</f>
        <v>#REF!</v>
      </c>
      <c r="AU214" s="178" t="e">
        <f>AU213+AU205-#REF!</f>
        <v>#REF!</v>
      </c>
      <c r="AV214" s="178" t="e">
        <f>AV213+AV205-#REF!</f>
        <v>#REF!</v>
      </c>
      <c r="AW214" s="178" t="e">
        <f>AW213+AW205-#REF!</f>
        <v>#REF!</v>
      </c>
      <c r="AX214" s="178" t="e">
        <f>AX213+AX205-#REF!</f>
        <v>#REF!</v>
      </c>
      <c r="AY214" s="178" t="e">
        <f>AY213+AY205-#REF!</f>
        <v>#REF!</v>
      </c>
      <c r="AZ214" s="178" t="e">
        <f>AZ213+AZ205-#REF!</f>
        <v>#REF!</v>
      </c>
      <c r="BA214" s="178" t="e">
        <f>BA213+BA205-#REF!</f>
        <v>#REF!</v>
      </c>
      <c r="BB214" s="178" t="e">
        <f>BB213+BB205-#REF!</f>
        <v>#REF!</v>
      </c>
      <c r="BC214" s="178" t="e">
        <f>BC213+BC205-#REF!</f>
        <v>#REF!</v>
      </c>
      <c r="BD214" s="178" t="e">
        <f>BD213+BD205-#REF!</f>
        <v>#REF!</v>
      </c>
      <c r="BE214" s="178" t="e">
        <f>BE213+BE205-#REF!</f>
        <v>#REF!</v>
      </c>
      <c r="BF214" s="178" t="e">
        <f>BF213+BF205-#REF!</f>
        <v>#REF!</v>
      </c>
      <c r="BG214" s="178"/>
      <c r="BH214" s="178"/>
      <c r="BI214" s="178"/>
      <c r="BJ214" s="178"/>
      <c r="BK214" s="178"/>
      <c r="BL214" s="178"/>
    </row>
    <row r="215" spans="3:64" hidden="1" x14ac:dyDescent="0.15"/>
    <row r="216" spans="3:64" hidden="1" x14ac:dyDescent="0.15">
      <c r="C216" s="186" t="s">
        <v>471</v>
      </c>
    </row>
    <row r="217" spans="3:64" hidden="1" x14ac:dyDescent="0.15">
      <c r="C217" s="325" t="s">
        <v>479</v>
      </c>
      <c r="D217" s="171"/>
      <c r="E217" s="171">
        <f t="shared" ref="E217:BF217" si="53">D218</f>
        <v>0</v>
      </c>
      <c r="F217" s="171">
        <f t="shared" si="53"/>
        <v>0</v>
      </c>
      <c r="G217" s="171">
        <f t="shared" si="53"/>
        <v>0</v>
      </c>
      <c r="H217" s="171">
        <f t="shared" si="53"/>
        <v>0</v>
      </c>
      <c r="I217" s="171">
        <f t="shared" si="53"/>
        <v>0</v>
      </c>
      <c r="J217" s="171">
        <f t="shared" si="53"/>
        <v>0</v>
      </c>
      <c r="K217" s="171">
        <f t="shared" si="53"/>
        <v>0</v>
      </c>
      <c r="L217" s="171">
        <f t="shared" si="53"/>
        <v>0</v>
      </c>
      <c r="M217" s="171">
        <f t="shared" si="53"/>
        <v>0</v>
      </c>
      <c r="N217" s="171">
        <f t="shared" si="53"/>
        <v>0</v>
      </c>
      <c r="O217" s="171">
        <f t="shared" si="53"/>
        <v>0</v>
      </c>
      <c r="P217" s="171">
        <f t="shared" si="53"/>
        <v>0</v>
      </c>
      <c r="Q217" s="171">
        <f t="shared" si="53"/>
        <v>0</v>
      </c>
      <c r="R217" s="171">
        <f t="shared" si="53"/>
        <v>0</v>
      </c>
      <c r="S217" s="171">
        <f t="shared" si="53"/>
        <v>0</v>
      </c>
      <c r="T217" s="171">
        <f t="shared" si="53"/>
        <v>0</v>
      </c>
      <c r="U217" s="171">
        <f t="shared" si="53"/>
        <v>0</v>
      </c>
      <c r="V217" s="171">
        <f t="shared" si="53"/>
        <v>0</v>
      </c>
      <c r="W217" s="171">
        <f t="shared" si="53"/>
        <v>0</v>
      </c>
      <c r="X217" s="171">
        <f t="shared" si="53"/>
        <v>0</v>
      </c>
      <c r="Y217" s="171">
        <f t="shared" si="53"/>
        <v>0</v>
      </c>
      <c r="Z217" s="171">
        <f t="shared" si="53"/>
        <v>0</v>
      </c>
      <c r="AA217" s="171">
        <f t="shared" si="53"/>
        <v>0</v>
      </c>
      <c r="AB217" s="171">
        <f t="shared" si="53"/>
        <v>0</v>
      </c>
      <c r="AC217" s="171">
        <f t="shared" si="53"/>
        <v>0</v>
      </c>
      <c r="AD217" s="171">
        <f t="shared" si="53"/>
        <v>0</v>
      </c>
      <c r="AE217" s="171">
        <f t="shared" si="53"/>
        <v>0</v>
      </c>
      <c r="AF217" s="171">
        <f t="shared" si="53"/>
        <v>0</v>
      </c>
      <c r="AG217" s="171">
        <f t="shared" si="53"/>
        <v>0</v>
      </c>
      <c r="AH217" s="171">
        <f t="shared" si="53"/>
        <v>0</v>
      </c>
      <c r="AI217" s="171">
        <f t="shared" si="53"/>
        <v>0</v>
      </c>
      <c r="AJ217" s="171">
        <f t="shared" si="53"/>
        <v>0</v>
      </c>
      <c r="AK217" s="171">
        <f t="shared" si="53"/>
        <v>0</v>
      </c>
      <c r="AL217" s="171">
        <f t="shared" si="53"/>
        <v>0</v>
      </c>
      <c r="AM217" s="171">
        <f t="shared" si="53"/>
        <v>0</v>
      </c>
      <c r="AN217" s="171">
        <f t="shared" si="53"/>
        <v>0</v>
      </c>
      <c r="AO217" s="171">
        <f t="shared" si="53"/>
        <v>0</v>
      </c>
      <c r="AP217" s="171">
        <f t="shared" si="53"/>
        <v>0</v>
      </c>
      <c r="AQ217" s="171">
        <f t="shared" si="53"/>
        <v>0</v>
      </c>
      <c r="AR217" s="171">
        <f t="shared" si="53"/>
        <v>0</v>
      </c>
      <c r="AS217" s="171">
        <f t="shared" si="53"/>
        <v>0</v>
      </c>
      <c r="AT217" s="171">
        <f t="shared" si="53"/>
        <v>0</v>
      </c>
      <c r="AU217" s="171">
        <f t="shared" si="53"/>
        <v>0</v>
      </c>
      <c r="AV217" s="171">
        <f t="shared" si="53"/>
        <v>0</v>
      </c>
      <c r="AW217" s="171">
        <f t="shared" si="53"/>
        <v>0</v>
      </c>
      <c r="AX217" s="171">
        <f t="shared" si="53"/>
        <v>0</v>
      </c>
      <c r="AY217" s="171">
        <f t="shared" si="53"/>
        <v>0</v>
      </c>
      <c r="AZ217" s="171">
        <f t="shared" si="53"/>
        <v>0</v>
      </c>
      <c r="BA217" s="171">
        <f t="shared" si="53"/>
        <v>0</v>
      </c>
      <c r="BB217" s="171">
        <f t="shared" si="53"/>
        <v>0</v>
      </c>
      <c r="BC217" s="171">
        <f t="shared" si="53"/>
        <v>0</v>
      </c>
      <c r="BD217" s="171">
        <f t="shared" si="53"/>
        <v>0</v>
      </c>
      <c r="BE217" s="171">
        <f t="shared" si="53"/>
        <v>0</v>
      </c>
      <c r="BF217" s="171">
        <f t="shared" si="53"/>
        <v>0</v>
      </c>
      <c r="BG217" s="171"/>
      <c r="BH217" s="171"/>
      <c r="BI217" s="171"/>
      <c r="BJ217" s="171"/>
      <c r="BK217" s="171"/>
      <c r="BL217" s="171"/>
    </row>
    <row r="218" spans="3:64" hidden="1" x14ac:dyDescent="0.15">
      <c r="C218" s="325" t="s">
        <v>480</v>
      </c>
      <c r="D218" s="171"/>
      <c r="E218" s="171">
        <f>IFERROR(#REF!*E205/SUM(E205,E213),0)</f>
        <v>0</v>
      </c>
      <c r="F218" s="171">
        <f>IFERROR(#REF!*F205/SUM(F205,F213),0)</f>
        <v>0</v>
      </c>
      <c r="G218" s="171">
        <f>IFERROR(#REF!*G205/SUM(G205,G213),0)</f>
        <v>0</v>
      </c>
      <c r="H218" s="171">
        <f>IFERROR(#REF!*H205/SUM(H205,H213),0)</f>
        <v>0</v>
      </c>
      <c r="I218" s="171">
        <f>IFERROR(#REF!*I205/SUM(I205,I213),0)</f>
        <v>0</v>
      </c>
      <c r="J218" s="171">
        <f>IFERROR(#REF!*J205/SUM(J205,J213),0)</f>
        <v>0</v>
      </c>
      <c r="K218" s="171">
        <f>IFERROR(#REF!*K205/SUM(K205,K213),0)</f>
        <v>0</v>
      </c>
      <c r="L218" s="171">
        <f>IFERROR(#REF!*L205/SUM(L205,L213),0)</f>
        <v>0</v>
      </c>
      <c r="M218" s="171">
        <f>IFERROR(#REF!*M205/SUM(M205,M213),0)</f>
        <v>0</v>
      </c>
      <c r="N218" s="171">
        <f>IFERROR(#REF!*N205/SUM(N205,N213),0)</f>
        <v>0</v>
      </c>
      <c r="O218" s="171">
        <f>IFERROR(#REF!*O205/SUM(O205,O213),0)</f>
        <v>0</v>
      </c>
      <c r="P218" s="171">
        <f>IFERROR(#REF!*P205/SUM(P205,P213),0)</f>
        <v>0</v>
      </c>
      <c r="Q218" s="171">
        <f>IFERROR(#REF!*Q205/SUM(Q205,Q213),0)</f>
        <v>0</v>
      </c>
      <c r="R218" s="171">
        <f>IFERROR(#REF!*R205/SUM(R205,R213),0)</f>
        <v>0</v>
      </c>
      <c r="S218" s="171">
        <f>IFERROR(#REF!*S205/SUM(S205,S213),0)</f>
        <v>0</v>
      </c>
      <c r="T218" s="171">
        <f>IFERROR(#REF!*T205/SUM(T205,T213),0)</f>
        <v>0</v>
      </c>
      <c r="U218" s="171">
        <f>IFERROR(#REF!*U205/SUM(U205,U213),0)</f>
        <v>0</v>
      </c>
      <c r="V218" s="171">
        <f>IFERROR(#REF!*V205/SUM(V205,V213),0)</f>
        <v>0</v>
      </c>
      <c r="W218" s="171">
        <f>IFERROR(#REF!*W205/SUM(W205,W213),0)</f>
        <v>0</v>
      </c>
      <c r="X218" s="171">
        <f>IFERROR(#REF!*X205/SUM(X205,X213),0)</f>
        <v>0</v>
      </c>
      <c r="Y218" s="171">
        <f>IFERROR(#REF!*Y205/SUM(Y205,Y213),0)</f>
        <v>0</v>
      </c>
      <c r="Z218" s="171">
        <f>IFERROR(#REF!*Z205/SUM(Z205,Z213),0)</f>
        <v>0</v>
      </c>
      <c r="AA218" s="171">
        <f>IFERROR(#REF!*AA205/SUM(AA205,AA213),0)</f>
        <v>0</v>
      </c>
      <c r="AB218" s="171">
        <f>IFERROR(#REF!*AB205/SUM(AB205,AB213),0)</f>
        <v>0</v>
      </c>
      <c r="AC218" s="171">
        <f>IFERROR(#REF!*AC205/SUM(AC205,AC213),0)</f>
        <v>0</v>
      </c>
      <c r="AD218" s="171">
        <f>IFERROR(#REF!*AD205/SUM(AD205,AD213),0)</f>
        <v>0</v>
      </c>
      <c r="AE218" s="171">
        <f>IFERROR(#REF!*AE205/SUM(AE205,AE213),0)</f>
        <v>0</v>
      </c>
      <c r="AF218" s="171">
        <f>IFERROR(#REF!*AF205/SUM(AF205,AF213),0)</f>
        <v>0</v>
      </c>
      <c r="AG218" s="171">
        <f>IFERROR(#REF!*AG205/SUM(AG205,AG213),0)</f>
        <v>0</v>
      </c>
      <c r="AH218" s="171">
        <f>IFERROR(#REF!*AH205/SUM(AH205,AH213),0)</f>
        <v>0</v>
      </c>
      <c r="AI218" s="171">
        <f>IFERROR(#REF!*AI205/SUM(AI205,AI213),0)</f>
        <v>0</v>
      </c>
      <c r="AJ218" s="171">
        <f>IFERROR(#REF!*AJ205/SUM(AJ205,AJ213),0)</f>
        <v>0</v>
      </c>
      <c r="AK218" s="171">
        <f>IFERROR(#REF!*AK205/SUM(AK205,AK213),0)</f>
        <v>0</v>
      </c>
      <c r="AL218" s="171">
        <f>IFERROR(#REF!*AL205/SUM(AL205,AL213),0)</f>
        <v>0</v>
      </c>
      <c r="AM218" s="171">
        <f>IFERROR(#REF!*AM205/SUM(AM205,AM213),0)</f>
        <v>0</v>
      </c>
      <c r="AN218" s="171">
        <f>IFERROR(#REF!*AN205/SUM(AN205,AN213),0)</f>
        <v>0</v>
      </c>
      <c r="AO218" s="171">
        <f>IFERROR(#REF!*AO205/SUM(AO205,AO213),0)</f>
        <v>0</v>
      </c>
      <c r="AP218" s="171">
        <f>IFERROR(#REF!*AP205/SUM(AP205,AP213),0)</f>
        <v>0</v>
      </c>
      <c r="AQ218" s="171">
        <f>IFERROR(#REF!*AQ205/SUM(AQ205,AQ213),0)</f>
        <v>0</v>
      </c>
      <c r="AR218" s="171">
        <f>IFERROR(#REF!*AR205/SUM(AR205,AR213),0)</f>
        <v>0</v>
      </c>
      <c r="AS218" s="171">
        <f>IFERROR(#REF!*AS205/SUM(AS205,AS213),0)</f>
        <v>0</v>
      </c>
      <c r="AT218" s="171">
        <f>IFERROR(#REF!*AT205/SUM(AT205,AT213),0)</f>
        <v>0</v>
      </c>
      <c r="AU218" s="171">
        <f>IFERROR(#REF!*AU205/SUM(AU205,AU213),0)</f>
        <v>0</v>
      </c>
      <c r="AV218" s="171">
        <f>IFERROR(#REF!*AV205/SUM(AV205,AV213),0)</f>
        <v>0</v>
      </c>
      <c r="AW218" s="171">
        <f>IFERROR(#REF!*AW205/SUM(AW205,AW213),0)</f>
        <v>0</v>
      </c>
      <c r="AX218" s="171">
        <f>IFERROR(#REF!*AX205/SUM(AX205,AX213),0)</f>
        <v>0</v>
      </c>
      <c r="AY218" s="171">
        <f>IFERROR(#REF!*AY205/SUM(AY205,AY213),0)</f>
        <v>0</v>
      </c>
      <c r="AZ218" s="171">
        <f>IFERROR(#REF!*AZ205/SUM(AZ205,AZ213),0)</f>
        <v>0</v>
      </c>
      <c r="BA218" s="171">
        <f>IFERROR(#REF!*BA205/SUM(BA205,BA213),0)</f>
        <v>0</v>
      </c>
      <c r="BB218" s="171">
        <f>IFERROR(#REF!*BB205/SUM(BB205,BB213),0)</f>
        <v>0</v>
      </c>
      <c r="BC218" s="171">
        <f>IFERROR(#REF!*BC205/SUM(BC205,BC213),0)</f>
        <v>0</v>
      </c>
      <c r="BD218" s="171">
        <f>IFERROR(#REF!*BD205/SUM(BD205,BD213),0)</f>
        <v>0</v>
      </c>
      <c r="BE218" s="171">
        <f>IFERROR(#REF!*BE205/SUM(BE205,BE213),0)</f>
        <v>0</v>
      </c>
      <c r="BF218" s="171">
        <f>IFERROR(#REF!*BF205/SUM(BF205,BF213),0)</f>
        <v>0</v>
      </c>
      <c r="BG218" s="171"/>
      <c r="BH218" s="171"/>
      <c r="BI218" s="171"/>
      <c r="BJ218" s="171"/>
      <c r="BK218" s="171"/>
      <c r="BL218" s="171"/>
    </row>
    <row r="219" spans="3:64" hidden="1" x14ac:dyDescent="0.15"/>
    <row r="220" spans="3:64" hidden="1" x14ac:dyDescent="0.15">
      <c r="C220" s="186" t="s">
        <v>477</v>
      </c>
    </row>
    <row r="221" spans="3:64" hidden="1" x14ac:dyDescent="0.15">
      <c r="C221" s="325" t="s">
        <v>479</v>
      </c>
      <c r="E221" s="171">
        <f t="shared" ref="E221:BF221" si="54">D222</f>
        <v>0</v>
      </c>
      <c r="F221" s="171">
        <f t="shared" si="54"/>
        <v>0</v>
      </c>
      <c r="G221" s="171">
        <f t="shared" si="54"/>
        <v>0</v>
      </c>
      <c r="H221" s="171">
        <f t="shared" si="54"/>
        <v>0</v>
      </c>
      <c r="I221" s="171">
        <f t="shared" si="54"/>
        <v>0</v>
      </c>
      <c r="J221" s="171">
        <f t="shared" si="54"/>
        <v>0</v>
      </c>
      <c r="K221" s="171">
        <f t="shared" si="54"/>
        <v>0</v>
      </c>
      <c r="L221" s="171">
        <f t="shared" si="54"/>
        <v>0</v>
      </c>
      <c r="M221" s="171">
        <f t="shared" si="54"/>
        <v>0</v>
      </c>
      <c r="N221" s="171">
        <f t="shared" si="54"/>
        <v>0</v>
      </c>
      <c r="O221" s="171">
        <f t="shared" si="54"/>
        <v>0</v>
      </c>
      <c r="P221" s="171">
        <f t="shared" si="54"/>
        <v>0</v>
      </c>
      <c r="Q221" s="171">
        <f t="shared" si="54"/>
        <v>0</v>
      </c>
      <c r="R221" s="171">
        <f t="shared" si="54"/>
        <v>0</v>
      </c>
      <c r="S221" s="171">
        <f t="shared" si="54"/>
        <v>0</v>
      </c>
      <c r="T221" s="171">
        <f t="shared" si="54"/>
        <v>0</v>
      </c>
      <c r="U221" s="171">
        <f t="shared" si="54"/>
        <v>0</v>
      </c>
      <c r="V221" s="171">
        <f t="shared" si="54"/>
        <v>0</v>
      </c>
      <c r="W221" s="171">
        <f t="shared" si="54"/>
        <v>0</v>
      </c>
      <c r="X221" s="171">
        <f t="shared" si="54"/>
        <v>0</v>
      </c>
      <c r="Y221" s="171">
        <f t="shared" si="54"/>
        <v>0</v>
      </c>
      <c r="Z221" s="171">
        <f t="shared" si="54"/>
        <v>0</v>
      </c>
      <c r="AA221" s="171">
        <f t="shared" si="54"/>
        <v>0</v>
      </c>
      <c r="AB221" s="171">
        <f t="shared" si="54"/>
        <v>0</v>
      </c>
      <c r="AC221" s="171">
        <f t="shared" si="54"/>
        <v>0</v>
      </c>
      <c r="AD221" s="171">
        <f t="shared" si="54"/>
        <v>0</v>
      </c>
      <c r="AE221" s="171">
        <f t="shared" si="54"/>
        <v>0</v>
      </c>
      <c r="AF221" s="171">
        <f t="shared" si="54"/>
        <v>0</v>
      </c>
      <c r="AG221" s="171">
        <f t="shared" si="54"/>
        <v>0</v>
      </c>
      <c r="AH221" s="171">
        <f t="shared" si="54"/>
        <v>0</v>
      </c>
      <c r="AI221" s="171">
        <f t="shared" si="54"/>
        <v>0</v>
      </c>
      <c r="AJ221" s="171">
        <f t="shared" si="54"/>
        <v>0</v>
      </c>
      <c r="AK221" s="171">
        <f t="shared" si="54"/>
        <v>0</v>
      </c>
      <c r="AL221" s="171">
        <f t="shared" si="54"/>
        <v>0</v>
      </c>
      <c r="AM221" s="171">
        <f t="shared" si="54"/>
        <v>0</v>
      </c>
      <c r="AN221" s="171">
        <f t="shared" si="54"/>
        <v>0</v>
      </c>
      <c r="AO221" s="171">
        <f t="shared" si="54"/>
        <v>0</v>
      </c>
      <c r="AP221" s="171">
        <f t="shared" si="54"/>
        <v>0</v>
      </c>
      <c r="AQ221" s="171">
        <f t="shared" si="54"/>
        <v>0</v>
      </c>
      <c r="AR221" s="171">
        <f t="shared" si="54"/>
        <v>0</v>
      </c>
      <c r="AS221" s="171">
        <f t="shared" si="54"/>
        <v>0</v>
      </c>
      <c r="AT221" s="171">
        <f t="shared" si="54"/>
        <v>0</v>
      </c>
      <c r="AU221" s="171">
        <f t="shared" si="54"/>
        <v>0</v>
      </c>
      <c r="AV221" s="171">
        <f t="shared" si="54"/>
        <v>0</v>
      </c>
      <c r="AW221" s="171">
        <f t="shared" si="54"/>
        <v>0</v>
      </c>
      <c r="AX221" s="171">
        <f t="shared" si="54"/>
        <v>0</v>
      </c>
      <c r="AY221" s="171">
        <f t="shared" si="54"/>
        <v>0</v>
      </c>
      <c r="AZ221" s="171">
        <f t="shared" si="54"/>
        <v>0</v>
      </c>
      <c r="BA221" s="171">
        <f t="shared" si="54"/>
        <v>0</v>
      </c>
      <c r="BB221" s="171">
        <f t="shared" si="54"/>
        <v>0</v>
      </c>
      <c r="BC221" s="171">
        <f t="shared" si="54"/>
        <v>0</v>
      </c>
      <c r="BD221" s="171">
        <f t="shared" si="54"/>
        <v>0</v>
      </c>
      <c r="BE221" s="171">
        <f t="shared" si="54"/>
        <v>0</v>
      </c>
      <c r="BF221" s="171">
        <f t="shared" si="54"/>
        <v>0</v>
      </c>
      <c r="BG221" s="171"/>
      <c r="BH221" s="171"/>
      <c r="BI221" s="171"/>
      <c r="BJ221" s="171"/>
      <c r="BK221" s="171"/>
      <c r="BL221" s="171"/>
    </row>
    <row r="222" spans="3:64" hidden="1" x14ac:dyDescent="0.15">
      <c r="C222" s="325" t="s">
        <v>480</v>
      </c>
      <c r="E222" s="171">
        <f>IFERROR(#REF!*E213/SUM(E205,E213),0)</f>
        <v>0</v>
      </c>
      <c r="F222" s="171">
        <f>IFERROR(#REF!*F213/SUM(F205,F213),0)</f>
        <v>0</v>
      </c>
      <c r="G222" s="171">
        <f>IFERROR(#REF!*G213/SUM(G205,G213),0)</f>
        <v>0</v>
      </c>
      <c r="H222" s="171">
        <f>IFERROR(#REF!*H213/SUM(H205,H213),0)</f>
        <v>0</v>
      </c>
      <c r="I222" s="171">
        <f>IFERROR(#REF!*I213/SUM(I205,I213),0)</f>
        <v>0</v>
      </c>
      <c r="J222" s="171">
        <f>IFERROR(#REF!*J213/SUM(J205,J213),0)</f>
        <v>0</v>
      </c>
      <c r="K222" s="171">
        <f>IFERROR(#REF!*K213/SUM(K205,K213),0)</f>
        <v>0</v>
      </c>
      <c r="L222" s="171">
        <f>IFERROR(#REF!*L213/SUM(L205,L213),0)</f>
        <v>0</v>
      </c>
      <c r="M222" s="171">
        <f>IFERROR(#REF!*M213/SUM(M205,M213),0)</f>
        <v>0</v>
      </c>
      <c r="N222" s="171">
        <f>IFERROR(#REF!*N213/SUM(N205,N213),0)</f>
        <v>0</v>
      </c>
      <c r="O222" s="171">
        <f>IFERROR(#REF!*O213/SUM(O205,O213),0)</f>
        <v>0</v>
      </c>
      <c r="P222" s="171">
        <f>IFERROR(#REF!*P213/SUM(P205,P213),0)</f>
        <v>0</v>
      </c>
      <c r="Q222" s="171">
        <f>IFERROR(#REF!*Q213/SUM(Q205,Q213),0)</f>
        <v>0</v>
      </c>
      <c r="R222" s="171">
        <f>IFERROR(#REF!*R213/SUM(R205,R213),0)</f>
        <v>0</v>
      </c>
      <c r="S222" s="171">
        <f>IFERROR(#REF!*S213/SUM(S205,S213),0)</f>
        <v>0</v>
      </c>
      <c r="T222" s="171">
        <f>IFERROR(#REF!*T213/SUM(T205,T213),0)</f>
        <v>0</v>
      </c>
      <c r="U222" s="171">
        <f>IFERROR(#REF!*U213/SUM(U205,U213),0)</f>
        <v>0</v>
      </c>
      <c r="V222" s="171">
        <f>IFERROR(#REF!*V213/SUM(V205,V213),0)</f>
        <v>0</v>
      </c>
      <c r="W222" s="171">
        <f>IFERROR(#REF!*W213/SUM(W205,W213),0)</f>
        <v>0</v>
      </c>
      <c r="X222" s="171">
        <f>IFERROR(#REF!*X213/SUM(X205,X213),0)</f>
        <v>0</v>
      </c>
      <c r="Y222" s="171">
        <f>IFERROR(#REF!*Y213/SUM(Y205,Y213),0)</f>
        <v>0</v>
      </c>
      <c r="Z222" s="171">
        <f>IFERROR(#REF!*Z213/SUM(Z205,Z213),0)</f>
        <v>0</v>
      </c>
      <c r="AA222" s="171">
        <f>IFERROR(#REF!*AA213/SUM(AA205,AA213),0)</f>
        <v>0</v>
      </c>
      <c r="AB222" s="171">
        <f>IFERROR(#REF!*AB213/SUM(AB205,AB213),0)</f>
        <v>0</v>
      </c>
      <c r="AC222" s="171">
        <f>IFERROR(#REF!*AC213/SUM(AC205,AC213),0)</f>
        <v>0</v>
      </c>
      <c r="AD222" s="171">
        <f>IFERROR(#REF!*AD213/SUM(AD205,AD213),0)</f>
        <v>0</v>
      </c>
      <c r="AE222" s="171">
        <f>IFERROR(#REF!*AE213/SUM(AE205,AE213),0)</f>
        <v>0</v>
      </c>
      <c r="AF222" s="171">
        <f>IFERROR(#REF!*AF213/SUM(AF205,AF213),0)</f>
        <v>0</v>
      </c>
      <c r="AG222" s="171">
        <f>IFERROR(#REF!*AG213/SUM(AG205,AG213),0)</f>
        <v>0</v>
      </c>
      <c r="AH222" s="171">
        <f>IFERROR(#REF!*AH213/SUM(AH205,AH213),0)</f>
        <v>0</v>
      </c>
      <c r="AI222" s="171">
        <f>IFERROR(#REF!*AI213/SUM(AI205,AI213),0)</f>
        <v>0</v>
      </c>
      <c r="AJ222" s="171">
        <f>IFERROR(#REF!*AJ213/SUM(AJ205,AJ213),0)</f>
        <v>0</v>
      </c>
      <c r="AK222" s="171">
        <f>IFERROR(#REF!*AK213/SUM(AK205,AK213),0)</f>
        <v>0</v>
      </c>
      <c r="AL222" s="171">
        <f>IFERROR(#REF!*AL213/SUM(AL205,AL213),0)</f>
        <v>0</v>
      </c>
      <c r="AM222" s="171">
        <f>IFERROR(#REF!*AM213/SUM(AM205,AM213),0)</f>
        <v>0</v>
      </c>
      <c r="AN222" s="171">
        <f>IFERROR(#REF!*AN213/SUM(AN205,AN213),0)</f>
        <v>0</v>
      </c>
      <c r="AO222" s="171">
        <f>IFERROR(#REF!*AO213/SUM(AO205,AO213),0)</f>
        <v>0</v>
      </c>
      <c r="AP222" s="171">
        <f>IFERROR(#REF!*AP213/SUM(AP205,AP213),0)</f>
        <v>0</v>
      </c>
      <c r="AQ222" s="171">
        <f>IFERROR(#REF!*AQ213/SUM(AQ205,AQ213),0)</f>
        <v>0</v>
      </c>
      <c r="AR222" s="171">
        <f>IFERROR(#REF!*AR213/SUM(AR205,AR213),0)</f>
        <v>0</v>
      </c>
      <c r="AS222" s="171">
        <f>IFERROR(#REF!*AS213/SUM(AS205,AS213),0)</f>
        <v>0</v>
      </c>
      <c r="AT222" s="171">
        <f>IFERROR(#REF!*AT213/SUM(AT205,AT213),0)</f>
        <v>0</v>
      </c>
      <c r="AU222" s="171">
        <f>IFERROR(#REF!*AU213/SUM(AU205,AU213),0)</f>
        <v>0</v>
      </c>
      <c r="AV222" s="171">
        <f>IFERROR(#REF!*AV213/SUM(AV205,AV213),0)</f>
        <v>0</v>
      </c>
      <c r="AW222" s="171">
        <f>IFERROR(#REF!*AW213/SUM(AW205,AW213),0)</f>
        <v>0</v>
      </c>
      <c r="AX222" s="171">
        <f>IFERROR(#REF!*AX213/SUM(AX205,AX213),0)</f>
        <v>0</v>
      </c>
      <c r="AY222" s="171">
        <f>IFERROR(#REF!*AY213/SUM(AY205,AY213),0)</f>
        <v>0</v>
      </c>
      <c r="AZ222" s="171">
        <f>IFERROR(#REF!*AZ213/SUM(AZ205,AZ213),0)</f>
        <v>0</v>
      </c>
      <c r="BA222" s="171">
        <f>IFERROR(#REF!*BA213/SUM(BA205,BA213),0)</f>
        <v>0</v>
      </c>
      <c r="BB222" s="171">
        <f>IFERROR(#REF!*BB213/SUM(BB205,BB213),0)</f>
        <v>0</v>
      </c>
      <c r="BC222" s="171">
        <f>IFERROR(#REF!*BC213/SUM(BC205,BC213),0)</f>
        <v>0</v>
      </c>
      <c r="BD222" s="171">
        <f>IFERROR(#REF!*BD213/SUM(BD205,BD213),0)</f>
        <v>0</v>
      </c>
      <c r="BE222" s="171">
        <f>IFERROR(#REF!*BE213/SUM(BE205,BE213),0)</f>
        <v>0</v>
      </c>
      <c r="BF222" s="171">
        <f>IFERROR(#REF!*BF213/SUM(BF205,BF213),0)</f>
        <v>0</v>
      </c>
      <c r="BG222" s="171"/>
      <c r="BH222" s="171"/>
      <c r="BI222" s="171"/>
      <c r="BJ222" s="171"/>
      <c r="BK222" s="171"/>
      <c r="BL222" s="171"/>
    </row>
    <row r="223" spans="3:64" hidden="1" x14ac:dyDescent="0.15">
      <c r="C223" s="325" t="s">
        <v>478</v>
      </c>
      <c r="E223" s="178" t="e">
        <f>E222+E218-#REF!</f>
        <v>#REF!</v>
      </c>
      <c r="F223" s="178" t="e">
        <f>F222+F218-#REF!</f>
        <v>#REF!</v>
      </c>
      <c r="G223" s="178" t="e">
        <f>G222+G218-#REF!</f>
        <v>#REF!</v>
      </c>
      <c r="H223" s="178" t="e">
        <f>H222+H218-#REF!</f>
        <v>#REF!</v>
      </c>
      <c r="I223" s="178" t="e">
        <f>I222+I218-#REF!</f>
        <v>#REF!</v>
      </c>
      <c r="J223" s="178" t="e">
        <f>J222+J218-#REF!</f>
        <v>#REF!</v>
      </c>
      <c r="K223" s="178" t="e">
        <f>K222+K218-#REF!</f>
        <v>#REF!</v>
      </c>
      <c r="L223" s="178" t="e">
        <f>L222+L218-#REF!</f>
        <v>#REF!</v>
      </c>
      <c r="M223" s="178" t="e">
        <f>M222+M218-#REF!</f>
        <v>#REF!</v>
      </c>
      <c r="N223" s="178" t="e">
        <f>N222+N218-#REF!</f>
        <v>#REF!</v>
      </c>
      <c r="O223" s="178" t="e">
        <f>O222+O218-#REF!</f>
        <v>#REF!</v>
      </c>
      <c r="P223" s="178" t="e">
        <f>P222+P218-#REF!</f>
        <v>#REF!</v>
      </c>
      <c r="Q223" s="178" t="e">
        <f>Q222+Q218-#REF!</f>
        <v>#REF!</v>
      </c>
      <c r="R223" s="178" t="e">
        <f>R222+R218-#REF!</f>
        <v>#REF!</v>
      </c>
      <c r="S223" s="178" t="e">
        <f>S222+S218-#REF!</f>
        <v>#REF!</v>
      </c>
      <c r="T223" s="178" t="e">
        <f>T222+T218-#REF!</f>
        <v>#REF!</v>
      </c>
      <c r="U223" s="178" t="e">
        <f>U222+U218-#REF!</f>
        <v>#REF!</v>
      </c>
      <c r="V223" s="178" t="e">
        <f>V222+V218-#REF!</f>
        <v>#REF!</v>
      </c>
      <c r="W223" s="178" t="e">
        <f>W222+W218-#REF!</f>
        <v>#REF!</v>
      </c>
      <c r="X223" s="178" t="e">
        <f>X222+X218-#REF!</f>
        <v>#REF!</v>
      </c>
      <c r="Y223" s="178" t="e">
        <f>Y222+Y218-#REF!</f>
        <v>#REF!</v>
      </c>
      <c r="Z223" s="178" t="e">
        <f>Z222+Z218-#REF!</f>
        <v>#REF!</v>
      </c>
      <c r="AA223" s="178" t="e">
        <f>AA222+AA218-#REF!</f>
        <v>#REF!</v>
      </c>
      <c r="AB223" s="178" t="e">
        <f>AB222+AB218-#REF!</f>
        <v>#REF!</v>
      </c>
      <c r="AC223" s="178" t="e">
        <f>AC222+AC218-#REF!</f>
        <v>#REF!</v>
      </c>
      <c r="AD223" s="178" t="e">
        <f>AD222+AD218-#REF!</f>
        <v>#REF!</v>
      </c>
      <c r="AE223" s="178" t="e">
        <f>AE222+AE218-#REF!</f>
        <v>#REF!</v>
      </c>
      <c r="AF223" s="178" t="e">
        <f>AF222+AF218-#REF!</f>
        <v>#REF!</v>
      </c>
      <c r="AG223" s="178" t="e">
        <f>AG222+AG218-#REF!</f>
        <v>#REF!</v>
      </c>
      <c r="AH223" s="178" t="e">
        <f>AH222+AH218-#REF!</f>
        <v>#REF!</v>
      </c>
      <c r="AI223" s="178" t="e">
        <f>AI222+AI218-#REF!</f>
        <v>#REF!</v>
      </c>
      <c r="AJ223" s="178" t="e">
        <f>AJ222+AJ218-#REF!</f>
        <v>#REF!</v>
      </c>
      <c r="AK223" s="178" t="e">
        <f>AK222+AK218-#REF!</f>
        <v>#REF!</v>
      </c>
      <c r="AL223" s="178" t="e">
        <f>AL222+AL218-#REF!</f>
        <v>#REF!</v>
      </c>
      <c r="AM223" s="178" t="e">
        <f>AM222+AM218-#REF!</f>
        <v>#REF!</v>
      </c>
      <c r="AN223" s="178" t="e">
        <f>AN222+AN218-#REF!</f>
        <v>#REF!</v>
      </c>
      <c r="AO223" s="178" t="e">
        <f>AO222+AO218-#REF!</f>
        <v>#REF!</v>
      </c>
      <c r="AP223" s="178" t="e">
        <f>AP222+AP218-#REF!</f>
        <v>#REF!</v>
      </c>
      <c r="AQ223" s="178" t="e">
        <f>AQ222+AQ218-#REF!</f>
        <v>#REF!</v>
      </c>
      <c r="AR223" s="178" t="e">
        <f>AR222+AR218-#REF!</f>
        <v>#REF!</v>
      </c>
      <c r="AS223" s="178" t="e">
        <f>AS222+AS218-#REF!</f>
        <v>#REF!</v>
      </c>
      <c r="AT223" s="178" t="e">
        <f>AT222+AT218-#REF!</f>
        <v>#REF!</v>
      </c>
      <c r="AU223" s="178" t="e">
        <f>AU222+AU218-#REF!</f>
        <v>#REF!</v>
      </c>
      <c r="AV223" s="178" t="e">
        <f>AV222+AV218-#REF!</f>
        <v>#REF!</v>
      </c>
      <c r="AW223" s="178" t="e">
        <f>AW222+AW218-#REF!</f>
        <v>#REF!</v>
      </c>
      <c r="AX223" s="178" t="e">
        <f>AX222+AX218-#REF!</f>
        <v>#REF!</v>
      </c>
      <c r="AY223" s="178" t="e">
        <f>AY222+AY218-#REF!</f>
        <v>#REF!</v>
      </c>
      <c r="AZ223" s="178" t="e">
        <f>AZ222+AZ218-#REF!</f>
        <v>#REF!</v>
      </c>
      <c r="BA223" s="178" t="e">
        <f>BA222+BA218-#REF!</f>
        <v>#REF!</v>
      </c>
      <c r="BB223" s="178" t="e">
        <f>BB222+BB218-#REF!</f>
        <v>#REF!</v>
      </c>
      <c r="BC223" s="178" t="e">
        <f>BC222+BC218-#REF!</f>
        <v>#REF!</v>
      </c>
      <c r="BD223" s="178" t="e">
        <f>BD222+BD218-#REF!</f>
        <v>#REF!</v>
      </c>
      <c r="BE223" s="178" t="e">
        <f>BE222+BE218-#REF!</f>
        <v>#REF!</v>
      </c>
      <c r="BF223" s="178" t="e">
        <f>BF222+BF218-#REF!</f>
        <v>#REF!</v>
      </c>
      <c r="BG223" s="178"/>
      <c r="BH223" s="178"/>
      <c r="BI223" s="178"/>
      <c r="BJ223" s="178"/>
      <c r="BK223" s="178"/>
      <c r="BL223" s="178"/>
    </row>
  </sheetData>
  <sheetProtection algorithmName="SHA-512" hashValue="7KbecvKTK5BptwlVSEwPUlb2bGGvLJ7L8Cy0TeGmnPT1AvjUafsix17poadg9yibNsnrUGWXaXHRj48O+QJCYw==" saltValue="8vuFuc/YIKiR9JHBYNY+Rg==" spinCount="100000" sheet="1"/>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5EBEF-26F8-4A48-AC70-A52C9B5F04C9}">
  <sheetPr>
    <tabColor rgb="FFFFFF00"/>
  </sheetPr>
  <dimension ref="A1:BQ34"/>
  <sheetViews>
    <sheetView showGridLines="0" topLeftCell="A16" zoomScale="120" zoomScaleNormal="120" zoomScaleSheetLayoutView="70" workbookViewId="0">
      <selection activeCell="N30" sqref="N30"/>
    </sheetView>
  </sheetViews>
  <sheetFormatPr baseColWidth="10" defaultColWidth="10.1640625" defaultRowHeight="11" x14ac:dyDescent="0.15"/>
  <cols>
    <col min="1" max="1" width="2.5" style="294" customWidth="1"/>
    <col min="2" max="2" width="3.33203125" style="205" customWidth="1"/>
    <col min="3" max="3" width="28" style="205" customWidth="1"/>
    <col min="4" max="39" width="10.5" style="205" customWidth="1"/>
    <col min="40" max="16384" width="10.1640625" style="205"/>
  </cols>
  <sheetData>
    <row r="1" spans="1:69" ht="23" x14ac:dyDescent="0.25">
      <c r="C1" s="326" t="s">
        <v>481</v>
      </c>
      <c r="D1" s="327"/>
    </row>
    <row r="2" spans="1:69" s="329" customFormat="1" ht="14" thickBot="1" x14ac:dyDescent="0.2">
      <c r="A2" s="328"/>
      <c r="C2" s="330" t="s">
        <v>482</v>
      </c>
      <c r="D2" s="331" t="s">
        <v>483</v>
      </c>
      <c r="E2" s="331"/>
      <c r="F2" s="331"/>
      <c r="G2" s="331"/>
      <c r="H2" s="331"/>
      <c r="I2" s="331"/>
      <c r="J2" s="331"/>
      <c r="K2" s="331"/>
      <c r="L2" s="331"/>
      <c r="M2" s="331"/>
      <c r="N2" s="331"/>
      <c r="O2" s="331"/>
      <c r="P2" s="331"/>
    </row>
    <row r="3" spans="1:69" s="329" customFormat="1" ht="13" x14ac:dyDescent="0.15">
      <c r="A3" s="332"/>
      <c r="B3" s="333"/>
      <c r="P3" s="334"/>
      <c r="Q3" s="334"/>
    </row>
    <row r="4" spans="1:69" s="329" customFormat="1" ht="13" x14ac:dyDescent="0.15">
      <c r="A4" s="328"/>
      <c r="B4" s="335"/>
      <c r="C4" s="336" t="s">
        <v>484</v>
      </c>
      <c r="D4" s="337">
        <v>45658</v>
      </c>
      <c r="E4" s="338">
        <f t="shared" ref="E4:BL4" si="0">EOMONTH(D4,1)</f>
        <v>45716</v>
      </c>
      <c r="F4" s="338">
        <f t="shared" si="0"/>
        <v>45747</v>
      </c>
      <c r="G4" s="338">
        <f t="shared" si="0"/>
        <v>45777</v>
      </c>
      <c r="H4" s="338">
        <f t="shared" si="0"/>
        <v>45808</v>
      </c>
      <c r="I4" s="338">
        <f t="shared" si="0"/>
        <v>45838</v>
      </c>
      <c r="J4" s="338">
        <f t="shared" si="0"/>
        <v>45869</v>
      </c>
      <c r="K4" s="338">
        <f t="shared" si="0"/>
        <v>45900</v>
      </c>
      <c r="L4" s="338">
        <f t="shared" si="0"/>
        <v>45930</v>
      </c>
      <c r="M4" s="338">
        <f t="shared" si="0"/>
        <v>45961</v>
      </c>
      <c r="N4" s="338">
        <f t="shared" si="0"/>
        <v>45991</v>
      </c>
      <c r="O4" s="338">
        <f t="shared" si="0"/>
        <v>46022</v>
      </c>
      <c r="P4" s="338">
        <f t="shared" si="0"/>
        <v>46053</v>
      </c>
      <c r="Q4" s="338">
        <f t="shared" si="0"/>
        <v>46081</v>
      </c>
      <c r="R4" s="338">
        <f t="shared" si="0"/>
        <v>46112</v>
      </c>
      <c r="S4" s="338">
        <f t="shared" si="0"/>
        <v>46142</v>
      </c>
      <c r="T4" s="338">
        <f t="shared" si="0"/>
        <v>46173</v>
      </c>
      <c r="U4" s="338">
        <f t="shared" si="0"/>
        <v>46203</v>
      </c>
      <c r="V4" s="338">
        <f t="shared" si="0"/>
        <v>46234</v>
      </c>
      <c r="W4" s="338">
        <f t="shared" si="0"/>
        <v>46265</v>
      </c>
      <c r="X4" s="338">
        <f t="shared" si="0"/>
        <v>46295</v>
      </c>
      <c r="Y4" s="338">
        <f t="shared" si="0"/>
        <v>46326</v>
      </c>
      <c r="Z4" s="338">
        <f t="shared" si="0"/>
        <v>46356</v>
      </c>
      <c r="AA4" s="338">
        <f t="shared" si="0"/>
        <v>46387</v>
      </c>
      <c r="AB4" s="338">
        <f t="shared" si="0"/>
        <v>46418</v>
      </c>
      <c r="AC4" s="338">
        <f t="shared" si="0"/>
        <v>46446</v>
      </c>
      <c r="AD4" s="338">
        <f t="shared" si="0"/>
        <v>46477</v>
      </c>
      <c r="AE4" s="338">
        <f t="shared" si="0"/>
        <v>46507</v>
      </c>
      <c r="AF4" s="338">
        <f t="shared" si="0"/>
        <v>46538</v>
      </c>
      <c r="AG4" s="338">
        <f t="shared" si="0"/>
        <v>46568</v>
      </c>
      <c r="AH4" s="338">
        <f t="shared" si="0"/>
        <v>46599</v>
      </c>
      <c r="AI4" s="338">
        <f t="shared" si="0"/>
        <v>46630</v>
      </c>
      <c r="AJ4" s="338">
        <f t="shared" si="0"/>
        <v>46660</v>
      </c>
      <c r="AK4" s="338">
        <f t="shared" si="0"/>
        <v>46691</v>
      </c>
      <c r="AL4" s="338">
        <f t="shared" si="0"/>
        <v>46721</v>
      </c>
      <c r="AM4" s="338">
        <f t="shared" si="0"/>
        <v>46752</v>
      </c>
      <c r="AN4" s="338">
        <f t="shared" si="0"/>
        <v>46783</v>
      </c>
      <c r="AO4" s="338">
        <f t="shared" si="0"/>
        <v>46812</v>
      </c>
      <c r="AP4" s="338">
        <f t="shared" si="0"/>
        <v>46843</v>
      </c>
      <c r="AQ4" s="338">
        <f t="shared" si="0"/>
        <v>46873</v>
      </c>
      <c r="AR4" s="338">
        <f t="shared" si="0"/>
        <v>46904</v>
      </c>
      <c r="AS4" s="338">
        <f t="shared" si="0"/>
        <v>46934</v>
      </c>
      <c r="AT4" s="338">
        <f t="shared" si="0"/>
        <v>46965</v>
      </c>
      <c r="AU4" s="338">
        <f t="shared" si="0"/>
        <v>46996</v>
      </c>
      <c r="AV4" s="338">
        <f t="shared" si="0"/>
        <v>47026</v>
      </c>
      <c r="AW4" s="338">
        <f t="shared" si="0"/>
        <v>47057</v>
      </c>
      <c r="AX4" s="338">
        <f t="shared" si="0"/>
        <v>47087</v>
      </c>
      <c r="AY4" s="338">
        <f t="shared" si="0"/>
        <v>47118</v>
      </c>
      <c r="AZ4" s="338">
        <f t="shared" si="0"/>
        <v>47149</v>
      </c>
      <c r="BA4" s="338">
        <f t="shared" si="0"/>
        <v>47177</v>
      </c>
      <c r="BB4" s="338">
        <f t="shared" si="0"/>
        <v>47208</v>
      </c>
      <c r="BC4" s="338">
        <f t="shared" si="0"/>
        <v>47238</v>
      </c>
      <c r="BD4" s="338">
        <f t="shared" si="0"/>
        <v>47269</v>
      </c>
      <c r="BE4" s="338">
        <f t="shared" si="0"/>
        <v>47299</v>
      </c>
      <c r="BF4" s="338">
        <f t="shared" si="0"/>
        <v>47330</v>
      </c>
      <c r="BG4" s="338">
        <f t="shared" si="0"/>
        <v>47361</v>
      </c>
      <c r="BH4" s="338">
        <f t="shared" si="0"/>
        <v>47391</v>
      </c>
      <c r="BI4" s="338">
        <f t="shared" si="0"/>
        <v>47422</v>
      </c>
      <c r="BJ4" s="338">
        <f t="shared" si="0"/>
        <v>47452</v>
      </c>
      <c r="BK4" s="338">
        <f t="shared" si="0"/>
        <v>47483</v>
      </c>
      <c r="BL4" s="338">
        <f t="shared" si="0"/>
        <v>47514</v>
      </c>
      <c r="BM4" s="334"/>
      <c r="BN4" s="334"/>
      <c r="BO4" s="334"/>
      <c r="BP4" s="334"/>
      <c r="BQ4" s="334"/>
    </row>
    <row r="5" spans="1:69" s="101" customFormat="1" ht="13" x14ac:dyDescent="0.15">
      <c r="A5" s="339"/>
      <c r="C5" s="340" t="s">
        <v>485</v>
      </c>
      <c r="D5" s="341">
        <f t="shared" ref="D5:BL5" si="1">YEAR(D4)</f>
        <v>2025</v>
      </c>
      <c r="E5" s="341">
        <f t="shared" si="1"/>
        <v>2025</v>
      </c>
      <c r="F5" s="341">
        <f t="shared" si="1"/>
        <v>2025</v>
      </c>
      <c r="G5" s="341">
        <f t="shared" si="1"/>
        <v>2025</v>
      </c>
      <c r="H5" s="341">
        <f t="shared" si="1"/>
        <v>2025</v>
      </c>
      <c r="I5" s="341">
        <f t="shared" si="1"/>
        <v>2025</v>
      </c>
      <c r="J5" s="341">
        <f t="shared" si="1"/>
        <v>2025</v>
      </c>
      <c r="K5" s="341">
        <f t="shared" si="1"/>
        <v>2025</v>
      </c>
      <c r="L5" s="341">
        <f t="shared" si="1"/>
        <v>2025</v>
      </c>
      <c r="M5" s="341">
        <f t="shared" si="1"/>
        <v>2025</v>
      </c>
      <c r="N5" s="341">
        <f t="shared" si="1"/>
        <v>2025</v>
      </c>
      <c r="O5" s="341">
        <f t="shared" si="1"/>
        <v>2025</v>
      </c>
      <c r="P5" s="341">
        <f t="shared" si="1"/>
        <v>2026</v>
      </c>
      <c r="Q5" s="341">
        <f t="shared" si="1"/>
        <v>2026</v>
      </c>
      <c r="R5" s="341">
        <f t="shared" si="1"/>
        <v>2026</v>
      </c>
      <c r="S5" s="341">
        <f t="shared" si="1"/>
        <v>2026</v>
      </c>
      <c r="T5" s="341">
        <f t="shared" si="1"/>
        <v>2026</v>
      </c>
      <c r="U5" s="341">
        <f t="shared" si="1"/>
        <v>2026</v>
      </c>
      <c r="V5" s="341">
        <f t="shared" si="1"/>
        <v>2026</v>
      </c>
      <c r="W5" s="341">
        <f t="shared" si="1"/>
        <v>2026</v>
      </c>
      <c r="X5" s="341">
        <f t="shared" si="1"/>
        <v>2026</v>
      </c>
      <c r="Y5" s="341">
        <f t="shared" si="1"/>
        <v>2026</v>
      </c>
      <c r="Z5" s="341">
        <f t="shared" si="1"/>
        <v>2026</v>
      </c>
      <c r="AA5" s="341">
        <f t="shared" si="1"/>
        <v>2026</v>
      </c>
      <c r="AB5" s="341">
        <f t="shared" si="1"/>
        <v>2027</v>
      </c>
      <c r="AC5" s="341">
        <f t="shared" si="1"/>
        <v>2027</v>
      </c>
      <c r="AD5" s="341">
        <f t="shared" si="1"/>
        <v>2027</v>
      </c>
      <c r="AE5" s="341">
        <f t="shared" si="1"/>
        <v>2027</v>
      </c>
      <c r="AF5" s="341">
        <f t="shared" si="1"/>
        <v>2027</v>
      </c>
      <c r="AG5" s="341">
        <f t="shared" si="1"/>
        <v>2027</v>
      </c>
      <c r="AH5" s="341">
        <f t="shared" si="1"/>
        <v>2027</v>
      </c>
      <c r="AI5" s="341">
        <f t="shared" si="1"/>
        <v>2027</v>
      </c>
      <c r="AJ5" s="341">
        <f t="shared" si="1"/>
        <v>2027</v>
      </c>
      <c r="AK5" s="341">
        <f t="shared" si="1"/>
        <v>2027</v>
      </c>
      <c r="AL5" s="341">
        <f t="shared" si="1"/>
        <v>2027</v>
      </c>
      <c r="AM5" s="341">
        <f t="shared" si="1"/>
        <v>2027</v>
      </c>
      <c r="AN5" s="341">
        <f t="shared" si="1"/>
        <v>2028</v>
      </c>
      <c r="AO5" s="341">
        <f t="shared" si="1"/>
        <v>2028</v>
      </c>
      <c r="AP5" s="341">
        <f t="shared" si="1"/>
        <v>2028</v>
      </c>
      <c r="AQ5" s="341">
        <f t="shared" si="1"/>
        <v>2028</v>
      </c>
      <c r="AR5" s="341">
        <f t="shared" si="1"/>
        <v>2028</v>
      </c>
      <c r="AS5" s="341">
        <f t="shared" si="1"/>
        <v>2028</v>
      </c>
      <c r="AT5" s="341">
        <f t="shared" si="1"/>
        <v>2028</v>
      </c>
      <c r="AU5" s="341">
        <f t="shared" si="1"/>
        <v>2028</v>
      </c>
      <c r="AV5" s="341">
        <f t="shared" si="1"/>
        <v>2028</v>
      </c>
      <c r="AW5" s="341">
        <f t="shared" si="1"/>
        <v>2028</v>
      </c>
      <c r="AX5" s="341">
        <f t="shared" si="1"/>
        <v>2028</v>
      </c>
      <c r="AY5" s="341">
        <f t="shared" si="1"/>
        <v>2028</v>
      </c>
      <c r="AZ5" s="341">
        <f t="shared" si="1"/>
        <v>2029</v>
      </c>
      <c r="BA5" s="341">
        <f t="shared" si="1"/>
        <v>2029</v>
      </c>
      <c r="BB5" s="341">
        <f t="shared" si="1"/>
        <v>2029</v>
      </c>
      <c r="BC5" s="341">
        <f t="shared" si="1"/>
        <v>2029</v>
      </c>
      <c r="BD5" s="341">
        <f t="shared" si="1"/>
        <v>2029</v>
      </c>
      <c r="BE5" s="341">
        <f t="shared" si="1"/>
        <v>2029</v>
      </c>
      <c r="BF5" s="341">
        <f t="shared" si="1"/>
        <v>2029</v>
      </c>
      <c r="BG5" s="341">
        <f t="shared" si="1"/>
        <v>2029</v>
      </c>
      <c r="BH5" s="341">
        <f t="shared" si="1"/>
        <v>2029</v>
      </c>
      <c r="BI5" s="341">
        <f t="shared" si="1"/>
        <v>2029</v>
      </c>
      <c r="BJ5" s="341">
        <f t="shared" si="1"/>
        <v>2029</v>
      </c>
      <c r="BK5" s="341">
        <f t="shared" si="1"/>
        <v>2029</v>
      </c>
      <c r="BL5" s="341">
        <f t="shared" si="1"/>
        <v>2030</v>
      </c>
      <c r="BM5" s="342"/>
      <c r="BN5" s="342"/>
      <c r="BO5" s="342"/>
      <c r="BP5" s="342"/>
      <c r="BQ5" s="342"/>
    </row>
    <row r="6" spans="1:69" s="329" customFormat="1" ht="13" x14ac:dyDescent="0.15">
      <c r="A6" s="328"/>
      <c r="C6" s="329" t="s">
        <v>486</v>
      </c>
      <c r="D6" s="343"/>
      <c r="E6" s="343"/>
      <c r="F6" s="343"/>
      <c r="G6" s="343"/>
      <c r="H6" s="343"/>
      <c r="I6" s="343"/>
      <c r="J6" s="343">
        <f>DATA!E19/10^9</f>
        <v>87.997150000000005</v>
      </c>
      <c r="K6" s="343">
        <f>DATA!E18/10^9</f>
        <v>83.818309999999997</v>
      </c>
      <c r="L6" s="343">
        <f>DATA!E17/10^9</f>
        <v>83.034229999999994</v>
      </c>
      <c r="M6" s="343"/>
      <c r="N6" s="343"/>
      <c r="O6" s="343"/>
      <c r="P6" s="343"/>
      <c r="Q6" s="343"/>
      <c r="R6" s="343"/>
      <c r="S6" s="343"/>
      <c r="T6" s="343"/>
      <c r="U6" s="343"/>
      <c r="V6" s="343"/>
      <c r="W6" s="343"/>
      <c r="X6" s="343"/>
      <c r="Y6" s="343"/>
      <c r="Z6" s="343"/>
      <c r="AA6" s="343"/>
      <c r="AB6" s="343"/>
      <c r="AC6" s="343"/>
      <c r="AD6" s="343"/>
      <c r="AE6" s="343"/>
      <c r="AF6" s="343"/>
      <c r="AG6" s="343"/>
      <c r="AH6" s="343"/>
      <c r="AI6" s="343"/>
      <c r="AJ6" s="343"/>
      <c r="AK6" s="343"/>
      <c r="AL6" s="343"/>
      <c r="AM6" s="343"/>
      <c r="AN6" s="344"/>
      <c r="AO6" s="344"/>
      <c r="AP6" s="344"/>
      <c r="AQ6" s="344"/>
      <c r="AR6" s="344"/>
      <c r="AS6" s="344"/>
      <c r="AT6" s="344"/>
      <c r="AU6" s="344"/>
      <c r="AV6" s="344"/>
      <c r="AW6" s="344"/>
      <c r="AX6" s="344"/>
      <c r="AY6" s="344"/>
      <c r="AZ6" s="344"/>
      <c r="BA6" s="344"/>
      <c r="BB6" s="344"/>
      <c r="BC6" s="344"/>
      <c r="BD6" s="344"/>
      <c r="BE6" s="344"/>
      <c r="BF6" s="344"/>
      <c r="BG6" s="344"/>
      <c r="BH6" s="344"/>
      <c r="BI6" s="344"/>
      <c r="BJ6" s="344"/>
      <c r="BK6" s="344"/>
      <c r="BL6" s="344"/>
    </row>
    <row r="7" spans="1:69" s="329" customFormat="1" ht="13" x14ac:dyDescent="0.15">
      <c r="A7" s="328"/>
      <c r="D7" s="335"/>
      <c r="E7" s="335"/>
      <c r="F7" s="335"/>
      <c r="G7" s="335"/>
      <c r="H7" s="335"/>
      <c r="I7" s="335"/>
      <c r="J7" s="335"/>
      <c r="K7" s="335"/>
      <c r="L7" s="335"/>
      <c r="M7" s="335"/>
      <c r="N7" s="335"/>
      <c r="O7" s="335"/>
      <c r="P7" s="335"/>
      <c r="Q7" s="335"/>
      <c r="R7" s="335"/>
      <c r="S7" s="335"/>
      <c r="T7" s="335"/>
      <c r="U7" s="335"/>
      <c r="V7" s="335"/>
      <c r="W7" s="335"/>
      <c r="X7" s="335"/>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5"/>
      <c r="BK7" s="335"/>
      <c r="BL7" s="335"/>
    </row>
    <row r="8" spans="1:69" s="329" customFormat="1" ht="14" thickBot="1" x14ac:dyDescent="0.2">
      <c r="A8" s="328"/>
      <c r="C8" s="330" t="s">
        <v>487</v>
      </c>
      <c r="D8" s="331" t="s">
        <v>488</v>
      </c>
      <c r="E8" s="345"/>
      <c r="F8" s="345"/>
      <c r="G8" s="346"/>
      <c r="H8" s="346"/>
      <c r="I8" s="346"/>
      <c r="J8" s="346"/>
      <c r="K8" s="346"/>
      <c r="L8" s="346"/>
      <c r="M8" s="346"/>
      <c r="N8" s="346"/>
      <c r="O8" s="346"/>
      <c r="P8" s="346"/>
      <c r="Q8" s="334"/>
      <c r="R8" s="334"/>
      <c r="S8" s="334"/>
      <c r="T8" s="334"/>
    </row>
    <row r="9" spans="1:69" s="329" customFormat="1" ht="13" x14ac:dyDescent="0.15">
      <c r="A9" s="332"/>
      <c r="B9" s="333"/>
      <c r="G9" s="334"/>
      <c r="H9" s="334"/>
      <c r="I9" s="334"/>
      <c r="J9" s="334"/>
      <c r="K9" s="334"/>
      <c r="L9" s="334"/>
      <c r="M9" s="334"/>
      <c r="N9" s="334"/>
      <c r="O9" s="334"/>
      <c r="P9" s="334"/>
      <c r="Q9" s="334"/>
      <c r="R9" s="334"/>
      <c r="S9" s="334"/>
      <c r="T9" s="334"/>
    </row>
    <row r="10" spans="1:69" s="329" customFormat="1" ht="13" x14ac:dyDescent="0.15">
      <c r="A10" s="332"/>
      <c r="B10" s="333"/>
      <c r="C10" s="333" t="s">
        <v>489</v>
      </c>
      <c r="E10" s="347" t="s">
        <v>490</v>
      </c>
      <c r="F10" s="347">
        <f>YEAR(D4)</f>
        <v>2025</v>
      </c>
      <c r="G10" s="347">
        <f>F10+1</f>
        <v>2026</v>
      </c>
      <c r="H10" s="347">
        <f>G10+1</f>
        <v>2027</v>
      </c>
      <c r="I10" s="347">
        <f>H10+1</f>
        <v>2028</v>
      </c>
      <c r="J10" s="347">
        <f>I10+1</f>
        <v>2029</v>
      </c>
      <c r="K10" s="347">
        <f>J10+1</f>
        <v>2030</v>
      </c>
      <c r="M10" s="334"/>
      <c r="O10" s="334"/>
      <c r="Q10" s="334"/>
      <c r="R10" s="334"/>
      <c r="S10" s="334"/>
      <c r="T10" s="334"/>
    </row>
    <row r="11" spans="1:69" s="329" customFormat="1" ht="13" x14ac:dyDescent="0.15">
      <c r="A11" s="332"/>
      <c r="B11" s="333"/>
      <c r="C11" s="348"/>
      <c r="E11" s="349" t="s">
        <v>491</v>
      </c>
      <c r="F11" s="349" t="s">
        <v>491</v>
      </c>
      <c r="G11" s="349" t="s">
        <v>491</v>
      </c>
      <c r="H11" s="349" t="s">
        <v>491</v>
      </c>
      <c r="I11" s="349" t="s">
        <v>491</v>
      </c>
      <c r="J11" s="349" t="s">
        <v>491</v>
      </c>
      <c r="K11" s="349" t="s">
        <v>491</v>
      </c>
      <c r="M11" s="334"/>
      <c r="O11" s="334"/>
      <c r="Q11" s="334"/>
      <c r="R11" s="334"/>
      <c r="S11" s="334"/>
      <c r="T11" s="334"/>
    </row>
    <row r="12" spans="1:69" s="329" customFormat="1" ht="13" x14ac:dyDescent="0.15">
      <c r="A12" s="332"/>
      <c r="B12" s="333"/>
      <c r="H12" s="334"/>
      <c r="I12" s="334"/>
      <c r="J12" s="334"/>
      <c r="K12" s="334"/>
      <c r="M12" s="334"/>
      <c r="O12" s="334"/>
      <c r="Q12" s="334"/>
      <c r="R12" s="334"/>
      <c r="S12" s="334"/>
      <c r="T12" s="334"/>
    </row>
    <row r="13" spans="1:69" s="329" customFormat="1" ht="13" x14ac:dyDescent="0.15">
      <c r="A13" s="328"/>
      <c r="C13" s="333" t="s">
        <v>492</v>
      </c>
      <c r="E13" s="350">
        <f>SUM(F13:O13)</f>
        <v>254.84969000000001</v>
      </c>
      <c r="F13" s="351">
        <f t="shared" ref="F13:K13" si="2">SUMIF($D$5:$BL$5,F$10,$D$6:$BL$6)</f>
        <v>254.84969000000001</v>
      </c>
      <c r="G13" s="351">
        <f t="shared" si="2"/>
        <v>0</v>
      </c>
      <c r="H13" s="351">
        <f t="shared" si="2"/>
        <v>0</v>
      </c>
      <c r="I13" s="351">
        <f t="shared" si="2"/>
        <v>0</v>
      </c>
      <c r="J13" s="351">
        <f t="shared" si="2"/>
        <v>0</v>
      </c>
      <c r="K13" s="351">
        <f t="shared" si="2"/>
        <v>0</v>
      </c>
      <c r="M13" s="352"/>
      <c r="O13" s="352"/>
      <c r="Q13" s="353"/>
      <c r="R13" s="353"/>
      <c r="S13" s="353"/>
      <c r="T13" s="353"/>
      <c r="U13" s="353"/>
      <c r="V13" s="353"/>
      <c r="W13" s="353"/>
      <c r="X13" s="353"/>
      <c r="Y13" s="353"/>
      <c r="Z13" s="353"/>
      <c r="AA13" s="353"/>
      <c r="AB13" s="353"/>
      <c r="AC13" s="353"/>
      <c r="AD13" s="353"/>
      <c r="AE13" s="353"/>
      <c r="AF13" s="353"/>
    </row>
    <row r="14" spans="1:69" s="329" customFormat="1" ht="13" x14ac:dyDescent="0.15">
      <c r="A14" s="328"/>
      <c r="C14" s="329" t="s">
        <v>493</v>
      </c>
      <c r="E14" s="354">
        <f>AVERAGE(D6:AM6)</f>
        <v>84.949896666666675</v>
      </c>
      <c r="F14" s="355">
        <f t="shared" ref="F14:K14" si="3">IFERROR(F13/COUNTIFS($D$5:$BL$5,F10,$D$6:$BL$6,"&lt;&gt;"&amp;""),0)</f>
        <v>84.949896666666675</v>
      </c>
      <c r="G14" s="355">
        <f t="shared" si="3"/>
        <v>0</v>
      </c>
      <c r="H14" s="355">
        <f t="shared" si="3"/>
        <v>0</v>
      </c>
      <c r="I14" s="355">
        <f t="shared" si="3"/>
        <v>0</v>
      </c>
      <c r="J14" s="355">
        <f t="shared" si="3"/>
        <v>0</v>
      </c>
      <c r="K14" s="355">
        <f t="shared" si="3"/>
        <v>0</v>
      </c>
      <c r="M14" s="356"/>
      <c r="O14" s="356"/>
      <c r="Q14" s="353"/>
      <c r="R14" s="353"/>
      <c r="S14" s="353"/>
      <c r="T14" s="353"/>
      <c r="U14" s="353"/>
      <c r="V14" s="353"/>
      <c r="W14" s="353"/>
      <c r="X14" s="353"/>
      <c r="Y14" s="353"/>
      <c r="Z14" s="353"/>
      <c r="AA14" s="353"/>
      <c r="AB14" s="353"/>
      <c r="AC14" s="353"/>
      <c r="AD14" s="353"/>
      <c r="AE14" s="353"/>
      <c r="AF14" s="353"/>
    </row>
    <row r="15" spans="1:69" s="329" customFormat="1" ht="13" x14ac:dyDescent="0.15">
      <c r="A15" s="328"/>
      <c r="C15" s="333"/>
      <c r="E15" s="357"/>
      <c r="F15" s="353"/>
      <c r="G15" s="353"/>
      <c r="H15" s="353"/>
      <c r="I15" s="353"/>
      <c r="J15" s="353"/>
      <c r="K15" s="353"/>
      <c r="M15" s="356"/>
      <c r="O15" s="356"/>
      <c r="Q15" s="353"/>
      <c r="R15" s="353"/>
      <c r="S15" s="353"/>
      <c r="T15" s="353"/>
      <c r="U15" s="353"/>
      <c r="V15" s="353"/>
      <c r="W15" s="353"/>
      <c r="X15" s="353"/>
      <c r="Y15" s="353"/>
      <c r="Z15" s="353"/>
      <c r="AA15" s="353"/>
      <c r="AB15" s="353"/>
      <c r="AC15" s="353"/>
      <c r="AD15" s="353"/>
      <c r="AE15" s="353"/>
      <c r="AF15" s="353"/>
    </row>
    <row r="16" spans="1:69" s="329" customFormat="1" ht="13" x14ac:dyDescent="0.15">
      <c r="A16" s="328"/>
      <c r="C16" s="333" t="s">
        <v>494</v>
      </c>
      <c r="E16" s="358"/>
      <c r="F16" s="358">
        <f ca="1">OFFSET(PnL_Speadsheet!$A$7,0,MATCH(DATE('Saleplan&amp;PnL'!F$10,12,31),PnL_Speadsheet!$B$4:$BI$4,0))/1000</f>
        <v>140.28942826180352</v>
      </c>
      <c r="G16" s="358">
        <f ca="1">OFFSET(PnL_Speadsheet!$A$7,0,MATCH(DATE('Saleplan&amp;PnL'!G$10,12,31),PnL_Speadsheet!$B$4:$BI$4,0))/1000</f>
        <v>33.636462822535691</v>
      </c>
      <c r="H16" s="358">
        <f ca="1">OFFSET(PnL_Speadsheet!$A$7,0,MATCH(DATE('Saleplan&amp;PnL'!H$10,12,31),PnL_Speadsheet!$B$4:$BI$4,0))/1000</f>
        <v>0</v>
      </c>
      <c r="I16" s="358">
        <f ca="1">OFFSET(PnL_Speadsheet!$A$7,0,MATCH(DATE('Saleplan&amp;PnL'!I$10,12,31),PnL_Speadsheet!$B$4:$BI$4,0))/1000</f>
        <v>0</v>
      </c>
      <c r="J16" s="358">
        <f ca="1">OFFSET(PnL_Speadsheet!$A$7,0,MATCH(DATE('Saleplan&amp;PnL'!J$10,12,31),PnL_Speadsheet!$B$4:$BI$4,0))/1000</f>
        <v>0</v>
      </c>
      <c r="K16" s="358">
        <f ca="1">IFERROR(OFFSET(PnL_Speadsheet!$A$7,0,MATCH(DATE('Saleplan&amp;PnL'!K$10,12,31),PnL_Speadsheet!$B$4:$BI$4,0))/1000,0)</f>
        <v>0</v>
      </c>
      <c r="M16" s="350"/>
      <c r="O16" s="350"/>
      <c r="Q16" s="353"/>
      <c r="R16" s="353"/>
      <c r="S16" s="353"/>
      <c r="T16" s="353"/>
      <c r="U16" s="353"/>
      <c r="V16" s="353"/>
      <c r="W16" s="353"/>
      <c r="X16" s="353"/>
      <c r="Y16" s="353"/>
      <c r="Z16" s="353"/>
      <c r="AA16" s="353"/>
      <c r="AB16" s="353"/>
      <c r="AC16" s="353"/>
      <c r="AD16" s="353"/>
      <c r="AE16" s="353"/>
      <c r="AF16" s="353"/>
    </row>
    <row r="17" spans="1:32" s="329" customFormat="1" ht="13" x14ac:dyDescent="0.15">
      <c r="A17" s="328"/>
      <c r="C17" s="333" t="s">
        <v>495</v>
      </c>
      <c r="E17" s="359">
        <f ca="1">IFERROR(SUM(PnL_Speadsheet!B8:AK8)/1000/COUNTIF(PnL_Speadsheet!B8:BI8,"&lt;&gt;0"),0)</f>
        <v>72.31538084206052</v>
      </c>
      <c r="F17" s="359">
        <f ca="1">IFERROR(SUMIF(PnL_Speadsheet!$B$3:$BI$3,F$10,PnL_Speadsheet!$B8:$BI8)/1000/COUNTIFS(PnL_Speadsheet!$B$3:$BI$3,'Saleplan&amp;PnL'!F$10,PnL_Speadsheet!$B$8:$BI$8,"&lt;&gt;0"),0)</f>
        <v>156.42536626113971</v>
      </c>
      <c r="G17" s="359">
        <f ca="1">IFERROR(SUMIF(PnL_Speadsheet!$B$3:$BI$3,G$10,PnL_Speadsheet!$B8:$BI8)/1000/COUNTIFS(PnL_Speadsheet!$B$3:$BI$3,'Saleplan&amp;PnL'!G$10,PnL_Speadsheet!$B$8:$BI$8,"&lt;&gt;0"),0)</f>
        <v>54.076986224711199</v>
      </c>
      <c r="H17" s="359">
        <f ca="1">IFERROR(SUMIF(PnL_Speadsheet!$B$3:$BI$3,H$10,PnL_Speadsheet!$B8:$BI8)/1000/COUNTIFS(PnL_Speadsheet!$B$3:$BI$3,'Saleplan&amp;PnL'!H$10,PnL_Speadsheet!$B$8:$BI$8,"&lt;&gt;0"),0)</f>
        <v>0.8655865654896141</v>
      </c>
      <c r="I17" s="359">
        <f ca="1">IFERROR(SUMIF(PnL_Speadsheet!$B$3:$BI$3,I$10,PnL_Speadsheet!$B8:$BI8)/1000/COUNTIFS(PnL_Speadsheet!$B$3:$BI$3,'Saleplan&amp;PnL'!I$10,PnL_Speadsheet!$B$8:$BI$8,"&lt;&gt;0"),0)</f>
        <v>0</v>
      </c>
      <c r="J17" s="359">
        <f ca="1">IFERROR(SUMIF(PnL_Speadsheet!$B$3:$BI$3,J$10,PnL_Speadsheet!$B8:$BI8)/1000/COUNTIFS(PnL_Speadsheet!$B$3:$BI$3,'Saleplan&amp;PnL'!J$10,PnL_Speadsheet!$B$8:$BI$8,"&lt;&gt;0"),0)</f>
        <v>0</v>
      </c>
      <c r="K17" s="359">
        <f>IFERROR(SUMIF(PnL_Speadsheet!$B$3:$BI$3,K$10,PnL_Speadsheet!$B8:$BI8)/1000/COUNTIFS(PnL_Speadsheet!$B$3:$BI$3,'Saleplan&amp;PnL'!K$10,PnL_Speadsheet!$B$8:$BI$8,"&lt;&gt;0"),0)</f>
        <v>0</v>
      </c>
      <c r="M17" s="350"/>
      <c r="O17" s="350"/>
      <c r="Q17" s="353"/>
      <c r="R17" s="360"/>
      <c r="S17" s="360"/>
      <c r="T17" s="360"/>
      <c r="U17" s="360"/>
      <c r="V17" s="360"/>
      <c r="W17" s="360"/>
      <c r="X17" s="360"/>
      <c r="Y17" s="360"/>
      <c r="Z17" s="360"/>
      <c r="AA17" s="360"/>
      <c r="AB17" s="360"/>
      <c r="AC17" s="360"/>
      <c r="AD17" s="360"/>
      <c r="AE17" s="360"/>
      <c r="AF17" s="360"/>
    </row>
    <row r="18" spans="1:32" s="329" customFormat="1" ht="13" x14ac:dyDescent="0.15">
      <c r="A18" s="328"/>
      <c r="E18" s="361"/>
      <c r="F18" s="361"/>
      <c r="G18" s="361"/>
      <c r="H18" s="361"/>
      <c r="I18" s="361"/>
      <c r="J18" s="361"/>
      <c r="K18" s="361"/>
      <c r="M18" s="357"/>
      <c r="O18" s="357"/>
      <c r="Q18" s="353"/>
      <c r="R18" s="360"/>
      <c r="S18" s="360"/>
      <c r="T18" s="360"/>
      <c r="U18" s="360"/>
      <c r="V18" s="360"/>
      <c r="W18" s="360"/>
      <c r="X18" s="360"/>
      <c r="Y18" s="360"/>
      <c r="Z18" s="360"/>
      <c r="AA18" s="360"/>
      <c r="AB18" s="360"/>
      <c r="AC18" s="360"/>
      <c r="AD18" s="360"/>
      <c r="AE18" s="360"/>
      <c r="AF18" s="360"/>
    </row>
    <row r="19" spans="1:32" s="333" customFormat="1" ht="13" x14ac:dyDescent="0.15">
      <c r="A19" s="332"/>
      <c r="C19" s="333" t="s">
        <v>272</v>
      </c>
      <c r="E19" s="362">
        <f t="shared" ref="E19:E31" ca="1" si="4">SUM(F19:O19)</f>
        <v>61.937895189894306</v>
      </c>
      <c r="F19" s="358">
        <f ca="1">SUMIF(PnL_Speadsheet!$B$3:$BI$3,F$10,PnL_Speadsheet!$B9:$BI9)/1000</f>
        <v>42.744900821330084</v>
      </c>
      <c r="G19" s="358">
        <f ca="1">SUMIF(PnL_Speadsheet!$B$3:$BI$3,G$10,PnL_Speadsheet!$B9:$BI9)/1000</f>
        <v>19.213300481989588</v>
      </c>
      <c r="H19" s="358">
        <f ca="1">SUMIF(PnL_Speadsheet!$B$3:$BI$3,H$10,PnL_Speadsheet!$B9:$BI9)/1000</f>
        <v>-2.0306113425361719E-2</v>
      </c>
      <c r="I19" s="358">
        <f ca="1">SUMIF(PnL_Speadsheet!$B$3:$BI$3,I$10,PnL_Speadsheet!$B9:$BI9)/1000</f>
        <v>0</v>
      </c>
      <c r="J19" s="358">
        <f ca="1">SUMIF(PnL_Speadsheet!$B$3:$BI$3,J$10,PnL_Speadsheet!$B9:$BI9)/1000</f>
        <v>0</v>
      </c>
      <c r="K19" s="358">
        <f>SUMIF(PnL_Speadsheet!$B$3:$BI$3,K$10,PnL_Speadsheet!$B9:$BI9)/1000</f>
        <v>0</v>
      </c>
      <c r="M19" s="352"/>
      <c r="O19" s="352"/>
      <c r="Q19" s="353"/>
      <c r="R19" s="363"/>
      <c r="S19" s="363"/>
      <c r="T19" s="363"/>
      <c r="U19" s="363"/>
      <c r="V19" s="363"/>
      <c r="W19" s="363"/>
      <c r="X19" s="363"/>
      <c r="Y19" s="363"/>
      <c r="Z19" s="363"/>
      <c r="AA19" s="363"/>
      <c r="AB19" s="363"/>
      <c r="AC19" s="363"/>
      <c r="AD19" s="363"/>
      <c r="AE19" s="363"/>
      <c r="AF19" s="363"/>
    </row>
    <row r="20" spans="1:32" s="329" customFormat="1" ht="13" x14ac:dyDescent="0.15">
      <c r="A20" s="328"/>
      <c r="C20" s="364" t="s">
        <v>496</v>
      </c>
      <c r="E20" s="361">
        <f t="shared" ca="1" si="4"/>
        <v>52.529312224785286</v>
      </c>
      <c r="F20" s="365">
        <f ca="1">SUMIF(PnL_Speadsheet!$B$3:$BI$3,F$10,PnL_Speadsheet!$B11:$BI11)/1000</f>
        <v>33.904077966964103</v>
      </c>
      <c r="G20" s="365">
        <f ca="1">SUMIF(PnL_Speadsheet!$B$3:$BI$3,G$10,PnL_Speadsheet!$B11:$BI11)/1000</f>
        <v>18.645540371246543</v>
      </c>
      <c r="H20" s="365">
        <f ca="1">SUMIF(PnL_Speadsheet!$B$3:$BI$3,H$10,PnL_Speadsheet!$B11:$BI11)/1000</f>
        <v>-2.0306113425361719E-2</v>
      </c>
      <c r="I20" s="365">
        <f ca="1">SUMIF(PnL_Speadsheet!$B$3:$BI$3,I$10,PnL_Speadsheet!$B11:$BI11)/1000</f>
        <v>0</v>
      </c>
      <c r="J20" s="365">
        <f ca="1">SUMIF(PnL_Speadsheet!$B$3:$BI$3,J$10,PnL_Speadsheet!$B11:$BI11)/1000</f>
        <v>0</v>
      </c>
      <c r="K20" s="365">
        <f>SUMIF(PnL_Speadsheet!$B$3:$BI$3,K$10,PnL_Speadsheet!$B11:$BI11)/1000</f>
        <v>0</v>
      </c>
      <c r="M20" s="356"/>
      <c r="O20" s="356"/>
      <c r="Q20" s="353"/>
    </row>
    <row r="21" spans="1:32" s="329" customFormat="1" ht="13" x14ac:dyDescent="0.15">
      <c r="A21" s="328"/>
      <c r="C21" s="364" t="s">
        <v>497</v>
      </c>
      <c r="E21" s="361">
        <f t="shared" ca="1" si="4"/>
        <v>9.4085829651090211</v>
      </c>
      <c r="F21" s="365">
        <f ca="1">SUMIF(PnL_Speadsheet!$B$3:$BI$3,F$10,PnL_Speadsheet!$B14:$BI14)/1000</f>
        <v>8.8408228543659746</v>
      </c>
      <c r="G21" s="365">
        <f ca="1">SUMIF(PnL_Speadsheet!$B$3:$BI$3,G$10,PnL_Speadsheet!$B14:$BI14)/1000</f>
        <v>0.56776011074304722</v>
      </c>
      <c r="H21" s="365">
        <f ca="1">SUMIF(PnL_Speadsheet!$B$3:$BI$3,H$10,PnL_Speadsheet!$B14:$BI14)/1000</f>
        <v>0</v>
      </c>
      <c r="I21" s="365">
        <f ca="1">SUMIF(PnL_Speadsheet!$B$3:$BI$3,I$10,PnL_Speadsheet!$B14:$BI14)/1000</f>
        <v>0</v>
      </c>
      <c r="J21" s="365">
        <f ca="1">SUMIF(PnL_Speadsheet!$B$3:$BI$3,J$10,PnL_Speadsheet!$B14:$BI14)/1000</f>
        <v>0</v>
      </c>
      <c r="K21" s="365">
        <f>SUMIF(PnL_Speadsheet!$B$3:$BI$3,K$10,PnL_Speadsheet!$B14:$BI14)/1000</f>
        <v>0</v>
      </c>
      <c r="M21" s="356"/>
      <c r="O21" s="356"/>
      <c r="Q21" s="353"/>
    </row>
    <row r="22" spans="1:32" s="329" customFormat="1" ht="13" x14ac:dyDescent="0.15">
      <c r="A22" s="328"/>
      <c r="C22" s="364" t="s">
        <v>498</v>
      </c>
      <c r="E22" s="361">
        <f t="shared" ca="1" si="4"/>
        <v>0</v>
      </c>
      <c r="F22" s="365">
        <f ca="1">SUMIF(PnL_Speadsheet!$B$3:$BI$3,F$10,PnL_Speadsheet!$B18:$BI18)/1000</f>
        <v>0</v>
      </c>
      <c r="G22" s="365">
        <f ca="1">SUMIF(PnL_Speadsheet!$B$3:$BI$3,G$10,PnL_Speadsheet!$B18:$BI18)/1000</f>
        <v>0</v>
      </c>
      <c r="H22" s="365">
        <f ca="1">SUMIF(PnL_Speadsheet!$B$3:$BI$3,H$10,PnL_Speadsheet!$B18:$BI18)/1000</f>
        <v>0</v>
      </c>
      <c r="I22" s="365">
        <f ca="1">SUMIF(PnL_Speadsheet!$B$3:$BI$3,I$10,PnL_Speadsheet!$B18:$BI18)/1000</f>
        <v>0</v>
      </c>
      <c r="J22" s="365">
        <f ca="1">SUMIF(PnL_Speadsheet!$B$3:$BI$3,J$10,PnL_Speadsheet!$B18:$BI18)/1000</f>
        <v>0</v>
      </c>
      <c r="K22" s="365">
        <f>SUMIF(PnL_Speadsheet!$B$3:$BI$3,K$10,PnL_Speadsheet!$B18:$BI18)/1000</f>
        <v>0</v>
      </c>
      <c r="M22" s="356"/>
      <c r="O22" s="356"/>
      <c r="Q22" s="353"/>
    </row>
    <row r="23" spans="1:32" s="333" customFormat="1" ht="13" x14ac:dyDescent="0.15">
      <c r="A23" s="332"/>
      <c r="C23" s="333" t="s">
        <v>276</v>
      </c>
      <c r="E23" s="362">
        <f ca="1">SUM(F23:O23)</f>
        <v>-32.491406445083889</v>
      </c>
      <c r="F23" s="358">
        <f ca="1">SUMIF(PnL_Speadsheet!$B$3:$BI$3,F$10,PnL_Speadsheet!$B31:$BI31)/1000</f>
        <v>-22.502491208954879</v>
      </c>
      <c r="G23" s="358">
        <f ca="1">SUMIF(PnL_Speadsheet!$B$3:$BI$3,G$10,PnL_Speadsheet!$B31:$BI31)/1000</f>
        <v>-9.7888724459770433</v>
      </c>
      <c r="H23" s="358">
        <f ca="1">SUMIF(PnL_Speadsheet!$B$3:$BI$3,H$10,PnL_Speadsheet!$B31:$BI31)/1000</f>
        <v>-0.20004279015196838</v>
      </c>
      <c r="I23" s="358">
        <f ca="1">SUMIF(PnL_Speadsheet!$B$3:$BI$3,I$10,PnL_Speadsheet!$B31:$BI31)/1000</f>
        <v>0</v>
      </c>
      <c r="J23" s="358">
        <f ca="1">SUMIF(PnL_Speadsheet!$B$3:$BI$3,J$10,PnL_Speadsheet!$B31:$BI31)/1000</f>
        <v>0</v>
      </c>
      <c r="K23" s="358">
        <f>SUMIF(PnL_Speadsheet!$B$3:$BI$3,K$10,PnL_Speadsheet!$B31:$BI31)/1000</f>
        <v>0</v>
      </c>
      <c r="M23" s="352"/>
      <c r="O23" s="352"/>
      <c r="Q23" s="353"/>
    </row>
    <row r="24" spans="1:32" s="333" customFormat="1" ht="13" x14ac:dyDescent="0.15">
      <c r="A24" s="332"/>
      <c r="C24" s="333" t="s">
        <v>279</v>
      </c>
      <c r="E24" s="362">
        <f t="shared" ca="1" si="4"/>
        <v>-17.611699963028052</v>
      </c>
      <c r="F24" s="358">
        <f ca="1">SUMIF(PnL_Speadsheet!$B$3:$BI$3,F$10,PnL_Speadsheet!$B19:$BI19)/1000</f>
        <v>-11.486279852607305</v>
      </c>
      <c r="G24" s="358">
        <f ca="1">SUMIF(PnL_Speadsheet!$B$3:$BI$3,G$10,PnL_Speadsheet!$B19:$BI19)/1000</f>
        <v>-6.067731907363008</v>
      </c>
      <c r="H24" s="358">
        <f ca="1">SUMIF(PnL_Speadsheet!$B$3:$BI$3,H$10,PnL_Speadsheet!$B19:$BI19)/1000</f>
        <v>-5.7688203057737045E-2</v>
      </c>
      <c r="I24" s="358">
        <f ca="1">SUMIF(PnL_Speadsheet!$B$3:$BI$3,I$10,PnL_Speadsheet!$B19:$BI19)/1000</f>
        <v>0</v>
      </c>
      <c r="J24" s="358">
        <f ca="1">SUMIF(PnL_Speadsheet!$B$3:$BI$3,J$10,PnL_Speadsheet!$B19:$BI19)/1000</f>
        <v>0</v>
      </c>
      <c r="K24" s="358">
        <f>SUMIF(PnL_Speadsheet!$B$3:$BI$3,K$10,PnL_Speadsheet!$B19:$BI19)/1000</f>
        <v>0</v>
      </c>
      <c r="M24" s="352"/>
      <c r="O24" s="352"/>
      <c r="Q24" s="353"/>
    </row>
    <row r="25" spans="1:32" s="329" customFormat="1" ht="13" x14ac:dyDescent="0.15">
      <c r="A25" s="328"/>
      <c r="C25" s="364" t="s">
        <v>499</v>
      </c>
      <c r="E25" s="361">
        <f ca="1">SUM(F25:O25)</f>
        <v>-6.371242249999999</v>
      </c>
      <c r="F25" s="365">
        <f ca="1">(SUMIF(PnL_Speadsheet!$B$3:$BI$3,F$10,PnL_Speadsheet!$B21:$BI22)/1000+SUMIF(PnL_Speadsheet!$B$3:$BI$3,F$10,PnL_Speadsheet!$B22:$BI22)/1000)</f>
        <v>-6.371242249999999</v>
      </c>
      <c r="G25" s="365">
        <f ca="1">(SUMIF(PnL_Speadsheet!$B$3:$BI$3,G$10,PnL_Speadsheet!$B21:$BI22)/1000+SUMIF(PnL_Speadsheet!$B$3:$BI$3,G$10,PnL_Speadsheet!$B22:$BI22)/1000)</f>
        <v>0</v>
      </c>
      <c r="H25" s="365">
        <f ca="1">(SUMIF(PnL_Speadsheet!$B$3:$BI$3,H$10,PnL_Speadsheet!$B21:$BI22)/1000+SUMIF(PnL_Speadsheet!$B$3:$BI$3,H$10,PnL_Speadsheet!$B22:$BI22)/1000)</f>
        <v>0</v>
      </c>
      <c r="I25" s="365">
        <f ca="1">(SUMIF(PnL_Speadsheet!$B$3:$BI$3,I$10,PnL_Speadsheet!$B21:$BI22)/1000+SUMIF(PnL_Speadsheet!$B$3:$BI$3,I$10,PnL_Speadsheet!$B22:$BI22)/1000)</f>
        <v>0</v>
      </c>
      <c r="J25" s="365">
        <f ca="1">(SUMIF(PnL_Speadsheet!$B$3:$BI$3,J$10,PnL_Speadsheet!$B21:$BI22)/1000+SUMIF(PnL_Speadsheet!$B$3:$BI$3,J$10,PnL_Speadsheet!$B22:$BI22)/1000)</f>
        <v>0</v>
      </c>
      <c r="K25" s="365">
        <f>(SUMIF(PnL_Speadsheet!$B$3:$BI$3,K$10,PnL_Speadsheet!$B21:$BI22)/1000+SUMIF(PnL_Speadsheet!$B$3:$BI$3,K$10,PnL_Speadsheet!$B22:$BI22)/1000)</f>
        <v>0</v>
      </c>
      <c r="M25" s="356"/>
      <c r="O25" s="356"/>
      <c r="Q25" s="353"/>
    </row>
    <row r="26" spans="1:32" s="329" customFormat="1" ht="13" x14ac:dyDescent="0.15">
      <c r="A26" s="328"/>
      <c r="C26" s="364" t="s">
        <v>301</v>
      </c>
      <c r="E26" s="361">
        <f t="shared" ca="1" si="4"/>
        <v>0</v>
      </c>
      <c r="F26" s="365">
        <f ca="1">SUMIF(PnL_Speadsheet!$B$3:$BI$3,F$10,PnL_Speadsheet!$B23:$BI23)/1000</f>
        <v>0</v>
      </c>
      <c r="G26" s="365">
        <f ca="1">SUMIF(PnL_Speadsheet!$B$3:$BI$3,G$10,PnL_Speadsheet!$B23:$BI23)/1000</f>
        <v>0</v>
      </c>
      <c r="H26" s="365">
        <f ca="1">SUMIF(PnL_Speadsheet!$B$3:$BI$3,H$10,PnL_Speadsheet!$B23:$BI23)/1000</f>
        <v>0</v>
      </c>
      <c r="I26" s="365">
        <f ca="1">SUMIF(PnL_Speadsheet!$B$3:$BI$3,I$10,PnL_Speadsheet!$B23:$BI23)/1000</f>
        <v>0</v>
      </c>
      <c r="J26" s="365">
        <f ca="1">SUMIF(PnL_Speadsheet!$B$3:$BI$3,J$10,PnL_Speadsheet!$B23:$BI23)/1000</f>
        <v>0</v>
      </c>
      <c r="K26" s="365">
        <f>SUMIF(PnL_Speadsheet!$B$3:$BI$3,K$10,PnL_Speadsheet!$B23:$BI23)/1000</f>
        <v>0</v>
      </c>
      <c r="M26" s="356"/>
      <c r="O26" s="356"/>
      <c r="Q26" s="353"/>
    </row>
    <row r="27" spans="1:32" s="329" customFormat="1" ht="13" x14ac:dyDescent="0.15">
      <c r="A27" s="328"/>
      <c r="C27" s="364" t="s">
        <v>280</v>
      </c>
      <c r="E27" s="361">
        <f t="shared" ca="1" si="4"/>
        <v>-0.67653175664251008</v>
      </c>
      <c r="F27" s="365">
        <f ca="1">SUMIF(PnL_Speadsheet!$B$3:$BI$3,F$10,PnL_Speadsheet!$B24:$BI24)/1000</f>
        <v>-0.67653175664251008</v>
      </c>
      <c r="G27" s="365">
        <f ca="1">SUMIF(PnL_Speadsheet!$B$3:$BI$3,G$10,PnL_Speadsheet!$B24:$BI24)/1000</f>
        <v>0</v>
      </c>
      <c r="H27" s="365">
        <f ca="1">SUMIF(PnL_Speadsheet!$B$3:$BI$3,H$10,PnL_Speadsheet!$B24:$BI24)/1000</f>
        <v>0</v>
      </c>
      <c r="I27" s="365">
        <f ca="1">SUMIF(PnL_Speadsheet!$B$3:$BI$3,I$10,PnL_Speadsheet!$B24:$BI24)/1000</f>
        <v>0</v>
      </c>
      <c r="J27" s="365">
        <f ca="1">SUMIF(PnL_Speadsheet!$B$3:$BI$3,J$10,PnL_Speadsheet!$B24:$BI24)/1000</f>
        <v>0</v>
      </c>
      <c r="K27" s="365">
        <f>SUMIF(PnL_Speadsheet!$B$3:$BI$3,K$10,PnL_Speadsheet!$B24:$BI24)/1000</f>
        <v>0</v>
      </c>
      <c r="M27" s="356"/>
      <c r="O27" s="356"/>
      <c r="Q27" s="353"/>
    </row>
    <row r="28" spans="1:32" s="329" customFormat="1" ht="13" x14ac:dyDescent="0.15">
      <c r="A28" s="328"/>
      <c r="C28" s="364" t="s">
        <v>214</v>
      </c>
      <c r="E28" s="361">
        <f t="shared" ca="1" si="4"/>
        <v>-1.5706172270806413</v>
      </c>
      <c r="F28" s="365">
        <f ca="1">SUMIF(PnL_Speadsheet!$B$3:$BI$3,F$10,PnL_Speadsheet!$B28:$BI28)/1000</f>
        <v>-0.61796104000000007</v>
      </c>
      <c r="G28" s="365">
        <f ca="1">SUMIF(PnL_Speadsheet!$B$3:$BI$3,G$10,PnL_Speadsheet!$B28:$BI28)/1000</f>
        <v>-0.89496798402290434</v>
      </c>
      <c r="H28" s="365">
        <f ca="1">SUMIF(PnL_Speadsheet!$B$3:$BI$3,H$10,PnL_Speadsheet!$B28:$BI28)/1000</f>
        <v>-5.7688203057737045E-2</v>
      </c>
      <c r="I28" s="365">
        <f ca="1">SUMIF(PnL_Speadsheet!$B$3:$BI$3,I$10,PnL_Speadsheet!$B28:$BI28)/1000</f>
        <v>0</v>
      </c>
      <c r="J28" s="365">
        <f ca="1">SUMIF(PnL_Speadsheet!$B$3:$BI$3,J$10,PnL_Speadsheet!$B28:$BI28)/1000</f>
        <v>0</v>
      </c>
      <c r="K28" s="365">
        <f>SUMIF(PnL_Speadsheet!$B$3:$BI$3,K$10,PnL_Speadsheet!$B28:$BI28)/1000</f>
        <v>0</v>
      </c>
      <c r="M28" s="356"/>
      <c r="O28" s="356"/>
      <c r="Q28" s="353"/>
    </row>
    <row r="29" spans="1:32" s="329" customFormat="1" ht="13" x14ac:dyDescent="0.15">
      <c r="A29" s="328"/>
      <c r="C29" s="364" t="s">
        <v>500</v>
      </c>
      <c r="E29" s="361">
        <f t="shared" ca="1" si="4"/>
        <v>-0.12093956349999999</v>
      </c>
      <c r="F29" s="365">
        <f ca="1">SUMIF(PnL_Speadsheet!$B$3:$BI$3,F$10,PnL_Speadsheet!$B29:$BI29)/1000</f>
        <v>-5.0966145999999997E-2</v>
      </c>
      <c r="G29" s="365">
        <f ca="1">SUMIF(PnL_Speadsheet!$B$3:$BI$3,G$10,PnL_Speadsheet!$B29:$BI29)/1000</f>
        <v>-6.9973417499999982E-2</v>
      </c>
      <c r="H29" s="365">
        <f ca="1">SUMIF(PnL_Speadsheet!$B$3:$BI$3,H$10,PnL_Speadsheet!$B29:$BI29)/1000</f>
        <v>0</v>
      </c>
      <c r="I29" s="365">
        <f ca="1">SUMIF(PnL_Speadsheet!$B$3:$BI$3,I$10,PnL_Speadsheet!$B29:$BI29)/1000</f>
        <v>0</v>
      </c>
      <c r="J29" s="365">
        <f ca="1">SUMIF(PnL_Speadsheet!$B$3:$BI$3,J$10,PnL_Speadsheet!$B29:$BI29)/1000</f>
        <v>0</v>
      </c>
      <c r="K29" s="365">
        <f>SUMIF(PnL_Speadsheet!$B$3:$BI$3,K$10,PnL_Speadsheet!$B29:$BI29)/1000</f>
        <v>0</v>
      </c>
      <c r="M29" s="356"/>
      <c r="O29" s="356"/>
      <c r="Q29" s="353"/>
    </row>
    <row r="30" spans="1:32" s="329" customFormat="1" ht="13" x14ac:dyDescent="0.15">
      <c r="A30" s="328"/>
      <c r="C30" s="364" t="s">
        <v>315</v>
      </c>
      <c r="E30" s="361">
        <f t="shared" ca="1" si="4"/>
        <v>-8.8723691658048995</v>
      </c>
      <c r="F30" s="365">
        <f ca="1">SUMIF(PnL_Speadsheet!$B$3:$BI$3,F$10,PnL_Speadsheet!$B30:$BI30)/1000</f>
        <v>-3.7695786599647958</v>
      </c>
      <c r="G30" s="365">
        <f ca="1">SUMIF(PnL_Speadsheet!$B$3:$BI$3,G$10,PnL_Speadsheet!$B30:$BI30)/1000</f>
        <v>-5.1027905058401037</v>
      </c>
      <c r="H30" s="365">
        <f ca="1">SUMIF(PnL_Speadsheet!$B$3:$BI$3,H$10,PnL_Speadsheet!$B30:$BI30)/1000</f>
        <v>0</v>
      </c>
      <c r="I30" s="365">
        <f ca="1">SUMIF(PnL_Speadsheet!$B$3:$BI$3,I$10,PnL_Speadsheet!$B30:$BI30)/1000</f>
        <v>0</v>
      </c>
      <c r="J30" s="365">
        <f ca="1">SUMIF(PnL_Speadsheet!$B$3:$BI$3,J$10,PnL_Speadsheet!$B30:$BI30)/1000</f>
        <v>0</v>
      </c>
      <c r="K30" s="365">
        <f>SUMIF(PnL_Speadsheet!$B$3:$BI$3,K$10,PnL_Speadsheet!$B30:$BI30)/1000</f>
        <v>0</v>
      </c>
      <c r="M30" s="356"/>
      <c r="O30" s="356"/>
      <c r="Q30" s="353"/>
    </row>
    <row r="31" spans="1:32" s="333" customFormat="1" ht="13" x14ac:dyDescent="0.15">
      <c r="A31" s="332"/>
      <c r="C31" s="333" t="s">
        <v>283</v>
      </c>
      <c r="E31" s="359">
        <f t="shared" ca="1" si="4"/>
        <v>11.834788781782374</v>
      </c>
      <c r="F31" s="359">
        <f ca="1">SUMIF(PnL_Speadsheet!$B$3:$BI$3,F$10,PnL_Speadsheet!$B32:$BI32)/1000</f>
        <v>8.7561297597678998</v>
      </c>
      <c r="G31" s="359">
        <f ca="1">SUMIF(PnL_Speadsheet!$B$3:$BI$3,G$10,PnL_Speadsheet!$B32:$BI32)/1000</f>
        <v>3.3566961286495398</v>
      </c>
      <c r="H31" s="359">
        <f ca="1">SUMIF(PnL_Speadsheet!$B$3:$BI$3,H$10,PnL_Speadsheet!$B32:$BI32)/1000</f>
        <v>-0.27803710663506714</v>
      </c>
      <c r="I31" s="359">
        <f ca="1">SUMIF(PnL_Speadsheet!$B$3:$BI$3,I$10,PnL_Speadsheet!$B32:$BI32)/1000</f>
        <v>0</v>
      </c>
      <c r="J31" s="359">
        <f ca="1">SUMIF(PnL_Speadsheet!$B$3:$BI$3,J$10,PnL_Speadsheet!$B32:$BI32)/1000</f>
        <v>0</v>
      </c>
      <c r="K31" s="359">
        <f>SUMIF(PnL_Speadsheet!$B$3:$BI$3,K$10,PnL_Speadsheet!$B32:$BI32)/1000</f>
        <v>0</v>
      </c>
      <c r="M31" s="352"/>
      <c r="O31" s="352"/>
      <c r="Q31" s="353"/>
    </row>
    <row r="32" spans="1:32" s="329" customFormat="1" ht="13" x14ac:dyDescent="0.15">
      <c r="A32" s="328"/>
      <c r="C32" s="329" t="s">
        <v>501</v>
      </c>
      <c r="E32" s="366">
        <f t="shared" ref="E32:K32" ca="1" si="5">E19+E23+SUM(E25:E29)</f>
        <v>20.707157947587266</v>
      </c>
      <c r="F32" s="366">
        <f t="shared" ca="1" si="5"/>
        <v>12.525708419732695</v>
      </c>
      <c r="G32" s="366">
        <f ca="1">G19+G23+SUM(G25:G29)</f>
        <v>8.4594866344896396</v>
      </c>
      <c r="H32" s="366">
        <f t="shared" ca="1" si="5"/>
        <v>-0.27803710663506714</v>
      </c>
      <c r="I32" s="366">
        <f t="shared" ca="1" si="5"/>
        <v>0</v>
      </c>
      <c r="J32" s="366">
        <f t="shared" ca="1" si="5"/>
        <v>0</v>
      </c>
      <c r="K32" s="366">
        <f t="shared" si="5"/>
        <v>0</v>
      </c>
      <c r="M32" s="356"/>
      <c r="O32" s="356"/>
      <c r="Q32" s="353"/>
    </row>
    <row r="33" spans="3:17" x14ac:dyDescent="0.15">
      <c r="C33" s="367"/>
      <c r="D33" s="368"/>
      <c r="F33" s="368"/>
      <c r="H33" s="368"/>
      <c r="J33" s="368"/>
      <c r="L33" s="368"/>
      <c r="N33" s="368"/>
      <c r="P33" s="368"/>
      <c r="Q33" s="369"/>
    </row>
    <row r="34" spans="3:17" x14ac:dyDescent="0.15">
      <c r="D34" s="368"/>
    </row>
  </sheetData>
  <pageMargins left="0.7" right="0.7" top="0.75" bottom="0.75" header="0.3" footer="0.3"/>
  <pageSetup orientation="landscape"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8617B-DBC8-0347-843A-70E43012B32E}">
  <sheetPr>
    <tabColor theme="4" tint="0.59999389629810485"/>
  </sheetPr>
  <dimension ref="A1:BJ136"/>
  <sheetViews>
    <sheetView showGridLines="0" zoomScale="170" zoomScaleNormal="170" workbookViewId="0">
      <pane xSplit="1" ySplit="6" topLeftCell="C16" activePane="bottomRight" state="frozen"/>
      <selection activeCell="N30" sqref="N30"/>
      <selection pane="topRight" activeCell="N30" sqref="N30"/>
      <selection pane="bottomLeft" activeCell="N30" sqref="N30"/>
      <selection pane="bottomRight" activeCell="N30" sqref="N30"/>
    </sheetView>
  </sheetViews>
  <sheetFormatPr baseColWidth="10" defaultColWidth="9" defaultRowHeight="11" outlineLevelRow="1" x14ac:dyDescent="0.15"/>
  <cols>
    <col min="1" max="1" width="19.33203125" style="370" bestFit="1" customWidth="1"/>
    <col min="2" max="2" width="7.6640625" style="371" bestFit="1" customWidth="1"/>
    <col min="3" max="10" width="8.83203125" style="371" bestFit="1" customWidth="1"/>
    <col min="11" max="11" width="9.83203125" style="371" bestFit="1" customWidth="1"/>
    <col min="12" max="23" width="8.83203125" style="371" bestFit="1" customWidth="1"/>
    <col min="24" max="26" width="11.5" style="371" customWidth="1"/>
    <col min="27" max="30" width="8.83203125" style="371" bestFit="1" customWidth="1"/>
    <col min="31" max="36" width="8.33203125" style="371" bestFit="1" customWidth="1"/>
    <col min="37" max="37" width="8.33203125" style="371" customWidth="1"/>
    <col min="38" max="16384" width="9" style="371"/>
  </cols>
  <sheetData>
    <row r="1" spans="1:61" x14ac:dyDescent="0.15">
      <c r="A1" s="370" t="s">
        <v>502</v>
      </c>
      <c r="K1" s="372"/>
    </row>
    <row r="2" spans="1:61" x14ac:dyDescent="0.15">
      <c r="A2" s="370" t="s">
        <v>503</v>
      </c>
    </row>
    <row r="3" spans="1:61" x14ac:dyDescent="0.15">
      <c r="B3" s="373">
        <f t="shared" ref="B3:BI3" si="0">YEAR(B4)</f>
        <v>2025</v>
      </c>
      <c r="C3" s="373">
        <f t="shared" si="0"/>
        <v>2025</v>
      </c>
      <c r="D3" s="373">
        <f t="shared" si="0"/>
        <v>2025</v>
      </c>
      <c r="E3" s="373">
        <f t="shared" si="0"/>
        <v>2025</v>
      </c>
      <c r="F3" s="373">
        <f t="shared" si="0"/>
        <v>2025</v>
      </c>
      <c r="G3" s="373">
        <f t="shared" si="0"/>
        <v>2025</v>
      </c>
      <c r="H3" s="373">
        <f t="shared" si="0"/>
        <v>2025</v>
      </c>
      <c r="I3" s="373">
        <f t="shared" si="0"/>
        <v>2025</v>
      </c>
      <c r="J3" s="373">
        <f t="shared" si="0"/>
        <v>2025</v>
      </c>
      <c r="K3" s="373">
        <f t="shared" si="0"/>
        <v>2025</v>
      </c>
      <c r="L3" s="373">
        <f t="shared" si="0"/>
        <v>2025</v>
      </c>
      <c r="M3" s="373">
        <f t="shared" si="0"/>
        <v>2025</v>
      </c>
      <c r="N3" s="373">
        <f t="shared" si="0"/>
        <v>2026</v>
      </c>
      <c r="O3" s="373">
        <f t="shared" si="0"/>
        <v>2026</v>
      </c>
      <c r="P3" s="373">
        <f t="shared" si="0"/>
        <v>2026</v>
      </c>
      <c r="Q3" s="373">
        <f t="shared" si="0"/>
        <v>2026</v>
      </c>
      <c r="R3" s="373">
        <f t="shared" si="0"/>
        <v>2026</v>
      </c>
      <c r="S3" s="373">
        <f t="shared" si="0"/>
        <v>2026</v>
      </c>
      <c r="T3" s="373">
        <f t="shared" si="0"/>
        <v>2026</v>
      </c>
      <c r="U3" s="373">
        <f t="shared" si="0"/>
        <v>2026</v>
      </c>
      <c r="V3" s="373">
        <f t="shared" si="0"/>
        <v>2026</v>
      </c>
      <c r="W3" s="373">
        <f t="shared" si="0"/>
        <v>2026</v>
      </c>
      <c r="X3" s="373">
        <f t="shared" si="0"/>
        <v>2026</v>
      </c>
      <c r="Y3" s="373">
        <f t="shared" si="0"/>
        <v>2026</v>
      </c>
      <c r="Z3" s="373">
        <f t="shared" si="0"/>
        <v>2027</v>
      </c>
      <c r="AA3" s="373">
        <f t="shared" si="0"/>
        <v>2027</v>
      </c>
      <c r="AB3" s="373">
        <f t="shared" si="0"/>
        <v>2027</v>
      </c>
      <c r="AC3" s="373">
        <f t="shared" si="0"/>
        <v>2027</v>
      </c>
      <c r="AD3" s="373">
        <f t="shared" si="0"/>
        <v>2027</v>
      </c>
      <c r="AE3" s="373">
        <f t="shared" si="0"/>
        <v>2027</v>
      </c>
      <c r="AF3" s="373">
        <f t="shared" si="0"/>
        <v>2027</v>
      </c>
      <c r="AG3" s="373">
        <f t="shared" si="0"/>
        <v>2027</v>
      </c>
      <c r="AH3" s="373">
        <f t="shared" si="0"/>
        <v>2027</v>
      </c>
      <c r="AI3" s="373">
        <f t="shared" si="0"/>
        <v>2027</v>
      </c>
      <c r="AJ3" s="373">
        <f t="shared" si="0"/>
        <v>2027</v>
      </c>
      <c r="AK3" s="373">
        <f t="shared" si="0"/>
        <v>2027</v>
      </c>
      <c r="AL3" s="373">
        <f t="shared" si="0"/>
        <v>2028</v>
      </c>
      <c r="AM3" s="373">
        <f t="shared" si="0"/>
        <v>2028</v>
      </c>
      <c r="AN3" s="373">
        <f t="shared" si="0"/>
        <v>2028</v>
      </c>
      <c r="AO3" s="373">
        <f t="shared" si="0"/>
        <v>2028</v>
      </c>
      <c r="AP3" s="373">
        <f t="shared" si="0"/>
        <v>2028</v>
      </c>
      <c r="AQ3" s="373">
        <f t="shared" si="0"/>
        <v>2028</v>
      </c>
      <c r="AR3" s="373">
        <f t="shared" si="0"/>
        <v>2028</v>
      </c>
      <c r="AS3" s="373">
        <f t="shared" si="0"/>
        <v>2028</v>
      </c>
      <c r="AT3" s="373">
        <f t="shared" si="0"/>
        <v>2028</v>
      </c>
      <c r="AU3" s="373">
        <f t="shared" si="0"/>
        <v>2028</v>
      </c>
      <c r="AV3" s="373">
        <f t="shared" si="0"/>
        <v>2028</v>
      </c>
      <c r="AW3" s="373">
        <f t="shared" si="0"/>
        <v>2028</v>
      </c>
      <c r="AX3" s="373">
        <f t="shared" si="0"/>
        <v>2029</v>
      </c>
      <c r="AY3" s="373">
        <f t="shared" si="0"/>
        <v>2029</v>
      </c>
      <c r="AZ3" s="373">
        <f t="shared" si="0"/>
        <v>2029</v>
      </c>
      <c r="BA3" s="373">
        <f t="shared" si="0"/>
        <v>2029</v>
      </c>
      <c r="BB3" s="373">
        <f t="shared" si="0"/>
        <v>2029</v>
      </c>
      <c r="BC3" s="373">
        <f t="shared" si="0"/>
        <v>2029</v>
      </c>
      <c r="BD3" s="373">
        <f t="shared" si="0"/>
        <v>2029</v>
      </c>
      <c r="BE3" s="373">
        <f t="shared" si="0"/>
        <v>2029</v>
      </c>
      <c r="BF3" s="373">
        <f t="shared" si="0"/>
        <v>2029</v>
      </c>
      <c r="BG3" s="373">
        <f t="shared" si="0"/>
        <v>2029</v>
      </c>
      <c r="BH3" s="373">
        <f t="shared" si="0"/>
        <v>2029</v>
      </c>
      <c r="BI3" s="373">
        <f t="shared" si="0"/>
        <v>2029</v>
      </c>
    </row>
    <row r="4" spans="1:61" x14ac:dyDescent="0.15">
      <c r="A4" s="374" t="s">
        <v>484</v>
      </c>
      <c r="B4" s="375">
        <f>'Saleplan&amp;PnL'!D4</f>
        <v>45658</v>
      </c>
      <c r="C4" s="375">
        <f>'Saleplan&amp;PnL'!E4</f>
        <v>45716</v>
      </c>
      <c r="D4" s="375">
        <f>'Saleplan&amp;PnL'!F4</f>
        <v>45747</v>
      </c>
      <c r="E4" s="375">
        <f>'Saleplan&amp;PnL'!G4</f>
        <v>45777</v>
      </c>
      <c r="F4" s="375">
        <f>'Saleplan&amp;PnL'!H4</f>
        <v>45808</v>
      </c>
      <c r="G4" s="375">
        <f>'Saleplan&amp;PnL'!I4</f>
        <v>45838</v>
      </c>
      <c r="H4" s="375">
        <f>'Saleplan&amp;PnL'!J4</f>
        <v>45869</v>
      </c>
      <c r="I4" s="375">
        <f>'Saleplan&amp;PnL'!K4</f>
        <v>45900</v>
      </c>
      <c r="J4" s="375">
        <f>'Saleplan&amp;PnL'!L4</f>
        <v>45930</v>
      </c>
      <c r="K4" s="375">
        <f>'Saleplan&amp;PnL'!M4</f>
        <v>45961</v>
      </c>
      <c r="L4" s="375">
        <f>'Saleplan&amp;PnL'!N4</f>
        <v>45991</v>
      </c>
      <c r="M4" s="375">
        <f>'Saleplan&amp;PnL'!O4</f>
        <v>46022</v>
      </c>
      <c r="N4" s="375">
        <f>'Saleplan&amp;PnL'!P4</f>
        <v>46053</v>
      </c>
      <c r="O4" s="375">
        <f>'Saleplan&amp;PnL'!Q4</f>
        <v>46081</v>
      </c>
      <c r="P4" s="375">
        <f>'Saleplan&amp;PnL'!R4</f>
        <v>46112</v>
      </c>
      <c r="Q4" s="375">
        <f>'Saleplan&amp;PnL'!S4</f>
        <v>46142</v>
      </c>
      <c r="R4" s="375">
        <f>'Saleplan&amp;PnL'!T4</f>
        <v>46173</v>
      </c>
      <c r="S4" s="375">
        <f>'Saleplan&amp;PnL'!U4</f>
        <v>46203</v>
      </c>
      <c r="T4" s="375">
        <f>'Saleplan&amp;PnL'!V4</f>
        <v>46234</v>
      </c>
      <c r="U4" s="375">
        <f>'Saleplan&amp;PnL'!W4</f>
        <v>46265</v>
      </c>
      <c r="V4" s="375">
        <f>'Saleplan&amp;PnL'!X4</f>
        <v>46295</v>
      </c>
      <c r="W4" s="375">
        <f>'Saleplan&amp;PnL'!Y4</f>
        <v>46326</v>
      </c>
      <c r="X4" s="375">
        <f>'Saleplan&amp;PnL'!Z4</f>
        <v>46356</v>
      </c>
      <c r="Y4" s="375">
        <f>'Saleplan&amp;PnL'!AA4</f>
        <v>46387</v>
      </c>
      <c r="Z4" s="375">
        <f>'Saleplan&amp;PnL'!AB4</f>
        <v>46418</v>
      </c>
      <c r="AA4" s="375">
        <f>'Saleplan&amp;PnL'!AC4</f>
        <v>46446</v>
      </c>
      <c r="AB4" s="375">
        <f>'Saleplan&amp;PnL'!AD4</f>
        <v>46477</v>
      </c>
      <c r="AC4" s="375">
        <f>'Saleplan&amp;PnL'!AE4</f>
        <v>46507</v>
      </c>
      <c r="AD4" s="375">
        <f>'Saleplan&amp;PnL'!AF4</f>
        <v>46538</v>
      </c>
      <c r="AE4" s="375">
        <f>'Saleplan&amp;PnL'!AG4</f>
        <v>46568</v>
      </c>
      <c r="AF4" s="375">
        <f>'Saleplan&amp;PnL'!AH4</f>
        <v>46599</v>
      </c>
      <c r="AG4" s="375">
        <f>'Saleplan&amp;PnL'!AI4</f>
        <v>46630</v>
      </c>
      <c r="AH4" s="375">
        <f>'Saleplan&amp;PnL'!AJ4</f>
        <v>46660</v>
      </c>
      <c r="AI4" s="375">
        <f>'Saleplan&amp;PnL'!AK4</f>
        <v>46691</v>
      </c>
      <c r="AJ4" s="375">
        <f>'Saleplan&amp;PnL'!AL4</f>
        <v>46721</v>
      </c>
      <c r="AK4" s="375">
        <f>'Saleplan&amp;PnL'!AM4</f>
        <v>46752</v>
      </c>
      <c r="AL4" s="375">
        <f>'Saleplan&amp;PnL'!AN4</f>
        <v>46783</v>
      </c>
      <c r="AM4" s="375">
        <f>'Saleplan&amp;PnL'!AO4</f>
        <v>46812</v>
      </c>
      <c r="AN4" s="375">
        <f>'Saleplan&amp;PnL'!AP4</f>
        <v>46843</v>
      </c>
      <c r="AO4" s="375">
        <f>'Saleplan&amp;PnL'!AQ4</f>
        <v>46873</v>
      </c>
      <c r="AP4" s="375">
        <f>'Saleplan&amp;PnL'!AR4</f>
        <v>46904</v>
      </c>
      <c r="AQ4" s="375">
        <f>'Saleplan&amp;PnL'!AS4</f>
        <v>46934</v>
      </c>
      <c r="AR4" s="375">
        <f>'Saleplan&amp;PnL'!AT4</f>
        <v>46965</v>
      </c>
      <c r="AS4" s="375">
        <f>'Saleplan&amp;PnL'!AU4</f>
        <v>46996</v>
      </c>
      <c r="AT4" s="375">
        <f>'Saleplan&amp;PnL'!AV4</f>
        <v>47026</v>
      </c>
      <c r="AU4" s="375">
        <f>'Saleplan&amp;PnL'!AW4</f>
        <v>47057</v>
      </c>
      <c r="AV4" s="375">
        <f>'Saleplan&amp;PnL'!AX4</f>
        <v>47087</v>
      </c>
      <c r="AW4" s="375">
        <f>'Saleplan&amp;PnL'!AY4</f>
        <v>47118</v>
      </c>
      <c r="AX4" s="375">
        <f>'Saleplan&amp;PnL'!AZ4</f>
        <v>47149</v>
      </c>
      <c r="AY4" s="375">
        <f>'Saleplan&amp;PnL'!BA4</f>
        <v>47177</v>
      </c>
      <c r="AZ4" s="375">
        <f>'Saleplan&amp;PnL'!BB4</f>
        <v>47208</v>
      </c>
      <c r="BA4" s="375">
        <f>'Saleplan&amp;PnL'!BC4</f>
        <v>47238</v>
      </c>
      <c r="BB4" s="375">
        <f>'Saleplan&amp;PnL'!BD4</f>
        <v>47269</v>
      </c>
      <c r="BC4" s="375">
        <f>'Saleplan&amp;PnL'!BE4</f>
        <v>47299</v>
      </c>
      <c r="BD4" s="375">
        <f>'Saleplan&amp;PnL'!BF4</f>
        <v>47330</v>
      </c>
      <c r="BE4" s="375">
        <f>'Saleplan&amp;PnL'!BG4</f>
        <v>47361</v>
      </c>
      <c r="BF4" s="375">
        <f>'Saleplan&amp;PnL'!BH4</f>
        <v>47391</v>
      </c>
      <c r="BG4" s="375">
        <f>'Saleplan&amp;PnL'!BI4</f>
        <v>47422</v>
      </c>
      <c r="BH4" s="375">
        <f>'Saleplan&amp;PnL'!BJ4</f>
        <v>47452</v>
      </c>
      <c r="BI4" s="375">
        <f>'Saleplan&amp;PnL'!BK4</f>
        <v>47483</v>
      </c>
    </row>
    <row r="5" spans="1:61" s="370" customFormat="1" outlineLevel="1" x14ac:dyDescent="0.15">
      <c r="A5" s="376" t="s">
        <v>504</v>
      </c>
      <c r="B5" s="376">
        <v>1</v>
      </c>
      <c r="C5" s="376">
        <v>2</v>
      </c>
      <c r="D5" s="376">
        <v>3</v>
      </c>
      <c r="E5" s="376">
        <v>4</v>
      </c>
      <c r="F5" s="376">
        <v>5</v>
      </c>
      <c r="G5" s="376">
        <v>6</v>
      </c>
      <c r="H5" s="376">
        <v>7</v>
      </c>
      <c r="I5" s="376">
        <v>8</v>
      </c>
      <c r="J5" s="376">
        <v>9</v>
      </c>
      <c r="K5" s="376">
        <v>10</v>
      </c>
      <c r="L5" s="376">
        <v>11</v>
      </c>
      <c r="M5" s="376">
        <v>12</v>
      </c>
      <c r="N5" s="376">
        <v>13</v>
      </c>
      <c r="O5" s="376">
        <v>14</v>
      </c>
      <c r="P5" s="376">
        <v>15</v>
      </c>
      <c r="Q5" s="376">
        <v>16</v>
      </c>
      <c r="R5" s="376">
        <v>17</v>
      </c>
      <c r="S5" s="376">
        <v>18</v>
      </c>
      <c r="T5" s="376">
        <v>19</v>
      </c>
      <c r="U5" s="376">
        <v>20</v>
      </c>
      <c r="V5" s="376">
        <v>21</v>
      </c>
      <c r="W5" s="376">
        <v>22</v>
      </c>
      <c r="X5" s="376">
        <v>23</v>
      </c>
      <c r="Y5" s="376">
        <v>24</v>
      </c>
      <c r="Z5" s="376">
        <v>25</v>
      </c>
      <c r="AA5" s="376">
        <v>26</v>
      </c>
      <c r="AB5" s="376">
        <v>27</v>
      </c>
      <c r="AC5" s="376">
        <v>28</v>
      </c>
      <c r="AD5" s="376">
        <v>29</v>
      </c>
      <c r="AE5" s="376">
        <v>30</v>
      </c>
      <c r="AF5" s="376">
        <v>31</v>
      </c>
      <c r="AG5" s="376">
        <v>32</v>
      </c>
      <c r="AH5" s="376">
        <v>33</v>
      </c>
      <c r="AI5" s="376">
        <v>34</v>
      </c>
      <c r="AJ5" s="376">
        <v>35</v>
      </c>
      <c r="AK5" s="376">
        <v>36</v>
      </c>
      <c r="AL5" s="376">
        <f t="shared" ref="AL5:BI5" si="1">AK5+1</f>
        <v>37</v>
      </c>
      <c r="AM5" s="376">
        <f t="shared" si="1"/>
        <v>38</v>
      </c>
      <c r="AN5" s="376">
        <f t="shared" si="1"/>
        <v>39</v>
      </c>
      <c r="AO5" s="376">
        <f t="shared" si="1"/>
        <v>40</v>
      </c>
      <c r="AP5" s="376">
        <f t="shared" si="1"/>
        <v>41</v>
      </c>
      <c r="AQ5" s="376">
        <f t="shared" si="1"/>
        <v>42</v>
      </c>
      <c r="AR5" s="376">
        <f t="shared" si="1"/>
        <v>43</v>
      </c>
      <c r="AS5" s="376">
        <f t="shared" si="1"/>
        <v>44</v>
      </c>
      <c r="AT5" s="376">
        <f t="shared" si="1"/>
        <v>45</v>
      </c>
      <c r="AU5" s="376">
        <f t="shared" si="1"/>
        <v>46</v>
      </c>
      <c r="AV5" s="376">
        <f t="shared" si="1"/>
        <v>47</v>
      </c>
      <c r="AW5" s="376">
        <f t="shared" si="1"/>
        <v>48</v>
      </c>
      <c r="AX5" s="376">
        <f t="shared" si="1"/>
        <v>49</v>
      </c>
      <c r="AY5" s="376">
        <f t="shared" si="1"/>
        <v>50</v>
      </c>
      <c r="AZ5" s="376">
        <f t="shared" si="1"/>
        <v>51</v>
      </c>
      <c r="BA5" s="376">
        <f t="shared" si="1"/>
        <v>52</v>
      </c>
      <c r="BB5" s="376">
        <f t="shared" si="1"/>
        <v>53</v>
      </c>
      <c r="BC5" s="376">
        <f t="shared" si="1"/>
        <v>54</v>
      </c>
      <c r="BD5" s="376">
        <f t="shared" si="1"/>
        <v>55</v>
      </c>
      <c r="BE5" s="376">
        <f t="shared" si="1"/>
        <v>56</v>
      </c>
      <c r="BF5" s="376">
        <f t="shared" si="1"/>
        <v>57</v>
      </c>
      <c r="BG5" s="376">
        <f t="shared" si="1"/>
        <v>58</v>
      </c>
      <c r="BH5" s="376">
        <f t="shared" si="1"/>
        <v>59</v>
      </c>
      <c r="BI5" s="376">
        <f t="shared" si="1"/>
        <v>60</v>
      </c>
    </row>
    <row r="6" spans="1:61" x14ac:dyDescent="0.15">
      <c r="A6" s="371" t="s">
        <v>505</v>
      </c>
      <c r="K6" s="372"/>
    </row>
    <row r="7" spans="1:61" s="370" customFormat="1" x14ac:dyDescent="0.15">
      <c r="A7" s="370" t="s">
        <v>432</v>
      </c>
      <c r="B7" s="377" cm="1">
        <f t="array" aca="1" ref="B7" ca="1">SUMPRODUCT(B$55:B$114,TRANSPOSE(SAP_Speadsheet!$E$44:$BL$44))</f>
        <v>0</v>
      </c>
      <c r="C7" s="377" cm="1">
        <f t="array" aca="1" ref="C7" ca="1">SUMPRODUCT(C$55:C$114,TRANSPOSE(SAP_Speadsheet!$E$44:$BL$44))</f>
        <v>0</v>
      </c>
      <c r="D7" s="377" cm="1">
        <f t="array" aca="1" ref="D7" ca="1">SUMPRODUCT(D$55:D$114,TRANSPOSE(SAP_Speadsheet!$E$44:$BL$44))</f>
        <v>0</v>
      </c>
      <c r="E7" s="377" cm="1">
        <f t="array" aca="1" ref="E7" ca="1">SUMPRODUCT(E$55:E$114,TRANSPOSE(SAP_Speadsheet!$E$44:$BL$44))</f>
        <v>0</v>
      </c>
      <c r="F7" s="377" cm="1">
        <f t="array" aca="1" ref="F7" ca="1">SUMPRODUCT(F$55:F$114,TRANSPOSE(SAP_Speadsheet!$E$44:$BL$44))</f>
        <v>0</v>
      </c>
      <c r="G7" s="377" cm="1">
        <f t="array" aca="1" ref="G7" ca="1">SUMPRODUCT(G$55:G$114,TRANSPOSE(SAP_Speadsheet!$E$44:$BL$44))</f>
        <v>0</v>
      </c>
      <c r="H7" s="377" cm="1">
        <f t="array" aca="1" ref="H7" ca="1">SUMPRODUCT(H$55:H$114,TRANSPOSE(SAP_Speadsheet!$E$44:$BL$44))</f>
        <v>76405.549906663553</v>
      </c>
      <c r="I7" s="377" cm="1">
        <f t="array" aca="1" ref="I7" ca="1">SUMPRODUCT(I$55:I$114,TRANSPOSE(SAP_Speadsheet!$E$44:$BL$44))</f>
        <v>140217.44996833985</v>
      </c>
      <c r="J7" s="377" cm="1">
        <f t="array" aca="1" ref="J7" ca="1">SUMPRODUCT(J$55:J$114,TRANSPOSE(SAP_Speadsheet!$E$44:$BL$44))</f>
        <v>195423.52405415298</v>
      </c>
      <c r="K7" s="377" cm="1">
        <f t="array" aca="1" ref="K7" ca="1">SUMPRODUCT(K$55:K$114,TRANSPOSE(SAP_Speadsheet!$E$44:$BL$44))</f>
        <v>173589.55157114574</v>
      </c>
      <c r="L7" s="377" cm="1">
        <f t="array" aca="1" ref="L7" ca="1">SUMPRODUCT(L$55:L$114,TRANSPOSE(SAP_Speadsheet!$E$44:$BL$44))</f>
        <v>155346.56293563446</v>
      </c>
      <c r="M7" s="377" cm="1">
        <f t="array" aca="1" ref="M7" ca="1">SUMPRODUCT(M$55:M$114,TRANSPOSE(SAP_Speadsheet!$E$44:$BL$44))</f>
        <v>140289.42826180352</v>
      </c>
      <c r="N7" s="377" cm="1">
        <f t="array" aca="1" ref="N7" ca="1">SUMPRODUCT(N$55:N$114,TRANSPOSE(SAP_Speadsheet!$E$44:$BL$44))</f>
        <v>125836.71395071328</v>
      </c>
      <c r="O7" s="377" cm="1">
        <f t="array" aca="1" ref="O7" ca="1">SUMPRODUCT(O$55:O$114,TRANSPOSE(SAP_Speadsheet!$E$44:$BL$44))</f>
        <v>112000.72272097267</v>
      </c>
      <c r="P7" s="377" cm="1">
        <f t="array" aca="1" ref="P7" ca="1">SUMPRODUCT(P$55:P$114,TRANSPOSE(SAP_Speadsheet!$E$44:$BL$44))</f>
        <v>98791.422028032641</v>
      </c>
      <c r="Q7" s="377" cm="1">
        <f t="array" aca="1" ref="Q7" ca="1">SUMPRODUCT(Q$55:Q$114,TRANSPOSE(SAP_Speadsheet!$E$44:$BL$44))</f>
        <v>86220.209501987512</v>
      </c>
      <c r="R7" s="377" cm="1">
        <f t="array" aca="1" ref="R7" ca="1">SUMPRODUCT(R$55:R$114,TRANSPOSE(SAP_Speadsheet!$E$44:$BL$44))</f>
        <v>74300.676125571626</v>
      </c>
      <c r="S7" s="377" cm="1">
        <f t="array" aca="1" ref="S7" ca="1">SUMPRODUCT(S$55:S$114,TRANSPOSE(SAP_Speadsheet!$E$44:$BL$44))</f>
        <v>63050.3442718757</v>
      </c>
      <c r="T7" s="377" cm="1">
        <f t="array" aca="1" ref="T7" ca="1">SUMPRODUCT(T$55:T$114,TRANSPOSE(SAP_Speadsheet!$E$44:$BL$44))</f>
        <v>52495.098355235532</v>
      </c>
      <c r="U7" s="377" cm="1">
        <f t="array" aca="1" ref="U7" ca="1">SUMPRODUCT(U$55:U$114,TRANSPOSE(SAP_Speadsheet!$E$44:$BL$44))</f>
        <v>42753.526825698704</v>
      </c>
      <c r="V7" s="377" cm="1">
        <f t="array" aca="1" ref="V7" ca="1">SUMPRODUCT(V$55:V$114,TRANSPOSE(SAP_Speadsheet!$E$44:$BL$44))</f>
        <v>36597.886960874202</v>
      </c>
      <c r="W7" s="377" cm="1">
        <f t="array" aca="1" ref="W7" ca="1">SUMPRODUCT(W$55:W$114,TRANSPOSE(SAP_Speadsheet!$E$44:$BL$44))</f>
        <v>33678.970445331608</v>
      </c>
      <c r="X7" s="377" cm="1">
        <f t="array" aca="1" ref="X7" ca="1">SUMPRODUCT(X$55:X$114,TRANSPOSE(SAP_Speadsheet!$E$44:$BL$44))</f>
        <v>33640.290278379573</v>
      </c>
      <c r="Y7" s="377" cm="1">
        <f t="array" aca="1" ref="Y7" ca="1">SUMPRODUCT(Y$55:Y$114,TRANSPOSE(SAP_Speadsheet!$E$44:$BL$44))</f>
        <v>33636.462822535694</v>
      </c>
      <c r="Z7" s="377" cm="1">
        <f t="array" aca="1" ref="Z7" ca="1">SUMPRODUCT(Z$55:Z$114,TRANSPOSE(SAP_Speadsheet!$E$44:$BL$44))</f>
        <v>33635.458258901417</v>
      </c>
      <c r="AA7" s="377" cm="1">
        <f t="array" aca="1" ref="AA7" ca="1">SUMPRODUCT(AA$55:AA$114,TRANSPOSE(SAP_Speadsheet!$E$44:$BL$44))</f>
        <v>33635.458258901417</v>
      </c>
      <c r="AB7" s="377" cm="1">
        <f t="array" aca="1" ref="AB7" ca="1">SUMPRODUCT(AB$55:AB$114,TRANSPOSE(SAP_Speadsheet!$E$44:$BL$44))</f>
        <v>22022.289761742468</v>
      </c>
      <c r="AC7" s="377" cm="1">
        <f t="array" aca="1" ref="AC7" ca="1">SUMPRODUCT(AC$55:AC$114,TRANSPOSE(SAP_Speadsheet!$E$44:$BL$44))</f>
        <v>10959.868421439787</v>
      </c>
      <c r="AD7" s="377" cm="1">
        <f t="array" aca="1" ref="AD7" ca="1">SUMPRODUCT(AD$55:AD$114,TRANSPOSE(SAP_Speadsheet!$E$44:$BL$44))</f>
        <v>0</v>
      </c>
      <c r="AE7" s="377" cm="1">
        <f t="array" aca="1" ref="AE7" ca="1">SUMPRODUCT(AE$55:AE$114,TRANSPOSE(SAP_Speadsheet!$E$44:$BL$44))</f>
        <v>0</v>
      </c>
      <c r="AF7" s="377" cm="1">
        <f t="array" aca="1" ref="AF7" ca="1">SUMPRODUCT(AF$55:AF$114,TRANSPOSE(SAP_Speadsheet!$E$44:$BL$44))</f>
        <v>0</v>
      </c>
      <c r="AG7" s="377" cm="1">
        <f t="array" aca="1" ref="AG7" ca="1">SUMPRODUCT(AG$55:AG$114,TRANSPOSE(SAP_Speadsheet!$E$44:$BL$44))</f>
        <v>0</v>
      </c>
      <c r="AH7" s="377" cm="1">
        <f t="array" aca="1" ref="AH7" ca="1">SUMPRODUCT(AH$55:AH$114,TRANSPOSE(SAP_Speadsheet!$E$44:$BL$44))</f>
        <v>0</v>
      </c>
      <c r="AI7" s="377" cm="1">
        <f t="array" aca="1" ref="AI7" ca="1">SUMPRODUCT(AI$55:AI$114,TRANSPOSE(SAP_Speadsheet!$E$44:$BL$44))</f>
        <v>0</v>
      </c>
      <c r="AJ7" s="377" cm="1">
        <f t="array" aca="1" ref="AJ7" ca="1">SUMPRODUCT(AJ$55:AJ$114,TRANSPOSE(SAP_Speadsheet!$E$44:$BL$44))</f>
        <v>0</v>
      </c>
      <c r="AK7" s="377" cm="1">
        <f t="array" aca="1" ref="AK7" ca="1">SUMPRODUCT(AK$55:AK$114,TRANSPOSE(SAP_Speadsheet!$E$44:$BL$44))</f>
        <v>0</v>
      </c>
      <c r="AL7" s="377" cm="1">
        <f t="array" aca="1" ref="AL7" ca="1">SUMPRODUCT(AL$55:AL$114,TRANSPOSE(SAP_Speadsheet!$E$44:$BL$44))</f>
        <v>0</v>
      </c>
      <c r="AM7" s="377" cm="1">
        <f t="array" aca="1" ref="AM7" ca="1">SUMPRODUCT(AM$55:AM$114,TRANSPOSE(SAP_Speadsheet!$E$44:$BL$44))</f>
        <v>0</v>
      </c>
      <c r="AN7" s="377" cm="1">
        <f t="array" aca="1" ref="AN7" ca="1">SUMPRODUCT(AN$55:AN$114,TRANSPOSE(SAP_Speadsheet!$E$44:$BL$44))</f>
        <v>0</v>
      </c>
      <c r="AO7" s="377" cm="1">
        <f t="array" aca="1" ref="AO7" ca="1">SUMPRODUCT(AO$55:AO$114,TRANSPOSE(SAP_Speadsheet!$E$44:$BL$44))</f>
        <v>0</v>
      </c>
      <c r="AP7" s="377" cm="1">
        <f t="array" aca="1" ref="AP7" ca="1">SUMPRODUCT(AP$55:AP$114,TRANSPOSE(SAP_Speadsheet!$E$44:$BL$44))</f>
        <v>0</v>
      </c>
      <c r="AQ7" s="377" cm="1">
        <f t="array" aca="1" ref="AQ7" ca="1">SUMPRODUCT(AQ$55:AQ$114,TRANSPOSE(SAP_Speadsheet!$E$44:$BL$44))</f>
        <v>0</v>
      </c>
      <c r="AR7" s="377" cm="1">
        <f t="array" aca="1" ref="AR7" ca="1">SUMPRODUCT(AR$55:AR$114,TRANSPOSE(SAP_Speadsheet!$E$44:$BL$44))</f>
        <v>0</v>
      </c>
      <c r="AS7" s="377" cm="1">
        <f t="array" aca="1" ref="AS7" ca="1">SUMPRODUCT(AS$55:AS$114,TRANSPOSE(SAP_Speadsheet!$E$44:$BL$44))</f>
        <v>0</v>
      </c>
      <c r="AT7" s="377" cm="1">
        <f t="array" aca="1" ref="AT7" ca="1">SUMPRODUCT(AT$55:AT$114,TRANSPOSE(SAP_Speadsheet!$E$44:$BL$44))</f>
        <v>0</v>
      </c>
      <c r="AU7" s="377" cm="1">
        <f t="array" aca="1" ref="AU7" ca="1">SUMPRODUCT(AU$55:AU$114,TRANSPOSE(SAP_Speadsheet!$E$44:$BL$44))</f>
        <v>0</v>
      </c>
      <c r="AV7" s="377" cm="1">
        <f t="array" aca="1" ref="AV7" ca="1">SUMPRODUCT(AV$55:AV$114,TRANSPOSE(SAP_Speadsheet!$E$44:$BL$44))</f>
        <v>0</v>
      </c>
      <c r="AW7" s="377" cm="1">
        <f t="array" aca="1" ref="AW7" ca="1">SUMPRODUCT(AW$55:AW$114,TRANSPOSE(SAP_Speadsheet!$E$44:$BL$44))</f>
        <v>0</v>
      </c>
      <c r="AX7" s="377" cm="1">
        <f t="array" aca="1" ref="AX7" ca="1">SUMPRODUCT(AX$55:AX$114,TRANSPOSE(SAP_Speadsheet!$E$44:$BL$44))</f>
        <v>0</v>
      </c>
      <c r="AY7" s="377" cm="1">
        <f t="array" aca="1" ref="AY7" ca="1">SUMPRODUCT(AY$55:AY$114,TRANSPOSE(SAP_Speadsheet!$E$44:$BL$44))</f>
        <v>0</v>
      </c>
      <c r="AZ7" s="377" cm="1">
        <f t="array" aca="1" ref="AZ7" ca="1">SUMPRODUCT(AZ$55:AZ$114,TRANSPOSE(SAP_Speadsheet!$E$44:$BL$44))</f>
        <v>0</v>
      </c>
      <c r="BA7" s="377" cm="1">
        <f t="array" aca="1" ref="BA7" ca="1">SUMPRODUCT(BA$55:BA$114,TRANSPOSE(SAP_Speadsheet!$E$44:$BL$44))</f>
        <v>0</v>
      </c>
      <c r="BB7" s="377" cm="1">
        <f t="array" aca="1" ref="BB7" ca="1">SUMPRODUCT(BB$55:BB$114,TRANSPOSE(SAP_Speadsheet!$E$44:$BL$44))</f>
        <v>0</v>
      </c>
      <c r="BC7" s="377" cm="1">
        <f t="array" aca="1" ref="BC7" ca="1">SUMPRODUCT(BC$55:BC$114,TRANSPOSE(SAP_Speadsheet!$E$44:$BL$44))</f>
        <v>0</v>
      </c>
      <c r="BD7" s="377" cm="1">
        <f t="array" aca="1" ref="BD7" ca="1">SUMPRODUCT(BD$55:BD$114,TRANSPOSE(SAP_Speadsheet!$E$44:$BL$44))</f>
        <v>0</v>
      </c>
      <c r="BE7" s="377" cm="1">
        <f t="array" aca="1" ref="BE7" ca="1">SUMPRODUCT(BE$55:BE$114,TRANSPOSE(SAP_Speadsheet!$E$44:$BL$44))</f>
        <v>0</v>
      </c>
      <c r="BF7" s="377" cm="1">
        <f t="array" aca="1" ref="BF7" ca="1">SUMPRODUCT(BF$55:BF$114,TRANSPOSE(SAP_Speadsheet!$E$44:$BL$44))</f>
        <v>0</v>
      </c>
      <c r="BG7" s="377" cm="1">
        <f t="array" aca="1" ref="BG7" ca="1">SUMPRODUCT(BG$55:BG$114,TRANSPOSE(SAP_Speadsheet!$E$44:$BL$44))</f>
        <v>0</v>
      </c>
      <c r="BH7" s="377" cm="1">
        <f t="array" aca="1" ref="BH7" ca="1">SUMPRODUCT(BH$55:BH$114,TRANSPOSE(SAP_Speadsheet!$E$44:$BL$44))</f>
        <v>0</v>
      </c>
      <c r="BI7" s="377" cm="1">
        <f t="array" aca="1" ref="BI7" ca="1">SUMPRODUCT(BI$55:BI$114,TRANSPOSE(SAP_Speadsheet!$E$44:$BL$44))</f>
        <v>0</v>
      </c>
    </row>
    <row r="8" spans="1:61" s="370" customFormat="1" x14ac:dyDescent="0.15">
      <c r="A8" s="370" t="s">
        <v>271</v>
      </c>
      <c r="B8" s="377" cm="1">
        <f t="array" aca="1" ref="B8" ca="1">SUMPRODUCT(B$55:B$114,TRANSPOSE(SAP_Speadsheet!$E$50:$BL$50))</f>
        <v>0</v>
      </c>
      <c r="C8" s="377" cm="1">
        <f t="array" aca="1" ref="C8" ca="1">SUMPRODUCT(C$55:C$114,TRANSPOSE(SAP_Speadsheet!$E$50:$BL$50))</f>
        <v>0</v>
      </c>
      <c r="D8" s="377" cm="1">
        <f t="array" aca="1" ref="D8" ca="1">SUMPRODUCT(D$55:D$114,TRANSPOSE(SAP_Speadsheet!$E$50:$BL$50))</f>
        <v>0</v>
      </c>
      <c r="E8" s="377" cm="1">
        <f t="array" aca="1" ref="E8" ca="1">SUMPRODUCT(E$55:E$114,TRANSPOSE(SAP_Speadsheet!$E$50:$BL$50))</f>
        <v>0</v>
      </c>
      <c r="F8" s="377" cm="1">
        <f t="array" aca="1" ref="F8" ca="1">SUMPRODUCT(F$55:F$114,TRANSPOSE(SAP_Speadsheet!$E$50:$BL$50))</f>
        <v>0</v>
      </c>
      <c r="G8" s="377" cm="1">
        <f t="array" aca="1" ref="G8" ca="1">SUMPRODUCT(G$55:G$114,TRANSPOSE(SAP_Speadsheet!$E$50:$BL$50))</f>
        <v>0</v>
      </c>
      <c r="H8" s="377" cm="1">
        <f t="array" aca="1" ref="H8" ca="1">SUMPRODUCT(H$55:H$114,TRANSPOSE(SAP_Speadsheet!$E$50:$BL$50))</f>
        <v>82198.19741253792</v>
      </c>
      <c r="I8" s="377" cm="1">
        <f t="array" aca="1" ref="I8" ca="1">SUMPRODUCT(I$55:I$114,TRANSPOSE(SAP_Speadsheet!$E$50:$BL$50))</f>
        <v>150220.46736593603</v>
      </c>
      <c r="J8" s="377" cm="1">
        <f t="array" aca="1" ref="J8" ca="1">SUMPRODUCT(J$55:J$114,TRANSPOSE(SAP_Speadsheet!$E$50:$BL$50))</f>
        <v>209340.94212360593</v>
      </c>
      <c r="K8" s="377" cm="1">
        <f t="array" aca="1" ref="K8" ca="1">SUMPRODUCT(K$55:K$114,TRANSPOSE(SAP_Speadsheet!$E$50:$BL$50))</f>
        <v>184506.53781264936</v>
      </c>
      <c r="L8" s="377" cm="1">
        <f t="array" aca="1" ref="L8" ca="1">SUMPRODUCT(L$55:L$114,TRANSPOSE(SAP_Speadsheet!$E$50:$BL$50))</f>
        <v>164468.05725339008</v>
      </c>
      <c r="M8" s="377" cm="1">
        <f t="array" aca="1" ref="M8" ca="1">SUMPRODUCT(M$55:M$114,TRANSPOSE(SAP_Speadsheet!$E$50:$BL$50))</f>
        <v>147817.99559871899</v>
      </c>
      <c r="N8" s="377" cm="1">
        <f t="array" aca="1" ref="N8" ca="1">SUMPRODUCT(N$55:N$114,TRANSPOSE(SAP_Speadsheet!$E$50:$BL$50))</f>
        <v>133063.0711062584</v>
      </c>
      <c r="O8" s="377" cm="1">
        <f t="array" aca="1" ref="O8" ca="1">SUMPRODUCT(O$55:O$114,TRANSPOSE(SAP_Speadsheet!$E$50:$BL$50))</f>
        <v>117909.18556443587</v>
      </c>
      <c r="P8" s="377" cm="1">
        <f t="array" aca="1" ref="P8" ca="1">SUMPRODUCT(P$55:P$114,TRANSPOSE(SAP_Speadsheet!$E$50:$BL$50))</f>
        <v>101572.8800385331</v>
      </c>
      <c r="Q8" s="377" cm="1">
        <f t="array" aca="1" ref="Q8" ca="1">SUMPRODUCT(Q$55:Q$114,TRANSPOSE(SAP_Speadsheet!$E$50:$BL$50))</f>
        <v>84401.778746155222</v>
      </c>
      <c r="R8" s="377" cm="1">
        <f t="array" aca="1" ref="R8" ca="1">SUMPRODUCT(R$55:R$114,TRANSPOSE(SAP_Speadsheet!$E$50:$BL$50))</f>
        <v>67587.273547735138</v>
      </c>
      <c r="S8" s="377" cm="1">
        <f t="array" aca="1" ref="S8" ca="1">SUMPRODUCT(S$55:S$114,TRANSPOSE(SAP_Speadsheet!$E$50:$BL$50))</f>
        <v>52112.511913834671</v>
      </c>
      <c r="T8" s="377" cm="1">
        <f t="array" aca="1" ref="T8" ca="1">SUMPRODUCT(T$55:T$114,TRANSPOSE(SAP_Speadsheet!$E$50:$BL$50))</f>
        <v>37862.246344286876</v>
      </c>
      <c r="U8" s="377" cm="1">
        <f t="array" aca="1" ref="U8" ca="1">SUMPRODUCT(U$55:U$114,TRANSPOSE(SAP_Speadsheet!$E$50:$BL$50))</f>
        <v>24819.04287250471</v>
      </c>
      <c r="V8" s="377" cm="1">
        <f t="array" aca="1" ref="V8" ca="1">SUMPRODUCT(V$55:V$114,TRANSPOSE(SAP_Speadsheet!$E$50:$BL$50))</f>
        <v>14375.170018136841</v>
      </c>
      <c r="W8" s="377" cm="1">
        <f t="array" aca="1" ref="W8" ca="1">SUMPRODUCT(W$55:W$114,TRANSPOSE(SAP_Speadsheet!$E$50:$BL$50))</f>
        <v>7719.6509882922755</v>
      </c>
      <c r="X8" s="377" cm="1">
        <f t="array" aca="1" ref="X8" ca="1">SUMPRODUCT(X$55:X$114,TRANSPOSE(SAP_Speadsheet!$E$50:$BL$50))</f>
        <v>4477.027050609855</v>
      </c>
      <c r="Y8" s="377" cm="1">
        <f t="array" aca="1" ref="Y8" ca="1">SUMPRODUCT(Y$55:Y$114,TRANSPOSE(SAP_Speadsheet!$E$50:$BL$50))</f>
        <v>3023.9965057516501</v>
      </c>
      <c r="Z8" s="377" cm="1">
        <f t="array" aca="1" ref="Z8" ca="1">SUMPRODUCT(Z$55:Z$114,TRANSPOSE(SAP_Speadsheet!$E$50:$BL$50))</f>
        <v>1899.6995867072396</v>
      </c>
      <c r="AA8" s="377" cm="1">
        <f t="array" aca="1" ref="AA8" ca="1">SUMPRODUCT(AA$55:AA$114,TRANSPOSE(SAP_Speadsheet!$E$50:$BL$50))</f>
        <v>1029.8539031793771</v>
      </c>
      <c r="AB8" s="377" cm="1">
        <f t="array" aca="1" ref="AB8" ca="1">SUMPRODUCT(AB$55:AB$114,TRANSPOSE(SAP_Speadsheet!$E$50:$BL$50))</f>
        <v>428.07985242996642</v>
      </c>
      <c r="AC8" s="377" cm="1">
        <f t="array" aca="1" ref="AC8" ca="1">SUMPRODUCT(AC$55:AC$114,TRANSPOSE(SAP_Speadsheet!$E$50:$BL$50))</f>
        <v>104.71291964187323</v>
      </c>
      <c r="AD8" s="377" cm="1">
        <f t="array" aca="1" ref="AD8" ca="1">SUMPRODUCT(AD$55:AD$114,TRANSPOSE(SAP_Speadsheet!$E$50:$BL$50))</f>
        <v>0</v>
      </c>
      <c r="AE8" s="377" cm="1">
        <f t="array" aca="1" ref="AE8" ca="1">SUMPRODUCT(AE$55:AE$114,TRANSPOSE(SAP_Speadsheet!$E$50:$BL$50))</f>
        <v>0</v>
      </c>
      <c r="AF8" s="377" cm="1">
        <f t="array" aca="1" ref="AF8" ca="1">SUMPRODUCT(AF$55:AF$114,TRANSPOSE(SAP_Speadsheet!$E$50:$BL$50))</f>
        <v>0</v>
      </c>
      <c r="AG8" s="377" cm="1">
        <f t="array" aca="1" ref="AG8" ca="1">SUMPRODUCT(AG$55:AG$114,TRANSPOSE(SAP_Speadsheet!$E$50:$BL$50))</f>
        <v>0</v>
      </c>
      <c r="AH8" s="377" cm="1">
        <f t="array" aca="1" ref="AH8" ca="1">SUMPRODUCT(AH$55:AH$114,TRANSPOSE(SAP_Speadsheet!$E$50:$BL$50))</f>
        <v>0</v>
      </c>
      <c r="AI8" s="377" cm="1">
        <f t="array" aca="1" ref="AI8" ca="1">SUMPRODUCT(AI$55:AI$114,TRANSPOSE(SAP_Speadsheet!$E$50:$BL$50))</f>
        <v>0</v>
      </c>
      <c r="AJ8" s="377" cm="1">
        <f t="array" aca="1" ref="AJ8" ca="1">SUMPRODUCT(AJ$55:AJ$114,TRANSPOSE(SAP_Speadsheet!$E$50:$BL$50))</f>
        <v>0</v>
      </c>
      <c r="AK8" s="377" cm="1">
        <f t="array" aca="1" ref="AK8" ca="1">SUMPRODUCT(AK$55:AK$114,TRANSPOSE(SAP_Speadsheet!$E$50:$BL$50))</f>
        <v>0</v>
      </c>
      <c r="AL8" s="377" cm="1">
        <f t="array" aca="1" ref="AL8" ca="1">SUMPRODUCT(AL$55:AL$114,TRANSPOSE(SAP_Speadsheet!$E$50:$BL$50))</f>
        <v>0</v>
      </c>
      <c r="AM8" s="377" cm="1">
        <f t="array" aca="1" ref="AM8" ca="1">SUMPRODUCT(AM$55:AM$114,TRANSPOSE(SAP_Speadsheet!$E$50:$BL$50))</f>
        <v>0</v>
      </c>
      <c r="AN8" s="377" cm="1">
        <f t="array" aca="1" ref="AN8" ca="1">SUMPRODUCT(AN$55:AN$114,TRANSPOSE(SAP_Speadsheet!$E$50:$BL$50))</f>
        <v>0</v>
      </c>
      <c r="AO8" s="377" cm="1">
        <f t="array" aca="1" ref="AO8" ca="1">SUMPRODUCT(AO$55:AO$114,TRANSPOSE(SAP_Speadsheet!$E$50:$BL$50))</f>
        <v>0</v>
      </c>
      <c r="AP8" s="377" cm="1">
        <f t="array" aca="1" ref="AP8" ca="1">SUMPRODUCT(AP$55:AP$114,TRANSPOSE(SAP_Speadsheet!$E$50:$BL$50))</f>
        <v>0</v>
      </c>
      <c r="AQ8" s="377" cm="1">
        <f t="array" aca="1" ref="AQ8" ca="1">SUMPRODUCT(AQ$55:AQ$114,TRANSPOSE(SAP_Speadsheet!$E$50:$BL$50))</f>
        <v>0</v>
      </c>
      <c r="AR8" s="377" cm="1">
        <f t="array" aca="1" ref="AR8" ca="1">SUMPRODUCT(AR$55:AR$114,TRANSPOSE(SAP_Speadsheet!$E$50:$BL$50))</f>
        <v>0</v>
      </c>
      <c r="AS8" s="377" cm="1">
        <f t="array" aca="1" ref="AS8" ca="1">SUMPRODUCT(AS$55:AS$114,TRANSPOSE(SAP_Speadsheet!$E$50:$BL$50))</f>
        <v>0</v>
      </c>
      <c r="AT8" s="377" cm="1">
        <f t="array" aca="1" ref="AT8" ca="1">SUMPRODUCT(AT$55:AT$114,TRANSPOSE(SAP_Speadsheet!$E$50:$BL$50))</f>
        <v>0</v>
      </c>
      <c r="AU8" s="377" cm="1">
        <f t="array" aca="1" ref="AU8" ca="1">SUMPRODUCT(AU$55:AU$114,TRANSPOSE(SAP_Speadsheet!$E$50:$BL$50))</f>
        <v>0</v>
      </c>
      <c r="AV8" s="377" cm="1">
        <f t="array" aca="1" ref="AV8" ca="1">SUMPRODUCT(AV$55:AV$114,TRANSPOSE(SAP_Speadsheet!$E$50:$BL$50))</f>
        <v>0</v>
      </c>
      <c r="AW8" s="377" cm="1">
        <f t="array" aca="1" ref="AW8" ca="1">SUMPRODUCT(AW$55:AW$114,TRANSPOSE(SAP_Speadsheet!$E$50:$BL$50))</f>
        <v>0</v>
      </c>
      <c r="AX8" s="377" cm="1">
        <f t="array" aca="1" ref="AX8" ca="1">SUMPRODUCT(AX$55:AX$114,TRANSPOSE(SAP_Speadsheet!$E$50:$BL$50))</f>
        <v>0</v>
      </c>
      <c r="AY8" s="377" cm="1">
        <f t="array" aca="1" ref="AY8" ca="1">SUMPRODUCT(AY$55:AY$114,TRANSPOSE(SAP_Speadsheet!$E$50:$BL$50))</f>
        <v>0</v>
      </c>
      <c r="AZ8" s="377" cm="1">
        <f t="array" aca="1" ref="AZ8" ca="1">SUMPRODUCT(AZ$55:AZ$114,TRANSPOSE(SAP_Speadsheet!$E$50:$BL$50))</f>
        <v>0</v>
      </c>
      <c r="BA8" s="377" cm="1">
        <f t="array" aca="1" ref="BA8" ca="1">SUMPRODUCT(BA$55:BA$114,TRANSPOSE(SAP_Speadsheet!$E$50:$BL$50))</f>
        <v>0</v>
      </c>
      <c r="BB8" s="377" cm="1">
        <f t="array" aca="1" ref="BB8" ca="1">SUMPRODUCT(BB$55:BB$114,TRANSPOSE(SAP_Speadsheet!$E$50:$BL$50))</f>
        <v>0</v>
      </c>
      <c r="BC8" s="377" cm="1">
        <f t="array" aca="1" ref="BC8" ca="1">SUMPRODUCT(BC$55:BC$114,TRANSPOSE(SAP_Speadsheet!$E$50:$BL$50))</f>
        <v>0</v>
      </c>
      <c r="BD8" s="377" cm="1">
        <f t="array" aca="1" ref="BD8" ca="1">SUMPRODUCT(BD$55:BD$114,TRANSPOSE(SAP_Speadsheet!$E$50:$BL$50))</f>
        <v>0</v>
      </c>
      <c r="BE8" s="377" cm="1">
        <f t="array" aca="1" ref="BE8" ca="1">SUMPRODUCT(BE$55:BE$114,TRANSPOSE(SAP_Speadsheet!$E$50:$BL$50))</f>
        <v>0</v>
      </c>
      <c r="BF8" s="377" cm="1">
        <f t="array" aca="1" ref="BF8" ca="1">SUMPRODUCT(BF$55:BF$114,TRANSPOSE(SAP_Speadsheet!$E$50:$BL$50))</f>
        <v>0</v>
      </c>
      <c r="BG8" s="377" cm="1">
        <f t="array" aca="1" ref="BG8" ca="1">SUMPRODUCT(BG$55:BG$114,TRANSPOSE(SAP_Speadsheet!$E$50:$BL$50))</f>
        <v>0</v>
      </c>
      <c r="BH8" s="377" cm="1">
        <f t="array" aca="1" ref="BH8" ca="1">SUMPRODUCT(BH$55:BH$114,TRANSPOSE(SAP_Speadsheet!$E$50:$BL$50))</f>
        <v>0</v>
      </c>
      <c r="BI8" s="377" cm="1">
        <f t="array" aca="1" ref="BI8" ca="1">SUMPRODUCT(BI$55:BI$114,TRANSPOSE(SAP_Speadsheet!$E$50:$BL$50))</f>
        <v>0</v>
      </c>
    </row>
    <row r="9" spans="1:61" s="370" customFormat="1" x14ac:dyDescent="0.15">
      <c r="A9" s="370" t="s">
        <v>272</v>
      </c>
      <c r="B9" s="377" cm="1">
        <f t="array" aca="1" ref="B9" ca="1">SUMPRODUCT(B$55:B$114,TRANSPOSE(SAP_Speadsheet!$E$55:$BL$55))</f>
        <v>0</v>
      </c>
      <c r="C9" s="377" cm="1">
        <f t="array" aca="1" ref="C9" ca="1">SUMPRODUCT(C$55:C$114,TRANSPOSE(SAP_Speadsheet!$E$55:$BL$55))</f>
        <v>0</v>
      </c>
      <c r="D9" s="377" cm="1">
        <f t="array" aca="1" ref="D9" ca="1">SUMPRODUCT(D$55:D$114,TRANSPOSE(SAP_Speadsheet!$E$55:$BL$55))</f>
        <v>0</v>
      </c>
      <c r="E9" s="377" cm="1">
        <f t="array" aca="1" ref="E9" ca="1">SUMPRODUCT(E$55:E$114,TRANSPOSE(SAP_Speadsheet!$E$55:$BL$55))</f>
        <v>0</v>
      </c>
      <c r="F9" s="377" cm="1">
        <f t="array" aca="1" ref="F9" ca="1">SUMPRODUCT(F$55:F$114,TRANSPOSE(SAP_Speadsheet!$E$55:$BL$55))</f>
        <v>0</v>
      </c>
      <c r="G9" s="377" cm="1">
        <f t="array" aca="1" ref="G9" ca="1">SUMPRODUCT(G$55:G$114,TRANSPOSE(SAP_Speadsheet!$E$55:$BL$55))</f>
        <v>0</v>
      </c>
      <c r="H9" s="377" cm="1">
        <f t="array" aca="1" ref="H9" ca="1">SUMPRODUCT(H$55:H$114,TRANSPOSE(SAP_Speadsheet!$E$55:$BL$55))</f>
        <v>5874.9571627005162</v>
      </c>
      <c r="I9" s="377" cm="1">
        <f t="array" aca="1" ref="I9" ca="1">SUMPRODUCT(I$55:I$114,TRANSPOSE(SAP_Speadsheet!$E$55:$BL$55))</f>
        <v>8423.5092494177552</v>
      </c>
      <c r="J9" s="377" cm="1">
        <f t="array" aca="1" ref="J9" ca="1">SUMPRODUCT(J$55:J$114,TRANSPOSE(SAP_Speadsheet!$E$55:$BL$55))</f>
        <v>10656.581754487424</v>
      </c>
      <c r="K9" s="377" cm="1">
        <f t="array" aca="1" ref="K9" ca="1">SUMPRODUCT(K$55:K$114,TRANSPOSE(SAP_Speadsheet!$E$55:$BL$55))</f>
        <v>6940.0533461006507</v>
      </c>
      <c r="L9" s="377" cm="1">
        <f t="array" aca="1" ref="L9" ca="1">SUMPRODUCT(L$55:L$114,TRANSPOSE(SAP_Speadsheet!$E$55:$BL$55))</f>
        <v>5875.074065246049</v>
      </c>
      <c r="M9" s="377" cm="1">
        <f t="array" aca="1" ref="M9" ca="1">SUMPRODUCT(M$55:M$114,TRANSPOSE(SAP_Speadsheet!$E$55:$BL$55))</f>
        <v>4974.7252433776857</v>
      </c>
      <c r="N9" s="377" cm="1">
        <f t="array" aca="1" ref="N9" ca="1">SUMPRODUCT(N$55:N$114,TRANSPOSE(SAP_Speadsheet!$E$55:$BL$55))</f>
        <v>4290.8235180984266</v>
      </c>
      <c r="O9" s="377" cm="1">
        <f t="array" aca="1" ref="O9" ca="1">SUMPRODUCT(O$55:O$114,TRANSPOSE(SAP_Speadsheet!$E$55:$BL$55))</f>
        <v>3651.4728377369261</v>
      </c>
      <c r="P9" s="377" cm="1">
        <f t="array" aca="1" ref="P9" ca="1">SUMPRODUCT(P$55:P$114,TRANSPOSE(SAP_Speadsheet!$E$55:$BL$55))</f>
        <v>3060.9691386145628</v>
      </c>
      <c r="Q9" s="377" cm="1">
        <f t="array" aca="1" ref="Q9" ca="1">SUMPRODUCT(Q$55:Q$114,TRANSPOSE(SAP_Speadsheet!$E$55:$BL$55))</f>
        <v>2516.8101989280703</v>
      </c>
      <c r="R9" s="377" cm="1">
        <f t="array" aca="1" ref="R9" ca="1">SUMPRODUCT(R$55:R$114,TRANSPOSE(SAP_Speadsheet!$E$55:$BL$55))</f>
        <v>2011.5839504194723</v>
      </c>
      <c r="S9" s="377" cm="1">
        <f t="array" aca="1" ref="S9" ca="1">SUMPRODUCT(S$55:S$114,TRANSPOSE(SAP_Speadsheet!$E$55:$BL$55))</f>
        <v>1539.1642934067399</v>
      </c>
      <c r="T9" s="377" cm="1">
        <f t="array" aca="1" ref="T9" ca="1">SUMPRODUCT(T$55:T$114,TRANSPOSE(SAP_Speadsheet!$E$55:$BL$55))</f>
        <v>1100.0453068294451</v>
      </c>
      <c r="U9" s="377" cm="1">
        <f t="array" aca="1" ref="U9" ca="1">SUMPRODUCT(U$55:U$114,TRANSPOSE(SAP_Speadsheet!$E$55:$BL$55))</f>
        <v>690.31119327048589</v>
      </c>
      <c r="V9" s="377" cm="1">
        <f t="array" aca="1" ref="V9" ca="1">SUMPRODUCT(V$55:V$114,TRANSPOSE(SAP_Speadsheet!$E$55:$BL$55))</f>
        <v>314.58593824186789</v>
      </c>
      <c r="W9" s="377" cm="1">
        <f t="array" aca="1" ref="W9" ca="1">SUMPRODUCT(W$55:W$114,TRANSPOSE(SAP_Speadsheet!$E$55:$BL$55))</f>
        <v>80.231963376213486</v>
      </c>
      <c r="X9" s="377" cm="1">
        <f t="array" aca="1" ref="X9" ca="1">SUMPRODUCT(X$55:X$114,TRANSPOSE(SAP_Speadsheet!$E$55:$BL$55))</f>
        <v>-24.962595523798335</v>
      </c>
      <c r="Y9" s="377" cm="1">
        <f t="array" aca="1" ref="Y9" ca="1">SUMPRODUCT(Y$55:Y$114,TRANSPOSE(SAP_Speadsheet!$E$55:$BL$55))</f>
        <v>-17.735261408821884</v>
      </c>
      <c r="Z9" s="377" cm="1">
        <f t="array" aca="1" ref="Z9" ca="1">SUMPRODUCT(Z$55:Z$114,TRANSPOSE(SAP_Speadsheet!$E$55:$BL$55))</f>
        <v>-11.141437731294378</v>
      </c>
      <c r="AA9" s="377" cm="1">
        <f t="array" aca="1" ref="AA9" ca="1">SUMPRODUCT(AA$55:AA$114,TRANSPOSE(SAP_Speadsheet!$E$55:$BL$55))</f>
        <v>-6.0399303210311999</v>
      </c>
      <c r="AB9" s="377" cm="1">
        <f t="array" aca="1" ref="AB9" ca="1">SUMPRODUCT(AB$55:AB$114,TRANSPOSE(SAP_Speadsheet!$E$55:$BL$55))</f>
        <v>-2.5106206545725627</v>
      </c>
      <c r="AC9" s="377" cm="1">
        <f t="array" aca="1" ref="AC9" ca="1">SUMPRODUCT(AC$55:AC$114,TRANSPOSE(SAP_Speadsheet!$E$55:$BL$55))</f>
        <v>-0.61412471846357974</v>
      </c>
      <c r="AD9" s="377" cm="1">
        <f t="array" aca="1" ref="AD9" ca="1">SUMPRODUCT(AD$55:AD$114,TRANSPOSE(SAP_Speadsheet!$E$55:$BL$55))</f>
        <v>0</v>
      </c>
      <c r="AE9" s="377" cm="1">
        <f t="array" aca="1" ref="AE9" ca="1">SUMPRODUCT(AE$55:AE$114,TRANSPOSE(SAP_Speadsheet!$E$55:$BL$55))</f>
        <v>0</v>
      </c>
      <c r="AF9" s="377" cm="1">
        <f t="array" aca="1" ref="AF9" ca="1">SUMPRODUCT(AF$55:AF$114,TRANSPOSE(SAP_Speadsheet!$E$55:$BL$55))</f>
        <v>0</v>
      </c>
      <c r="AG9" s="377" cm="1">
        <f t="array" aca="1" ref="AG9" ca="1">SUMPRODUCT(AG$55:AG$114,TRANSPOSE(SAP_Speadsheet!$E$55:$BL$55))</f>
        <v>0</v>
      </c>
      <c r="AH9" s="377" cm="1">
        <f t="array" aca="1" ref="AH9" ca="1">SUMPRODUCT(AH$55:AH$114,TRANSPOSE(SAP_Speadsheet!$E$55:$BL$55))</f>
        <v>0</v>
      </c>
      <c r="AI9" s="377" cm="1">
        <f t="array" aca="1" ref="AI9" ca="1">SUMPRODUCT(AI$55:AI$114,TRANSPOSE(SAP_Speadsheet!$E$55:$BL$55))</f>
        <v>0</v>
      </c>
      <c r="AJ9" s="377" cm="1">
        <f t="array" aca="1" ref="AJ9" ca="1">SUMPRODUCT(AJ$55:AJ$114,TRANSPOSE(SAP_Speadsheet!$E$55:$BL$55))</f>
        <v>0</v>
      </c>
      <c r="AK9" s="377" cm="1">
        <f t="array" aca="1" ref="AK9" ca="1">SUMPRODUCT(AK$55:AK$114,TRANSPOSE(SAP_Speadsheet!$E$55:$BL$55))</f>
        <v>0</v>
      </c>
      <c r="AL9" s="377" cm="1">
        <f t="array" aca="1" ref="AL9" ca="1">SUMPRODUCT(AL$55:AL$114,TRANSPOSE(SAP_Speadsheet!$E$55:$BL$55))</f>
        <v>0</v>
      </c>
      <c r="AM9" s="377" cm="1">
        <f t="array" aca="1" ref="AM9" ca="1">SUMPRODUCT(AM$55:AM$114,TRANSPOSE(SAP_Speadsheet!$E$55:$BL$55))</f>
        <v>0</v>
      </c>
      <c r="AN9" s="377" cm="1">
        <f t="array" aca="1" ref="AN9" ca="1">SUMPRODUCT(AN$55:AN$114,TRANSPOSE(SAP_Speadsheet!$E$55:$BL$55))</f>
        <v>0</v>
      </c>
      <c r="AO9" s="377" cm="1">
        <f t="array" aca="1" ref="AO9" ca="1">SUMPRODUCT(AO$55:AO$114,TRANSPOSE(SAP_Speadsheet!$E$55:$BL$55))</f>
        <v>0</v>
      </c>
      <c r="AP9" s="377" cm="1">
        <f t="array" aca="1" ref="AP9" ca="1">SUMPRODUCT(AP$55:AP$114,TRANSPOSE(SAP_Speadsheet!$E$55:$BL$55))</f>
        <v>0</v>
      </c>
      <c r="AQ9" s="377" cm="1">
        <f t="array" aca="1" ref="AQ9" ca="1">SUMPRODUCT(AQ$55:AQ$114,TRANSPOSE(SAP_Speadsheet!$E$55:$BL$55))</f>
        <v>0</v>
      </c>
      <c r="AR9" s="377" cm="1">
        <f t="array" aca="1" ref="AR9" ca="1">SUMPRODUCT(AR$55:AR$114,TRANSPOSE(SAP_Speadsheet!$E$55:$BL$55))</f>
        <v>0</v>
      </c>
      <c r="AS9" s="377" cm="1">
        <f t="array" aca="1" ref="AS9" ca="1">SUMPRODUCT(AS$55:AS$114,TRANSPOSE(SAP_Speadsheet!$E$55:$BL$55))</f>
        <v>0</v>
      </c>
      <c r="AT9" s="377" cm="1">
        <f t="array" aca="1" ref="AT9" ca="1">SUMPRODUCT(AT$55:AT$114,TRANSPOSE(SAP_Speadsheet!$E$55:$BL$55))</f>
        <v>0</v>
      </c>
      <c r="AU9" s="377" cm="1">
        <f t="array" aca="1" ref="AU9" ca="1">SUMPRODUCT(AU$55:AU$114,TRANSPOSE(SAP_Speadsheet!$E$55:$BL$55))</f>
        <v>0</v>
      </c>
      <c r="AV9" s="377" cm="1">
        <f t="array" aca="1" ref="AV9" ca="1">SUMPRODUCT(AV$55:AV$114,TRANSPOSE(SAP_Speadsheet!$E$55:$BL$55))</f>
        <v>0</v>
      </c>
      <c r="AW9" s="377" cm="1">
        <f t="array" aca="1" ref="AW9" ca="1">SUMPRODUCT(AW$55:AW$114,TRANSPOSE(SAP_Speadsheet!$E$55:$BL$55))</f>
        <v>0</v>
      </c>
      <c r="AX9" s="377" cm="1">
        <f t="array" aca="1" ref="AX9" ca="1">SUMPRODUCT(AX$55:AX$114,TRANSPOSE(SAP_Speadsheet!$E$55:$BL$55))</f>
        <v>0</v>
      </c>
      <c r="AY9" s="377" cm="1">
        <f t="array" aca="1" ref="AY9" ca="1">SUMPRODUCT(AY$55:AY$114,TRANSPOSE(SAP_Speadsheet!$E$55:$BL$55))</f>
        <v>0</v>
      </c>
      <c r="AZ9" s="377" cm="1">
        <f t="array" aca="1" ref="AZ9" ca="1">SUMPRODUCT(AZ$55:AZ$114,TRANSPOSE(SAP_Speadsheet!$E$55:$BL$55))</f>
        <v>0</v>
      </c>
      <c r="BA9" s="377" cm="1">
        <f t="array" aca="1" ref="BA9" ca="1">SUMPRODUCT(BA$55:BA$114,TRANSPOSE(SAP_Speadsheet!$E$55:$BL$55))</f>
        <v>0</v>
      </c>
      <c r="BB9" s="377" cm="1">
        <f t="array" aca="1" ref="BB9" ca="1">SUMPRODUCT(BB$55:BB$114,TRANSPOSE(SAP_Speadsheet!$E$55:$BL$55))</f>
        <v>0</v>
      </c>
      <c r="BC9" s="377" cm="1">
        <f t="array" aca="1" ref="BC9" ca="1">SUMPRODUCT(BC$55:BC$114,TRANSPOSE(SAP_Speadsheet!$E$55:$BL$55))</f>
        <v>0</v>
      </c>
      <c r="BD9" s="377" cm="1">
        <f t="array" aca="1" ref="BD9" ca="1">SUMPRODUCT(BD$55:BD$114,TRANSPOSE(SAP_Speadsheet!$E$55:$BL$55))</f>
        <v>0</v>
      </c>
      <c r="BE9" s="377" cm="1">
        <f t="array" aca="1" ref="BE9" ca="1">SUMPRODUCT(BE$55:BE$114,TRANSPOSE(SAP_Speadsheet!$E$55:$BL$55))</f>
        <v>0</v>
      </c>
      <c r="BF9" s="377" cm="1">
        <f t="array" aca="1" ref="BF9" ca="1">SUMPRODUCT(BF$55:BF$114,TRANSPOSE(SAP_Speadsheet!$E$55:$BL$55))</f>
        <v>0</v>
      </c>
      <c r="BG9" s="377" cm="1">
        <f t="array" aca="1" ref="BG9" ca="1">SUMPRODUCT(BG$55:BG$114,TRANSPOSE(SAP_Speadsheet!$E$55:$BL$55))</f>
        <v>0</v>
      </c>
      <c r="BH9" s="377" cm="1">
        <f t="array" aca="1" ref="BH9" ca="1">SUMPRODUCT(BH$55:BH$114,TRANSPOSE(SAP_Speadsheet!$E$55:$BL$55))</f>
        <v>0</v>
      </c>
      <c r="BI9" s="377" cm="1">
        <f t="array" aca="1" ref="BI9" ca="1">SUMPRODUCT(BI$55:BI$114,TRANSPOSE(SAP_Speadsheet!$E$55:$BL$55))</f>
        <v>0</v>
      </c>
    </row>
    <row r="10" spans="1:61" s="380" customFormat="1" x14ac:dyDescent="0.15">
      <c r="A10" s="378" t="s">
        <v>478</v>
      </c>
      <c r="B10" s="379">
        <f t="shared" ref="B10:BI10" ca="1" si="2">B9-B11-B14</f>
        <v>0</v>
      </c>
      <c r="C10" s="379">
        <f t="shared" ca="1" si="2"/>
        <v>0</v>
      </c>
      <c r="D10" s="379">
        <f t="shared" ca="1" si="2"/>
        <v>0</v>
      </c>
      <c r="E10" s="379">
        <f t="shared" ca="1" si="2"/>
        <v>0</v>
      </c>
      <c r="F10" s="379">
        <f t="shared" ca="1" si="2"/>
        <v>0</v>
      </c>
      <c r="G10" s="379">
        <f t="shared" ca="1" si="2"/>
        <v>0</v>
      </c>
      <c r="H10" s="379">
        <f t="shared" ca="1" si="2"/>
        <v>0</v>
      </c>
      <c r="I10" s="379">
        <f t="shared" ca="1" si="2"/>
        <v>0</v>
      </c>
      <c r="J10" s="379">
        <f t="shared" ca="1" si="2"/>
        <v>0</v>
      </c>
      <c r="K10" s="379">
        <f t="shared" ca="1" si="2"/>
        <v>-7.9580786405131221E-13</v>
      </c>
      <c r="L10" s="379">
        <f t="shared" ca="1" si="2"/>
        <v>-4.2632564145606011E-13</v>
      </c>
      <c r="M10" s="379">
        <f t="shared" ca="1" si="2"/>
        <v>2.8421709430404007E-13</v>
      </c>
      <c r="N10" s="379">
        <f t="shared" ca="1" si="2"/>
        <v>-6.5369931689929217E-13</v>
      </c>
      <c r="O10" s="379">
        <f t="shared" ca="1" si="2"/>
        <v>-2.7000623958883807E-13</v>
      </c>
      <c r="P10" s="379">
        <f t="shared" ca="1" si="2"/>
        <v>1.9895196601282805E-13</v>
      </c>
      <c r="Q10" s="379">
        <f t="shared" ca="1" si="2"/>
        <v>-1.7053025658242404E-13</v>
      </c>
      <c r="R10" s="379">
        <f t="shared" ca="1" si="2"/>
        <v>-9.9475983006414026E-14</v>
      </c>
      <c r="S10" s="379">
        <f t="shared" ca="1" si="2"/>
        <v>1.2079226507921703E-13</v>
      </c>
      <c r="T10" s="379">
        <f t="shared" ca="1" si="2"/>
        <v>0</v>
      </c>
      <c r="U10" s="379">
        <f t="shared" ca="1" si="2"/>
        <v>2.8421709430404007E-14</v>
      </c>
      <c r="V10" s="379">
        <f t="shared" ca="1" si="2"/>
        <v>0</v>
      </c>
      <c r="W10" s="379">
        <f t="shared" ca="1" si="2"/>
        <v>0</v>
      </c>
      <c r="X10" s="379">
        <f t="shared" ca="1" si="2"/>
        <v>0</v>
      </c>
      <c r="Y10" s="379">
        <f t="shared" ca="1" si="2"/>
        <v>0</v>
      </c>
      <c r="Z10" s="379">
        <f t="shared" ca="1" si="2"/>
        <v>0</v>
      </c>
      <c r="AA10" s="379">
        <f t="shared" ca="1" si="2"/>
        <v>0</v>
      </c>
      <c r="AB10" s="379">
        <f t="shared" ca="1" si="2"/>
        <v>0</v>
      </c>
      <c r="AC10" s="379">
        <f t="shared" ca="1" si="2"/>
        <v>0</v>
      </c>
      <c r="AD10" s="379">
        <f t="shared" ca="1" si="2"/>
        <v>0</v>
      </c>
      <c r="AE10" s="379">
        <f t="shared" ca="1" si="2"/>
        <v>0</v>
      </c>
      <c r="AF10" s="379">
        <f t="shared" ca="1" si="2"/>
        <v>0</v>
      </c>
      <c r="AG10" s="379">
        <f t="shared" ca="1" si="2"/>
        <v>0</v>
      </c>
      <c r="AH10" s="379">
        <f t="shared" ca="1" si="2"/>
        <v>0</v>
      </c>
      <c r="AI10" s="379">
        <f t="shared" ca="1" si="2"/>
        <v>0</v>
      </c>
      <c r="AJ10" s="379">
        <f t="shared" ca="1" si="2"/>
        <v>0</v>
      </c>
      <c r="AK10" s="379">
        <f t="shared" ca="1" si="2"/>
        <v>0</v>
      </c>
      <c r="AL10" s="379">
        <f t="shared" ca="1" si="2"/>
        <v>0</v>
      </c>
      <c r="AM10" s="379">
        <f t="shared" ca="1" si="2"/>
        <v>0</v>
      </c>
      <c r="AN10" s="379">
        <f t="shared" ca="1" si="2"/>
        <v>0</v>
      </c>
      <c r="AO10" s="379">
        <f t="shared" ca="1" si="2"/>
        <v>0</v>
      </c>
      <c r="AP10" s="379">
        <f t="shared" ca="1" si="2"/>
        <v>0</v>
      </c>
      <c r="AQ10" s="379">
        <f t="shared" ca="1" si="2"/>
        <v>0</v>
      </c>
      <c r="AR10" s="379">
        <f t="shared" ca="1" si="2"/>
        <v>0</v>
      </c>
      <c r="AS10" s="379">
        <f t="shared" ca="1" si="2"/>
        <v>0</v>
      </c>
      <c r="AT10" s="379">
        <f t="shared" ca="1" si="2"/>
        <v>0</v>
      </c>
      <c r="AU10" s="379">
        <f t="shared" ca="1" si="2"/>
        <v>0</v>
      </c>
      <c r="AV10" s="379">
        <f t="shared" ca="1" si="2"/>
        <v>0</v>
      </c>
      <c r="AW10" s="379">
        <f t="shared" ca="1" si="2"/>
        <v>0</v>
      </c>
      <c r="AX10" s="379">
        <f t="shared" ca="1" si="2"/>
        <v>0</v>
      </c>
      <c r="AY10" s="379">
        <f t="shared" ca="1" si="2"/>
        <v>0</v>
      </c>
      <c r="AZ10" s="379">
        <f t="shared" ca="1" si="2"/>
        <v>0</v>
      </c>
      <c r="BA10" s="379">
        <f t="shared" ca="1" si="2"/>
        <v>0</v>
      </c>
      <c r="BB10" s="379">
        <f t="shared" ca="1" si="2"/>
        <v>0</v>
      </c>
      <c r="BC10" s="379">
        <f t="shared" ca="1" si="2"/>
        <v>0</v>
      </c>
      <c r="BD10" s="379">
        <f t="shared" ca="1" si="2"/>
        <v>0</v>
      </c>
      <c r="BE10" s="379">
        <f t="shared" ca="1" si="2"/>
        <v>0</v>
      </c>
      <c r="BF10" s="379">
        <f t="shared" ca="1" si="2"/>
        <v>0</v>
      </c>
      <c r="BG10" s="379">
        <f t="shared" ca="1" si="2"/>
        <v>0</v>
      </c>
      <c r="BH10" s="379">
        <f t="shared" ca="1" si="2"/>
        <v>0</v>
      </c>
      <c r="BI10" s="379">
        <f t="shared" ca="1" si="2"/>
        <v>0</v>
      </c>
    </row>
    <row r="11" spans="1:61" s="370" customFormat="1" x14ac:dyDescent="0.15">
      <c r="A11" s="370" t="s">
        <v>273</v>
      </c>
      <c r="B11" s="377" cm="1">
        <f t="array" aca="1" ref="B11" ca="1">SUMPRODUCT(B$55:B$114,TRANSPOSE(SAP_Speadsheet!$E$57:$BL$57))</f>
        <v>0</v>
      </c>
      <c r="C11" s="377" cm="1">
        <f t="array" aca="1" ref="C11" ca="1">SUMPRODUCT(C$55:C$114,TRANSPOSE(SAP_Speadsheet!$E$57:$BL$57))</f>
        <v>0</v>
      </c>
      <c r="D11" s="377" cm="1">
        <f t="array" aca="1" ref="D11" ca="1">SUMPRODUCT(D$55:D$114,TRANSPOSE(SAP_Speadsheet!$E$57:$BL$57))</f>
        <v>0</v>
      </c>
      <c r="E11" s="377" cm="1">
        <f t="array" aca="1" ref="E11" ca="1">SUMPRODUCT(E$55:E$114,TRANSPOSE(SAP_Speadsheet!$E$57:$BL$57))</f>
        <v>0</v>
      </c>
      <c r="F11" s="377" cm="1">
        <f t="array" aca="1" ref="F11" ca="1">SUMPRODUCT(F$55:F$114,TRANSPOSE(SAP_Speadsheet!$E$57:$BL$57))</f>
        <v>0</v>
      </c>
      <c r="G11" s="377" cm="1">
        <f t="array" aca="1" ref="G11" ca="1">SUMPRODUCT(G$55:G$114,TRANSPOSE(SAP_Speadsheet!$E$57:$BL$57))</f>
        <v>0</v>
      </c>
      <c r="H11" s="377" cm="1">
        <f t="array" aca="1" ref="H11" ca="1">SUMPRODUCT(H$55:H$114,TRANSPOSE(SAP_Speadsheet!$E$57:$BL$57))</f>
        <v>3192.0742445554033</v>
      </c>
      <c r="I11" s="377" cm="1">
        <f t="array" aca="1" ref="I11" ca="1">SUMPRODUCT(I$55:I$114,TRANSPOSE(SAP_Speadsheet!$E$57:$BL$57))</f>
        <v>5724.193548713054</v>
      </c>
      <c r="J11" s="377" cm="1">
        <f t="array" aca="1" ref="J11" ca="1">SUMPRODUCT(J$55:J$114,TRANSPOSE(SAP_Speadsheet!$E$57:$BL$57))</f>
        <v>7856.1568864087167</v>
      </c>
      <c r="K11" s="377" cm="1">
        <f t="array" aca="1" ref="K11" ca="1">SUMPRODUCT(K$55:K$114,TRANSPOSE(SAP_Speadsheet!$E$57:$BL$57))</f>
        <v>6629.2437855357493</v>
      </c>
      <c r="L11" s="377" cm="1">
        <f t="array" aca="1" ref="L11" ca="1">SUMPRODUCT(L$55:L$114,TRANSPOSE(SAP_Speadsheet!$E$57:$BL$57))</f>
        <v>5658.2172035719523</v>
      </c>
      <c r="M11" s="377" cm="1">
        <f t="array" aca="1" ref="M11" ca="1">SUMPRODUCT(M$55:M$114,TRANSPOSE(SAP_Speadsheet!$E$57:$BL$57))</f>
        <v>4844.1922981792313</v>
      </c>
      <c r="N11" s="377" cm="1">
        <f t="array" aca="1" ref="N11" ca="1">SUMPRODUCT(N$55:N$114,TRANSPOSE(SAP_Speadsheet!$E$57:$BL$57))</f>
        <v>4173.8435031885701</v>
      </c>
      <c r="O11" s="377" cm="1">
        <f t="array" aca="1" ref="O11" ca="1">SUMPRODUCT(O$55:O$114,TRANSPOSE(SAP_Speadsheet!$E$57:$BL$57))</f>
        <v>3547.975746910065</v>
      </c>
      <c r="P11" s="377" cm="1">
        <f t="array" aca="1" ref="P11" ca="1">SUMPRODUCT(P$55:P$114,TRANSPOSE(SAP_Speadsheet!$E$57:$BL$57))</f>
        <v>2970.8561820928671</v>
      </c>
      <c r="Q11" s="377" cm="1">
        <f t="array" aca="1" ref="Q11" ca="1">SUMPRODUCT(Q$55:Q$114,TRANSPOSE(SAP_Speadsheet!$E$57:$BL$57))</f>
        <v>2439.9841387323468</v>
      </c>
      <c r="R11" s="377" cm="1">
        <f t="array" aca="1" ref="R11" ca="1">SUMPRODUCT(R$55:R$114,TRANSPOSE(SAP_Speadsheet!$E$57:$BL$57))</f>
        <v>1947.9479066351519</v>
      </c>
      <c r="S11" s="377" cm="1">
        <f t="array" aca="1" ref="S11" ca="1">SUMPRODUCT(S$55:S$114,TRANSPOSE(SAP_Speadsheet!$E$57:$BL$57))</f>
        <v>1488.6199258284294</v>
      </c>
      <c r="T11" s="377" cm="1">
        <f t="array" aca="1" ref="T11" ca="1">SUMPRODUCT(T$55:T$114,TRANSPOSE(SAP_Speadsheet!$E$57:$BL$57))</f>
        <v>1062.4873229631294</v>
      </c>
      <c r="U11" s="377" cm="1">
        <f t="array" aca="1" ref="U11" ca="1">SUMPRODUCT(U$55:U$114,TRANSPOSE(SAP_Speadsheet!$E$57:$BL$57))</f>
        <v>669.81688398341726</v>
      </c>
      <c r="V11" s="377" cm="1">
        <f t="array" aca="1" ref="V11" ca="1">SUMPRODUCT(V$55:V$114,TRANSPOSE(SAP_Speadsheet!$E$57:$BL$57))</f>
        <v>306.47465446897348</v>
      </c>
      <c r="W11" s="377" cm="1">
        <f t="array" aca="1" ref="W11" ca="1">SUMPRODUCT(W$55:W$114,TRANSPOSE(SAP_Speadsheet!$E$57:$BL$57))</f>
        <v>80.231963376213486</v>
      </c>
      <c r="X11" s="377" cm="1">
        <f t="array" aca="1" ref="X11" ca="1">SUMPRODUCT(X$55:X$114,TRANSPOSE(SAP_Speadsheet!$E$57:$BL$57))</f>
        <v>-24.962595523798335</v>
      </c>
      <c r="Y11" s="377" cm="1">
        <f t="array" aca="1" ref="Y11" ca="1">SUMPRODUCT(Y$55:Y$114,TRANSPOSE(SAP_Speadsheet!$E$57:$BL$57))</f>
        <v>-17.735261408821884</v>
      </c>
      <c r="Z11" s="377" cm="1">
        <f t="array" aca="1" ref="Z11" ca="1">SUMPRODUCT(Z$55:Z$114,TRANSPOSE(SAP_Speadsheet!$E$57:$BL$57))</f>
        <v>-11.141437731294378</v>
      </c>
      <c r="AA11" s="377" cm="1">
        <f t="array" aca="1" ref="AA11" ca="1">SUMPRODUCT(AA$55:AA$114,TRANSPOSE(SAP_Speadsheet!$E$57:$BL$57))</f>
        <v>-6.0399303210311999</v>
      </c>
      <c r="AB11" s="377" cm="1">
        <f t="array" aca="1" ref="AB11" ca="1">SUMPRODUCT(AB$55:AB$114,TRANSPOSE(SAP_Speadsheet!$E$57:$BL$57))</f>
        <v>-2.5106206545725627</v>
      </c>
      <c r="AC11" s="377" cm="1">
        <f t="array" aca="1" ref="AC11" ca="1">SUMPRODUCT(AC$55:AC$114,TRANSPOSE(SAP_Speadsheet!$E$57:$BL$57))</f>
        <v>-0.61412471846357974</v>
      </c>
      <c r="AD11" s="377" cm="1">
        <f t="array" aca="1" ref="AD11" ca="1">SUMPRODUCT(AD$55:AD$114,TRANSPOSE(SAP_Speadsheet!$E$57:$BL$57))</f>
        <v>0</v>
      </c>
      <c r="AE11" s="377" cm="1">
        <f t="array" aca="1" ref="AE11" ca="1">SUMPRODUCT(AE$55:AE$114,TRANSPOSE(SAP_Speadsheet!$E$57:$BL$57))</f>
        <v>0</v>
      </c>
      <c r="AF11" s="377" cm="1">
        <f t="array" aca="1" ref="AF11" ca="1">SUMPRODUCT(AF$55:AF$114,TRANSPOSE(SAP_Speadsheet!$E$57:$BL$57))</f>
        <v>0</v>
      </c>
      <c r="AG11" s="377" cm="1">
        <f t="array" aca="1" ref="AG11" ca="1">SUMPRODUCT(AG$55:AG$114,TRANSPOSE(SAP_Speadsheet!$E$57:$BL$57))</f>
        <v>0</v>
      </c>
      <c r="AH11" s="377" cm="1">
        <f t="array" aca="1" ref="AH11" ca="1">SUMPRODUCT(AH$55:AH$114,TRANSPOSE(SAP_Speadsheet!$E$57:$BL$57))</f>
        <v>0</v>
      </c>
      <c r="AI11" s="377" cm="1">
        <f t="array" aca="1" ref="AI11" ca="1">SUMPRODUCT(AI$55:AI$114,TRANSPOSE(SAP_Speadsheet!$E$57:$BL$57))</f>
        <v>0</v>
      </c>
      <c r="AJ11" s="377" cm="1">
        <f t="array" aca="1" ref="AJ11" ca="1">SUMPRODUCT(AJ$55:AJ$114,TRANSPOSE(SAP_Speadsheet!$E$57:$BL$57))</f>
        <v>0</v>
      </c>
      <c r="AK11" s="377" cm="1">
        <f t="array" aca="1" ref="AK11" ca="1">SUMPRODUCT(AK$55:AK$114,TRANSPOSE(SAP_Speadsheet!$E$57:$BL$57))</f>
        <v>0</v>
      </c>
      <c r="AL11" s="377" cm="1">
        <f t="array" aca="1" ref="AL11" ca="1">SUMPRODUCT(AL$55:AL$114,TRANSPOSE(SAP_Speadsheet!$E$57:$BL$57))</f>
        <v>0</v>
      </c>
      <c r="AM11" s="377" cm="1">
        <f t="array" aca="1" ref="AM11" ca="1">SUMPRODUCT(AM$55:AM$114,TRANSPOSE(SAP_Speadsheet!$E$57:$BL$57))</f>
        <v>0</v>
      </c>
      <c r="AN11" s="377" cm="1">
        <f t="array" aca="1" ref="AN11" ca="1">SUMPRODUCT(AN$55:AN$114,TRANSPOSE(SAP_Speadsheet!$E$57:$BL$57))</f>
        <v>0</v>
      </c>
      <c r="AO11" s="377" cm="1">
        <f t="array" aca="1" ref="AO11" ca="1">SUMPRODUCT(AO$55:AO$114,TRANSPOSE(SAP_Speadsheet!$E$57:$BL$57))</f>
        <v>0</v>
      </c>
      <c r="AP11" s="377" cm="1">
        <f t="array" aca="1" ref="AP11" ca="1">SUMPRODUCT(AP$55:AP$114,TRANSPOSE(SAP_Speadsheet!$E$57:$BL$57))</f>
        <v>0</v>
      </c>
      <c r="AQ11" s="377" cm="1">
        <f t="array" aca="1" ref="AQ11" ca="1">SUMPRODUCT(AQ$55:AQ$114,TRANSPOSE(SAP_Speadsheet!$E$57:$BL$57))</f>
        <v>0</v>
      </c>
      <c r="AR11" s="377" cm="1">
        <f t="array" aca="1" ref="AR11" ca="1">SUMPRODUCT(AR$55:AR$114,TRANSPOSE(SAP_Speadsheet!$E$57:$BL$57))</f>
        <v>0</v>
      </c>
      <c r="AS11" s="377" cm="1">
        <f t="array" aca="1" ref="AS11" ca="1">SUMPRODUCT(AS$55:AS$114,TRANSPOSE(SAP_Speadsheet!$E$57:$BL$57))</f>
        <v>0</v>
      </c>
      <c r="AT11" s="377" cm="1">
        <f t="array" aca="1" ref="AT11" ca="1">SUMPRODUCT(AT$55:AT$114,TRANSPOSE(SAP_Speadsheet!$E$57:$BL$57))</f>
        <v>0</v>
      </c>
      <c r="AU11" s="377" cm="1">
        <f t="array" aca="1" ref="AU11" ca="1">SUMPRODUCT(AU$55:AU$114,TRANSPOSE(SAP_Speadsheet!$E$57:$BL$57))</f>
        <v>0</v>
      </c>
      <c r="AV11" s="377" cm="1">
        <f t="array" aca="1" ref="AV11" ca="1">SUMPRODUCT(AV$55:AV$114,TRANSPOSE(SAP_Speadsheet!$E$57:$BL$57))</f>
        <v>0</v>
      </c>
      <c r="AW11" s="377" cm="1">
        <f t="array" aca="1" ref="AW11" ca="1">SUMPRODUCT(AW$55:AW$114,TRANSPOSE(SAP_Speadsheet!$E$57:$BL$57))</f>
        <v>0</v>
      </c>
      <c r="AX11" s="377" cm="1">
        <f t="array" aca="1" ref="AX11" ca="1">SUMPRODUCT(AX$55:AX$114,TRANSPOSE(SAP_Speadsheet!$E$57:$BL$57))</f>
        <v>0</v>
      </c>
      <c r="AY11" s="377" cm="1">
        <f t="array" aca="1" ref="AY11" ca="1">SUMPRODUCT(AY$55:AY$114,TRANSPOSE(SAP_Speadsheet!$E$57:$BL$57))</f>
        <v>0</v>
      </c>
      <c r="AZ11" s="377" cm="1">
        <f t="array" aca="1" ref="AZ11" ca="1">SUMPRODUCT(AZ$55:AZ$114,TRANSPOSE(SAP_Speadsheet!$E$57:$BL$57))</f>
        <v>0</v>
      </c>
      <c r="BA11" s="377" cm="1">
        <f t="array" aca="1" ref="BA11" ca="1">SUMPRODUCT(BA$55:BA$114,TRANSPOSE(SAP_Speadsheet!$E$57:$BL$57))</f>
        <v>0</v>
      </c>
      <c r="BB11" s="377" cm="1">
        <f t="array" aca="1" ref="BB11" ca="1">SUMPRODUCT(BB$55:BB$114,TRANSPOSE(SAP_Speadsheet!$E$57:$BL$57))</f>
        <v>0</v>
      </c>
      <c r="BC11" s="377" cm="1">
        <f t="array" aca="1" ref="BC11" ca="1">SUMPRODUCT(BC$55:BC$114,TRANSPOSE(SAP_Speadsheet!$E$57:$BL$57))</f>
        <v>0</v>
      </c>
      <c r="BD11" s="377" cm="1">
        <f t="array" aca="1" ref="BD11" ca="1">SUMPRODUCT(BD$55:BD$114,TRANSPOSE(SAP_Speadsheet!$E$57:$BL$57))</f>
        <v>0</v>
      </c>
      <c r="BE11" s="377" cm="1">
        <f t="array" aca="1" ref="BE11" ca="1">SUMPRODUCT(BE$55:BE$114,TRANSPOSE(SAP_Speadsheet!$E$57:$BL$57))</f>
        <v>0</v>
      </c>
      <c r="BF11" s="377" cm="1">
        <f t="array" aca="1" ref="BF11" ca="1">SUMPRODUCT(BF$55:BF$114,TRANSPOSE(SAP_Speadsheet!$E$57:$BL$57))</f>
        <v>0</v>
      </c>
      <c r="BG11" s="377" cm="1">
        <f t="array" aca="1" ref="BG11" ca="1">SUMPRODUCT(BG$55:BG$114,TRANSPOSE(SAP_Speadsheet!$E$57:$BL$57))</f>
        <v>0</v>
      </c>
      <c r="BH11" s="377" cm="1">
        <f t="array" aca="1" ref="BH11" ca="1">SUMPRODUCT(BH$55:BH$114,TRANSPOSE(SAP_Speadsheet!$E$57:$BL$57))</f>
        <v>0</v>
      </c>
      <c r="BI11" s="377" cm="1">
        <f t="array" aca="1" ref="BI11" ca="1">SUMPRODUCT(BI$55:BI$114,TRANSPOSE(SAP_Speadsheet!$E$57:$BL$57))</f>
        <v>0</v>
      </c>
    </row>
    <row r="12" spans="1:61" x14ac:dyDescent="0.15">
      <c r="A12" s="381" t="s">
        <v>287</v>
      </c>
      <c r="B12" s="382" cm="1">
        <f t="array" aca="1" ref="B12" ca="1">SUMPRODUCT(B$55:B$114,TRANSPOSE(SAP_Speadsheet!$E$58:$BL$58))</f>
        <v>0</v>
      </c>
      <c r="C12" s="382" cm="1">
        <f t="array" aca="1" ref="C12" ca="1">SUMPRODUCT(C$55:C$114,TRANSPOSE(SAP_Speadsheet!$E$58:$BL$58))</f>
        <v>0</v>
      </c>
      <c r="D12" s="382" cm="1">
        <f t="array" aca="1" ref="D12" ca="1">SUMPRODUCT(D$55:D$114,TRANSPOSE(SAP_Speadsheet!$E$58:$BL$58))</f>
        <v>0</v>
      </c>
      <c r="E12" s="382" cm="1">
        <f t="array" aca="1" ref="E12" ca="1">SUMPRODUCT(E$55:E$114,TRANSPOSE(SAP_Speadsheet!$E$58:$BL$58))</f>
        <v>0</v>
      </c>
      <c r="F12" s="382" cm="1">
        <f t="array" aca="1" ref="F12" ca="1">SUMPRODUCT(F$55:F$114,TRANSPOSE(SAP_Speadsheet!$E$58:$BL$58))</f>
        <v>0</v>
      </c>
      <c r="G12" s="382" cm="1">
        <f t="array" aca="1" ref="G12" ca="1">SUMPRODUCT(G$55:G$114,TRANSPOSE(SAP_Speadsheet!$E$58:$BL$58))</f>
        <v>0</v>
      </c>
      <c r="H12" s="382" cm="1">
        <f t="array" aca="1" ref="H12" ca="1">SUMPRODUCT(H$55:H$114,TRANSPOSE(SAP_Speadsheet!$E$58:$BL$58))</f>
        <v>3674.1536767480511</v>
      </c>
      <c r="I12" s="382" cm="1">
        <f t="array" aca="1" ref="I12" ca="1">SUMPRODUCT(I$55:I$114,TRANSPOSE(SAP_Speadsheet!$E$58:$BL$58))</f>
        <v>6605.2128397813331</v>
      </c>
      <c r="J12" s="382" cm="1">
        <f t="array" aca="1" ref="J12" ca="1">SUMPRODUCT(J$55:J$114,TRANSPOSE(SAP_Speadsheet!$E$58:$BL$58))</f>
        <v>9083.9084149139944</v>
      </c>
      <c r="K12" s="382" cm="1">
        <f t="array" aca="1" ref="K12" ca="1">SUMPRODUCT(K$55:K$114,TRANSPOSE(SAP_Speadsheet!$E$58:$BL$58))</f>
        <v>7711.3454591058562</v>
      </c>
      <c r="L12" s="382" cm="1">
        <f t="array" aca="1" ref="L12" ca="1">SUMPRODUCT(L$55:L$114,TRANSPOSE(SAP_Speadsheet!$E$58:$BL$58))</f>
        <v>6622.7963567693969</v>
      </c>
      <c r="M12" s="382" cm="1">
        <f t="array" aca="1" ref="M12" ca="1">SUMPRODUCT(M$55:M$114,TRANSPOSE(SAP_Speadsheet!$E$58:$BL$58))</f>
        <v>5711.1214721664001</v>
      </c>
      <c r="N12" s="382" cm="1">
        <f t="array" aca="1" ref="N12" ca="1">SUMPRODUCT(N$55:N$114,TRANSPOSE(SAP_Speadsheet!$E$58:$BL$58))</f>
        <v>4954.2373777984094</v>
      </c>
      <c r="O12" s="382" cm="1">
        <f t="array" aca="1" ref="O12" ca="1">SUMPRODUCT(O$55:O$114,TRANSPOSE(SAP_Speadsheet!$E$58:$BL$58))</f>
        <v>4239.4944786642791</v>
      </c>
      <c r="P12" s="382" cm="1">
        <f t="array" aca="1" ref="P12" ca="1">SUMPRODUCT(P$55:P$114,TRANSPOSE(SAP_Speadsheet!$E$58:$BL$58))</f>
        <v>3566.5650647268199</v>
      </c>
      <c r="Q12" s="382" cm="1">
        <f t="array" aca="1" ref="Q12" ca="1">SUMPRODUCT(Q$55:Q$114,TRANSPOSE(SAP_Speadsheet!$E$58:$BL$58))</f>
        <v>2934.9872270578539</v>
      </c>
      <c r="R12" s="382" cm="1">
        <f t="array" aca="1" ref="R12" ca="1">SUMPRODUCT(R$55:R$114,TRANSPOSE(SAP_Speadsheet!$E$58:$BL$58))</f>
        <v>2344.3365803650145</v>
      </c>
      <c r="S12" s="382" cm="1">
        <f t="array" aca="1" ref="S12" ca="1">SUMPRODUCT(S$55:S$114,TRANSPOSE(SAP_Speadsheet!$E$58:$BL$58))</f>
        <v>1794.2515691535182</v>
      </c>
      <c r="T12" s="382" cm="1">
        <f t="array" aca="1" ref="T12" ca="1">SUMPRODUCT(T$55:T$114,TRANSPOSE(SAP_Speadsheet!$E$58:$BL$58))</f>
        <v>1284.5434117066015</v>
      </c>
      <c r="U12" s="382" cm="1">
        <f t="array" aca="1" ref="U12" ca="1">SUMPRODUCT(U$55:U$114,TRANSPOSE(SAP_Speadsheet!$E$58:$BL$58))</f>
        <v>815.37664651072828</v>
      </c>
      <c r="V12" s="382" cm="1">
        <f t="array" aca="1" ref="V12" ca="1">SUMPRODUCT(V$55:V$114,TRANSPOSE(SAP_Speadsheet!$E$58:$BL$58))</f>
        <v>390.78275389402404</v>
      </c>
      <c r="W12" s="382" cm="1">
        <f t="array" aca="1" ref="W12" ca="1">SUMPRODUCT(W$55:W$114,TRANSPOSE(SAP_Speadsheet!$E$58:$BL$58))</f>
        <v>125.50649593662831</v>
      </c>
      <c r="X12" s="382" cm="1">
        <f t="array" aca="1" ref="X12" ca="1">SUMPRODUCT(X$55:X$114,TRANSPOSE(SAP_Speadsheet!$E$58:$BL$58))</f>
        <v>1.2944603047752832</v>
      </c>
      <c r="Y12" s="382" cm="1">
        <f t="array" aca="1" ref="Y12" ca="1">SUMPRODUCT(Y$55:Y$114,TRANSPOSE(SAP_Speadsheet!$E$58:$BL$58))</f>
        <v>0</v>
      </c>
      <c r="Z12" s="382" cm="1">
        <f t="array" aca="1" ref="Z12" ca="1">SUMPRODUCT(Z$55:Z$114,TRANSPOSE(SAP_Speadsheet!$E$58:$BL$58))</f>
        <v>0</v>
      </c>
      <c r="AA12" s="382" cm="1">
        <f t="array" aca="1" ref="AA12" ca="1">SUMPRODUCT(AA$55:AA$114,TRANSPOSE(SAP_Speadsheet!$E$58:$BL$58))</f>
        <v>0</v>
      </c>
      <c r="AB12" s="382" cm="1">
        <f t="array" aca="1" ref="AB12" ca="1">SUMPRODUCT(AB$55:AB$114,TRANSPOSE(SAP_Speadsheet!$E$58:$BL$58))</f>
        <v>0</v>
      </c>
      <c r="AC12" s="382" cm="1">
        <f t="array" aca="1" ref="AC12" ca="1">SUMPRODUCT(AC$55:AC$114,TRANSPOSE(SAP_Speadsheet!$E$58:$BL$58))</f>
        <v>0</v>
      </c>
      <c r="AD12" s="382" cm="1">
        <f t="array" aca="1" ref="AD12" ca="1">SUMPRODUCT(AD$55:AD$114,TRANSPOSE(SAP_Speadsheet!$E$58:$BL$58))</f>
        <v>0</v>
      </c>
      <c r="AE12" s="382" cm="1">
        <f t="array" aca="1" ref="AE12" ca="1">SUMPRODUCT(AE$55:AE$114,TRANSPOSE(SAP_Speadsheet!$E$58:$BL$58))</f>
        <v>0</v>
      </c>
      <c r="AF12" s="382" cm="1">
        <f t="array" aca="1" ref="AF12" ca="1">SUMPRODUCT(AF$55:AF$114,TRANSPOSE(SAP_Speadsheet!$E$58:$BL$58))</f>
        <v>0</v>
      </c>
      <c r="AG12" s="382" cm="1">
        <f t="array" aca="1" ref="AG12" ca="1">SUMPRODUCT(AG$55:AG$114,TRANSPOSE(SAP_Speadsheet!$E$58:$BL$58))</f>
        <v>0</v>
      </c>
      <c r="AH12" s="382" cm="1">
        <f t="array" aca="1" ref="AH12" ca="1">SUMPRODUCT(AH$55:AH$114,TRANSPOSE(SAP_Speadsheet!$E$58:$BL$58))</f>
        <v>0</v>
      </c>
      <c r="AI12" s="382" cm="1">
        <f t="array" aca="1" ref="AI12" ca="1">SUMPRODUCT(AI$55:AI$114,TRANSPOSE(SAP_Speadsheet!$E$58:$BL$58))</f>
        <v>0</v>
      </c>
      <c r="AJ12" s="382" cm="1">
        <f t="array" aca="1" ref="AJ12" ca="1">SUMPRODUCT(AJ$55:AJ$114,TRANSPOSE(SAP_Speadsheet!$E$58:$BL$58))</f>
        <v>0</v>
      </c>
      <c r="AK12" s="382" cm="1">
        <f t="array" aca="1" ref="AK12" ca="1">SUMPRODUCT(AK$55:AK$114,TRANSPOSE(SAP_Speadsheet!$E$58:$BL$58))</f>
        <v>0</v>
      </c>
      <c r="AL12" s="382" cm="1">
        <f t="array" aca="1" ref="AL12" ca="1">SUMPRODUCT(AL$55:AL$114,TRANSPOSE(SAP_Speadsheet!$E$58:$BL$58))</f>
        <v>0</v>
      </c>
      <c r="AM12" s="382" cm="1">
        <f t="array" aca="1" ref="AM12" ca="1">SUMPRODUCT(AM$55:AM$114,TRANSPOSE(SAP_Speadsheet!$E$58:$BL$58))</f>
        <v>0</v>
      </c>
      <c r="AN12" s="382" cm="1">
        <f t="array" aca="1" ref="AN12" ca="1">SUMPRODUCT(AN$55:AN$114,TRANSPOSE(SAP_Speadsheet!$E$58:$BL$58))</f>
        <v>0</v>
      </c>
      <c r="AO12" s="382" cm="1">
        <f t="array" aca="1" ref="AO12" ca="1">SUMPRODUCT(AO$55:AO$114,TRANSPOSE(SAP_Speadsheet!$E$58:$BL$58))</f>
        <v>0</v>
      </c>
      <c r="AP12" s="382" cm="1">
        <f t="array" aca="1" ref="AP12" ca="1">SUMPRODUCT(AP$55:AP$114,TRANSPOSE(SAP_Speadsheet!$E$58:$BL$58))</f>
        <v>0</v>
      </c>
      <c r="AQ12" s="382" cm="1">
        <f t="array" aca="1" ref="AQ12" ca="1">SUMPRODUCT(AQ$55:AQ$114,TRANSPOSE(SAP_Speadsheet!$E$58:$BL$58))</f>
        <v>0</v>
      </c>
      <c r="AR12" s="382" cm="1">
        <f t="array" aca="1" ref="AR12" ca="1">SUMPRODUCT(AR$55:AR$114,TRANSPOSE(SAP_Speadsheet!$E$58:$BL$58))</f>
        <v>0</v>
      </c>
      <c r="AS12" s="382" cm="1">
        <f t="array" aca="1" ref="AS12" ca="1">SUMPRODUCT(AS$55:AS$114,TRANSPOSE(SAP_Speadsheet!$E$58:$BL$58))</f>
        <v>0</v>
      </c>
      <c r="AT12" s="382" cm="1">
        <f t="array" aca="1" ref="AT12" ca="1">SUMPRODUCT(AT$55:AT$114,TRANSPOSE(SAP_Speadsheet!$E$58:$BL$58))</f>
        <v>0</v>
      </c>
      <c r="AU12" s="382" cm="1">
        <f t="array" aca="1" ref="AU12" ca="1">SUMPRODUCT(AU$55:AU$114,TRANSPOSE(SAP_Speadsheet!$E$58:$BL$58))</f>
        <v>0</v>
      </c>
      <c r="AV12" s="382" cm="1">
        <f t="array" aca="1" ref="AV12" ca="1">SUMPRODUCT(AV$55:AV$114,TRANSPOSE(SAP_Speadsheet!$E$58:$BL$58))</f>
        <v>0</v>
      </c>
      <c r="AW12" s="382" cm="1">
        <f t="array" aca="1" ref="AW12" ca="1">SUMPRODUCT(AW$55:AW$114,TRANSPOSE(SAP_Speadsheet!$E$58:$BL$58))</f>
        <v>0</v>
      </c>
      <c r="AX12" s="382" cm="1">
        <f t="array" aca="1" ref="AX12" ca="1">SUMPRODUCT(AX$55:AX$114,TRANSPOSE(SAP_Speadsheet!$E$58:$BL$58))</f>
        <v>0</v>
      </c>
      <c r="AY12" s="382" cm="1">
        <f t="array" aca="1" ref="AY12" ca="1">SUMPRODUCT(AY$55:AY$114,TRANSPOSE(SAP_Speadsheet!$E$58:$BL$58))</f>
        <v>0</v>
      </c>
      <c r="AZ12" s="382" cm="1">
        <f t="array" aca="1" ref="AZ12" ca="1">SUMPRODUCT(AZ$55:AZ$114,TRANSPOSE(SAP_Speadsheet!$E$58:$BL$58))</f>
        <v>0</v>
      </c>
      <c r="BA12" s="382" cm="1">
        <f t="array" aca="1" ref="BA12" ca="1">SUMPRODUCT(BA$55:BA$114,TRANSPOSE(SAP_Speadsheet!$E$58:$BL$58))</f>
        <v>0</v>
      </c>
      <c r="BB12" s="382" cm="1">
        <f t="array" aca="1" ref="BB12" ca="1">SUMPRODUCT(BB$55:BB$114,TRANSPOSE(SAP_Speadsheet!$E$58:$BL$58))</f>
        <v>0</v>
      </c>
      <c r="BC12" s="382" cm="1">
        <f t="array" aca="1" ref="BC12" ca="1">SUMPRODUCT(BC$55:BC$114,TRANSPOSE(SAP_Speadsheet!$E$58:$BL$58))</f>
        <v>0</v>
      </c>
      <c r="BD12" s="382" cm="1">
        <f t="array" aca="1" ref="BD12" ca="1">SUMPRODUCT(BD$55:BD$114,TRANSPOSE(SAP_Speadsheet!$E$58:$BL$58))</f>
        <v>0</v>
      </c>
      <c r="BE12" s="382" cm="1">
        <f t="array" aca="1" ref="BE12" ca="1">SUMPRODUCT(BE$55:BE$114,TRANSPOSE(SAP_Speadsheet!$E$58:$BL$58))</f>
        <v>0</v>
      </c>
      <c r="BF12" s="382" cm="1">
        <f t="array" aca="1" ref="BF12" ca="1">SUMPRODUCT(BF$55:BF$114,TRANSPOSE(SAP_Speadsheet!$E$58:$BL$58))</f>
        <v>0</v>
      </c>
      <c r="BG12" s="382" cm="1">
        <f t="array" aca="1" ref="BG12" ca="1">SUMPRODUCT(BG$55:BG$114,TRANSPOSE(SAP_Speadsheet!$E$58:$BL$58))</f>
        <v>0</v>
      </c>
      <c r="BH12" s="382" cm="1">
        <f t="array" aca="1" ref="BH12" ca="1">SUMPRODUCT(BH$55:BH$114,TRANSPOSE(SAP_Speadsheet!$E$58:$BL$58))</f>
        <v>0</v>
      </c>
      <c r="BI12" s="382" cm="1">
        <f t="array" aca="1" ref="BI12" ca="1">SUMPRODUCT(BI$55:BI$114,TRANSPOSE(SAP_Speadsheet!$E$58:$BL$58))</f>
        <v>0</v>
      </c>
    </row>
    <row r="13" spans="1:61" x14ac:dyDescent="0.15">
      <c r="A13" s="381" t="s">
        <v>289</v>
      </c>
      <c r="B13" s="382" cm="1">
        <f t="array" aca="1" ref="B13" ca="1">SUMPRODUCT(B$55:B$114,TRANSPOSE(SAP_Speadsheet!$E$59:$BL$59))</f>
        <v>0</v>
      </c>
      <c r="C13" s="382" cm="1">
        <f t="array" aca="1" ref="C13" ca="1">SUMPRODUCT(C$55:C$114,TRANSPOSE(SAP_Speadsheet!$E$59:$BL$59))</f>
        <v>0</v>
      </c>
      <c r="D13" s="382" cm="1">
        <f t="array" aca="1" ref="D13" ca="1">SUMPRODUCT(D$55:D$114,TRANSPOSE(SAP_Speadsheet!$E$59:$BL$59))</f>
        <v>0</v>
      </c>
      <c r="E13" s="382" cm="1">
        <f t="array" aca="1" ref="E13" ca="1">SUMPRODUCT(E$55:E$114,TRANSPOSE(SAP_Speadsheet!$E$59:$BL$59))</f>
        <v>0</v>
      </c>
      <c r="F13" s="382" cm="1">
        <f t="array" aca="1" ref="F13" ca="1">SUMPRODUCT(F$55:F$114,TRANSPOSE(SAP_Speadsheet!$E$59:$BL$59))</f>
        <v>0</v>
      </c>
      <c r="G13" s="382" cm="1">
        <f t="array" aca="1" ref="G13" ca="1">SUMPRODUCT(G$55:G$114,TRANSPOSE(SAP_Speadsheet!$E$59:$BL$59))</f>
        <v>0</v>
      </c>
      <c r="H13" s="382" cm="1">
        <f t="array" aca="1" ref="H13" ca="1">SUMPRODUCT(H$55:H$114,TRANSPOSE(SAP_Speadsheet!$E$59:$BL$59))</f>
        <v>-482.07943219264786</v>
      </c>
      <c r="I13" s="382" cm="1">
        <f t="array" aca="1" ref="I13" ca="1">SUMPRODUCT(I$55:I$114,TRANSPOSE(SAP_Speadsheet!$E$59:$BL$59))</f>
        <v>-881.01929106827924</v>
      </c>
      <c r="J13" s="382" cm="1">
        <f t="array" aca="1" ref="J13" ca="1">SUMPRODUCT(J$55:J$114,TRANSPOSE(SAP_Speadsheet!$E$59:$BL$59))</f>
        <v>-1227.7515285052768</v>
      </c>
      <c r="K13" s="382" cm="1">
        <f t="array" aca="1" ref="K13" ca="1">SUMPRODUCT(K$55:K$114,TRANSPOSE(SAP_Speadsheet!$E$59:$BL$59))</f>
        <v>-1082.1016735701069</v>
      </c>
      <c r="L13" s="382" cm="1">
        <f t="array" aca="1" ref="L13" ca="1">SUMPRODUCT(L$55:L$114,TRANSPOSE(SAP_Speadsheet!$E$59:$BL$59))</f>
        <v>-964.57915319744438</v>
      </c>
      <c r="M13" s="382" cm="1">
        <f t="array" aca="1" ref="M13" ca="1">SUMPRODUCT(M$55:M$114,TRANSPOSE(SAP_Speadsheet!$E$59:$BL$59))</f>
        <v>-866.92917398716907</v>
      </c>
      <c r="N13" s="382" cm="1">
        <f t="array" aca="1" ref="N13" ca="1">SUMPRODUCT(N$55:N$114,TRANSPOSE(SAP_Speadsheet!$E$59:$BL$59))</f>
        <v>-780.39387460983971</v>
      </c>
      <c r="O13" s="382" cm="1">
        <f t="array" aca="1" ref="O13" ca="1">SUMPRODUCT(O$55:O$114,TRANSPOSE(SAP_Speadsheet!$E$59:$BL$59))</f>
        <v>-691.51873175421474</v>
      </c>
      <c r="P13" s="382" cm="1">
        <f t="array" aca="1" ref="P13" ca="1">SUMPRODUCT(P$55:P$114,TRANSPOSE(SAP_Speadsheet!$E$59:$BL$59))</f>
        <v>-595.70888263395204</v>
      </c>
      <c r="Q13" s="382" cm="1">
        <f t="array" aca="1" ref="Q13" ca="1">SUMPRODUCT(Q$55:Q$114,TRANSPOSE(SAP_Speadsheet!$E$59:$BL$59))</f>
        <v>-495.00308832550741</v>
      </c>
      <c r="R13" s="382" cm="1">
        <f t="array" aca="1" ref="R13" ca="1">SUMPRODUCT(R$55:R$114,TRANSPOSE(SAP_Speadsheet!$E$59:$BL$59))</f>
        <v>-396.38867372986249</v>
      </c>
      <c r="S13" s="382" cm="1">
        <f t="array" aca="1" ref="S13" ca="1">SUMPRODUCT(S$55:S$114,TRANSPOSE(SAP_Speadsheet!$E$59:$BL$59))</f>
        <v>-305.63164332508865</v>
      </c>
      <c r="T13" s="382" cm="1">
        <f t="array" aca="1" ref="T13" ca="1">SUMPRODUCT(T$55:T$114,TRANSPOSE(SAP_Speadsheet!$E$59:$BL$59))</f>
        <v>-222.05608874347226</v>
      </c>
      <c r="U13" s="382" cm="1">
        <f t="array" aca="1" ref="U13" ca="1">SUMPRODUCT(U$55:U$114,TRANSPOSE(SAP_Speadsheet!$E$59:$BL$59))</f>
        <v>-145.55976252731105</v>
      </c>
      <c r="V13" s="382" cm="1">
        <f t="array" aca="1" ref="V13" ca="1">SUMPRODUCT(V$55:V$114,TRANSPOSE(SAP_Speadsheet!$E$59:$BL$59))</f>
        <v>-84.308099425050585</v>
      </c>
      <c r="W13" s="382" cm="1">
        <f t="array" aca="1" ref="W13" ca="1">SUMPRODUCT(W$55:W$114,TRANSPOSE(SAP_Speadsheet!$E$59:$BL$59))</f>
        <v>-45.274532560414819</v>
      </c>
      <c r="X13" s="382" cm="1">
        <f t="array" aca="1" ref="X13" ca="1">SUMPRODUCT(X$55:X$114,TRANSPOSE(SAP_Speadsheet!$E$59:$BL$59))</f>
        <v>-26.25705582857362</v>
      </c>
      <c r="Y13" s="382" cm="1">
        <f t="array" aca="1" ref="Y13" ca="1">SUMPRODUCT(Y$55:Y$114,TRANSPOSE(SAP_Speadsheet!$E$59:$BL$59))</f>
        <v>-17.735261408821884</v>
      </c>
      <c r="Z13" s="382" cm="1">
        <f t="array" aca="1" ref="Z13" ca="1">SUMPRODUCT(Z$55:Z$114,TRANSPOSE(SAP_Speadsheet!$E$59:$BL$59))</f>
        <v>-11.141437731294378</v>
      </c>
      <c r="AA13" s="382" cm="1">
        <f t="array" aca="1" ref="AA13" ca="1">SUMPRODUCT(AA$55:AA$114,TRANSPOSE(SAP_Speadsheet!$E$59:$BL$59))</f>
        <v>-6.0399303210311999</v>
      </c>
      <c r="AB13" s="382" cm="1">
        <f t="array" aca="1" ref="AB13" ca="1">SUMPRODUCT(AB$55:AB$114,TRANSPOSE(SAP_Speadsheet!$E$59:$BL$59))</f>
        <v>-2.5106206545725627</v>
      </c>
      <c r="AC13" s="382" cm="1">
        <f t="array" aca="1" ref="AC13" ca="1">SUMPRODUCT(AC$55:AC$114,TRANSPOSE(SAP_Speadsheet!$E$59:$BL$59))</f>
        <v>-0.61412471846357974</v>
      </c>
      <c r="AD13" s="382" cm="1">
        <f t="array" aca="1" ref="AD13" ca="1">SUMPRODUCT(AD$55:AD$114,TRANSPOSE(SAP_Speadsheet!$E$59:$BL$59))</f>
        <v>0</v>
      </c>
      <c r="AE13" s="382" cm="1">
        <f t="array" aca="1" ref="AE13" ca="1">SUMPRODUCT(AE$55:AE$114,TRANSPOSE(SAP_Speadsheet!$E$59:$BL$59))</f>
        <v>0</v>
      </c>
      <c r="AF13" s="382" cm="1">
        <f t="array" aca="1" ref="AF13" ca="1">SUMPRODUCT(AF$55:AF$114,TRANSPOSE(SAP_Speadsheet!$E$59:$BL$59))</f>
        <v>0</v>
      </c>
      <c r="AG13" s="382" cm="1">
        <f t="array" aca="1" ref="AG13" ca="1">SUMPRODUCT(AG$55:AG$114,TRANSPOSE(SAP_Speadsheet!$E$59:$BL$59))</f>
        <v>0</v>
      </c>
      <c r="AH13" s="382" cm="1">
        <f t="array" aca="1" ref="AH13" ca="1">SUMPRODUCT(AH$55:AH$114,TRANSPOSE(SAP_Speadsheet!$E$59:$BL$59))</f>
        <v>0</v>
      </c>
      <c r="AI13" s="382" cm="1">
        <f t="array" aca="1" ref="AI13" ca="1">SUMPRODUCT(AI$55:AI$114,TRANSPOSE(SAP_Speadsheet!$E$59:$BL$59))</f>
        <v>0</v>
      </c>
      <c r="AJ13" s="382" cm="1">
        <f t="array" aca="1" ref="AJ13" ca="1">SUMPRODUCT(AJ$55:AJ$114,TRANSPOSE(SAP_Speadsheet!$E$59:$BL$59))</f>
        <v>0</v>
      </c>
      <c r="AK13" s="382" cm="1">
        <f t="array" aca="1" ref="AK13" ca="1">SUMPRODUCT(AK$55:AK$114,TRANSPOSE(SAP_Speadsheet!$E$59:$BL$59))</f>
        <v>0</v>
      </c>
      <c r="AL13" s="382" cm="1">
        <f t="array" aca="1" ref="AL13" ca="1">SUMPRODUCT(AL$55:AL$114,TRANSPOSE(SAP_Speadsheet!$E$59:$BL$59))</f>
        <v>0</v>
      </c>
      <c r="AM13" s="382" cm="1">
        <f t="array" aca="1" ref="AM13" ca="1">SUMPRODUCT(AM$55:AM$114,TRANSPOSE(SAP_Speadsheet!$E$59:$BL$59))</f>
        <v>0</v>
      </c>
      <c r="AN13" s="382" cm="1">
        <f t="array" aca="1" ref="AN13" ca="1">SUMPRODUCT(AN$55:AN$114,TRANSPOSE(SAP_Speadsheet!$E$59:$BL$59))</f>
        <v>0</v>
      </c>
      <c r="AO13" s="382" cm="1">
        <f t="array" aca="1" ref="AO13" ca="1">SUMPRODUCT(AO$55:AO$114,TRANSPOSE(SAP_Speadsheet!$E$59:$BL$59))</f>
        <v>0</v>
      </c>
      <c r="AP13" s="382" cm="1">
        <f t="array" aca="1" ref="AP13" ca="1">SUMPRODUCT(AP$55:AP$114,TRANSPOSE(SAP_Speadsheet!$E$59:$BL$59))</f>
        <v>0</v>
      </c>
      <c r="AQ13" s="382" cm="1">
        <f t="array" aca="1" ref="AQ13" ca="1">SUMPRODUCT(AQ$55:AQ$114,TRANSPOSE(SAP_Speadsheet!$E$59:$BL$59))</f>
        <v>0</v>
      </c>
      <c r="AR13" s="382" cm="1">
        <f t="array" aca="1" ref="AR13" ca="1">SUMPRODUCT(AR$55:AR$114,TRANSPOSE(SAP_Speadsheet!$E$59:$BL$59))</f>
        <v>0</v>
      </c>
      <c r="AS13" s="382" cm="1">
        <f t="array" aca="1" ref="AS13" ca="1">SUMPRODUCT(AS$55:AS$114,TRANSPOSE(SAP_Speadsheet!$E$59:$BL$59))</f>
        <v>0</v>
      </c>
      <c r="AT13" s="382" cm="1">
        <f t="array" aca="1" ref="AT13" ca="1">SUMPRODUCT(AT$55:AT$114,TRANSPOSE(SAP_Speadsheet!$E$59:$BL$59))</f>
        <v>0</v>
      </c>
      <c r="AU13" s="382" cm="1">
        <f t="array" aca="1" ref="AU13" ca="1">SUMPRODUCT(AU$55:AU$114,TRANSPOSE(SAP_Speadsheet!$E$59:$BL$59))</f>
        <v>0</v>
      </c>
      <c r="AV13" s="382" cm="1">
        <f t="array" aca="1" ref="AV13" ca="1">SUMPRODUCT(AV$55:AV$114,TRANSPOSE(SAP_Speadsheet!$E$59:$BL$59))</f>
        <v>0</v>
      </c>
      <c r="AW13" s="382" cm="1">
        <f t="array" aca="1" ref="AW13" ca="1">SUMPRODUCT(AW$55:AW$114,TRANSPOSE(SAP_Speadsheet!$E$59:$BL$59))</f>
        <v>0</v>
      </c>
      <c r="AX13" s="382" cm="1">
        <f t="array" aca="1" ref="AX13" ca="1">SUMPRODUCT(AX$55:AX$114,TRANSPOSE(SAP_Speadsheet!$E$59:$BL$59))</f>
        <v>0</v>
      </c>
      <c r="AY13" s="382" cm="1">
        <f t="array" aca="1" ref="AY13" ca="1">SUMPRODUCT(AY$55:AY$114,TRANSPOSE(SAP_Speadsheet!$E$59:$BL$59))</f>
        <v>0</v>
      </c>
      <c r="AZ13" s="382" cm="1">
        <f t="array" aca="1" ref="AZ13" ca="1">SUMPRODUCT(AZ$55:AZ$114,TRANSPOSE(SAP_Speadsheet!$E$59:$BL$59))</f>
        <v>0</v>
      </c>
      <c r="BA13" s="382" cm="1">
        <f t="array" aca="1" ref="BA13" ca="1">SUMPRODUCT(BA$55:BA$114,TRANSPOSE(SAP_Speadsheet!$E$59:$BL$59))</f>
        <v>0</v>
      </c>
      <c r="BB13" s="382" cm="1">
        <f t="array" aca="1" ref="BB13" ca="1">SUMPRODUCT(BB$55:BB$114,TRANSPOSE(SAP_Speadsheet!$E$59:$BL$59))</f>
        <v>0</v>
      </c>
      <c r="BC13" s="382" cm="1">
        <f t="array" aca="1" ref="BC13" ca="1">SUMPRODUCT(BC$55:BC$114,TRANSPOSE(SAP_Speadsheet!$E$59:$BL$59))</f>
        <v>0</v>
      </c>
      <c r="BD13" s="382" cm="1">
        <f t="array" aca="1" ref="BD13" ca="1">SUMPRODUCT(BD$55:BD$114,TRANSPOSE(SAP_Speadsheet!$E$59:$BL$59))</f>
        <v>0</v>
      </c>
      <c r="BE13" s="382" cm="1">
        <f t="array" aca="1" ref="BE13" ca="1">SUMPRODUCT(BE$55:BE$114,TRANSPOSE(SAP_Speadsheet!$E$59:$BL$59))</f>
        <v>0</v>
      </c>
      <c r="BF13" s="382" cm="1">
        <f t="array" aca="1" ref="BF13" ca="1">SUMPRODUCT(BF$55:BF$114,TRANSPOSE(SAP_Speadsheet!$E$59:$BL$59))</f>
        <v>0</v>
      </c>
      <c r="BG13" s="382" cm="1">
        <f t="array" aca="1" ref="BG13" ca="1">SUMPRODUCT(BG$55:BG$114,TRANSPOSE(SAP_Speadsheet!$E$59:$BL$59))</f>
        <v>0</v>
      </c>
      <c r="BH13" s="382" cm="1">
        <f t="array" aca="1" ref="BH13" ca="1">SUMPRODUCT(BH$55:BH$114,TRANSPOSE(SAP_Speadsheet!$E$59:$BL$59))</f>
        <v>0</v>
      </c>
      <c r="BI13" s="382" cm="1">
        <f t="array" aca="1" ref="BI13" ca="1">SUMPRODUCT(BI$55:BI$114,TRANSPOSE(SAP_Speadsheet!$E$59:$BL$59))</f>
        <v>0</v>
      </c>
    </row>
    <row r="14" spans="1:61" x14ac:dyDescent="0.15">
      <c r="A14" s="370" t="s">
        <v>274</v>
      </c>
      <c r="B14" s="377" cm="1">
        <f t="array" aca="1" ref="B14" ca="1">SUMPRODUCT(B$55:B$114,TRANSPOSE(SAP_Speadsheet!$E$61:$BL$61))</f>
        <v>0</v>
      </c>
      <c r="C14" s="377" cm="1">
        <f t="array" aca="1" ref="C14" ca="1">SUMPRODUCT(C$55:C$114,TRANSPOSE(SAP_Speadsheet!$E$61:$BL$61))</f>
        <v>0</v>
      </c>
      <c r="D14" s="377" cm="1">
        <f t="array" aca="1" ref="D14" ca="1">SUMPRODUCT(D$55:D$114,TRANSPOSE(SAP_Speadsheet!$E$61:$BL$61))</f>
        <v>0</v>
      </c>
      <c r="E14" s="377" cm="1">
        <f t="array" aca="1" ref="E14" ca="1">SUMPRODUCT(E$55:E$114,TRANSPOSE(SAP_Speadsheet!$E$61:$BL$61))</f>
        <v>0</v>
      </c>
      <c r="F14" s="377" cm="1">
        <f t="array" aca="1" ref="F14" ca="1">SUMPRODUCT(F$55:F$114,TRANSPOSE(SAP_Speadsheet!$E$61:$BL$61))</f>
        <v>0</v>
      </c>
      <c r="G14" s="377" cm="1">
        <f t="array" aca="1" ref="G14" ca="1">SUMPRODUCT(G$55:G$114,TRANSPOSE(SAP_Speadsheet!$E$61:$BL$61))</f>
        <v>0</v>
      </c>
      <c r="H14" s="377" cm="1">
        <f t="array" aca="1" ref="H14" ca="1">SUMPRODUCT(H$55:H$114,TRANSPOSE(SAP_Speadsheet!$E$61:$BL$61))</f>
        <v>2682.8829181451124</v>
      </c>
      <c r="I14" s="377" cm="1">
        <f t="array" aca="1" ref="I14" ca="1">SUMPRODUCT(I$55:I$114,TRANSPOSE(SAP_Speadsheet!$E$61:$BL$61))</f>
        <v>2699.3157007047021</v>
      </c>
      <c r="J14" s="377" cm="1">
        <f t="array" aca="1" ref="J14" ca="1">SUMPRODUCT(J$55:J$114,TRANSPOSE(SAP_Speadsheet!$E$61:$BL$61))</f>
        <v>2800.4248680787068</v>
      </c>
      <c r="K14" s="377" cm="1">
        <f t="array" aca="1" ref="K14" ca="1">SUMPRODUCT(K$55:K$114,TRANSPOSE(SAP_Speadsheet!$E$61:$BL$61))</f>
        <v>310.8095605649022</v>
      </c>
      <c r="L14" s="377" cm="1">
        <f t="array" aca="1" ref="L14" ca="1">SUMPRODUCT(L$55:L$114,TRANSPOSE(SAP_Speadsheet!$E$61:$BL$61))</f>
        <v>216.85686167409719</v>
      </c>
      <c r="M14" s="377" cm="1">
        <f t="array" aca="1" ref="M14" ca="1">SUMPRODUCT(M$55:M$114,TRANSPOSE(SAP_Speadsheet!$E$61:$BL$61))</f>
        <v>130.53294519845412</v>
      </c>
      <c r="N14" s="377" cm="1">
        <f t="array" aca="1" ref="N14" ca="1">SUMPRODUCT(N$55:N$114,TRANSPOSE(SAP_Speadsheet!$E$61:$BL$61))</f>
        <v>116.98001490985709</v>
      </c>
      <c r="O14" s="377" cm="1">
        <f t="array" aca="1" ref="O14" ca="1">SUMPRODUCT(O$55:O$114,TRANSPOSE(SAP_Speadsheet!$E$61:$BL$61))</f>
        <v>103.49709082686131</v>
      </c>
      <c r="P14" s="377" cm="1">
        <f t="array" aca="1" ref="P14" ca="1">SUMPRODUCT(P$55:P$114,TRANSPOSE(SAP_Speadsheet!$E$61:$BL$61))</f>
        <v>90.112956521695452</v>
      </c>
      <c r="Q14" s="377" cm="1">
        <f t="array" aca="1" ref="Q14" ca="1">SUMPRODUCT(Q$55:Q$114,TRANSPOSE(SAP_Speadsheet!$E$61:$BL$61))</f>
        <v>76.826060195723755</v>
      </c>
      <c r="R14" s="377" cm="1">
        <f t="array" aca="1" ref="R14" ca="1">SUMPRODUCT(R$55:R$114,TRANSPOSE(SAP_Speadsheet!$E$61:$BL$61))</f>
        <v>63.636043784320563</v>
      </c>
      <c r="S14" s="377" cm="1">
        <f t="array" aca="1" ref="S14" ca="1">SUMPRODUCT(S$55:S$114,TRANSPOSE(SAP_Speadsheet!$E$61:$BL$61))</f>
        <v>50.544367578310464</v>
      </c>
      <c r="T14" s="377" cm="1">
        <f t="array" aca="1" ref="T14" ca="1">SUMPRODUCT(T$55:T$114,TRANSPOSE(SAP_Speadsheet!$E$61:$BL$61))</f>
        <v>37.557983866315638</v>
      </c>
      <c r="U14" s="377" cm="1">
        <f t="array" aca="1" ref="U14" ca="1">SUMPRODUCT(U$55:U$114,TRANSPOSE(SAP_Speadsheet!$E$61:$BL$61))</f>
        <v>20.494309287068603</v>
      </c>
      <c r="V14" s="377" cm="1">
        <f t="array" aca="1" ref="V14" ca="1">SUMPRODUCT(V$55:V$114,TRANSPOSE(SAP_Speadsheet!$E$61:$BL$61))</f>
        <v>8.1112837728944029</v>
      </c>
      <c r="W14" s="377" cm="1">
        <f t="array" aca="1" ref="W14" ca="1">SUMPRODUCT(W$55:W$114,TRANSPOSE(SAP_Speadsheet!$E$61:$BL$61))</f>
        <v>0</v>
      </c>
      <c r="X14" s="377" cm="1">
        <f t="array" aca="1" ref="X14" ca="1">SUMPRODUCT(X$55:X$114,TRANSPOSE(SAP_Speadsheet!$E$61:$BL$61))</f>
        <v>0</v>
      </c>
      <c r="Y14" s="377" cm="1">
        <f t="array" aca="1" ref="Y14" ca="1">SUMPRODUCT(Y$55:Y$114,TRANSPOSE(SAP_Speadsheet!$E$61:$BL$61))</f>
        <v>0</v>
      </c>
      <c r="Z14" s="377" cm="1">
        <f t="array" aca="1" ref="Z14" ca="1">SUMPRODUCT(Z$55:Z$114,TRANSPOSE(SAP_Speadsheet!$E$61:$BL$61))</f>
        <v>0</v>
      </c>
      <c r="AA14" s="377" cm="1">
        <f t="array" aca="1" ref="AA14" ca="1">SUMPRODUCT(AA$55:AA$114,TRANSPOSE(SAP_Speadsheet!$E$61:$BL$61))</f>
        <v>0</v>
      </c>
      <c r="AB14" s="377" cm="1">
        <f t="array" aca="1" ref="AB14" ca="1">SUMPRODUCT(AB$55:AB$114,TRANSPOSE(SAP_Speadsheet!$E$61:$BL$61))</f>
        <v>0</v>
      </c>
      <c r="AC14" s="377" cm="1">
        <f t="array" aca="1" ref="AC14" ca="1">SUMPRODUCT(AC$55:AC$114,TRANSPOSE(SAP_Speadsheet!$E$61:$BL$61))</f>
        <v>0</v>
      </c>
      <c r="AD14" s="377" cm="1">
        <f t="array" aca="1" ref="AD14" ca="1">SUMPRODUCT(AD$55:AD$114,TRANSPOSE(SAP_Speadsheet!$E$61:$BL$61))</f>
        <v>0</v>
      </c>
      <c r="AE14" s="377" cm="1">
        <f t="array" aca="1" ref="AE14" ca="1">SUMPRODUCT(AE$55:AE$114,TRANSPOSE(SAP_Speadsheet!$E$61:$BL$61))</f>
        <v>0</v>
      </c>
      <c r="AF14" s="377" cm="1">
        <f t="array" aca="1" ref="AF14" ca="1">SUMPRODUCT(AF$55:AF$114,TRANSPOSE(SAP_Speadsheet!$E$61:$BL$61))</f>
        <v>0</v>
      </c>
      <c r="AG14" s="377" cm="1">
        <f t="array" aca="1" ref="AG14" ca="1">SUMPRODUCT(AG$55:AG$114,TRANSPOSE(SAP_Speadsheet!$E$61:$BL$61))</f>
        <v>0</v>
      </c>
      <c r="AH14" s="377" cm="1">
        <f t="array" aca="1" ref="AH14" ca="1">SUMPRODUCT(AH$55:AH$114,TRANSPOSE(SAP_Speadsheet!$E$61:$BL$61))</f>
        <v>0</v>
      </c>
      <c r="AI14" s="377" cm="1">
        <f t="array" aca="1" ref="AI14" ca="1">SUMPRODUCT(AI$55:AI$114,TRANSPOSE(SAP_Speadsheet!$E$61:$BL$61))</f>
        <v>0</v>
      </c>
      <c r="AJ14" s="377" cm="1">
        <f t="array" aca="1" ref="AJ14" ca="1">SUMPRODUCT(AJ$55:AJ$114,TRANSPOSE(SAP_Speadsheet!$E$61:$BL$61))</f>
        <v>0</v>
      </c>
      <c r="AK14" s="377" cm="1">
        <f t="array" aca="1" ref="AK14" ca="1">SUMPRODUCT(AK$55:AK$114,TRANSPOSE(SAP_Speadsheet!$E$61:$BL$61))</f>
        <v>0</v>
      </c>
      <c r="AL14" s="377" cm="1">
        <f t="array" aca="1" ref="AL14" ca="1">SUMPRODUCT(AL$55:AL$114,TRANSPOSE(SAP_Speadsheet!$E$61:$BL$61))</f>
        <v>0</v>
      </c>
      <c r="AM14" s="377" cm="1">
        <f t="array" aca="1" ref="AM14" ca="1">SUMPRODUCT(AM$55:AM$114,TRANSPOSE(SAP_Speadsheet!$E$61:$BL$61))</f>
        <v>0</v>
      </c>
      <c r="AN14" s="377" cm="1">
        <f t="array" aca="1" ref="AN14" ca="1">SUMPRODUCT(AN$55:AN$114,TRANSPOSE(SAP_Speadsheet!$E$61:$BL$61))</f>
        <v>0</v>
      </c>
      <c r="AO14" s="377" cm="1">
        <f t="array" aca="1" ref="AO14" ca="1">SUMPRODUCT(AO$55:AO$114,TRANSPOSE(SAP_Speadsheet!$E$61:$BL$61))</f>
        <v>0</v>
      </c>
      <c r="AP14" s="377" cm="1">
        <f t="array" aca="1" ref="AP14" ca="1">SUMPRODUCT(AP$55:AP$114,TRANSPOSE(SAP_Speadsheet!$E$61:$BL$61))</f>
        <v>0</v>
      </c>
      <c r="AQ14" s="377" cm="1">
        <f t="array" aca="1" ref="AQ14" ca="1">SUMPRODUCT(AQ$55:AQ$114,TRANSPOSE(SAP_Speadsheet!$E$61:$BL$61))</f>
        <v>0</v>
      </c>
      <c r="AR14" s="377" cm="1">
        <f t="array" aca="1" ref="AR14" ca="1">SUMPRODUCT(AR$55:AR$114,TRANSPOSE(SAP_Speadsheet!$E$61:$BL$61))</f>
        <v>0</v>
      </c>
      <c r="AS14" s="377" cm="1">
        <f t="array" aca="1" ref="AS14" ca="1">SUMPRODUCT(AS$55:AS$114,TRANSPOSE(SAP_Speadsheet!$E$61:$BL$61))</f>
        <v>0</v>
      </c>
      <c r="AT14" s="377" cm="1">
        <f t="array" aca="1" ref="AT14" ca="1">SUMPRODUCT(AT$55:AT$114,TRANSPOSE(SAP_Speadsheet!$E$61:$BL$61))</f>
        <v>0</v>
      </c>
      <c r="AU14" s="377" cm="1">
        <f t="array" aca="1" ref="AU14" ca="1">SUMPRODUCT(AU$55:AU$114,TRANSPOSE(SAP_Speadsheet!$E$61:$BL$61))</f>
        <v>0</v>
      </c>
      <c r="AV14" s="377" cm="1">
        <f t="array" aca="1" ref="AV14" ca="1">SUMPRODUCT(AV$55:AV$114,TRANSPOSE(SAP_Speadsheet!$E$61:$BL$61))</f>
        <v>0</v>
      </c>
      <c r="AW14" s="377" cm="1">
        <f t="array" aca="1" ref="AW14" ca="1">SUMPRODUCT(AW$55:AW$114,TRANSPOSE(SAP_Speadsheet!$E$61:$BL$61))</f>
        <v>0</v>
      </c>
      <c r="AX14" s="377" cm="1">
        <f t="array" aca="1" ref="AX14" ca="1">SUMPRODUCT(AX$55:AX$114,TRANSPOSE(SAP_Speadsheet!$E$61:$BL$61))</f>
        <v>0</v>
      </c>
      <c r="AY14" s="377" cm="1">
        <f t="array" aca="1" ref="AY14" ca="1">SUMPRODUCT(AY$55:AY$114,TRANSPOSE(SAP_Speadsheet!$E$61:$BL$61))</f>
        <v>0</v>
      </c>
      <c r="AZ14" s="377" cm="1">
        <f t="array" aca="1" ref="AZ14" ca="1">SUMPRODUCT(AZ$55:AZ$114,TRANSPOSE(SAP_Speadsheet!$E$61:$BL$61))</f>
        <v>0</v>
      </c>
      <c r="BA14" s="377" cm="1">
        <f t="array" aca="1" ref="BA14" ca="1">SUMPRODUCT(BA$55:BA$114,TRANSPOSE(SAP_Speadsheet!$E$61:$BL$61))</f>
        <v>0</v>
      </c>
      <c r="BB14" s="377" cm="1">
        <f t="array" aca="1" ref="BB14" ca="1">SUMPRODUCT(BB$55:BB$114,TRANSPOSE(SAP_Speadsheet!$E$61:$BL$61))</f>
        <v>0</v>
      </c>
      <c r="BC14" s="377" cm="1">
        <f t="array" aca="1" ref="BC14" ca="1">SUMPRODUCT(BC$55:BC$114,TRANSPOSE(SAP_Speadsheet!$E$61:$BL$61))</f>
        <v>0</v>
      </c>
      <c r="BD14" s="377" cm="1">
        <f t="array" aca="1" ref="BD14" ca="1">SUMPRODUCT(BD$55:BD$114,TRANSPOSE(SAP_Speadsheet!$E$61:$BL$61))</f>
        <v>0</v>
      </c>
      <c r="BE14" s="377" cm="1">
        <f t="array" aca="1" ref="BE14" ca="1">SUMPRODUCT(BE$55:BE$114,TRANSPOSE(SAP_Speadsheet!$E$61:$BL$61))</f>
        <v>0</v>
      </c>
      <c r="BF14" s="377" cm="1">
        <f t="array" aca="1" ref="BF14" ca="1">SUMPRODUCT(BF$55:BF$114,TRANSPOSE(SAP_Speadsheet!$E$61:$BL$61))</f>
        <v>0</v>
      </c>
      <c r="BG14" s="377" cm="1">
        <f t="array" aca="1" ref="BG14" ca="1">SUMPRODUCT(BG$55:BG$114,TRANSPOSE(SAP_Speadsheet!$E$61:$BL$61))</f>
        <v>0</v>
      </c>
      <c r="BH14" s="377" cm="1">
        <f t="array" aca="1" ref="BH14" ca="1">SUMPRODUCT(BH$55:BH$114,TRANSPOSE(SAP_Speadsheet!$E$61:$BL$61))</f>
        <v>0</v>
      </c>
      <c r="BI14" s="377" cm="1">
        <f t="array" aca="1" ref="BI14" ca="1">SUMPRODUCT(BI$55:BI$114,TRANSPOSE(SAP_Speadsheet!$E$61:$BL$61))</f>
        <v>0</v>
      </c>
    </row>
    <row r="15" spans="1:61" x14ac:dyDescent="0.15">
      <c r="A15" s="381" t="s">
        <v>506</v>
      </c>
      <c r="B15" s="382" cm="1">
        <f t="array" aca="1" ref="B15" ca="1">SUMPRODUCT(B$55:B$114,TRANSPOSE(SAP_Speadsheet!$E$62:$BL$62))</f>
        <v>0</v>
      </c>
      <c r="C15" s="382" cm="1">
        <f t="array" aca="1" ref="C15" ca="1">SUMPRODUCT(C$55:C$114,TRANSPOSE(SAP_Speadsheet!$E$62:$BL$62))</f>
        <v>0</v>
      </c>
      <c r="D15" s="382" cm="1">
        <f t="array" aca="1" ref="D15" ca="1">SUMPRODUCT(D$55:D$114,TRANSPOSE(SAP_Speadsheet!$E$62:$BL$62))</f>
        <v>0</v>
      </c>
      <c r="E15" s="382" cm="1">
        <f t="array" aca="1" ref="E15" ca="1">SUMPRODUCT(E$55:E$114,TRANSPOSE(SAP_Speadsheet!$E$62:$BL$62))</f>
        <v>0</v>
      </c>
      <c r="F15" s="382" cm="1">
        <f t="array" aca="1" ref="F15" ca="1">SUMPRODUCT(F$55:F$114,TRANSPOSE(SAP_Speadsheet!$E$62:$BL$62))</f>
        <v>0</v>
      </c>
      <c r="G15" s="382" cm="1">
        <f t="array" aca="1" ref="G15" ca="1">SUMPRODUCT(G$55:G$114,TRANSPOSE(SAP_Speadsheet!$E$62:$BL$62))</f>
        <v>0</v>
      </c>
      <c r="H15" s="382" cm="1">
        <f t="array" aca="1" ref="H15" ca="1">SUMPRODUCT(H$55:H$114,TRANSPOSE(SAP_Speadsheet!$E$62:$BL$62))</f>
        <v>211.17802780418936</v>
      </c>
      <c r="I15" s="382" cm="1">
        <f t="array" aca="1" ref="I15" ca="1">SUMPRODUCT(I$55:I$114,TRANSPOSE(SAP_Speadsheet!$E$62:$BL$62))</f>
        <v>344.82984849932529</v>
      </c>
      <c r="J15" s="382" cm="1">
        <f t="array" aca="1" ref="J15" ca="1">SUMPRODUCT(J$55:J$114,TRANSPOSE(SAP_Speadsheet!$E$62:$BL$62))</f>
        <v>467.76600918132863</v>
      </c>
      <c r="K15" s="382" cm="1">
        <f t="array" aca="1" ref="K15" ca="1">SUMPRODUCT(K$55:K$114,TRANSPOSE(SAP_Speadsheet!$E$62:$BL$62))</f>
        <v>310.8095605649022</v>
      </c>
      <c r="L15" s="382" cm="1">
        <f t="array" aca="1" ref="L15" ca="1">SUMPRODUCT(L$55:L$114,TRANSPOSE(SAP_Speadsheet!$E$62:$BL$62))</f>
        <v>216.85686167409719</v>
      </c>
      <c r="M15" s="382" cm="1">
        <f t="array" aca="1" ref="M15" ca="1">SUMPRODUCT(M$55:M$114,TRANSPOSE(SAP_Speadsheet!$E$62:$BL$62))</f>
        <v>130.53294519845412</v>
      </c>
      <c r="N15" s="382" cm="1">
        <f t="array" aca="1" ref="N15" ca="1">SUMPRODUCT(N$55:N$114,TRANSPOSE(SAP_Speadsheet!$E$62:$BL$62))</f>
        <v>116.98001490985709</v>
      </c>
      <c r="O15" s="382" cm="1">
        <f t="array" aca="1" ref="O15" ca="1">SUMPRODUCT(O$55:O$114,TRANSPOSE(SAP_Speadsheet!$E$62:$BL$62))</f>
        <v>103.49709082686131</v>
      </c>
      <c r="P15" s="382" cm="1">
        <f t="array" aca="1" ref="P15" ca="1">SUMPRODUCT(P$55:P$114,TRANSPOSE(SAP_Speadsheet!$E$62:$BL$62))</f>
        <v>90.112956521695452</v>
      </c>
      <c r="Q15" s="382" cm="1">
        <f t="array" aca="1" ref="Q15" ca="1">SUMPRODUCT(Q$55:Q$114,TRANSPOSE(SAP_Speadsheet!$E$62:$BL$62))</f>
        <v>76.826060195723755</v>
      </c>
      <c r="R15" s="382" cm="1">
        <f t="array" aca="1" ref="R15" ca="1">SUMPRODUCT(R$55:R$114,TRANSPOSE(SAP_Speadsheet!$E$62:$BL$62))</f>
        <v>63.636043784320563</v>
      </c>
      <c r="S15" s="382" cm="1">
        <f t="array" aca="1" ref="S15" ca="1">SUMPRODUCT(S$55:S$114,TRANSPOSE(SAP_Speadsheet!$E$62:$BL$62))</f>
        <v>50.544367578310464</v>
      </c>
      <c r="T15" s="382" cm="1">
        <f t="array" aca="1" ref="T15" ca="1">SUMPRODUCT(T$55:T$114,TRANSPOSE(SAP_Speadsheet!$E$62:$BL$62))</f>
        <v>37.557983866315638</v>
      </c>
      <c r="U15" s="382" cm="1">
        <f t="array" aca="1" ref="U15" ca="1">SUMPRODUCT(U$55:U$114,TRANSPOSE(SAP_Speadsheet!$E$62:$BL$62))</f>
        <v>20.494309287068603</v>
      </c>
      <c r="V15" s="382" cm="1">
        <f t="array" aca="1" ref="V15" ca="1">SUMPRODUCT(V$55:V$114,TRANSPOSE(SAP_Speadsheet!$E$62:$BL$62))</f>
        <v>8.1112837728944029</v>
      </c>
      <c r="W15" s="382" cm="1">
        <f t="array" aca="1" ref="W15" ca="1">SUMPRODUCT(W$55:W$114,TRANSPOSE(SAP_Speadsheet!$E$62:$BL$62))</f>
        <v>0</v>
      </c>
      <c r="X15" s="382" cm="1">
        <f t="array" aca="1" ref="X15" ca="1">SUMPRODUCT(X$55:X$114,TRANSPOSE(SAP_Speadsheet!$E$62:$BL$62))</f>
        <v>0</v>
      </c>
      <c r="Y15" s="382" cm="1">
        <f t="array" aca="1" ref="Y15" ca="1">SUMPRODUCT(Y$55:Y$114,TRANSPOSE(SAP_Speadsheet!$E$62:$BL$62))</f>
        <v>0</v>
      </c>
      <c r="Z15" s="382" cm="1">
        <f t="array" aca="1" ref="Z15" ca="1">SUMPRODUCT(Z$55:Z$114,TRANSPOSE(SAP_Speadsheet!$E$62:$BL$62))</f>
        <v>0</v>
      </c>
      <c r="AA15" s="382" cm="1">
        <f t="array" aca="1" ref="AA15" ca="1">SUMPRODUCT(AA$55:AA$114,TRANSPOSE(SAP_Speadsheet!$E$62:$BL$62))</f>
        <v>0</v>
      </c>
      <c r="AB15" s="382" cm="1">
        <f t="array" aca="1" ref="AB15" ca="1">SUMPRODUCT(AB$55:AB$114,TRANSPOSE(SAP_Speadsheet!$E$62:$BL$62))</f>
        <v>0</v>
      </c>
      <c r="AC15" s="382" cm="1">
        <f t="array" aca="1" ref="AC15" ca="1">SUMPRODUCT(AC$55:AC$114,TRANSPOSE(SAP_Speadsheet!$E$62:$BL$62))</f>
        <v>0</v>
      </c>
      <c r="AD15" s="382" cm="1">
        <f t="array" aca="1" ref="AD15" ca="1">SUMPRODUCT(AD$55:AD$114,TRANSPOSE(SAP_Speadsheet!$E$62:$BL$62))</f>
        <v>0</v>
      </c>
      <c r="AE15" s="382" cm="1">
        <f t="array" aca="1" ref="AE15" ca="1">SUMPRODUCT(AE$55:AE$114,TRANSPOSE(SAP_Speadsheet!$E$62:$BL$62))</f>
        <v>0</v>
      </c>
      <c r="AF15" s="382" cm="1">
        <f t="array" aca="1" ref="AF15" ca="1">SUMPRODUCT(AF$55:AF$114,TRANSPOSE(SAP_Speadsheet!$E$62:$BL$62))</f>
        <v>0</v>
      </c>
      <c r="AG15" s="382" cm="1">
        <f t="array" aca="1" ref="AG15" ca="1">SUMPRODUCT(AG$55:AG$114,TRANSPOSE(SAP_Speadsheet!$E$62:$BL$62))</f>
        <v>0</v>
      </c>
      <c r="AH15" s="382" cm="1">
        <f t="array" aca="1" ref="AH15" ca="1">SUMPRODUCT(AH$55:AH$114,TRANSPOSE(SAP_Speadsheet!$E$62:$BL$62))</f>
        <v>0</v>
      </c>
      <c r="AI15" s="382" cm="1">
        <f t="array" aca="1" ref="AI15" ca="1">SUMPRODUCT(AI$55:AI$114,TRANSPOSE(SAP_Speadsheet!$E$62:$BL$62))</f>
        <v>0</v>
      </c>
      <c r="AJ15" s="382" cm="1">
        <f t="array" aca="1" ref="AJ15" ca="1">SUMPRODUCT(AJ$55:AJ$114,TRANSPOSE(SAP_Speadsheet!$E$62:$BL$62))</f>
        <v>0</v>
      </c>
      <c r="AK15" s="382" cm="1">
        <f t="array" aca="1" ref="AK15" ca="1">SUMPRODUCT(AK$55:AK$114,TRANSPOSE(SAP_Speadsheet!$E$62:$BL$62))</f>
        <v>0</v>
      </c>
      <c r="AL15" s="382" cm="1">
        <f t="array" aca="1" ref="AL15" ca="1">SUMPRODUCT(AL$55:AL$114,TRANSPOSE(SAP_Speadsheet!$E$62:$BL$62))</f>
        <v>0</v>
      </c>
      <c r="AM15" s="382" cm="1">
        <f t="array" aca="1" ref="AM15" ca="1">SUMPRODUCT(AM$55:AM$114,TRANSPOSE(SAP_Speadsheet!$E$62:$BL$62))</f>
        <v>0</v>
      </c>
      <c r="AN15" s="382" cm="1">
        <f t="array" aca="1" ref="AN15" ca="1">SUMPRODUCT(AN$55:AN$114,TRANSPOSE(SAP_Speadsheet!$E$62:$BL$62))</f>
        <v>0</v>
      </c>
      <c r="AO15" s="382" cm="1">
        <f t="array" aca="1" ref="AO15" ca="1">SUMPRODUCT(AO$55:AO$114,TRANSPOSE(SAP_Speadsheet!$E$62:$BL$62))</f>
        <v>0</v>
      </c>
      <c r="AP15" s="382" cm="1">
        <f t="array" aca="1" ref="AP15" ca="1">SUMPRODUCT(AP$55:AP$114,TRANSPOSE(SAP_Speadsheet!$E$62:$BL$62))</f>
        <v>0</v>
      </c>
      <c r="AQ15" s="382" cm="1">
        <f t="array" aca="1" ref="AQ15" ca="1">SUMPRODUCT(AQ$55:AQ$114,TRANSPOSE(SAP_Speadsheet!$E$62:$BL$62))</f>
        <v>0</v>
      </c>
      <c r="AR15" s="382" cm="1">
        <f t="array" aca="1" ref="AR15" ca="1">SUMPRODUCT(AR$55:AR$114,TRANSPOSE(SAP_Speadsheet!$E$62:$BL$62))</f>
        <v>0</v>
      </c>
      <c r="AS15" s="382" cm="1">
        <f t="array" aca="1" ref="AS15" ca="1">SUMPRODUCT(AS$55:AS$114,TRANSPOSE(SAP_Speadsheet!$E$62:$BL$62))</f>
        <v>0</v>
      </c>
      <c r="AT15" s="382" cm="1">
        <f t="array" aca="1" ref="AT15" ca="1">SUMPRODUCT(AT$55:AT$114,TRANSPOSE(SAP_Speadsheet!$E$62:$BL$62))</f>
        <v>0</v>
      </c>
      <c r="AU15" s="382" cm="1">
        <f t="array" aca="1" ref="AU15" ca="1">SUMPRODUCT(AU$55:AU$114,TRANSPOSE(SAP_Speadsheet!$E$62:$BL$62))</f>
        <v>0</v>
      </c>
      <c r="AV15" s="382" cm="1">
        <f t="array" aca="1" ref="AV15" ca="1">SUMPRODUCT(AV$55:AV$114,TRANSPOSE(SAP_Speadsheet!$E$62:$BL$62))</f>
        <v>0</v>
      </c>
      <c r="AW15" s="382" cm="1">
        <f t="array" aca="1" ref="AW15" ca="1">SUMPRODUCT(AW$55:AW$114,TRANSPOSE(SAP_Speadsheet!$E$62:$BL$62))</f>
        <v>0</v>
      </c>
      <c r="AX15" s="382" cm="1">
        <f t="array" aca="1" ref="AX15" ca="1">SUMPRODUCT(AX$55:AX$114,TRANSPOSE(SAP_Speadsheet!$E$62:$BL$62))</f>
        <v>0</v>
      </c>
      <c r="AY15" s="382" cm="1">
        <f t="array" aca="1" ref="AY15" ca="1">SUMPRODUCT(AY$55:AY$114,TRANSPOSE(SAP_Speadsheet!$E$62:$BL$62))</f>
        <v>0</v>
      </c>
      <c r="AZ15" s="382" cm="1">
        <f t="array" aca="1" ref="AZ15" ca="1">SUMPRODUCT(AZ$55:AZ$114,TRANSPOSE(SAP_Speadsheet!$E$62:$BL$62))</f>
        <v>0</v>
      </c>
      <c r="BA15" s="382" cm="1">
        <f t="array" aca="1" ref="BA15" ca="1">SUMPRODUCT(BA$55:BA$114,TRANSPOSE(SAP_Speadsheet!$E$62:$BL$62))</f>
        <v>0</v>
      </c>
      <c r="BB15" s="382" cm="1">
        <f t="array" aca="1" ref="BB15" ca="1">SUMPRODUCT(BB$55:BB$114,TRANSPOSE(SAP_Speadsheet!$E$62:$BL$62))</f>
        <v>0</v>
      </c>
      <c r="BC15" s="382" cm="1">
        <f t="array" aca="1" ref="BC15" ca="1">SUMPRODUCT(BC$55:BC$114,TRANSPOSE(SAP_Speadsheet!$E$62:$BL$62))</f>
        <v>0</v>
      </c>
      <c r="BD15" s="382" cm="1">
        <f t="array" aca="1" ref="BD15" ca="1">SUMPRODUCT(BD$55:BD$114,TRANSPOSE(SAP_Speadsheet!$E$62:$BL$62))</f>
        <v>0</v>
      </c>
      <c r="BE15" s="382" cm="1">
        <f t="array" aca="1" ref="BE15" ca="1">SUMPRODUCT(BE$55:BE$114,TRANSPOSE(SAP_Speadsheet!$E$62:$BL$62))</f>
        <v>0</v>
      </c>
      <c r="BF15" s="382" cm="1">
        <f t="array" aca="1" ref="BF15" ca="1">SUMPRODUCT(BF$55:BF$114,TRANSPOSE(SAP_Speadsheet!$E$62:$BL$62))</f>
        <v>0</v>
      </c>
      <c r="BG15" s="382" cm="1">
        <f t="array" aca="1" ref="BG15" ca="1">SUMPRODUCT(BG$55:BG$114,TRANSPOSE(SAP_Speadsheet!$E$62:$BL$62))</f>
        <v>0</v>
      </c>
      <c r="BH15" s="382" cm="1">
        <f t="array" aca="1" ref="BH15" ca="1">SUMPRODUCT(BH$55:BH$114,TRANSPOSE(SAP_Speadsheet!$E$62:$BL$62))</f>
        <v>0</v>
      </c>
      <c r="BI15" s="382" cm="1">
        <f t="array" aca="1" ref="BI15" ca="1">SUMPRODUCT(BI$55:BI$114,TRANSPOSE(SAP_Speadsheet!$E$62:$BL$62))</f>
        <v>0</v>
      </c>
    </row>
    <row r="16" spans="1:61" x14ac:dyDescent="0.15">
      <c r="A16" s="381" t="s">
        <v>507</v>
      </c>
      <c r="B16" s="382" cm="1">
        <f t="array" aca="1" ref="B16" ca="1">SUMPRODUCT(B$55:B$114,TRANSPOSE(SAP_Speadsheet!$E$63:$BL$63))</f>
        <v>0</v>
      </c>
      <c r="C16" s="382" cm="1">
        <f t="array" aca="1" ref="C16" ca="1">SUMPRODUCT(C$55:C$114,TRANSPOSE(SAP_Speadsheet!$E$63:$BL$63))</f>
        <v>0</v>
      </c>
      <c r="D16" s="382" cm="1">
        <f t="array" aca="1" ref="D16" ca="1">SUMPRODUCT(D$55:D$114,TRANSPOSE(SAP_Speadsheet!$E$63:$BL$63))</f>
        <v>0</v>
      </c>
      <c r="E16" s="382" cm="1">
        <f t="array" aca="1" ref="E16" ca="1">SUMPRODUCT(E$55:E$114,TRANSPOSE(SAP_Speadsheet!$E$63:$BL$63))</f>
        <v>0</v>
      </c>
      <c r="F16" s="382" cm="1">
        <f t="array" aca="1" ref="F16" ca="1">SUMPRODUCT(F$55:F$114,TRANSPOSE(SAP_Speadsheet!$E$63:$BL$63))</f>
        <v>0</v>
      </c>
      <c r="G16" s="382" cm="1">
        <f t="array" aca="1" ref="G16" ca="1">SUMPRODUCT(G$55:G$114,TRANSPOSE(SAP_Speadsheet!$E$63:$BL$63))</f>
        <v>0</v>
      </c>
      <c r="H16" s="382" cm="1">
        <f t="array" aca="1" ref="H16" ca="1">SUMPRODUCT(H$55:H$114,TRANSPOSE(SAP_Speadsheet!$E$63:$BL$63))</f>
        <v>2471.7048903409232</v>
      </c>
      <c r="I16" s="382" cm="1">
        <f t="array" aca="1" ref="I16" ca="1">SUMPRODUCT(I$55:I$114,TRANSPOSE(SAP_Speadsheet!$E$63:$BL$63))</f>
        <v>2354.4858522053769</v>
      </c>
      <c r="J16" s="382" cm="1">
        <f t="array" aca="1" ref="J16" ca="1">SUMPRODUCT(J$55:J$114,TRANSPOSE(SAP_Speadsheet!$E$63:$BL$63))</f>
        <v>2332.6588588973782</v>
      </c>
      <c r="K16" s="382" cm="1">
        <f t="array" aca="1" ref="K16" ca="1">SUMPRODUCT(K$55:K$114,TRANSPOSE(SAP_Speadsheet!$E$63:$BL$63))</f>
        <v>0</v>
      </c>
      <c r="L16" s="382" cm="1">
        <f t="array" aca="1" ref="L16" ca="1">SUMPRODUCT(L$55:L$114,TRANSPOSE(SAP_Speadsheet!$E$63:$BL$63))</f>
        <v>0</v>
      </c>
      <c r="M16" s="382" cm="1">
        <f t="array" aca="1" ref="M16" ca="1">SUMPRODUCT(M$55:M$114,TRANSPOSE(SAP_Speadsheet!$E$63:$BL$63))</f>
        <v>0</v>
      </c>
      <c r="N16" s="382" cm="1">
        <f t="array" aca="1" ref="N16" ca="1">SUMPRODUCT(N$55:N$114,TRANSPOSE(SAP_Speadsheet!$E$63:$BL$63))</f>
        <v>0</v>
      </c>
      <c r="O16" s="382" cm="1">
        <f t="array" aca="1" ref="O16" ca="1">SUMPRODUCT(O$55:O$114,TRANSPOSE(SAP_Speadsheet!$E$63:$BL$63))</f>
        <v>0</v>
      </c>
      <c r="P16" s="382" cm="1">
        <f t="array" aca="1" ref="P16" ca="1">SUMPRODUCT(P$55:P$114,TRANSPOSE(SAP_Speadsheet!$E$63:$BL$63))</f>
        <v>0</v>
      </c>
      <c r="Q16" s="382" cm="1">
        <f t="array" aca="1" ref="Q16" ca="1">SUMPRODUCT(Q$55:Q$114,TRANSPOSE(SAP_Speadsheet!$E$63:$BL$63))</f>
        <v>0</v>
      </c>
      <c r="R16" s="382" cm="1">
        <f t="array" aca="1" ref="R16" ca="1">SUMPRODUCT(R$55:R$114,TRANSPOSE(SAP_Speadsheet!$E$63:$BL$63))</f>
        <v>0</v>
      </c>
      <c r="S16" s="382" cm="1">
        <f t="array" aca="1" ref="S16" ca="1">SUMPRODUCT(S$55:S$114,TRANSPOSE(SAP_Speadsheet!$E$63:$BL$63))</f>
        <v>0</v>
      </c>
      <c r="T16" s="382" cm="1">
        <f t="array" aca="1" ref="T16" ca="1">SUMPRODUCT(T$55:T$114,TRANSPOSE(SAP_Speadsheet!$E$63:$BL$63))</f>
        <v>0</v>
      </c>
      <c r="U16" s="382" cm="1">
        <f t="array" aca="1" ref="U16" ca="1">SUMPRODUCT(U$55:U$114,TRANSPOSE(SAP_Speadsheet!$E$63:$BL$63))</f>
        <v>0</v>
      </c>
      <c r="V16" s="382" cm="1">
        <f t="array" aca="1" ref="V16" ca="1">SUMPRODUCT(V$55:V$114,TRANSPOSE(SAP_Speadsheet!$E$63:$BL$63))</f>
        <v>0</v>
      </c>
      <c r="W16" s="382" cm="1">
        <f t="array" aca="1" ref="W16" ca="1">SUMPRODUCT(W$55:W$114,TRANSPOSE(SAP_Speadsheet!$E$63:$BL$63))</f>
        <v>0</v>
      </c>
      <c r="X16" s="382" cm="1">
        <f t="array" aca="1" ref="X16" ca="1">SUMPRODUCT(X$55:X$114,TRANSPOSE(SAP_Speadsheet!$E$63:$BL$63))</f>
        <v>0</v>
      </c>
      <c r="Y16" s="382" cm="1">
        <f t="array" aca="1" ref="Y16" ca="1">SUMPRODUCT(Y$55:Y$114,TRANSPOSE(SAP_Speadsheet!$E$63:$BL$63))</f>
        <v>0</v>
      </c>
      <c r="Z16" s="382" cm="1">
        <f t="array" aca="1" ref="Z16" ca="1">SUMPRODUCT(Z$55:Z$114,TRANSPOSE(SAP_Speadsheet!$E$63:$BL$63))</f>
        <v>0</v>
      </c>
      <c r="AA16" s="382" cm="1">
        <f t="array" aca="1" ref="AA16" ca="1">SUMPRODUCT(AA$55:AA$114,TRANSPOSE(SAP_Speadsheet!$E$63:$BL$63))</f>
        <v>0</v>
      </c>
      <c r="AB16" s="382" cm="1">
        <f t="array" aca="1" ref="AB16" ca="1">SUMPRODUCT(AB$55:AB$114,TRANSPOSE(SAP_Speadsheet!$E$63:$BL$63))</f>
        <v>0</v>
      </c>
      <c r="AC16" s="382" cm="1">
        <f t="array" aca="1" ref="AC16" ca="1">SUMPRODUCT(AC$55:AC$114,TRANSPOSE(SAP_Speadsheet!$E$63:$BL$63))</f>
        <v>0</v>
      </c>
      <c r="AD16" s="382" cm="1">
        <f t="array" aca="1" ref="AD16" ca="1">SUMPRODUCT(AD$55:AD$114,TRANSPOSE(SAP_Speadsheet!$E$63:$BL$63))</f>
        <v>0</v>
      </c>
      <c r="AE16" s="382" cm="1">
        <f t="array" aca="1" ref="AE16" ca="1">SUMPRODUCT(AE$55:AE$114,TRANSPOSE(SAP_Speadsheet!$E$63:$BL$63))</f>
        <v>0</v>
      </c>
      <c r="AF16" s="382" cm="1">
        <f t="array" aca="1" ref="AF16" ca="1">SUMPRODUCT(AF$55:AF$114,TRANSPOSE(SAP_Speadsheet!$E$63:$BL$63))</f>
        <v>0</v>
      </c>
      <c r="AG16" s="382" cm="1">
        <f t="array" aca="1" ref="AG16" ca="1">SUMPRODUCT(AG$55:AG$114,TRANSPOSE(SAP_Speadsheet!$E$63:$BL$63))</f>
        <v>0</v>
      </c>
      <c r="AH16" s="382" cm="1">
        <f t="array" aca="1" ref="AH16" ca="1">SUMPRODUCT(AH$55:AH$114,TRANSPOSE(SAP_Speadsheet!$E$63:$BL$63))</f>
        <v>0</v>
      </c>
      <c r="AI16" s="382" cm="1">
        <f t="array" aca="1" ref="AI16" ca="1">SUMPRODUCT(AI$55:AI$114,TRANSPOSE(SAP_Speadsheet!$E$63:$BL$63))</f>
        <v>0</v>
      </c>
      <c r="AJ16" s="382" cm="1">
        <f t="array" aca="1" ref="AJ16" ca="1">SUMPRODUCT(AJ$55:AJ$114,TRANSPOSE(SAP_Speadsheet!$E$63:$BL$63))</f>
        <v>0</v>
      </c>
      <c r="AK16" s="382" cm="1">
        <f t="array" aca="1" ref="AK16" ca="1">SUMPRODUCT(AK$55:AK$114,TRANSPOSE(SAP_Speadsheet!$E$63:$BL$63))</f>
        <v>0</v>
      </c>
      <c r="AL16" s="382" cm="1">
        <f t="array" aca="1" ref="AL16" ca="1">SUMPRODUCT(AL$55:AL$114,TRANSPOSE(SAP_Speadsheet!$E$63:$BL$63))</f>
        <v>0</v>
      </c>
      <c r="AM16" s="382" cm="1">
        <f t="array" aca="1" ref="AM16" ca="1">SUMPRODUCT(AM$55:AM$114,TRANSPOSE(SAP_Speadsheet!$E$63:$BL$63))</f>
        <v>0</v>
      </c>
      <c r="AN16" s="382" cm="1">
        <f t="array" aca="1" ref="AN16" ca="1">SUMPRODUCT(AN$55:AN$114,TRANSPOSE(SAP_Speadsheet!$E$63:$BL$63))</f>
        <v>0</v>
      </c>
      <c r="AO16" s="382" cm="1">
        <f t="array" aca="1" ref="AO16" ca="1">SUMPRODUCT(AO$55:AO$114,TRANSPOSE(SAP_Speadsheet!$E$63:$BL$63))</f>
        <v>0</v>
      </c>
      <c r="AP16" s="382" cm="1">
        <f t="array" aca="1" ref="AP16" ca="1">SUMPRODUCT(AP$55:AP$114,TRANSPOSE(SAP_Speadsheet!$E$63:$BL$63))</f>
        <v>0</v>
      </c>
      <c r="AQ16" s="382" cm="1">
        <f t="array" aca="1" ref="AQ16" ca="1">SUMPRODUCT(AQ$55:AQ$114,TRANSPOSE(SAP_Speadsheet!$E$63:$BL$63))</f>
        <v>0</v>
      </c>
      <c r="AR16" s="382" cm="1">
        <f t="array" aca="1" ref="AR16" ca="1">SUMPRODUCT(AR$55:AR$114,TRANSPOSE(SAP_Speadsheet!$E$63:$BL$63))</f>
        <v>0</v>
      </c>
      <c r="AS16" s="382" cm="1">
        <f t="array" aca="1" ref="AS16" ca="1">SUMPRODUCT(AS$55:AS$114,TRANSPOSE(SAP_Speadsheet!$E$63:$BL$63))</f>
        <v>0</v>
      </c>
      <c r="AT16" s="382" cm="1">
        <f t="array" aca="1" ref="AT16" ca="1">SUMPRODUCT(AT$55:AT$114,TRANSPOSE(SAP_Speadsheet!$E$63:$BL$63))</f>
        <v>0</v>
      </c>
      <c r="AU16" s="382" cm="1">
        <f t="array" aca="1" ref="AU16" ca="1">SUMPRODUCT(AU$55:AU$114,TRANSPOSE(SAP_Speadsheet!$E$63:$BL$63))</f>
        <v>0</v>
      </c>
      <c r="AV16" s="382" cm="1">
        <f t="array" aca="1" ref="AV16" ca="1">SUMPRODUCT(AV$55:AV$114,TRANSPOSE(SAP_Speadsheet!$E$63:$BL$63))</f>
        <v>0</v>
      </c>
      <c r="AW16" s="382" cm="1">
        <f t="array" aca="1" ref="AW16" ca="1">SUMPRODUCT(AW$55:AW$114,TRANSPOSE(SAP_Speadsheet!$E$63:$BL$63))</f>
        <v>0</v>
      </c>
      <c r="AX16" s="382" cm="1">
        <f t="array" aca="1" ref="AX16" ca="1">SUMPRODUCT(AX$55:AX$114,TRANSPOSE(SAP_Speadsheet!$E$63:$BL$63))</f>
        <v>0</v>
      </c>
      <c r="AY16" s="382" cm="1">
        <f t="array" aca="1" ref="AY16" ca="1">SUMPRODUCT(AY$55:AY$114,TRANSPOSE(SAP_Speadsheet!$E$63:$BL$63))</f>
        <v>0</v>
      </c>
      <c r="AZ16" s="382" cm="1">
        <f t="array" aca="1" ref="AZ16" ca="1">SUMPRODUCT(AZ$55:AZ$114,TRANSPOSE(SAP_Speadsheet!$E$63:$BL$63))</f>
        <v>0</v>
      </c>
      <c r="BA16" s="382" cm="1">
        <f t="array" aca="1" ref="BA16" ca="1">SUMPRODUCT(BA$55:BA$114,TRANSPOSE(SAP_Speadsheet!$E$63:$BL$63))</f>
        <v>0</v>
      </c>
      <c r="BB16" s="382" cm="1">
        <f t="array" aca="1" ref="BB16" ca="1">SUMPRODUCT(BB$55:BB$114,TRANSPOSE(SAP_Speadsheet!$E$63:$BL$63))</f>
        <v>0</v>
      </c>
      <c r="BC16" s="382" cm="1">
        <f t="array" aca="1" ref="BC16" ca="1">SUMPRODUCT(BC$55:BC$114,TRANSPOSE(SAP_Speadsheet!$E$63:$BL$63))</f>
        <v>0</v>
      </c>
      <c r="BD16" s="382" cm="1">
        <f t="array" aca="1" ref="BD16" ca="1">SUMPRODUCT(BD$55:BD$114,TRANSPOSE(SAP_Speadsheet!$E$63:$BL$63))</f>
        <v>0</v>
      </c>
      <c r="BE16" s="382" cm="1">
        <f t="array" aca="1" ref="BE16" ca="1">SUMPRODUCT(BE$55:BE$114,TRANSPOSE(SAP_Speadsheet!$E$63:$BL$63))</f>
        <v>0</v>
      </c>
      <c r="BF16" s="382" cm="1">
        <f t="array" aca="1" ref="BF16" ca="1">SUMPRODUCT(BF$55:BF$114,TRANSPOSE(SAP_Speadsheet!$E$63:$BL$63))</f>
        <v>0</v>
      </c>
      <c r="BG16" s="382" cm="1">
        <f t="array" aca="1" ref="BG16" ca="1">SUMPRODUCT(BG$55:BG$114,TRANSPOSE(SAP_Speadsheet!$E$63:$BL$63))</f>
        <v>0</v>
      </c>
      <c r="BH16" s="382" cm="1">
        <f t="array" aca="1" ref="BH16" ca="1">SUMPRODUCT(BH$55:BH$114,TRANSPOSE(SAP_Speadsheet!$E$63:$BL$63))</f>
        <v>0</v>
      </c>
      <c r="BI16" s="382" cm="1">
        <f t="array" aca="1" ref="BI16" ca="1">SUMPRODUCT(BI$55:BI$114,TRANSPOSE(SAP_Speadsheet!$E$63:$BL$63))</f>
        <v>0</v>
      </c>
    </row>
    <row r="17" spans="1:61" x14ac:dyDescent="0.15">
      <c r="A17" s="381" t="s">
        <v>169</v>
      </c>
      <c r="B17" s="382" cm="1">
        <f t="array" aca="1" ref="B17" ca="1">SUMPRODUCT(B$55:B$114,TRANSPOSE(SAP_Speadsheet!$E$64:$BL$64))</f>
        <v>0</v>
      </c>
      <c r="C17" s="382" cm="1">
        <f t="array" aca="1" ref="C17" ca="1">SUMPRODUCT(C$55:C$114,TRANSPOSE(SAP_Speadsheet!$E$64:$BL$64))</f>
        <v>0</v>
      </c>
      <c r="D17" s="382" cm="1">
        <f t="array" aca="1" ref="D17" ca="1">SUMPRODUCT(D$55:D$114,TRANSPOSE(SAP_Speadsheet!$E$64:$BL$64))</f>
        <v>0</v>
      </c>
      <c r="E17" s="382" cm="1">
        <f t="array" aca="1" ref="E17" ca="1">SUMPRODUCT(E$55:E$114,TRANSPOSE(SAP_Speadsheet!$E$64:$BL$64))</f>
        <v>0</v>
      </c>
      <c r="F17" s="382" cm="1">
        <f t="array" aca="1" ref="F17" ca="1">SUMPRODUCT(F$55:F$114,TRANSPOSE(SAP_Speadsheet!$E$64:$BL$64))</f>
        <v>0</v>
      </c>
      <c r="G17" s="382" cm="1">
        <f t="array" aca="1" ref="G17" ca="1">SUMPRODUCT(G$55:G$114,TRANSPOSE(SAP_Speadsheet!$E$64:$BL$64))</f>
        <v>0</v>
      </c>
      <c r="H17" s="382" cm="1">
        <f t="array" aca="1" ref="H17" ca="1">SUMPRODUCT(H$55:H$114,TRANSPOSE(SAP_Speadsheet!$E$64:$BL$64))</f>
        <v>0</v>
      </c>
      <c r="I17" s="382" cm="1">
        <f t="array" aca="1" ref="I17" ca="1">SUMPRODUCT(I$55:I$114,TRANSPOSE(SAP_Speadsheet!$E$64:$BL$64))</f>
        <v>0</v>
      </c>
      <c r="J17" s="382" cm="1">
        <f t="array" aca="1" ref="J17" ca="1">SUMPRODUCT(J$55:J$114,TRANSPOSE(SAP_Speadsheet!$E$64:$BL$64))</f>
        <v>0</v>
      </c>
      <c r="K17" s="382" cm="1">
        <f t="array" aca="1" ref="K17" ca="1">SUMPRODUCT(K$55:K$114,TRANSPOSE(SAP_Speadsheet!$E$64:$BL$64))</f>
        <v>0</v>
      </c>
      <c r="L17" s="382" cm="1">
        <f t="array" aca="1" ref="L17" ca="1">SUMPRODUCT(L$55:L$114,TRANSPOSE(SAP_Speadsheet!$E$64:$BL$64))</f>
        <v>0</v>
      </c>
      <c r="M17" s="382" cm="1">
        <f t="array" aca="1" ref="M17" ca="1">SUMPRODUCT(M$55:M$114,TRANSPOSE(SAP_Speadsheet!$E$64:$BL$64))</f>
        <v>0</v>
      </c>
      <c r="N17" s="382" cm="1">
        <f t="array" aca="1" ref="N17" ca="1">SUMPRODUCT(N$55:N$114,TRANSPOSE(SAP_Speadsheet!$E$64:$BL$64))</f>
        <v>0</v>
      </c>
      <c r="O17" s="382" cm="1">
        <f t="array" aca="1" ref="O17" ca="1">SUMPRODUCT(O$55:O$114,TRANSPOSE(SAP_Speadsheet!$E$64:$BL$64))</f>
        <v>0</v>
      </c>
      <c r="P17" s="382" cm="1">
        <f t="array" aca="1" ref="P17" ca="1">SUMPRODUCT(P$55:P$114,TRANSPOSE(SAP_Speadsheet!$E$64:$BL$64))</f>
        <v>0</v>
      </c>
      <c r="Q17" s="382" cm="1">
        <f t="array" aca="1" ref="Q17" ca="1">SUMPRODUCT(Q$55:Q$114,TRANSPOSE(SAP_Speadsheet!$E$64:$BL$64))</f>
        <v>0</v>
      </c>
      <c r="R17" s="382" cm="1">
        <f t="array" aca="1" ref="R17" ca="1">SUMPRODUCT(R$55:R$114,TRANSPOSE(SAP_Speadsheet!$E$64:$BL$64))</f>
        <v>0</v>
      </c>
      <c r="S17" s="382" cm="1">
        <f t="array" aca="1" ref="S17" ca="1">SUMPRODUCT(S$55:S$114,TRANSPOSE(SAP_Speadsheet!$E$64:$BL$64))</f>
        <v>0</v>
      </c>
      <c r="T17" s="382" cm="1">
        <f t="array" aca="1" ref="T17" ca="1">SUMPRODUCT(T$55:T$114,TRANSPOSE(SAP_Speadsheet!$E$64:$BL$64))</f>
        <v>0</v>
      </c>
      <c r="U17" s="382" cm="1">
        <f t="array" aca="1" ref="U17" ca="1">SUMPRODUCT(U$55:U$114,TRANSPOSE(SAP_Speadsheet!$E$64:$BL$64))</f>
        <v>0</v>
      </c>
      <c r="V17" s="382" cm="1">
        <f t="array" aca="1" ref="V17" ca="1">SUMPRODUCT(V$55:V$114,TRANSPOSE(SAP_Speadsheet!$E$64:$BL$64))</f>
        <v>0</v>
      </c>
      <c r="W17" s="382" cm="1">
        <f t="array" aca="1" ref="W17" ca="1">SUMPRODUCT(W$55:W$114,TRANSPOSE(SAP_Speadsheet!$E$64:$BL$64))</f>
        <v>0</v>
      </c>
      <c r="X17" s="382" cm="1">
        <f t="array" aca="1" ref="X17" ca="1">SUMPRODUCT(X$55:X$114,TRANSPOSE(SAP_Speadsheet!$E$64:$BL$64))</f>
        <v>0</v>
      </c>
      <c r="Y17" s="382" cm="1">
        <f t="array" aca="1" ref="Y17" ca="1">SUMPRODUCT(Y$55:Y$114,TRANSPOSE(SAP_Speadsheet!$E$64:$BL$64))</f>
        <v>0</v>
      </c>
      <c r="Z17" s="382" cm="1">
        <f t="array" aca="1" ref="Z17" ca="1">SUMPRODUCT(Z$55:Z$114,TRANSPOSE(SAP_Speadsheet!$E$64:$BL$64))</f>
        <v>0</v>
      </c>
      <c r="AA17" s="382" cm="1">
        <f t="array" aca="1" ref="AA17" ca="1">SUMPRODUCT(AA$55:AA$114,TRANSPOSE(SAP_Speadsheet!$E$64:$BL$64))</f>
        <v>0</v>
      </c>
      <c r="AB17" s="382" cm="1">
        <f t="array" aca="1" ref="AB17" ca="1">SUMPRODUCT(AB$55:AB$114,TRANSPOSE(SAP_Speadsheet!$E$64:$BL$64))</f>
        <v>0</v>
      </c>
      <c r="AC17" s="382" cm="1">
        <f t="array" aca="1" ref="AC17" ca="1">SUMPRODUCT(AC$55:AC$114,TRANSPOSE(SAP_Speadsheet!$E$64:$BL$64))</f>
        <v>0</v>
      </c>
      <c r="AD17" s="382" cm="1">
        <f t="array" aca="1" ref="AD17" ca="1">SUMPRODUCT(AD$55:AD$114,TRANSPOSE(SAP_Speadsheet!$E$64:$BL$64))</f>
        <v>0</v>
      </c>
      <c r="AE17" s="382" cm="1">
        <f t="array" aca="1" ref="AE17" ca="1">SUMPRODUCT(AE$55:AE$114,TRANSPOSE(SAP_Speadsheet!$E$64:$BL$64))</f>
        <v>0</v>
      </c>
      <c r="AF17" s="382" cm="1">
        <f t="array" aca="1" ref="AF17" ca="1">SUMPRODUCT(AF$55:AF$114,TRANSPOSE(SAP_Speadsheet!$E$64:$BL$64))</f>
        <v>0</v>
      </c>
      <c r="AG17" s="382" cm="1">
        <f t="array" aca="1" ref="AG17" ca="1">SUMPRODUCT(AG$55:AG$114,TRANSPOSE(SAP_Speadsheet!$E$64:$BL$64))</f>
        <v>0</v>
      </c>
      <c r="AH17" s="382" cm="1">
        <f t="array" aca="1" ref="AH17" ca="1">SUMPRODUCT(AH$55:AH$114,TRANSPOSE(SAP_Speadsheet!$E$64:$BL$64))</f>
        <v>0</v>
      </c>
      <c r="AI17" s="382" cm="1">
        <f t="array" aca="1" ref="AI17" ca="1">SUMPRODUCT(AI$55:AI$114,TRANSPOSE(SAP_Speadsheet!$E$64:$BL$64))</f>
        <v>0</v>
      </c>
      <c r="AJ17" s="382" cm="1">
        <f t="array" aca="1" ref="AJ17" ca="1">SUMPRODUCT(AJ$55:AJ$114,TRANSPOSE(SAP_Speadsheet!$E$64:$BL$64))</f>
        <v>0</v>
      </c>
      <c r="AK17" s="382" cm="1">
        <f t="array" aca="1" ref="AK17" ca="1">SUMPRODUCT(AK$55:AK$114,TRANSPOSE(SAP_Speadsheet!$E$64:$BL$64))</f>
        <v>0</v>
      </c>
      <c r="AL17" s="382" cm="1">
        <f t="array" aca="1" ref="AL17" ca="1">SUMPRODUCT(AL$55:AL$114,TRANSPOSE(SAP_Speadsheet!$E$64:$BL$64))</f>
        <v>0</v>
      </c>
      <c r="AM17" s="382" cm="1">
        <f t="array" aca="1" ref="AM17" ca="1">SUMPRODUCT(AM$55:AM$114,TRANSPOSE(SAP_Speadsheet!$E$64:$BL$64))</f>
        <v>0</v>
      </c>
      <c r="AN17" s="382" cm="1">
        <f t="array" aca="1" ref="AN17" ca="1">SUMPRODUCT(AN$55:AN$114,TRANSPOSE(SAP_Speadsheet!$E$64:$BL$64))</f>
        <v>0</v>
      </c>
      <c r="AO17" s="382" cm="1">
        <f t="array" aca="1" ref="AO17" ca="1">SUMPRODUCT(AO$55:AO$114,TRANSPOSE(SAP_Speadsheet!$E$64:$BL$64))</f>
        <v>0</v>
      </c>
      <c r="AP17" s="382" cm="1">
        <f t="array" aca="1" ref="AP17" ca="1">SUMPRODUCT(AP$55:AP$114,TRANSPOSE(SAP_Speadsheet!$E$64:$BL$64))</f>
        <v>0</v>
      </c>
      <c r="AQ17" s="382" cm="1">
        <f t="array" aca="1" ref="AQ17" ca="1">SUMPRODUCT(AQ$55:AQ$114,TRANSPOSE(SAP_Speadsheet!$E$64:$BL$64))</f>
        <v>0</v>
      </c>
      <c r="AR17" s="382" cm="1">
        <f t="array" aca="1" ref="AR17" ca="1">SUMPRODUCT(AR$55:AR$114,TRANSPOSE(SAP_Speadsheet!$E$64:$BL$64))</f>
        <v>0</v>
      </c>
      <c r="AS17" s="382" cm="1">
        <f t="array" aca="1" ref="AS17" ca="1">SUMPRODUCT(AS$55:AS$114,TRANSPOSE(SAP_Speadsheet!$E$64:$BL$64))</f>
        <v>0</v>
      </c>
      <c r="AT17" s="382" cm="1">
        <f t="array" aca="1" ref="AT17" ca="1">SUMPRODUCT(AT$55:AT$114,TRANSPOSE(SAP_Speadsheet!$E$64:$BL$64))</f>
        <v>0</v>
      </c>
      <c r="AU17" s="382" cm="1">
        <f t="array" aca="1" ref="AU17" ca="1">SUMPRODUCT(AU$55:AU$114,TRANSPOSE(SAP_Speadsheet!$E$64:$BL$64))</f>
        <v>0</v>
      </c>
      <c r="AV17" s="382" cm="1">
        <f t="array" aca="1" ref="AV17" ca="1">SUMPRODUCT(AV$55:AV$114,TRANSPOSE(SAP_Speadsheet!$E$64:$BL$64))</f>
        <v>0</v>
      </c>
      <c r="AW17" s="382" cm="1">
        <f t="array" aca="1" ref="AW17" ca="1">SUMPRODUCT(AW$55:AW$114,TRANSPOSE(SAP_Speadsheet!$E$64:$BL$64))</f>
        <v>0</v>
      </c>
      <c r="AX17" s="382" cm="1">
        <f t="array" aca="1" ref="AX17" ca="1">SUMPRODUCT(AX$55:AX$114,TRANSPOSE(SAP_Speadsheet!$E$64:$BL$64))</f>
        <v>0</v>
      </c>
      <c r="AY17" s="382" cm="1">
        <f t="array" aca="1" ref="AY17" ca="1">SUMPRODUCT(AY$55:AY$114,TRANSPOSE(SAP_Speadsheet!$E$64:$BL$64))</f>
        <v>0</v>
      </c>
      <c r="AZ17" s="382" cm="1">
        <f t="array" aca="1" ref="AZ17" ca="1">SUMPRODUCT(AZ$55:AZ$114,TRANSPOSE(SAP_Speadsheet!$E$64:$BL$64))</f>
        <v>0</v>
      </c>
      <c r="BA17" s="382" cm="1">
        <f t="array" aca="1" ref="BA17" ca="1">SUMPRODUCT(BA$55:BA$114,TRANSPOSE(SAP_Speadsheet!$E$64:$BL$64))</f>
        <v>0</v>
      </c>
      <c r="BB17" s="382" cm="1">
        <f t="array" aca="1" ref="BB17" ca="1">SUMPRODUCT(BB$55:BB$114,TRANSPOSE(SAP_Speadsheet!$E$64:$BL$64))</f>
        <v>0</v>
      </c>
      <c r="BC17" s="382" cm="1">
        <f t="array" aca="1" ref="BC17" ca="1">SUMPRODUCT(BC$55:BC$114,TRANSPOSE(SAP_Speadsheet!$E$64:$BL$64))</f>
        <v>0</v>
      </c>
      <c r="BD17" s="382" cm="1">
        <f t="array" aca="1" ref="BD17" ca="1">SUMPRODUCT(BD$55:BD$114,TRANSPOSE(SAP_Speadsheet!$E$64:$BL$64))</f>
        <v>0</v>
      </c>
      <c r="BE17" s="382" cm="1">
        <f t="array" aca="1" ref="BE17" ca="1">SUMPRODUCT(BE$55:BE$114,TRANSPOSE(SAP_Speadsheet!$E$64:$BL$64))</f>
        <v>0</v>
      </c>
      <c r="BF17" s="382" cm="1">
        <f t="array" aca="1" ref="BF17" ca="1">SUMPRODUCT(BF$55:BF$114,TRANSPOSE(SAP_Speadsheet!$E$64:$BL$64))</f>
        <v>0</v>
      </c>
      <c r="BG17" s="382" cm="1">
        <f t="array" aca="1" ref="BG17" ca="1">SUMPRODUCT(BG$55:BG$114,TRANSPOSE(SAP_Speadsheet!$E$64:$BL$64))</f>
        <v>0</v>
      </c>
      <c r="BH17" s="382" cm="1">
        <f t="array" aca="1" ref="BH17" ca="1">SUMPRODUCT(BH$55:BH$114,TRANSPOSE(SAP_Speadsheet!$E$64:$BL$64))</f>
        <v>0</v>
      </c>
      <c r="BI17" s="382" cm="1">
        <f t="array" aca="1" ref="BI17" ca="1">SUMPRODUCT(BI$55:BI$114,TRANSPOSE(SAP_Speadsheet!$E$64:$BL$64))</f>
        <v>0</v>
      </c>
    </row>
    <row r="18" spans="1:61" x14ac:dyDescent="0.15">
      <c r="A18" s="370" t="s">
        <v>275</v>
      </c>
      <c r="B18" s="382" cm="1">
        <f t="array" aca="1" ref="B18" ca="1">SUMPRODUCT(B$55:B$114,TRANSPOSE(SAP_Speadsheet!$E$68:$BL$68))</f>
        <v>0</v>
      </c>
      <c r="C18" s="382" cm="1">
        <f t="array" aca="1" ref="C18" ca="1">SUMPRODUCT(C$55:C$114,TRANSPOSE(SAP_Speadsheet!$E$68:$BL$68))</f>
        <v>0</v>
      </c>
      <c r="D18" s="382" cm="1">
        <f t="array" aca="1" ref="D18" ca="1">SUMPRODUCT(D$55:D$114,TRANSPOSE(SAP_Speadsheet!$E$68:$BL$68))</f>
        <v>0</v>
      </c>
      <c r="E18" s="382" cm="1">
        <f t="array" aca="1" ref="E18" ca="1">SUMPRODUCT(E$55:E$114,TRANSPOSE(SAP_Speadsheet!$E$68:$BL$68))</f>
        <v>0</v>
      </c>
      <c r="F18" s="382" cm="1">
        <f t="array" aca="1" ref="F18" ca="1">SUMPRODUCT(F$55:F$114,TRANSPOSE(SAP_Speadsheet!$E$68:$BL$68))</f>
        <v>0</v>
      </c>
      <c r="G18" s="382" cm="1">
        <f t="array" aca="1" ref="G18" ca="1">SUMPRODUCT(G$55:G$114,TRANSPOSE(SAP_Speadsheet!$E$68:$BL$68))</f>
        <v>0</v>
      </c>
      <c r="H18" s="382" cm="1">
        <f t="array" aca="1" ref="H18" ca="1">SUMPRODUCT(H$55:H$114,TRANSPOSE(SAP_Speadsheet!$E$68:$BL$68))</f>
        <v>0</v>
      </c>
      <c r="I18" s="382" cm="1">
        <f t="array" aca="1" ref="I18" ca="1">SUMPRODUCT(I$55:I$114,TRANSPOSE(SAP_Speadsheet!$E$68:$BL$68))</f>
        <v>0</v>
      </c>
      <c r="J18" s="382" cm="1">
        <f t="array" aca="1" ref="J18" ca="1">SUMPRODUCT(J$55:J$114,TRANSPOSE(SAP_Speadsheet!$E$68:$BL$68))</f>
        <v>0</v>
      </c>
      <c r="K18" s="382" cm="1">
        <f t="array" aca="1" ref="K18" ca="1">SUMPRODUCT(K$55:K$114,TRANSPOSE(SAP_Speadsheet!$E$68:$BL$68))</f>
        <v>0</v>
      </c>
      <c r="L18" s="382" cm="1">
        <f t="array" aca="1" ref="L18" ca="1">SUMPRODUCT(L$55:L$114,TRANSPOSE(SAP_Speadsheet!$E$68:$BL$68))</f>
        <v>0</v>
      </c>
      <c r="M18" s="382" cm="1">
        <f t="array" aca="1" ref="M18" ca="1">SUMPRODUCT(M$55:M$114,TRANSPOSE(SAP_Speadsheet!$E$68:$BL$68))</f>
        <v>0</v>
      </c>
      <c r="N18" s="382" cm="1">
        <f t="array" aca="1" ref="N18" ca="1">SUMPRODUCT(N$55:N$114,TRANSPOSE(SAP_Speadsheet!$E$68:$BL$68))</f>
        <v>0</v>
      </c>
      <c r="O18" s="382" cm="1">
        <f t="array" aca="1" ref="O18" ca="1">SUMPRODUCT(O$55:O$114,TRANSPOSE(SAP_Speadsheet!$E$68:$BL$68))</f>
        <v>0</v>
      </c>
      <c r="P18" s="382" cm="1">
        <f t="array" aca="1" ref="P18" ca="1">SUMPRODUCT(P$55:P$114,TRANSPOSE(SAP_Speadsheet!$E$68:$BL$68))</f>
        <v>0</v>
      </c>
      <c r="Q18" s="382" cm="1">
        <f t="array" aca="1" ref="Q18" ca="1">SUMPRODUCT(Q$55:Q$114,TRANSPOSE(SAP_Speadsheet!$E$68:$BL$68))</f>
        <v>0</v>
      </c>
      <c r="R18" s="382" cm="1">
        <f t="array" aca="1" ref="R18" ca="1">SUMPRODUCT(R$55:R$114,TRANSPOSE(SAP_Speadsheet!$E$68:$BL$68))</f>
        <v>0</v>
      </c>
      <c r="S18" s="382" cm="1">
        <f t="array" aca="1" ref="S18" ca="1">SUMPRODUCT(S$55:S$114,TRANSPOSE(SAP_Speadsheet!$E$68:$BL$68))</f>
        <v>0</v>
      </c>
      <c r="T18" s="382" cm="1">
        <f t="array" aca="1" ref="T18" ca="1">SUMPRODUCT(T$55:T$114,TRANSPOSE(SAP_Speadsheet!$E$68:$BL$68))</f>
        <v>0</v>
      </c>
      <c r="U18" s="382" cm="1">
        <f t="array" aca="1" ref="U18" ca="1">SUMPRODUCT(U$55:U$114,TRANSPOSE(SAP_Speadsheet!$E$68:$BL$68))</f>
        <v>0</v>
      </c>
      <c r="V18" s="382" cm="1">
        <f t="array" aca="1" ref="V18" ca="1">SUMPRODUCT(V$55:V$114,TRANSPOSE(SAP_Speadsheet!$E$68:$BL$68))</f>
        <v>0</v>
      </c>
      <c r="W18" s="382" cm="1">
        <f t="array" aca="1" ref="W18" ca="1">SUMPRODUCT(W$55:W$114,TRANSPOSE(SAP_Speadsheet!$E$68:$BL$68))</f>
        <v>0</v>
      </c>
      <c r="X18" s="382" cm="1">
        <f t="array" aca="1" ref="X18" ca="1">SUMPRODUCT(X$55:X$114,TRANSPOSE(SAP_Speadsheet!$E$68:$BL$68))</f>
        <v>0</v>
      </c>
      <c r="Y18" s="382" cm="1">
        <f t="array" aca="1" ref="Y18" ca="1">SUMPRODUCT(Y$55:Y$114,TRANSPOSE(SAP_Speadsheet!$E$68:$BL$68))</f>
        <v>0</v>
      </c>
      <c r="Z18" s="382" cm="1">
        <f t="array" aca="1" ref="Z18" ca="1">SUMPRODUCT(Z$55:Z$114,TRANSPOSE(SAP_Speadsheet!$E$68:$BL$68))</f>
        <v>0</v>
      </c>
      <c r="AA18" s="382" cm="1">
        <f t="array" aca="1" ref="AA18" ca="1">SUMPRODUCT(AA$55:AA$114,TRANSPOSE(SAP_Speadsheet!$E$68:$BL$68))</f>
        <v>0</v>
      </c>
      <c r="AB18" s="382" cm="1">
        <f t="array" aca="1" ref="AB18" ca="1">SUMPRODUCT(AB$55:AB$114,TRANSPOSE(SAP_Speadsheet!$E$68:$BL$68))</f>
        <v>0</v>
      </c>
      <c r="AC18" s="382" cm="1">
        <f t="array" aca="1" ref="AC18" ca="1">SUMPRODUCT(AC$55:AC$114,TRANSPOSE(SAP_Speadsheet!$E$68:$BL$68))</f>
        <v>0</v>
      </c>
      <c r="AD18" s="382" cm="1">
        <f t="array" aca="1" ref="AD18" ca="1">SUMPRODUCT(AD$55:AD$114,TRANSPOSE(SAP_Speadsheet!$E$68:$BL$68))</f>
        <v>0</v>
      </c>
      <c r="AE18" s="382" cm="1">
        <f t="array" aca="1" ref="AE18" ca="1">SUMPRODUCT(AE$55:AE$114,TRANSPOSE(SAP_Speadsheet!$E$68:$BL$68))</f>
        <v>0</v>
      </c>
      <c r="AF18" s="382" cm="1">
        <f t="array" aca="1" ref="AF18" ca="1">SUMPRODUCT(AF$55:AF$114,TRANSPOSE(SAP_Speadsheet!$E$68:$BL$68))</f>
        <v>0</v>
      </c>
      <c r="AG18" s="382" cm="1">
        <f t="array" aca="1" ref="AG18" ca="1">SUMPRODUCT(AG$55:AG$114,TRANSPOSE(SAP_Speadsheet!$E$68:$BL$68))</f>
        <v>0</v>
      </c>
      <c r="AH18" s="382" cm="1">
        <f t="array" aca="1" ref="AH18" ca="1">SUMPRODUCT(AH$55:AH$114,TRANSPOSE(SAP_Speadsheet!$E$68:$BL$68))</f>
        <v>0</v>
      </c>
      <c r="AI18" s="382" cm="1">
        <f t="array" aca="1" ref="AI18" ca="1">SUMPRODUCT(AI$55:AI$114,TRANSPOSE(SAP_Speadsheet!$E$68:$BL$68))</f>
        <v>0</v>
      </c>
      <c r="AJ18" s="382" cm="1">
        <f t="array" aca="1" ref="AJ18" ca="1">SUMPRODUCT(AJ$55:AJ$114,TRANSPOSE(SAP_Speadsheet!$E$68:$BL$68))</f>
        <v>0</v>
      </c>
      <c r="AK18" s="382" cm="1">
        <f t="array" aca="1" ref="AK18" ca="1">SUMPRODUCT(AK$55:AK$114,TRANSPOSE(SAP_Speadsheet!$E$68:$BL$68))</f>
        <v>0</v>
      </c>
      <c r="AL18" s="382" cm="1">
        <f t="array" aca="1" ref="AL18" ca="1">SUMPRODUCT(AL$55:AL$114,TRANSPOSE(SAP_Speadsheet!$E$68:$BL$68))</f>
        <v>0</v>
      </c>
      <c r="AM18" s="382" cm="1">
        <f t="array" aca="1" ref="AM18" ca="1">SUMPRODUCT(AM$55:AM$114,TRANSPOSE(SAP_Speadsheet!$E$68:$BL$68))</f>
        <v>0</v>
      </c>
      <c r="AN18" s="382" cm="1">
        <f t="array" aca="1" ref="AN18" ca="1">SUMPRODUCT(AN$55:AN$114,TRANSPOSE(SAP_Speadsheet!$E$68:$BL$68))</f>
        <v>0</v>
      </c>
      <c r="AO18" s="382" cm="1">
        <f t="array" aca="1" ref="AO18" ca="1">SUMPRODUCT(AO$55:AO$114,TRANSPOSE(SAP_Speadsheet!$E$68:$BL$68))</f>
        <v>0</v>
      </c>
      <c r="AP18" s="382" cm="1">
        <f t="array" aca="1" ref="AP18" ca="1">SUMPRODUCT(AP$55:AP$114,TRANSPOSE(SAP_Speadsheet!$E$68:$BL$68))</f>
        <v>0</v>
      </c>
      <c r="AQ18" s="382" cm="1">
        <f t="array" aca="1" ref="AQ18" ca="1">SUMPRODUCT(AQ$55:AQ$114,TRANSPOSE(SAP_Speadsheet!$E$68:$BL$68))</f>
        <v>0</v>
      </c>
      <c r="AR18" s="382" cm="1">
        <f t="array" aca="1" ref="AR18" ca="1">SUMPRODUCT(AR$55:AR$114,TRANSPOSE(SAP_Speadsheet!$E$68:$BL$68))</f>
        <v>0</v>
      </c>
      <c r="AS18" s="382" cm="1">
        <f t="array" aca="1" ref="AS18" ca="1">SUMPRODUCT(AS$55:AS$114,TRANSPOSE(SAP_Speadsheet!$E$68:$BL$68))</f>
        <v>0</v>
      </c>
      <c r="AT18" s="382" cm="1">
        <f t="array" aca="1" ref="AT18" ca="1">SUMPRODUCT(AT$55:AT$114,TRANSPOSE(SAP_Speadsheet!$E$68:$BL$68))</f>
        <v>0</v>
      </c>
      <c r="AU18" s="382" cm="1">
        <f t="array" aca="1" ref="AU18" ca="1">SUMPRODUCT(AU$55:AU$114,TRANSPOSE(SAP_Speadsheet!$E$68:$BL$68))</f>
        <v>0</v>
      </c>
      <c r="AV18" s="382" cm="1">
        <f t="array" aca="1" ref="AV18" ca="1">SUMPRODUCT(AV$55:AV$114,TRANSPOSE(SAP_Speadsheet!$E$68:$BL$68))</f>
        <v>0</v>
      </c>
      <c r="AW18" s="382" cm="1">
        <f t="array" aca="1" ref="AW18" ca="1">SUMPRODUCT(AW$55:AW$114,TRANSPOSE(SAP_Speadsheet!$E$68:$BL$68))</f>
        <v>0</v>
      </c>
      <c r="AX18" s="382" cm="1">
        <f t="array" aca="1" ref="AX18" ca="1">SUMPRODUCT(AX$55:AX$114,TRANSPOSE(SAP_Speadsheet!$E$68:$BL$68))</f>
        <v>0</v>
      </c>
      <c r="AY18" s="382" cm="1">
        <f t="array" aca="1" ref="AY18" ca="1">SUMPRODUCT(AY$55:AY$114,TRANSPOSE(SAP_Speadsheet!$E$68:$BL$68))</f>
        <v>0</v>
      </c>
      <c r="AZ18" s="382" cm="1">
        <f t="array" aca="1" ref="AZ18" ca="1">SUMPRODUCT(AZ$55:AZ$114,TRANSPOSE(SAP_Speadsheet!$E$68:$BL$68))</f>
        <v>0</v>
      </c>
      <c r="BA18" s="382" cm="1">
        <f t="array" aca="1" ref="BA18" ca="1">SUMPRODUCT(BA$55:BA$114,TRANSPOSE(SAP_Speadsheet!$E$68:$BL$68))</f>
        <v>0</v>
      </c>
      <c r="BB18" s="382" cm="1">
        <f t="array" aca="1" ref="BB18" ca="1">SUMPRODUCT(BB$55:BB$114,TRANSPOSE(SAP_Speadsheet!$E$68:$BL$68))</f>
        <v>0</v>
      </c>
      <c r="BC18" s="382" cm="1">
        <f t="array" aca="1" ref="BC18" ca="1">SUMPRODUCT(BC$55:BC$114,TRANSPOSE(SAP_Speadsheet!$E$68:$BL$68))</f>
        <v>0</v>
      </c>
      <c r="BD18" s="382" cm="1">
        <f t="array" aca="1" ref="BD18" ca="1">SUMPRODUCT(BD$55:BD$114,TRANSPOSE(SAP_Speadsheet!$E$68:$BL$68))</f>
        <v>0</v>
      </c>
      <c r="BE18" s="382" cm="1">
        <f t="array" aca="1" ref="BE18" ca="1">SUMPRODUCT(BE$55:BE$114,TRANSPOSE(SAP_Speadsheet!$E$68:$BL$68))</f>
        <v>0</v>
      </c>
      <c r="BF18" s="382" cm="1">
        <f t="array" aca="1" ref="BF18" ca="1">SUMPRODUCT(BF$55:BF$114,TRANSPOSE(SAP_Speadsheet!$E$68:$BL$68))</f>
        <v>0</v>
      </c>
      <c r="BG18" s="382" cm="1">
        <f t="array" aca="1" ref="BG18" ca="1">SUMPRODUCT(BG$55:BG$114,TRANSPOSE(SAP_Speadsheet!$E$68:$BL$68))</f>
        <v>0</v>
      </c>
      <c r="BH18" s="382" cm="1">
        <f t="array" aca="1" ref="BH18" ca="1">SUMPRODUCT(BH$55:BH$114,TRANSPOSE(SAP_Speadsheet!$E$68:$BL$68))</f>
        <v>0</v>
      </c>
      <c r="BI18" s="382" cm="1">
        <f t="array" aca="1" ref="BI18" ca="1">SUMPRODUCT(BI$55:BI$114,TRANSPOSE(SAP_Speadsheet!$E$68:$BL$68))</f>
        <v>0</v>
      </c>
    </row>
    <row r="19" spans="1:61" s="370" customFormat="1" x14ac:dyDescent="0.15">
      <c r="A19" s="370" t="s">
        <v>279</v>
      </c>
      <c r="B19" s="377">
        <f t="shared" ref="B19:BI19" ca="1" si="3">B20+B24+B28+B29+B30</f>
        <v>0</v>
      </c>
      <c r="C19" s="377">
        <f t="shared" ca="1" si="3"/>
        <v>0</v>
      </c>
      <c r="D19" s="377">
        <f t="shared" ca="1" si="3"/>
        <v>0</v>
      </c>
      <c r="E19" s="377">
        <f t="shared" ca="1" si="3"/>
        <v>0</v>
      </c>
      <c r="F19" s="377">
        <f t="shared" ca="1" si="3"/>
        <v>0</v>
      </c>
      <c r="G19" s="377">
        <f t="shared" ca="1" si="3"/>
        <v>0</v>
      </c>
      <c r="H19" s="377">
        <f t="shared" ca="1" si="3"/>
        <v>-2784.6256540758454</v>
      </c>
      <c r="I19" s="377">
        <f t="shared" ca="1" si="3"/>
        <v>-2975.7944053137644</v>
      </c>
      <c r="J19" s="377">
        <f t="shared" ca="1" si="3"/>
        <v>-3238.00624327384</v>
      </c>
      <c r="K19" s="377">
        <f t="shared" ca="1" si="3"/>
        <v>-874.03131837832166</v>
      </c>
      <c r="L19" s="377">
        <f t="shared" ca="1" si="3"/>
        <v>-825.3773391269076</v>
      </c>
      <c r="M19" s="377">
        <f t="shared" ca="1" si="3"/>
        <v>-788.44489243862665</v>
      </c>
      <c r="N19" s="377">
        <f t="shared" ca="1" si="3"/>
        <v>-762.98523641426709</v>
      </c>
      <c r="O19" s="377">
        <f t="shared" ca="1" si="3"/>
        <v>-737.52558038990753</v>
      </c>
      <c r="P19" s="377">
        <f t="shared" ca="1" si="3"/>
        <v>-712.06592436554797</v>
      </c>
      <c r="Q19" s="377">
        <f t="shared" ca="1" si="3"/>
        <v>-686.6062683411883</v>
      </c>
      <c r="R19" s="377">
        <f t="shared" ca="1" si="3"/>
        <v>-661.14661231682885</v>
      </c>
      <c r="S19" s="377">
        <f t="shared" ca="1" si="3"/>
        <v>-642.98095541669852</v>
      </c>
      <c r="T19" s="377">
        <f t="shared" ca="1" si="3"/>
        <v>-624.16546860004269</v>
      </c>
      <c r="U19" s="377">
        <f t="shared" ca="1" si="3"/>
        <v>-605.10307926728126</v>
      </c>
      <c r="V19" s="377">
        <f t="shared" ca="1" si="3"/>
        <v>-394.57047536357663</v>
      </c>
      <c r="W19" s="377">
        <f t="shared" ca="1" si="3"/>
        <v>-201.86952919455121</v>
      </c>
      <c r="X19" s="377">
        <f t="shared" ca="1" si="3"/>
        <v>-19.357490054929048</v>
      </c>
      <c r="Y19" s="377">
        <f t="shared" ca="1" si="3"/>
        <v>-19.355287638189463</v>
      </c>
      <c r="Z19" s="377">
        <f t="shared" ca="1" si="3"/>
        <v>-19.354709586383162</v>
      </c>
      <c r="AA19" s="377">
        <f t="shared" ca="1" si="3"/>
        <v>-19.354709586383162</v>
      </c>
      <c r="AB19" s="377">
        <f t="shared" ca="1" si="3"/>
        <v>-12.672193120868339</v>
      </c>
      <c r="AC19" s="377">
        <f t="shared" ca="1" si="3"/>
        <v>-6.3065907641023786</v>
      </c>
      <c r="AD19" s="377">
        <f t="shared" ca="1" si="3"/>
        <v>0</v>
      </c>
      <c r="AE19" s="377">
        <f t="shared" ca="1" si="3"/>
        <v>0</v>
      </c>
      <c r="AF19" s="377">
        <f t="shared" ca="1" si="3"/>
        <v>0</v>
      </c>
      <c r="AG19" s="377">
        <f t="shared" ca="1" si="3"/>
        <v>0</v>
      </c>
      <c r="AH19" s="377">
        <f t="shared" ca="1" si="3"/>
        <v>0</v>
      </c>
      <c r="AI19" s="377">
        <f t="shared" ca="1" si="3"/>
        <v>0</v>
      </c>
      <c r="AJ19" s="377">
        <f t="shared" ca="1" si="3"/>
        <v>0</v>
      </c>
      <c r="AK19" s="377">
        <f t="shared" ca="1" si="3"/>
        <v>0</v>
      </c>
      <c r="AL19" s="377">
        <f t="shared" ca="1" si="3"/>
        <v>0</v>
      </c>
      <c r="AM19" s="377">
        <f t="shared" ca="1" si="3"/>
        <v>0</v>
      </c>
      <c r="AN19" s="377">
        <f t="shared" ca="1" si="3"/>
        <v>0</v>
      </c>
      <c r="AO19" s="377">
        <f t="shared" ca="1" si="3"/>
        <v>0</v>
      </c>
      <c r="AP19" s="377">
        <f t="shared" ca="1" si="3"/>
        <v>0</v>
      </c>
      <c r="AQ19" s="377">
        <f t="shared" ca="1" si="3"/>
        <v>0</v>
      </c>
      <c r="AR19" s="377">
        <f t="shared" ca="1" si="3"/>
        <v>0</v>
      </c>
      <c r="AS19" s="377">
        <f t="shared" ca="1" si="3"/>
        <v>0</v>
      </c>
      <c r="AT19" s="377">
        <f t="shared" ca="1" si="3"/>
        <v>0</v>
      </c>
      <c r="AU19" s="377">
        <f t="shared" ca="1" si="3"/>
        <v>0</v>
      </c>
      <c r="AV19" s="377">
        <f t="shared" ca="1" si="3"/>
        <v>0</v>
      </c>
      <c r="AW19" s="377">
        <f t="shared" ca="1" si="3"/>
        <v>0</v>
      </c>
      <c r="AX19" s="377">
        <f t="shared" ca="1" si="3"/>
        <v>0</v>
      </c>
      <c r="AY19" s="377">
        <f t="shared" ca="1" si="3"/>
        <v>0</v>
      </c>
      <c r="AZ19" s="377">
        <f t="shared" ca="1" si="3"/>
        <v>0</v>
      </c>
      <c r="BA19" s="377">
        <f t="shared" ca="1" si="3"/>
        <v>0</v>
      </c>
      <c r="BB19" s="377">
        <f t="shared" ca="1" si="3"/>
        <v>0</v>
      </c>
      <c r="BC19" s="377">
        <f t="shared" ca="1" si="3"/>
        <v>0</v>
      </c>
      <c r="BD19" s="377">
        <f t="shared" ca="1" si="3"/>
        <v>0</v>
      </c>
      <c r="BE19" s="377">
        <f t="shared" ca="1" si="3"/>
        <v>0</v>
      </c>
      <c r="BF19" s="377">
        <f t="shared" ca="1" si="3"/>
        <v>0</v>
      </c>
      <c r="BG19" s="377">
        <f t="shared" ca="1" si="3"/>
        <v>0</v>
      </c>
      <c r="BH19" s="377">
        <f t="shared" ca="1" si="3"/>
        <v>0</v>
      </c>
      <c r="BI19" s="377">
        <f t="shared" ca="1" si="3"/>
        <v>0</v>
      </c>
    </row>
    <row r="20" spans="1:61" x14ac:dyDescent="0.15">
      <c r="A20" s="383" t="s">
        <v>508</v>
      </c>
      <c r="B20" s="377">
        <f ca="1">SUM(B21:B23)</f>
        <v>0</v>
      </c>
      <c r="C20" s="377">
        <f t="shared" ref="C20:BI20" ca="1" si="4">SUM(C21:C23)</f>
        <v>0</v>
      </c>
      <c r="D20" s="377">
        <f t="shared" ca="1" si="4"/>
        <v>0</v>
      </c>
      <c r="E20" s="377">
        <f t="shared" ca="1" si="4"/>
        <v>0</v>
      </c>
      <c r="F20" s="377">
        <f t="shared" ca="1" si="4"/>
        <v>0</v>
      </c>
      <c r="G20" s="377">
        <f t="shared" ca="1" si="4"/>
        <v>0</v>
      </c>
      <c r="H20" s="377">
        <f t="shared" ca="1" si="4"/>
        <v>-2199.7711229603069</v>
      </c>
      <c r="I20" s="377">
        <f t="shared" ca="1" si="4"/>
        <v>-2095.4483714217154</v>
      </c>
      <c r="J20" s="377">
        <f t="shared" ca="1" si="4"/>
        <v>-2076.0227556179775</v>
      </c>
      <c r="K20" s="377">
        <f t="shared" ca="1" si="4"/>
        <v>0</v>
      </c>
      <c r="L20" s="377">
        <f t="shared" ca="1" si="4"/>
        <v>0</v>
      </c>
      <c r="M20" s="377">
        <f t="shared" ca="1" si="4"/>
        <v>0</v>
      </c>
      <c r="N20" s="377">
        <f t="shared" ca="1" si="4"/>
        <v>0</v>
      </c>
      <c r="O20" s="377">
        <f t="shared" ca="1" si="4"/>
        <v>0</v>
      </c>
      <c r="P20" s="377">
        <f t="shared" ca="1" si="4"/>
        <v>0</v>
      </c>
      <c r="Q20" s="377">
        <f t="shared" ca="1" si="4"/>
        <v>0</v>
      </c>
      <c r="R20" s="377">
        <f t="shared" ca="1" si="4"/>
        <v>0</v>
      </c>
      <c r="S20" s="377">
        <f t="shared" ca="1" si="4"/>
        <v>0</v>
      </c>
      <c r="T20" s="377">
        <f t="shared" ca="1" si="4"/>
        <v>0</v>
      </c>
      <c r="U20" s="377">
        <f t="shared" ca="1" si="4"/>
        <v>0</v>
      </c>
      <c r="V20" s="377">
        <f t="shared" ca="1" si="4"/>
        <v>0</v>
      </c>
      <c r="W20" s="377">
        <f t="shared" ca="1" si="4"/>
        <v>0</v>
      </c>
      <c r="X20" s="377">
        <f t="shared" ca="1" si="4"/>
        <v>0</v>
      </c>
      <c r="Y20" s="377">
        <f t="shared" ca="1" si="4"/>
        <v>0</v>
      </c>
      <c r="Z20" s="377">
        <f t="shared" ca="1" si="4"/>
        <v>0</v>
      </c>
      <c r="AA20" s="377">
        <f t="shared" ca="1" si="4"/>
        <v>0</v>
      </c>
      <c r="AB20" s="377">
        <f t="shared" ca="1" si="4"/>
        <v>0</v>
      </c>
      <c r="AC20" s="377">
        <f t="shared" ca="1" si="4"/>
        <v>0</v>
      </c>
      <c r="AD20" s="377">
        <f t="shared" ca="1" si="4"/>
        <v>0</v>
      </c>
      <c r="AE20" s="377">
        <f t="shared" ca="1" si="4"/>
        <v>0</v>
      </c>
      <c r="AF20" s="377">
        <f t="shared" ca="1" si="4"/>
        <v>0</v>
      </c>
      <c r="AG20" s="377">
        <f t="shared" ca="1" si="4"/>
        <v>0</v>
      </c>
      <c r="AH20" s="377">
        <f t="shared" ca="1" si="4"/>
        <v>0</v>
      </c>
      <c r="AI20" s="377">
        <f t="shared" ca="1" si="4"/>
        <v>0</v>
      </c>
      <c r="AJ20" s="377">
        <f t="shared" ca="1" si="4"/>
        <v>0</v>
      </c>
      <c r="AK20" s="377">
        <f t="shared" ca="1" si="4"/>
        <v>0</v>
      </c>
      <c r="AL20" s="377">
        <f t="shared" ca="1" si="4"/>
        <v>0</v>
      </c>
      <c r="AM20" s="377">
        <f t="shared" ca="1" si="4"/>
        <v>0</v>
      </c>
      <c r="AN20" s="377">
        <f t="shared" ca="1" si="4"/>
        <v>0</v>
      </c>
      <c r="AO20" s="377">
        <f t="shared" ca="1" si="4"/>
        <v>0</v>
      </c>
      <c r="AP20" s="377">
        <f t="shared" ca="1" si="4"/>
        <v>0</v>
      </c>
      <c r="AQ20" s="377">
        <f t="shared" ca="1" si="4"/>
        <v>0</v>
      </c>
      <c r="AR20" s="377">
        <f t="shared" ca="1" si="4"/>
        <v>0</v>
      </c>
      <c r="AS20" s="377">
        <f t="shared" ca="1" si="4"/>
        <v>0</v>
      </c>
      <c r="AT20" s="377">
        <f t="shared" ca="1" si="4"/>
        <v>0</v>
      </c>
      <c r="AU20" s="377">
        <f t="shared" ca="1" si="4"/>
        <v>0</v>
      </c>
      <c r="AV20" s="377">
        <f t="shared" ca="1" si="4"/>
        <v>0</v>
      </c>
      <c r="AW20" s="377">
        <f t="shared" ca="1" si="4"/>
        <v>0</v>
      </c>
      <c r="AX20" s="377">
        <f t="shared" ca="1" si="4"/>
        <v>0</v>
      </c>
      <c r="AY20" s="377">
        <f t="shared" ca="1" si="4"/>
        <v>0</v>
      </c>
      <c r="AZ20" s="377">
        <f t="shared" ca="1" si="4"/>
        <v>0</v>
      </c>
      <c r="BA20" s="377">
        <f t="shared" ca="1" si="4"/>
        <v>0</v>
      </c>
      <c r="BB20" s="377">
        <f t="shared" ca="1" si="4"/>
        <v>0</v>
      </c>
      <c r="BC20" s="377">
        <f t="shared" ca="1" si="4"/>
        <v>0</v>
      </c>
      <c r="BD20" s="377">
        <f t="shared" ca="1" si="4"/>
        <v>0</v>
      </c>
      <c r="BE20" s="377">
        <f t="shared" ca="1" si="4"/>
        <v>0</v>
      </c>
      <c r="BF20" s="377">
        <f t="shared" ca="1" si="4"/>
        <v>0</v>
      </c>
      <c r="BG20" s="377">
        <f t="shared" ca="1" si="4"/>
        <v>0</v>
      </c>
      <c r="BH20" s="377">
        <f t="shared" ca="1" si="4"/>
        <v>0</v>
      </c>
      <c r="BI20" s="377">
        <f t="shared" ca="1" si="4"/>
        <v>0</v>
      </c>
    </row>
    <row r="21" spans="1:61" x14ac:dyDescent="0.15">
      <c r="A21" s="371" t="s">
        <v>298</v>
      </c>
      <c r="B21" s="382" cm="1">
        <f t="array" aca="1" ref="B21" ca="1">SUMPRODUCT(B$55:B$114,TRANSPOSE(SAP_Speadsheet!$E$73:$BL$73))</f>
        <v>0</v>
      </c>
      <c r="C21" s="382" cm="1">
        <f t="array" aca="1" ref="C21" ca="1">SUMPRODUCT(C$55:C$114,TRANSPOSE(SAP_Speadsheet!$E$73:$BL$73))</f>
        <v>0</v>
      </c>
      <c r="D21" s="382" cm="1">
        <f t="array" aca="1" ref="D21" ca="1">SUMPRODUCT(D$55:D$114,TRANSPOSE(SAP_Speadsheet!$E$73:$BL$73))</f>
        <v>0</v>
      </c>
      <c r="E21" s="382" cm="1">
        <f t="array" aca="1" ref="E21" ca="1">SUMPRODUCT(E$55:E$114,TRANSPOSE(SAP_Speadsheet!$E$73:$BL$73))</f>
        <v>0</v>
      </c>
      <c r="F21" s="382" cm="1">
        <f t="array" aca="1" ref="F21" ca="1">SUMPRODUCT(F$55:F$114,TRANSPOSE(SAP_Speadsheet!$E$73:$BL$73))</f>
        <v>0</v>
      </c>
      <c r="G21" s="382" cm="1">
        <f t="array" aca="1" ref="G21" ca="1">SUMPRODUCT(G$55:G$114,TRANSPOSE(SAP_Speadsheet!$E$73:$BL$73))</f>
        <v>0</v>
      </c>
      <c r="H21" s="382" cm="1">
        <f t="array" aca="1" ref="H21" ca="1">SUMPRODUCT(H$55:H$114,TRANSPOSE(SAP_Speadsheet!$E$73:$BL$73))</f>
        <v>-2199.7711229603069</v>
      </c>
      <c r="I21" s="382" cm="1">
        <f t="array" aca="1" ref="I21" ca="1">SUMPRODUCT(I$55:I$114,TRANSPOSE(SAP_Speadsheet!$E$73:$BL$73))</f>
        <v>-2095.4483714217154</v>
      </c>
      <c r="J21" s="382" cm="1">
        <f t="array" aca="1" ref="J21" ca="1">SUMPRODUCT(J$55:J$114,TRANSPOSE(SAP_Speadsheet!$E$73:$BL$73))</f>
        <v>-2076.0227556179775</v>
      </c>
      <c r="K21" s="382" cm="1">
        <f t="array" aca="1" ref="K21" ca="1">SUMPRODUCT(K$55:K$114,TRANSPOSE(SAP_Speadsheet!$E$73:$BL$73))</f>
        <v>0</v>
      </c>
      <c r="L21" s="382" cm="1">
        <f t="array" aca="1" ref="L21" ca="1">SUMPRODUCT(L$55:L$114,TRANSPOSE(SAP_Speadsheet!$E$73:$BL$73))</f>
        <v>0</v>
      </c>
      <c r="M21" s="382" cm="1">
        <f t="array" aca="1" ref="M21" ca="1">SUMPRODUCT(M$55:M$114,TRANSPOSE(SAP_Speadsheet!$E$73:$BL$73))</f>
        <v>0</v>
      </c>
      <c r="N21" s="382" cm="1">
        <f t="array" aca="1" ref="N21" ca="1">SUMPRODUCT(N$55:N$114,TRANSPOSE(SAP_Speadsheet!$E$73:$BL$73))</f>
        <v>0</v>
      </c>
      <c r="O21" s="382" cm="1">
        <f t="array" aca="1" ref="O21" ca="1">SUMPRODUCT(O$55:O$114,TRANSPOSE(SAP_Speadsheet!$E$73:$BL$73))</f>
        <v>0</v>
      </c>
      <c r="P21" s="382" cm="1">
        <f t="array" aca="1" ref="P21" ca="1">SUMPRODUCT(P$55:P$114,TRANSPOSE(SAP_Speadsheet!$E$73:$BL$73))</f>
        <v>0</v>
      </c>
      <c r="Q21" s="382" cm="1">
        <f t="array" aca="1" ref="Q21" ca="1">SUMPRODUCT(Q$55:Q$114,TRANSPOSE(SAP_Speadsheet!$E$73:$BL$73))</f>
        <v>0</v>
      </c>
      <c r="R21" s="382" cm="1">
        <f t="array" aca="1" ref="R21" ca="1">SUMPRODUCT(R$55:R$114,TRANSPOSE(SAP_Speadsheet!$E$73:$BL$73))</f>
        <v>0</v>
      </c>
      <c r="S21" s="382" cm="1">
        <f t="array" aca="1" ref="S21" ca="1">SUMPRODUCT(S$55:S$114,TRANSPOSE(SAP_Speadsheet!$E$73:$BL$73))</f>
        <v>0</v>
      </c>
      <c r="T21" s="382" cm="1">
        <f t="array" aca="1" ref="T21" ca="1">SUMPRODUCT(T$55:T$114,TRANSPOSE(SAP_Speadsheet!$E$73:$BL$73))</f>
        <v>0</v>
      </c>
      <c r="U21" s="382" cm="1">
        <f t="array" aca="1" ref="U21" ca="1">SUMPRODUCT(U$55:U$114,TRANSPOSE(SAP_Speadsheet!$E$73:$BL$73))</f>
        <v>0</v>
      </c>
      <c r="V21" s="382" cm="1">
        <f t="array" aca="1" ref="V21" ca="1">SUMPRODUCT(V$55:V$114,TRANSPOSE(SAP_Speadsheet!$E$73:$BL$73))</f>
        <v>0</v>
      </c>
      <c r="W21" s="382" cm="1">
        <f t="array" aca="1" ref="W21" ca="1">SUMPRODUCT(W$55:W$114,TRANSPOSE(SAP_Speadsheet!$E$73:$BL$73))</f>
        <v>0</v>
      </c>
      <c r="X21" s="382" cm="1">
        <f t="array" aca="1" ref="X21" ca="1">SUMPRODUCT(X$55:X$114,TRANSPOSE(SAP_Speadsheet!$E$73:$BL$73))</f>
        <v>0</v>
      </c>
      <c r="Y21" s="382" cm="1">
        <f t="array" aca="1" ref="Y21" ca="1">SUMPRODUCT(Y$55:Y$114,TRANSPOSE(SAP_Speadsheet!$E$73:$BL$73))</f>
        <v>0</v>
      </c>
      <c r="Z21" s="382" cm="1">
        <f t="array" aca="1" ref="Z21" ca="1">SUMPRODUCT(Z$55:Z$114,TRANSPOSE(SAP_Speadsheet!$E$73:$BL$73))</f>
        <v>0</v>
      </c>
      <c r="AA21" s="382" cm="1">
        <f t="array" aca="1" ref="AA21" ca="1">SUMPRODUCT(AA$55:AA$114,TRANSPOSE(SAP_Speadsheet!$E$73:$BL$73))</f>
        <v>0</v>
      </c>
      <c r="AB21" s="382" cm="1">
        <f t="array" aca="1" ref="AB21" ca="1">SUMPRODUCT(AB$55:AB$114,TRANSPOSE(SAP_Speadsheet!$E$73:$BL$73))</f>
        <v>0</v>
      </c>
      <c r="AC21" s="382" cm="1">
        <f t="array" aca="1" ref="AC21" ca="1">SUMPRODUCT(AC$55:AC$114,TRANSPOSE(SAP_Speadsheet!$E$73:$BL$73))</f>
        <v>0</v>
      </c>
      <c r="AD21" s="382" cm="1">
        <f t="array" aca="1" ref="AD21" ca="1">SUMPRODUCT(AD$55:AD$114,TRANSPOSE(SAP_Speadsheet!$E$73:$BL$73))</f>
        <v>0</v>
      </c>
      <c r="AE21" s="382" cm="1">
        <f t="array" aca="1" ref="AE21" ca="1">SUMPRODUCT(AE$55:AE$114,TRANSPOSE(SAP_Speadsheet!$E$73:$BL$73))</f>
        <v>0</v>
      </c>
      <c r="AF21" s="382" cm="1">
        <f t="array" aca="1" ref="AF21" ca="1">SUMPRODUCT(AF$55:AF$114,TRANSPOSE(SAP_Speadsheet!$E$73:$BL$73))</f>
        <v>0</v>
      </c>
      <c r="AG21" s="382" cm="1">
        <f t="array" aca="1" ref="AG21" ca="1">SUMPRODUCT(AG$55:AG$114,TRANSPOSE(SAP_Speadsheet!$E$73:$BL$73))</f>
        <v>0</v>
      </c>
      <c r="AH21" s="382" cm="1">
        <f t="array" aca="1" ref="AH21" ca="1">SUMPRODUCT(AH$55:AH$114,TRANSPOSE(SAP_Speadsheet!$E$73:$BL$73))</f>
        <v>0</v>
      </c>
      <c r="AI21" s="382" cm="1">
        <f t="array" aca="1" ref="AI21" ca="1">SUMPRODUCT(AI$55:AI$114,TRANSPOSE(SAP_Speadsheet!$E$73:$BL$73))</f>
        <v>0</v>
      </c>
      <c r="AJ21" s="382" cm="1">
        <f t="array" aca="1" ref="AJ21" ca="1">SUMPRODUCT(AJ$55:AJ$114,TRANSPOSE(SAP_Speadsheet!$E$73:$BL$73))</f>
        <v>0</v>
      </c>
      <c r="AK21" s="382" cm="1">
        <f t="array" aca="1" ref="AK21" ca="1">SUMPRODUCT(AK$55:AK$114,TRANSPOSE(SAP_Speadsheet!$E$73:$BL$73))</f>
        <v>0</v>
      </c>
      <c r="AL21" s="382" cm="1">
        <f t="array" aca="1" ref="AL21" ca="1">SUMPRODUCT(AL$55:AL$114,TRANSPOSE(SAP_Speadsheet!$E$73:$BL$73))</f>
        <v>0</v>
      </c>
      <c r="AM21" s="382" cm="1">
        <f t="array" aca="1" ref="AM21" ca="1">SUMPRODUCT(AM$55:AM$114,TRANSPOSE(SAP_Speadsheet!$E$73:$BL$73))</f>
        <v>0</v>
      </c>
      <c r="AN21" s="382" cm="1">
        <f t="array" aca="1" ref="AN21" ca="1">SUMPRODUCT(AN$55:AN$114,TRANSPOSE(SAP_Speadsheet!$E$73:$BL$73))</f>
        <v>0</v>
      </c>
      <c r="AO21" s="382" cm="1">
        <f t="array" aca="1" ref="AO21" ca="1">SUMPRODUCT(AO$55:AO$114,TRANSPOSE(SAP_Speadsheet!$E$73:$BL$73))</f>
        <v>0</v>
      </c>
      <c r="AP21" s="382" cm="1">
        <f t="array" aca="1" ref="AP21" ca="1">SUMPRODUCT(AP$55:AP$114,TRANSPOSE(SAP_Speadsheet!$E$73:$BL$73))</f>
        <v>0</v>
      </c>
      <c r="AQ21" s="382" cm="1">
        <f t="array" aca="1" ref="AQ21" ca="1">SUMPRODUCT(AQ$55:AQ$114,TRANSPOSE(SAP_Speadsheet!$E$73:$BL$73))</f>
        <v>0</v>
      </c>
      <c r="AR21" s="382" cm="1">
        <f t="array" aca="1" ref="AR21" ca="1">SUMPRODUCT(AR$55:AR$114,TRANSPOSE(SAP_Speadsheet!$E$73:$BL$73))</f>
        <v>0</v>
      </c>
      <c r="AS21" s="382" cm="1">
        <f t="array" aca="1" ref="AS21" ca="1">SUMPRODUCT(AS$55:AS$114,TRANSPOSE(SAP_Speadsheet!$E$73:$BL$73))</f>
        <v>0</v>
      </c>
      <c r="AT21" s="382" cm="1">
        <f t="array" aca="1" ref="AT21" ca="1">SUMPRODUCT(AT$55:AT$114,TRANSPOSE(SAP_Speadsheet!$E$73:$BL$73))</f>
        <v>0</v>
      </c>
      <c r="AU21" s="382" cm="1">
        <f t="array" aca="1" ref="AU21" ca="1">SUMPRODUCT(AU$55:AU$114,TRANSPOSE(SAP_Speadsheet!$E$73:$BL$73))</f>
        <v>0</v>
      </c>
      <c r="AV21" s="382" cm="1">
        <f t="array" aca="1" ref="AV21" ca="1">SUMPRODUCT(AV$55:AV$114,TRANSPOSE(SAP_Speadsheet!$E$73:$BL$73))</f>
        <v>0</v>
      </c>
      <c r="AW21" s="382" cm="1">
        <f t="array" aca="1" ref="AW21" ca="1">SUMPRODUCT(AW$55:AW$114,TRANSPOSE(SAP_Speadsheet!$E$73:$BL$73))</f>
        <v>0</v>
      </c>
      <c r="AX21" s="382" cm="1">
        <f t="array" aca="1" ref="AX21" ca="1">SUMPRODUCT(AX$55:AX$114,TRANSPOSE(SAP_Speadsheet!$E$73:$BL$73))</f>
        <v>0</v>
      </c>
      <c r="AY21" s="382" cm="1">
        <f t="array" aca="1" ref="AY21" ca="1">SUMPRODUCT(AY$55:AY$114,TRANSPOSE(SAP_Speadsheet!$E$73:$BL$73))</f>
        <v>0</v>
      </c>
      <c r="AZ21" s="382" cm="1">
        <f t="array" aca="1" ref="AZ21" ca="1">SUMPRODUCT(AZ$55:AZ$114,TRANSPOSE(SAP_Speadsheet!$E$73:$BL$73))</f>
        <v>0</v>
      </c>
      <c r="BA21" s="382" cm="1">
        <f t="array" aca="1" ref="BA21" ca="1">SUMPRODUCT(BA$55:BA$114,TRANSPOSE(SAP_Speadsheet!$E$73:$BL$73))</f>
        <v>0</v>
      </c>
      <c r="BB21" s="382" cm="1">
        <f t="array" aca="1" ref="BB21" ca="1">SUMPRODUCT(BB$55:BB$114,TRANSPOSE(SAP_Speadsheet!$E$73:$BL$73))</f>
        <v>0</v>
      </c>
      <c r="BC21" s="382" cm="1">
        <f t="array" aca="1" ref="BC21" ca="1">SUMPRODUCT(BC$55:BC$114,TRANSPOSE(SAP_Speadsheet!$E$73:$BL$73))</f>
        <v>0</v>
      </c>
      <c r="BD21" s="382" cm="1">
        <f t="array" aca="1" ref="BD21" ca="1">SUMPRODUCT(BD$55:BD$114,TRANSPOSE(SAP_Speadsheet!$E$73:$BL$73))</f>
        <v>0</v>
      </c>
      <c r="BE21" s="382" cm="1">
        <f t="array" aca="1" ref="BE21" ca="1">SUMPRODUCT(BE$55:BE$114,TRANSPOSE(SAP_Speadsheet!$E$73:$BL$73))</f>
        <v>0</v>
      </c>
      <c r="BF21" s="382" cm="1">
        <f t="array" aca="1" ref="BF21" ca="1">SUMPRODUCT(BF$55:BF$114,TRANSPOSE(SAP_Speadsheet!$E$73:$BL$73))</f>
        <v>0</v>
      </c>
      <c r="BG21" s="382" cm="1">
        <f t="array" aca="1" ref="BG21" ca="1">SUMPRODUCT(BG$55:BG$114,TRANSPOSE(SAP_Speadsheet!$E$73:$BL$73))</f>
        <v>0</v>
      </c>
      <c r="BH21" s="382" cm="1">
        <f t="array" aca="1" ref="BH21" ca="1">SUMPRODUCT(BH$55:BH$114,TRANSPOSE(SAP_Speadsheet!$E$73:$BL$73))</f>
        <v>0</v>
      </c>
      <c r="BI21" s="382" cm="1">
        <f t="array" aca="1" ref="BI21" ca="1">SUMPRODUCT(BI$55:BI$114,TRANSPOSE(SAP_Speadsheet!$E$73:$BL$73))</f>
        <v>0</v>
      </c>
    </row>
    <row r="22" spans="1:61" x14ac:dyDescent="0.15">
      <c r="A22" s="371" t="s">
        <v>300</v>
      </c>
      <c r="B22" s="382" cm="1">
        <f t="array" aca="1" ref="B22" ca="1">SUMPRODUCT(B$55:B$114,TRANSPOSE(SAP_Speadsheet!$E$74:$BL$74))</f>
        <v>0</v>
      </c>
      <c r="C22" s="382" cm="1">
        <f t="array" aca="1" ref="C22" ca="1">SUMPRODUCT(C$55:C$114,TRANSPOSE(SAP_Speadsheet!$E$74:$BL$74))</f>
        <v>0</v>
      </c>
      <c r="D22" s="382" cm="1">
        <f t="array" aca="1" ref="D22" ca="1">SUMPRODUCT(D$55:D$114,TRANSPOSE(SAP_Speadsheet!$E$74:$BL$74))</f>
        <v>0</v>
      </c>
      <c r="E22" s="382" cm="1">
        <f t="array" aca="1" ref="E22" ca="1">SUMPRODUCT(E$55:E$114,TRANSPOSE(SAP_Speadsheet!$E$74:$BL$74))</f>
        <v>0</v>
      </c>
      <c r="F22" s="382" cm="1">
        <f t="array" aca="1" ref="F22" ca="1">SUMPRODUCT(F$55:F$114,TRANSPOSE(SAP_Speadsheet!$E$74:$BL$74))</f>
        <v>0</v>
      </c>
      <c r="G22" s="382" cm="1">
        <f t="array" aca="1" ref="G22" ca="1">SUMPRODUCT(G$55:G$114,TRANSPOSE(SAP_Speadsheet!$E$74:$BL$74))</f>
        <v>0</v>
      </c>
      <c r="H22" s="382" cm="1">
        <f t="array" aca="1" ref="H22" ca="1">SUMPRODUCT(H$55:H$114,TRANSPOSE(SAP_Speadsheet!$E$74:$BL$74))</f>
        <v>0</v>
      </c>
      <c r="I22" s="382" cm="1">
        <f t="array" aca="1" ref="I22" ca="1">SUMPRODUCT(I$55:I$114,TRANSPOSE(SAP_Speadsheet!$E$74:$BL$74))</f>
        <v>0</v>
      </c>
      <c r="J22" s="382" cm="1">
        <f t="array" aca="1" ref="J22" ca="1">SUMPRODUCT(J$55:J$114,TRANSPOSE(SAP_Speadsheet!$E$74:$BL$74))</f>
        <v>0</v>
      </c>
      <c r="K22" s="382" cm="1">
        <f t="array" aca="1" ref="K22" ca="1">SUMPRODUCT(K$55:K$114,TRANSPOSE(SAP_Speadsheet!$E$74:$BL$74))</f>
        <v>0</v>
      </c>
      <c r="L22" s="382" cm="1">
        <f t="array" aca="1" ref="L22" ca="1">SUMPRODUCT(L$55:L$114,TRANSPOSE(SAP_Speadsheet!$E$74:$BL$74))</f>
        <v>0</v>
      </c>
      <c r="M22" s="382" cm="1">
        <f t="array" aca="1" ref="M22" ca="1">SUMPRODUCT(M$55:M$114,TRANSPOSE(SAP_Speadsheet!$E$74:$BL$74))</f>
        <v>0</v>
      </c>
      <c r="N22" s="382" cm="1">
        <f t="array" aca="1" ref="N22" ca="1">SUMPRODUCT(N$55:N$114,TRANSPOSE(SAP_Speadsheet!$E$74:$BL$74))</f>
        <v>0</v>
      </c>
      <c r="O22" s="382" cm="1">
        <f t="array" aca="1" ref="O22" ca="1">SUMPRODUCT(O$55:O$114,TRANSPOSE(SAP_Speadsheet!$E$74:$BL$74))</f>
        <v>0</v>
      </c>
      <c r="P22" s="382" cm="1">
        <f t="array" aca="1" ref="P22" ca="1">SUMPRODUCT(P$55:P$114,TRANSPOSE(SAP_Speadsheet!$E$74:$BL$74))</f>
        <v>0</v>
      </c>
      <c r="Q22" s="382" cm="1">
        <f t="array" aca="1" ref="Q22" ca="1">SUMPRODUCT(Q$55:Q$114,TRANSPOSE(SAP_Speadsheet!$E$74:$BL$74))</f>
        <v>0</v>
      </c>
      <c r="R22" s="382" cm="1">
        <f t="array" aca="1" ref="R22" ca="1">SUMPRODUCT(R$55:R$114,TRANSPOSE(SAP_Speadsheet!$E$74:$BL$74))</f>
        <v>0</v>
      </c>
      <c r="S22" s="382" cm="1">
        <f t="array" aca="1" ref="S22" ca="1">SUMPRODUCT(S$55:S$114,TRANSPOSE(SAP_Speadsheet!$E$74:$BL$74))</f>
        <v>0</v>
      </c>
      <c r="T22" s="382" cm="1">
        <f t="array" aca="1" ref="T22" ca="1">SUMPRODUCT(T$55:T$114,TRANSPOSE(SAP_Speadsheet!$E$74:$BL$74))</f>
        <v>0</v>
      </c>
      <c r="U22" s="382" cm="1">
        <f t="array" aca="1" ref="U22" ca="1">SUMPRODUCT(U$55:U$114,TRANSPOSE(SAP_Speadsheet!$E$74:$BL$74))</f>
        <v>0</v>
      </c>
      <c r="V22" s="382" cm="1">
        <f t="array" aca="1" ref="V22" ca="1">SUMPRODUCT(V$55:V$114,TRANSPOSE(SAP_Speadsheet!$E$74:$BL$74))</f>
        <v>0</v>
      </c>
      <c r="W22" s="382" cm="1">
        <f t="array" aca="1" ref="W22" ca="1">SUMPRODUCT(W$55:W$114,TRANSPOSE(SAP_Speadsheet!$E$74:$BL$74))</f>
        <v>0</v>
      </c>
      <c r="X22" s="382" cm="1">
        <f t="array" aca="1" ref="X22" ca="1">SUMPRODUCT(X$55:X$114,TRANSPOSE(SAP_Speadsheet!$E$74:$BL$74))</f>
        <v>0</v>
      </c>
      <c r="Y22" s="382" cm="1">
        <f t="array" aca="1" ref="Y22" ca="1">SUMPRODUCT(Y$55:Y$114,TRANSPOSE(SAP_Speadsheet!$E$74:$BL$74))</f>
        <v>0</v>
      </c>
      <c r="Z22" s="382" cm="1">
        <f t="array" aca="1" ref="Z22" ca="1">SUMPRODUCT(Z$55:Z$114,TRANSPOSE(SAP_Speadsheet!$E$74:$BL$74))</f>
        <v>0</v>
      </c>
      <c r="AA22" s="382" cm="1">
        <f t="array" aca="1" ref="AA22" ca="1">SUMPRODUCT(AA$55:AA$114,TRANSPOSE(SAP_Speadsheet!$E$74:$BL$74))</f>
        <v>0</v>
      </c>
      <c r="AB22" s="382" cm="1">
        <f t="array" aca="1" ref="AB22" ca="1">SUMPRODUCT(AB$55:AB$114,TRANSPOSE(SAP_Speadsheet!$E$74:$BL$74))</f>
        <v>0</v>
      </c>
      <c r="AC22" s="382" cm="1">
        <f t="array" aca="1" ref="AC22" ca="1">SUMPRODUCT(AC$55:AC$114,TRANSPOSE(SAP_Speadsheet!$E$74:$BL$74))</f>
        <v>0</v>
      </c>
      <c r="AD22" s="382" cm="1">
        <f t="array" aca="1" ref="AD22" ca="1">SUMPRODUCT(AD$55:AD$114,TRANSPOSE(SAP_Speadsheet!$E$74:$BL$74))</f>
        <v>0</v>
      </c>
      <c r="AE22" s="382" cm="1">
        <f t="array" aca="1" ref="AE22" ca="1">SUMPRODUCT(AE$55:AE$114,TRANSPOSE(SAP_Speadsheet!$E$74:$BL$74))</f>
        <v>0</v>
      </c>
      <c r="AF22" s="382" cm="1">
        <f t="array" aca="1" ref="AF22" ca="1">SUMPRODUCT(AF$55:AF$114,TRANSPOSE(SAP_Speadsheet!$E$74:$BL$74))</f>
        <v>0</v>
      </c>
      <c r="AG22" s="382" cm="1">
        <f t="array" aca="1" ref="AG22" ca="1">SUMPRODUCT(AG$55:AG$114,TRANSPOSE(SAP_Speadsheet!$E$74:$BL$74))</f>
        <v>0</v>
      </c>
      <c r="AH22" s="382" cm="1">
        <f t="array" aca="1" ref="AH22" ca="1">SUMPRODUCT(AH$55:AH$114,TRANSPOSE(SAP_Speadsheet!$E$74:$BL$74))</f>
        <v>0</v>
      </c>
      <c r="AI22" s="382" cm="1">
        <f t="array" aca="1" ref="AI22" ca="1">SUMPRODUCT(AI$55:AI$114,TRANSPOSE(SAP_Speadsheet!$E$74:$BL$74))</f>
        <v>0</v>
      </c>
      <c r="AJ22" s="382" cm="1">
        <f t="array" aca="1" ref="AJ22" ca="1">SUMPRODUCT(AJ$55:AJ$114,TRANSPOSE(SAP_Speadsheet!$E$74:$BL$74))</f>
        <v>0</v>
      </c>
      <c r="AK22" s="382" cm="1">
        <f t="array" aca="1" ref="AK22" ca="1">SUMPRODUCT(AK$55:AK$114,TRANSPOSE(SAP_Speadsheet!$E$74:$BL$74))</f>
        <v>0</v>
      </c>
      <c r="AL22" s="382" cm="1">
        <f t="array" aca="1" ref="AL22" ca="1">SUMPRODUCT(AL$55:AL$114,TRANSPOSE(SAP_Speadsheet!$E$74:$BL$74))</f>
        <v>0</v>
      </c>
      <c r="AM22" s="382" cm="1">
        <f t="array" aca="1" ref="AM22" ca="1">SUMPRODUCT(AM$55:AM$114,TRANSPOSE(SAP_Speadsheet!$E$74:$BL$74))</f>
        <v>0</v>
      </c>
      <c r="AN22" s="382" cm="1">
        <f t="array" aca="1" ref="AN22" ca="1">SUMPRODUCT(AN$55:AN$114,TRANSPOSE(SAP_Speadsheet!$E$74:$BL$74))</f>
        <v>0</v>
      </c>
      <c r="AO22" s="382" cm="1">
        <f t="array" aca="1" ref="AO22" ca="1">SUMPRODUCT(AO$55:AO$114,TRANSPOSE(SAP_Speadsheet!$E$74:$BL$74))</f>
        <v>0</v>
      </c>
      <c r="AP22" s="382" cm="1">
        <f t="array" aca="1" ref="AP22" ca="1">SUMPRODUCT(AP$55:AP$114,TRANSPOSE(SAP_Speadsheet!$E$74:$BL$74))</f>
        <v>0</v>
      </c>
      <c r="AQ22" s="382" cm="1">
        <f t="array" aca="1" ref="AQ22" ca="1">SUMPRODUCT(AQ$55:AQ$114,TRANSPOSE(SAP_Speadsheet!$E$74:$BL$74))</f>
        <v>0</v>
      </c>
      <c r="AR22" s="382" cm="1">
        <f t="array" aca="1" ref="AR22" ca="1">SUMPRODUCT(AR$55:AR$114,TRANSPOSE(SAP_Speadsheet!$E$74:$BL$74))</f>
        <v>0</v>
      </c>
      <c r="AS22" s="382" cm="1">
        <f t="array" aca="1" ref="AS22" ca="1">SUMPRODUCT(AS$55:AS$114,TRANSPOSE(SAP_Speadsheet!$E$74:$BL$74))</f>
        <v>0</v>
      </c>
      <c r="AT22" s="382" cm="1">
        <f t="array" aca="1" ref="AT22" ca="1">SUMPRODUCT(AT$55:AT$114,TRANSPOSE(SAP_Speadsheet!$E$74:$BL$74))</f>
        <v>0</v>
      </c>
      <c r="AU22" s="382" cm="1">
        <f t="array" aca="1" ref="AU22" ca="1">SUMPRODUCT(AU$55:AU$114,TRANSPOSE(SAP_Speadsheet!$E$74:$BL$74))</f>
        <v>0</v>
      </c>
      <c r="AV22" s="382" cm="1">
        <f t="array" aca="1" ref="AV22" ca="1">SUMPRODUCT(AV$55:AV$114,TRANSPOSE(SAP_Speadsheet!$E$74:$BL$74))</f>
        <v>0</v>
      </c>
      <c r="AW22" s="382" cm="1">
        <f t="array" aca="1" ref="AW22" ca="1">SUMPRODUCT(AW$55:AW$114,TRANSPOSE(SAP_Speadsheet!$E$74:$BL$74))</f>
        <v>0</v>
      </c>
      <c r="AX22" s="382" cm="1">
        <f t="array" aca="1" ref="AX22" ca="1">SUMPRODUCT(AX$55:AX$114,TRANSPOSE(SAP_Speadsheet!$E$74:$BL$74))</f>
        <v>0</v>
      </c>
      <c r="AY22" s="382" cm="1">
        <f t="array" aca="1" ref="AY22" ca="1">SUMPRODUCT(AY$55:AY$114,TRANSPOSE(SAP_Speadsheet!$E$74:$BL$74))</f>
        <v>0</v>
      </c>
      <c r="AZ22" s="382" cm="1">
        <f t="array" aca="1" ref="AZ22" ca="1">SUMPRODUCT(AZ$55:AZ$114,TRANSPOSE(SAP_Speadsheet!$E$74:$BL$74))</f>
        <v>0</v>
      </c>
      <c r="BA22" s="382" cm="1">
        <f t="array" aca="1" ref="BA22" ca="1">SUMPRODUCT(BA$55:BA$114,TRANSPOSE(SAP_Speadsheet!$E$74:$BL$74))</f>
        <v>0</v>
      </c>
      <c r="BB22" s="382" cm="1">
        <f t="array" aca="1" ref="BB22" ca="1">SUMPRODUCT(BB$55:BB$114,TRANSPOSE(SAP_Speadsheet!$E$74:$BL$74))</f>
        <v>0</v>
      </c>
      <c r="BC22" s="382" cm="1">
        <f t="array" aca="1" ref="BC22" ca="1">SUMPRODUCT(BC$55:BC$114,TRANSPOSE(SAP_Speadsheet!$E$74:$BL$74))</f>
        <v>0</v>
      </c>
      <c r="BD22" s="382" cm="1">
        <f t="array" aca="1" ref="BD22" ca="1">SUMPRODUCT(BD$55:BD$114,TRANSPOSE(SAP_Speadsheet!$E$74:$BL$74))</f>
        <v>0</v>
      </c>
      <c r="BE22" s="382" cm="1">
        <f t="array" aca="1" ref="BE22" ca="1">SUMPRODUCT(BE$55:BE$114,TRANSPOSE(SAP_Speadsheet!$E$74:$BL$74))</f>
        <v>0</v>
      </c>
      <c r="BF22" s="382" cm="1">
        <f t="array" aca="1" ref="BF22" ca="1">SUMPRODUCT(BF$55:BF$114,TRANSPOSE(SAP_Speadsheet!$E$74:$BL$74))</f>
        <v>0</v>
      </c>
      <c r="BG22" s="382" cm="1">
        <f t="array" aca="1" ref="BG22" ca="1">SUMPRODUCT(BG$55:BG$114,TRANSPOSE(SAP_Speadsheet!$E$74:$BL$74))</f>
        <v>0</v>
      </c>
      <c r="BH22" s="382" cm="1">
        <f t="array" aca="1" ref="BH22" ca="1">SUMPRODUCT(BH$55:BH$114,TRANSPOSE(SAP_Speadsheet!$E$74:$BL$74))</f>
        <v>0</v>
      </c>
      <c r="BI22" s="382" cm="1">
        <f t="array" aca="1" ref="BI22" ca="1">SUMPRODUCT(BI$55:BI$114,TRANSPOSE(SAP_Speadsheet!$E$74:$BL$74))</f>
        <v>0</v>
      </c>
    </row>
    <row r="23" spans="1:61" s="370" customFormat="1" x14ac:dyDescent="0.15">
      <c r="A23" s="371" t="s">
        <v>301</v>
      </c>
      <c r="B23" s="382" cm="1">
        <f t="array" aca="1" ref="B23" ca="1">SUMPRODUCT(B$55:B$114,TRANSPOSE(SAP_Speadsheet!$E$86:$BL$86))</f>
        <v>0</v>
      </c>
      <c r="C23" s="382" cm="1">
        <f t="array" aca="1" ref="C23" ca="1">SUMPRODUCT(C$55:C$114,TRANSPOSE(SAP_Speadsheet!$E$86:$BL$86))</f>
        <v>0</v>
      </c>
      <c r="D23" s="382" cm="1">
        <f t="array" aca="1" ref="D23" ca="1">SUMPRODUCT(D$55:D$114,TRANSPOSE(SAP_Speadsheet!$E$86:$BL$86))</f>
        <v>0</v>
      </c>
      <c r="E23" s="382" cm="1">
        <f t="array" aca="1" ref="E23" ca="1">SUMPRODUCT(E$55:E$114,TRANSPOSE(SAP_Speadsheet!$E$86:$BL$86))</f>
        <v>0</v>
      </c>
      <c r="F23" s="382" cm="1">
        <f t="array" aca="1" ref="F23" ca="1">SUMPRODUCT(F$55:F$114,TRANSPOSE(SAP_Speadsheet!$E$86:$BL$86))</f>
        <v>0</v>
      </c>
      <c r="G23" s="382" cm="1">
        <f t="array" aca="1" ref="G23" ca="1">SUMPRODUCT(G$55:G$114,TRANSPOSE(SAP_Speadsheet!$E$86:$BL$86))</f>
        <v>0</v>
      </c>
      <c r="H23" s="382" cm="1">
        <f t="array" aca="1" ref="H23" ca="1">SUMPRODUCT(H$55:H$114,TRANSPOSE(SAP_Speadsheet!$E$86:$BL$86))</f>
        <v>0</v>
      </c>
      <c r="I23" s="382" cm="1">
        <f t="array" aca="1" ref="I23" ca="1">SUMPRODUCT(I$55:I$114,TRANSPOSE(SAP_Speadsheet!$E$86:$BL$86))</f>
        <v>0</v>
      </c>
      <c r="J23" s="382" cm="1">
        <f t="array" aca="1" ref="J23" ca="1">SUMPRODUCT(J$55:J$114,TRANSPOSE(SAP_Speadsheet!$E$86:$BL$86))</f>
        <v>0</v>
      </c>
      <c r="K23" s="382" cm="1">
        <f t="array" aca="1" ref="K23" ca="1">SUMPRODUCT(K$55:K$114,TRANSPOSE(SAP_Speadsheet!$E$86:$BL$86))</f>
        <v>0</v>
      </c>
      <c r="L23" s="382" cm="1">
        <f t="array" aca="1" ref="L23" ca="1">SUMPRODUCT(L$55:L$114,TRANSPOSE(SAP_Speadsheet!$E$86:$BL$86))</f>
        <v>0</v>
      </c>
      <c r="M23" s="382" cm="1">
        <f t="array" aca="1" ref="M23" ca="1">SUMPRODUCT(M$55:M$114,TRANSPOSE(SAP_Speadsheet!$E$86:$BL$86))</f>
        <v>0</v>
      </c>
      <c r="N23" s="382" cm="1">
        <f t="array" aca="1" ref="N23" ca="1">SUMPRODUCT(N$55:N$114,TRANSPOSE(SAP_Speadsheet!$E$86:$BL$86))</f>
        <v>0</v>
      </c>
      <c r="O23" s="382" cm="1">
        <f t="array" aca="1" ref="O23" ca="1">SUMPRODUCT(O$55:O$114,TRANSPOSE(SAP_Speadsheet!$E$86:$BL$86))</f>
        <v>0</v>
      </c>
      <c r="P23" s="382" cm="1">
        <f t="array" aca="1" ref="P23" ca="1">SUMPRODUCT(P$55:P$114,TRANSPOSE(SAP_Speadsheet!$E$86:$BL$86))</f>
        <v>0</v>
      </c>
      <c r="Q23" s="382" cm="1">
        <f t="array" aca="1" ref="Q23" ca="1">SUMPRODUCT(Q$55:Q$114,TRANSPOSE(SAP_Speadsheet!$E$86:$BL$86))</f>
        <v>0</v>
      </c>
      <c r="R23" s="382" cm="1">
        <f t="array" aca="1" ref="R23" ca="1">SUMPRODUCT(R$55:R$114,TRANSPOSE(SAP_Speadsheet!$E$86:$BL$86))</f>
        <v>0</v>
      </c>
      <c r="S23" s="382" cm="1">
        <f t="array" aca="1" ref="S23" ca="1">SUMPRODUCT(S$55:S$114,TRANSPOSE(SAP_Speadsheet!$E$86:$BL$86))</f>
        <v>0</v>
      </c>
      <c r="T23" s="382" cm="1">
        <f t="array" aca="1" ref="T23" ca="1">SUMPRODUCT(T$55:T$114,TRANSPOSE(SAP_Speadsheet!$E$86:$BL$86))</f>
        <v>0</v>
      </c>
      <c r="U23" s="382" cm="1">
        <f t="array" aca="1" ref="U23" ca="1">SUMPRODUCT(U$55:U$114,TRANSPOSE(SAP_Speadsheet!$E$86:$BL$86))</f>
        <v>0</v>
      </c>
      <c r="V23" s="382" cm="1">
        <f t="array" aca="1" ref="V23" ca="1">SUMPRODUCT(V$55:V$114,TRANSPOSE(SAP_Speadsheet!$E$86:$BL$86))</f>
        <v>0</v>
      </c>
      <c r="W23" s="382" cm="1">
        <f t="array" aca="1" ref="W23" ca="1">SUMPRODUCT(W$55:W$114,TRANSPOSE(SAP_Speadsheet!$E$86:$BL$86))</f>
        <v>0</v>
      </c>
      <c r="X23" s="382" cm="1">
        <f t="array" aca="1" ref="X23" ca="1">SUMPRODUCT(X$55:X$114,TRANSPOSE(SAP_Speadsheet!$E$86:$BL$86))</f>
        <v>0</v>
      </c>
      <c r="Y23" s="382" cm="1">
        <f t="array" aca="1" ref="Y23" ca="1">SUMPRODUCT(Y$55:Y$114,TRANSPOSE(SAP_Speadsheet!$E$86:$BL$86))</f>
        <v>0</v>
      </c>
      <c r="Z23" s="382" cm="1">
        <f t="array" aca="1" ref="Z23" ca="1">SUMPRODUCT(Z$55:Z$114,TRANSPOSE(SAP_Speadsheet!$E$86:$BL$86))</f>
        <v>0</v>
      </c>
      <c r="AA23" s="382" cm="1">
        <f t="array" aca="1" ref="AA23" ca="1">SUMPRODUCT(AA$55:AA$114,TRANSPOSE(SAP_Speadsheet!$E$86:$BL$86))</f>
        <v>0</v>
      </c>
      <c r="AB23" s="382" cm="1">
        <f t="array" aca="1" ref="AB23" ca="1">SUMPRODUCT(AB$55:AB$114,TRANSPOSE(SAP_Speadsheet!$E$86:$BL$86))</f>
        <v>0</v>
      </c>
      <c r="AC23" s="382" cm="1">
        <f t="array" aca="1" ref="AC23" ca="1">SUMPRODUCT(AC$55:AC$114,TRANSPOSE(SAP_Speadsheet!$E$86:$BL$86))</f>
        <v>0</v>
      </c>
      <c r="AD23" s="382" cm="1">
        <f t="array" aca="1" ref="AD23" ca="1">SUMPRODUCT(AD$55:AD$114,TRANSPOSE(SAP_Speadsheet!$E$86:$BL$86))</f>
        <v>0</v>
      </c>
      <c r="AE23" s="382" cm="1">
        <f t="array" aca="1" ref="AE23" ca="1">SUMPRODUCT(AE$55:AE$114,TRANSPOSE(SAP_Speadsheet!$E$86:$BL$86))</f>
        <v>0</v>
      </c>
      <c r="AF23" s="382" cm="1">
        <f t="array" aca="1" ref="AF23" ca="1">SUMPRODUCT(AF$55:AF$114,TRANSPOSE(SAP_Speadsheet!$E$86:$BL$86))</f>
        <v>0</v>
      </c>
      <c r="AG23" s="382" cm="1">
        <f t="array" aca="1" ref="AG23" ca="1">SUMPRODUCT(AG$55:AG$114,TRANSPOSE(SAP_Speadsheet!$E$86:$BL$86))</f>
        <v>0</v>
      </c>
      <c r="AH23" s="382" cm="1">
        <f t="array" aca="1" ref="AH23" ca="1">SUMPRODUCT(AH$55:AH$114,TRANSPOSE(SAP_Speadsheet!$E$86:$BL$86))</f>
        <v>0</v>
      </c>
      <c r="AI23" s="382" cm="1">
        <f t="array" aca="1" ref="AI23" ca="1">SUMPRODUCT(AI$55:AI$114,TRANSPOSE(SAP_Speadsheet!$E$86:$BL$86))</f>
        <v>0</v>
      </c>
      <c r="AJ23" s="382" cm="1">
        <f t="array" aca="1" ref="AJ23" ca="1">SUMPRODUCT(AJ$55:AJ$114,TRANSPOSE(SAP_Speadsheet!$E$86:$BL$86))</f>
        <v>0</v>
      </c>
      <c r="AK23" s="382" cm="1">
        <f t="array" aca="1" ref="AK23" ca="1">SUMPRODUCT(AK$55:AK$114,TRANSPOSE(SAP_Speadsheet!$E$86:$BL$86))</f>
        <v>0</v>
      </c>
      <c r="AL23" s="382" cm="1">
        <f t="array" aca="1" ref="AL23" ca="1">SUMPRODUCT(AL$55:AL$114,TRANSPOSE(SAP_Speadsheet!$E$86:$BL$86))</f>
        <v>0</v>
      </c>
      <c r="AM23" s="382" cm="1">
        <f t="array" aca="1" ref="AM23" ca="1">SUMPRODUCT(AM$55:AM$114,TRANSPOSE(SAP_Speadsheet!$E$86:$BL$86))</f>
        <v>0</v>
      </c>
      <c r="AN23" s="382" cm="1">
        <f t="array" aca="1" ref="AN23" ca="1">SUMPRODUCT(AN$55:AN$114,TRANSPOSE(SAP_Speadsheet!$E$86:$BL$86))</f>
        <v>0</v>
      </c>
      <c r="AO23" s="382" cm="1">
        <f t="array" aca="1" ref="AO23" ca="1">SUMPRODUCT(AO$55:AO$114,TRANSPOSE(SAP_Speadsheet!$E$86:$BL$86))</f>
        <v>0</v>
      </c>
      <c r="AP23" s="382" cm="1">
        <f t="array" aca="1" ref="AP23" ca="1">SUMPRODUCT(AP$55:AP$114,TRANSPOSE(SAP_Speadsheet!$E$86:$BL$86))</f>
        <v>0</v>
      </c>
      <c r="AQ23" s="382" cm="1">
        <f t="array" aca="1" ref="AQ23" ca="1">SUMPRODUCT(AQ$55:AQ$114,TRANSPOSE(SAP_Speadsheet!$E$86:$BL$86))</f>
        <v>0</v>
      </c>
      <c r="AR23" s="382" cm="1">
        <f t="array" aca="1" ref="AR23" ca="1">SUMPRODUCT(AR$55:AR$114,TRANSPOSE(SAP_Speadsheet!$E$86:$BL$86))</f>
        <v>0</v>
      </c>
      <c r="AS23" s="382" cm="1">
        <f t="array" aca="1" ref="AS23" ca="1">SUMPRODUCT(AS$55:AS$114,TRANSPOSE(SAP_Speadsheet!$E$86:$BL$86))</f>
        <v>0</v>
      </c>
      <c r="AT23" s="382" cm="1">
        <f t="array" aca="1" ref="AT23" ca="1">SUMPRODUCT(AT$55:AT$114,TRANSPOSE(SAP_Speadsheet!$E$86:$BL$86))</f>
        <v>0</v>
      </c>
      <c r="AU23" s="382" cm="1">
        <f t="array" aca="1" ref="AU23" ca="1">SUMPRODUCT(AU$55:AU$114,TRANSPOSE(SAP_Speadsheet!$E$86:$BL$86))</f>
        <v>0</v>
      </c>
      <c r="AV23" s="382" cm="1">
        <f t="array" aca="1" ref="AV23" ca="1">SUMPRODUCT(AV$55:AV$114,TRANSPOSE(SAP_Speadsheet!$E$86:$BL$86))</f>
        <v>0</v>
      </c>
      <c r="AW23" s="382">
        <v>0</v>
      </c>
      <c r="AX23" s="382" cm="1">
        <f t="array" aca="1" ref="AX23" ca="1">SUMPRODUCT(AX$55:AX$114,TRANSPOSE(SAP_Speadsheet!$E$86:$BL$86))</f>
        <v>0</v>
      </c>
      <c r="AY23" s="382" cm="1">
        <f t="array" aca="1" ref="AY23" ca="1">SUMPRODUCT(AY$55:AY$114,TRANSPOSE(SAP_Speadsheet!$E$86:$BL$86))</f>
        <v>0</v>
      </c>
      <c r="AZ23" s="382" cm="1">
        <f t="array" aca="1" ref="AZ23" ca="1">SUMPRODUCT(AZ$55:AZ$114,TRANSPOSE(SAP_Speadsheet!$E$86:$BL$86))</f>
        <v>0</v>
      </c>
      <c r="BA23" s="382" cm="1">
        <f t="array" aca="1" ref="BA23" ca="1">SUMPRODUCT(BA$55:BA$114,TRANSPOSE(SAP_Speadsheet!$E$86:$BL$86))</f>
        <v>0</v>
      </c>
      <c r="BB23" s="382" cm="1">
        <f t="array" aca="1" ref="BB23" ca="1">SUMPRODUCT(BB$55:BB$114,TRANSPOSE(SAP_Speadsheet!$E$86:$BL$86))</f>
        <v>0</v>
      </c>
      <c r="BC23" s="382" cm="1">
        <f t="array" aca="1" ref="BC23" ca="1">SUMPRODUCT(BC$55:BC$114,TRANSPOSE(SAP_Speadsheet!$E$86:$BL$86))</f>
        <v>0</v>
      </c>
      <c r="BD23" s="382" cm="1">
        <f t="array" aca="1" ref="BD23" ca="1">SUMPRODUCT(BD$55:BD$114,TRANSPOSE(SAP_Speadsheet!$E$86:$BL$86))</f>
        <v>0</v>
      </c>
      <c r="BE23" s="382" cm="1">
        <f t="array" aca="1" ref="BE23" ca="1">SUMPRODUCT(BE$55:BE$114,TRANSPOSE(SAP_Speadsheet!$E$86:$BL$86))</f>
        <v>0</v>
      </c>
      <c r="BF23" s="382" cm="1">
        <f t="array" aca="1" ref="BF23" ca="1">SUMPRODUCT(BF$55:BF$114,TRANSPOSE(SAP_Speadsheet!$E$86:$BL$86))</f>
        <v>0</v>
      </c>
      <c r="BG23" s="382" cm="1">
        <f t="array" aca="1" ref="BG23" ca="1">SUMPRODUCT(BG$55:BG$114,TRANSPOSE(SAP_Speadsheet!$E$86:$BL$86))</f>
        <v>0</v>
      </c>
      <c r="BH23" s="382" cm="1">
        <f t="array" aca="1" ref="BH23" ca="1">SUMPRODUCT(BH$55:BH$114,TRANSPOSE(SAP_Speadsheet!$E$86:$BL$86))</f>
        <v>0</v>
      </c>
      <c r="BI23" s="382" cm="1">
        <f t="array" aca="1" ref="BI23" ca="1">SUMPRODUCT(BI$55:BI$114,TRANSPOSE(SAP_Speadsheet!$E$86:$BL$86))</f>
        <v>0</v>
      </c>
    </row>
    <row r="24" spans="1:61" x14ac:dyDescent="0.15">
      <c r="A24" s="383" t="s">
        <v>280</v>
      </c>
      <c r="B24" s="377" cm="1">
        <f t="array" aca="1" ref="B24" ca="1">SUMPRODUCT(B$55:B$114,TRANSPOSE(SAP_Speadsheet!$E$88:$BL$88))</f>
        <v>0</v>
      </c>
      <c r="C24" s="377" cm="1">
        <f t="array" aca="1" ref="C24" ca="1">SUMPRODUCT(C$55:C$114,TRANSPOSE(SAP_Speadsheet!$E$88:$BL$88))</f>
        <v>0</v>
      </c>
      <c r="D24" s="377" cm="1">
        <f t="array" aca="1" ref="D24" ca="1">SUMPRODUCT(D$55:D$114,TRANSPOSE(SAP_Speadsheet!$E$88:$BL$88))</f>
        <v>0</v>
      </c>
      <c r="E24" s="377" cm="1">
        <f t="array" aca="1" ref="E24" ca="1">SUMPRODUCT(E$55:E$114,TRANSPOSE(SAP_Speadsheet!$E$88:$BL$88))</f>
        <v>0</v>
      </c>
      <c r="F24" s="377" cm="1">
        <f t="array" aca="1" ref="F24" ca="1">SUMPRODUCT(F$55:F$114,TRANSPOSE(SAP_Speadsheet!$E$88:$BL$88))</f>
        <v>0</v>
      </c>
      <c r="G24" s="377" cm="1">
        <f t="array" aca="1" ref="G24" ca="1">SUMPRODUCT(G$55:G$114,TRANSPOSE(SAP_Speadsheet!$E$88:$BL$88))</f>
        <v>0</v>
      </c>
      <c r="H24" s="377" cm="1">
        <f t="array" aca="1" ref="H24" ca="1">SUMPRODUCT(H$55:H$114,TRANSPOSE(SAP_Speadsheet!$E$88:$BL$88))</f>
        <v>-233.58317948557109</v>
      </c>
      <c r="I24" s="377" cm="1">
        <f t="array" aca="1" ref="I24" ca="1">SUMPRODUCT(I$55:I$114,TRANSPOSE(SAP_Speadsheet!$E$88:$BL$88))</f>
        <v>-222.50564521724473</v>
      </c>
      <c r="J24" s="377" cm="1">
        <f t="array" aca="1" ref="J24" ca="1">SUMPRODUCT(J$55:J$114,TRANSPOSE(SAP_Speadsheet!$E$88:$BL$88))</f>
        <v>-220.44293193969432</v>
      </c>
      <c r="K24" s="377" cm="1">
        <f t="array" aca="1" ref="K24" ca="1">SUMPRODUCT(K$55:K$114,TRANSPOSE(SAP_Speadsheet!$E$88:$BL$88))</f>
        <v>0</v>
      </c>
      <c r="L24" s="377" cm="1">
        <f t="array" aca="1" ref="L24" ca="1">SUMPRODUCT(L$55:L$114,TRANSPOSE(SAP_Speadsheet!$E$88:$BL$88))</f>
        <v>0</v>
      </c>
      <c r="M24" s="377" cm="1">
        <f t="array" aca="1" ref="M24" ca="1">SUMPRODUCT(M$55:M$114,TRANSPOSE(SAP_Speadsheet!$E$88:$BL$88))</f>
        <v>0</v>
      </c>
      <c r="N24" s="377" cm="1">
        <f t="array" aca="1" ref="N24" ca="1">SUMPRODUCT(N$55:N$114,TRANSPOSE(SAP_Speadsheet!$E$88:$BL$88))</f>
        <v>0</v>
      </c>
      <c r="O24" s="377" cm="1">
        <f t="array" aca="1" ref="O24" ca="1">SUMPRODUCT(O$55:O$114,TRANSPOSE(SAP_Speadsheet!$E$88:$BL$88))</f>
        <v>0</v>
      </c>
      <c r="P24" s="377" cm="1">
        <f t="array" aca="1" ref="P24" ca="1">SUMPRODUCT(P$55:P$114,TRANSPOSE(SAP_Speadsheet!$E$88:$BL$88))</f>
        <v>0</v>
      </c>
      <c r="Q24" s="377" cm="1">
        <f t="array" aca="1" ref="Q24" ca="1">SUMPRODUCT(Q$55:Q$114,TRANSPOSE(SAP_Speadsheet!$E$88:$BL$88))</f>
        <v>0</v>
      </c>
      <c r="R24" s="377" cm="1">
        <f t="array" aca="1" ref="R24" ca="1">SUMPRODUCT(R$55:R$114,TRANSPOSE(SAP_Speadsheet!$E$88:$BL$88))</f>
        <v>0</v>
      </c>
      <c r="S24" s="377" cm="1">
        <f t="array" aca="1" ref="S24" ca="1">SUMPRODUCT(S$55:S$114,TRANSPOSE(SAP_Speadsheet!$E$88:$BL$88))</f>
        <v>0</v>
      </c>
      <c r="T24" s="377" cm="1">
        <f t="array" aca="1" ref="T24" ca="1">SUMPRODUCT(T$55:T$114,TRANSPOSE(SAP_Speadsheet!$E$88:$BL$88))</f>
        <v>0</v>
      </c>
      <c r="U24" s="377" cm="1">
        <f t="array" aca="1" ref="U24" ca="1">SUMPRODUCT(U$55:U$114,TRANSPOSE(SAP_Speadsheet!$E$88:$BL$88))</f>
        <v>0</v>
      </c>
      <c r="V24" s="377" cm="1">
        <f t="array" aca="1" ref="V24" ca="1">SUMPRODUCT(V$55:V$114,TRANSPOSE(SAP_Speadsheet!$E$88:$BL$88))</f>
        <v>0</v>
      </c>
      <c r="W24" s="377" cm="1">
        <f t="array" aca="1" ref="W24" ca="1">SUMPRODUCT(W$55:W$114,TRANSPOSE(SAP_Speadsheet!$E$88:$BL$88))</f>
        <v>0</v>
      </c>
      <c r="X24" s="377" cm="1">
        <f t="array" aca="1" ref="X24" ca="1">SUMPRODUCT(X$55:X$114,TRANSPOSE(SAP_Speadsheet!$E$88:$BL$88))</f>
        <v>0</v>
      </c>
      <c r="Y24" s="377" cm="1">
        <f t="array" aca="1" ref="Y24" ca="1">SUMPRODUCT(Y$55:Y$114,TRANSPOSE(SAP_Speadsheet!$E$88:$BL$88))</f>
        <v>0</v>
      </c>
      <c r="Z24" s="377" cm="1">
        <f t="array" aca="1" ref="Z24" ca="1">SUMPRODUCT(Z$55:Z$114,TRANSPOSE(SAP_Speadsheet!$E$88:$BL$88))</f>
        <v>0</v>
      </c>
      <c r="AA24" s="377" cm="1">
        <f t="array" aca="1" ref="AA24" ca="1">SUMPRODUCT(AA$55:AA$114,TRANSPOSE(SAP_Speadsheet!$E$88:$BL$88))</f>
        <v>0</v>
      </c>
      <c r="AB24" s="377" cm="1">
        <f t="array" aca="1" ref="AB24" ca="1">SUMPRODUCT(AB$55:AB$114,TRANSPOSE(SAP_Speadsheet!$E$88:$BL$88))</f>
        <v>0</v>
      </c>
      <c r="AC24" s="377" cm="1">
        <f t="array" aca="1" ref="AC24" ca="1">SUMPRODUCT(AC$55:AC$114,TRANSPOSE(SAP_Speadsheet!$E$88:$BL$88))</f>
        <v>0</v>
      </c>
      <c r="AD24" s="377" cm="1">
        <f t="array" aca="1" ref="AD24" ca="1">SUMPRODUCT(AD$55:AD$114,TRANSPOSE(SAP_Speadsheet!$E$88:$BL$88))</f>
        <v>0</v>
      </c>
      <c r="AE24" s="377" cm="1">
        <f t="array" aca="1" ref="AE24" ca="1">SUMPRODUCT(AE$55:AE$114,TRANSPOSE(SAP_Speadsheet!$E$88:$BL$88))</f>
        <v>0</v>
      </c>
      <c r="AF24" s="377" cm="1">
        <f t="array" aca="1" ref="AF24" ca="1">SUMPRODUCT(AF$55:AF$114,TRANSPOSE(SAP_Speadsheet!$E$88:$BL$88))</f>
        <v>0</v>
      </c>
      <c r="AG24" s="377" cm="1">
        <f t="array" aca="1" ref="AG24" ca="1">SUMPRODUCT(AG$55:AG$114,TRANSPOSE(SAP_Speadsheet!$E$88:$BL$88))</f>
        <v>0</v>
      </c>
      <c r="AH24" s="377" cm="1">
        <f t="array" aca="1" ref="AH24" ca="1">SUMPRODUCT(AH$55:AH$114,TRANSPOSE(SAP_Speadsheet!$E$88:$BL$88))</f>
        <v>0</v>
      </c>
      <c r="AI24" s="377" cm="1">
        <f t="array" aca="1" ref="AI24" ca="1">SUMPRODUCT(AI$55:AI$114,TRANSPOSE(SAP_Speadsheet!$E$88:$BL$88))</f>
        <v>0</v>
      </c>
      <c r="AJ24" s="377" cm="1">
        <f t="array" aca="1" ref="AJ24" ca="1">SUMPRODUCT(AJ$55:AJ$114,TRANSPOSE(SAP_Speadsheet!$E$88:$BL$88))</f>
        <v>0</v>
      </c>
      <c r="AK24" s="377" cm="1">
        <f t="array" aca="1" ref="AK24" ca="1">SUMPRODUCT(AK$55:AK$114,TRANSPOSE(SAP_Speadsheet!$E$88:$BL$88))</f>
        <v>0</v>
      </c>
      <c r="AL24" s="377" cm="1">
        <f t="array" aca="1" ref="AL24" ca="1">SUMPRODUCT(AL$55:AL$114,TRANSPOSE(SAP_Speadsheet!$E$88:$BL$88))</f>
        <v>0</v>
      </c>
      <c r="AM24" s="377" cm="1">
        <f t="array" aca="1" ref="AM24" ca="1">SUMPRODUCT(AM$55:AM$114,TRANSPOSE(SAP_Speadsheet!$E$88:$BL$88))</f>
        <v>0</v>
      </c>
      <c r="AN24" s="377" cm="1">
        <f t="array" aca="1" ref="AN24" ca="1">SUMPRODUCT(AN$55:AN$114,TRANSPOSE(SAP_Speadsheet!$E$88:$BL$88))</f>
        <v>0</v>
      </c>
      <c r="AO24" s="377" cm="1">
        <f t="array" aca="1" ref="AO24" ca="1">SUMPRODUCT(AO$55:AO$114,TRANSPOSE(SAP_Speadsheet!$E$88:$BL$88))</f>
        <v>0</v>
      </c>
      <c r="AP24" s="377" cm="1">
        <f t="array" aca="1" ref="AP24" ca="1">SUMPRODUCT(AP$55:AP$114,TRANSPOSE(SAP_Speadsheet!$E$88:$BL$88))</f>
        <v>0</v>
      </c>
      <c r="AQ24" s="377" cm="1">
        <f t="array" aca="1" ref="AQ24" ca="1">SUMPRODUCT(AQ$55:AQ$114,TRANSPOSE(SAP_Speadsheet!$E$88:$BL$88))</f>
        <v>0</v>
      </c>
      <c r="AR24" s="377" cm="1">
        <f t="array" aca="1" ref="AR24" ca="1">SUMPRODUCT(AR$55:AR$114,TRANSPOSE(SAP_Speadsheet!$E$88:$BL$88))</f>
        <v>0</v>
      </c>
      <c r="AS24" s="377" cm="1">
        <f t="array" aca="1" ref="AS24" ca="1">SUMPRODUCT(AS$55:AS$114,TRANSPOSE(SAP_Speadsheet!$E$88:$BL$88))</f>
        <v>0</v>
      </c>
      <c r="AT24" s="377" cm="1">
        <f t="array" aca="1" ref="AT24" ca="1">SUMPRODUCT(AT$55:AT$114,TRANSPOSE(SAP_Speadsheet!$E$88:$BL$88))</f>
        <v>0</v>
      </c>
      <c r="AU24" s="377" cm="1">
        <f t="array" aca="1" ref="AU24" ca="1">SUMPRODUCT(AU$55:AU$114,TRANSPOSE(SAP_Speadsheet!$E$88:$BL$88))</f>
        <v>0</v>
      </c>
      <c r="AV24" s="377" cm="1">
        <f t="array" aca="1" ref="AV24" ca="1">SUMPRODUCT(AV$55:AV$114,TRANSPOSE(SAP_Speadsheet!$E$88:$BL$88))</f>
        <v>0</v>
      </c>
      <c r="AW24" s="377" cm="1">
        <f t="array" aca="1" ref="AW24" ca="1">SUMPRODUCT(AW$55:AW$114,TRANSPOSE(SAP_Speadsheet!$E$88:$BL$88))</f>
        <v>0</v>
      </c>
      <c r="AX24" s="377" cm="1">
        <f t="array" aca="1" ref="AX24" ca="1">SUMPRODUCT(AX$55:AX$114,TRANSPOSE(SAP_Speadsheet!$E$88:$BL$88))</f>
        <v>0</v>
      </c>
      <c r="AY24" s="377" cm="1">
        <f t="array" aca="1" ref="AY24" ca="1">SUMPRODUCT(AY$55:AY$114,TRANSPOSE(SAP_Speadsheet!$E$88:$BL$88))</f>
        <v>0</v>
      </c>
      <c r="AZ24" s="377" cm="1">
        <f t="array" aca="1" ref="AZ24" ca="1">SUMPRODUCT(AZ$55:AZ$114,TRANSPOSE(SAP_Speadsheet!$E$88:$BL$88))</f>
        <v>0</v>
      </c>
      <c r="BA24" s="377" cm="1">
        <f t="array" aca="1" ref="BA24" ca="1">SUMPRODUCT(BA$55:BA$114,TRANSPOSE(SAP_Speadsheet!$E$88:$BL$88))</f>
        <v>0</v>
      </c>
      <c r="BB24" s="377" cm="1">
        <f t="array" aca="1" ref="BB24" ca="1">SUMPRODUCT(BB$55:BB$114,TRANSPOSE(SAP_Speadsheet!$E$88:$BL$88))</f>
        <v>0</v>
      </c>
      <c r="BC24" s="377" cm="1">
        <f t="array" aca="1" ref="BC24" ca="1">SUMPRODUCT(BC$55:BC$114,TRANSPOSE(SAP_Speadsheet!$E$88:$BL$88))</f>
        <v>0</v>
      </c>
      <c r="BD24" s="377" cm="1">
        <f t="array" aca="1" ref="BD24" ca="1">SUMPRODUCT(BD$55:BD$114,TRANSPOSE(SAP_Speadsheet!$E$88:$BL$88))</f>
        <v>0</v>
      </c>
      <c r="BE24" s="377" cm="1">
        <f t="array" aca="1" ref="BE24" ca="1">SUMPRODUCT(BE$55:BE$114,TRANSPOSE(SAP_Speadsheet!$E$88:$BL$88))</f>
        <v>0</v>
      </c>
      <c r="BF24" s="377" cm="1">
        <f t="array" aca="1" ref="BF24" ca="1">SUMPRODUCT(BF$55:BF$114,TRANSPOSE(SAP_Speadsheet!$E$88:$BL$88))</f>
        <v>0</v>
      </c>
      <c r="BG24" s="377" cm="1">
        <f t="array" aca="1" ref="BG24" ca="1">SUMPRODUCT(BG$55:BG$114,TRANSPOSE(SAP_Speadsheet!$E$88:$BL$88))</f>
        <v>0</v>
      </c>
      <c r="BH24" s="377" cm="1">
        <f t="array" aca="1" ref="BH24" ca="1">SUMPRODUCT(BH$55:BH$114,TRANSPOSE(SAP_Speadsheet!$E$88:$BL$88))</f>
        <v>0</v>
      </c>
      <c r="BI24" s="377" cm="1">
        <f t="array" aca="1" ref="BI24" ca="1">SUMPRODUCT(BI$55:BI$114,TRANSPOSE(SAP_Speadsheet!$E$88:$BL$88))</f>
        <v>0</v>
      </c>
    </row>
    <row r="25" spans="1:61" x14ac:dyDescent="0.15">
      <c r="A25" s="371" t="s">
        <v>303</v>
      </c>
      <c r="B25" s="382" cm="1">
        <f t="array" aca="1" ref="B25" ca="1">SUMPRODUCT(B$55:B$114,TRANSPOSE(SAP_Speadsheet!$E$89:$BL$89))</f>
        <v>0</v>
      </c>
      <c r="C25" s="382" cm="1">
        <f t="array" aca="1" ref="C25" ca="1">SUMPRODUCT(C$55:C$114,TRANSPOSE(SAP_Speadsheet!$E$89:$BL$89))</f>
        <v>0</v>
      </c>
      <c r="D25" s="382" cm="1">
        <f t="array" aca="1" ref="D25" ca="1">SUMPRODUCT(D$55:D$114,TRANSPOSE(SAP_Speadsheet!$E$89:$BL$89))</f>
        <v>0</v>
      </c>
      <c r="E25" s="382" cm="1">
        <f t="array" aca="1" ref="E25" ca="1">SUMPRODUCT(E$55:E$114,TRANSPOSE(SAP_Speadsheet!$E$89:$BL$89))</f>
        <v>0</v>
      </c>
      <c r="F25" s="382" cm="1">
        <f t="array" aca="1" ref="F25" ca="1">SUMPRODUCT(F$55:F$114,TRANSPOSE(SAP_Speadsheet!$E$89:$BL$89))</f>
        <v>0</v>
      </c>
      <c r="G25" s="382" cm="1">
        <f t="array" aca="1" ref="G25" ca="1">SUMPRODUCT(G$55:G$114,TRANSPOSE(SAP_Speadsheet!$E$89:$BL$89))</f>
        <v>0</v>
      </c>
      <c r="H25" s="382" cm="1">
        <f t="array" aca="1" ref="H25" ca="1">SUMPRODUCT(H$55:H$114,TRANSPOSE(SAP_Speadsheet!$E$89:$BL$89))</f>
        <v>-209.12317948557106</v>
      </c>
      <c r="I25" s="382" cm="1">
        <f t="array" aca="1" ref="I25" ca="1">SUMPRODUCT(I$55:I$114,TRANSPOSE(SAP_Speadsheet!$E$89:$BL$89))</f>
        <v>-199.20564521724472</v>
      </c>
      <c r="J25" s="382" cm="1">
        <f t="array" aca="1" ref="J25" ca="1">SUMPRODUCT(J$55:J$114,TRANSPOSE(SAP_Speadsheet!$E$89:$BL$89))</f>
        <v>-197.35893193969429</v>
      </c>
      <c r="K25" s="382" cm="1">
        <f t="array" aca="1" ref="K25" ca="1">SUMPRODUCT(K$55:K$114,TRANSPOSE(SAP_Speadsheet!$E$89:$BL$89))</f>
        <v>0</v>
      </c>
      <c r="L25" s="382" cm="1">
        <f t="array" aca="1" ref="L25" ca="1">SUMPRODUCT(L$55:L$114,TRANSPOSE(SAP_Speadsheet!$E$89:$BL$89))</f>
        <v>0</v>
      </c>
      <c r="M25" s="382" cm="1">
        <f t="array" aca="1" ref="M25" ca="1">SUMPRODUCT(M$55:M$114,TRANSPOSE(SAP_Speadsheet!$E$89:$BL$89))</f>
        <v>0</v>
      </c>
      <c r="N25" s="382" cm="1">
        <f t="array" aca="1" ref="N25" ca="1">SUMPRODUCT(N$55:N$114,TRANSPOSE(SAP_Speadsheet!$E$89:$BL$89))</f>
        <v>0</v>
      </c>
      <c r="O25" s="382" cm="1">
        <f t="array" aca="1" ref="O25" ca="1">SUMPRODUCT(O$55:O$114,TRANSPOSE(SAP_Speadsheet!$E$89:$BL$89))</f>
        <v>0</v>
      </c>
      <c r="P25" s="382" cm="1">
        <f t="array" aca="1" ref="P25" ca="1">SUMPRODUCT(P$55:P$114,TRANSPOSE(SAP_Speadsheet!$E$89:$BL$89))</f>
        <v>0</v>
      </c>
      <c r="Q25" s="382" cm="1">
        <f t="array" aca="1" ref="Q25" ca="1">SUMPRODUCT(Q$55:Q$114,TRANSPOSE(SAP_Speadsheet!$E$89:$BL$89))</f>
        <v>0</v>
      </c>
      <c r="R25" s="382" cm="1">
        <f t="array" aca="1" ref="R25" ca="1">SUMPRODUCT(R$55:R$114,TRANSPOSE(SAP_Speadsheet!$E$89:$BL$89))</f>
        <v>0</v>
      </c>
      <c r="S25" s="382" cm="1">
        <f t="array" aca="1" ref="S25" ca="1">SUMPRODUCT(S$55:S$114,TRANSPOSE(SAP_Speadsheet!$E$89:$BL$89))</f>
        <v>0</v>
      </c>
      <c r="T25" s="382" cm="1">
        <f t="array" aca="1" ref="T25" ca="1">SUMPRODUCT(T$55:T$114,TRANSPOSE(SAP_Speadsheet!$E$89:$BL$89))</f>
        <v>0</v>
      </c>
      <c r="U25" s="382" cm="1">
        <f t="array" aca="1" ref="U25" ca="1">SUMPRODUCT(U$55:U$114,TRANSPOSE(SAP_Speadsheet!$E$89:$BL$89))</f>
        <v>0</v>
      </c>
      <c r="V25" s="382" cm="1">
        <f t="array" aca="1" ref="V25" ca="1">SUMPRODUCT(V$55:V$114,TRANSPOSE(SAP_Speadsheet!$E$89:$BL$89))</f>
        <v>0</v>
      </c>
      <c r="W25" s="382" cm="1">
        <f t="array" aca="1" ref="W25" ca="1">SUMPRODUCT(W$55:W$114,TRANSPOSE(SAP_Speadsheet!$E$89:$BL$89))</f>
        <v>0</v>
      </c>
      <c r="X25" s="382" cm="1">
        <f t="array" aca="1" ref="X25" ca="1">SUMPRODUCT(X$55:X$114,TRANSPOSE(SAP_Speadsheet!$E$89:$BL$89))</f>
        <v>0</v>
      </c>
      <c r="Y25" s="382" cm="1">
        <f t="array" aca="1" ref="Y25" ca="1">SUMPRODUCT(Y$55:Y$114,TRANSPOSE(SAP_Speadsheet!$E$89:$BL$89))</f>
        <v>0</v>
      </c>
      <c r="Z25" s="382" cm="1">
        <f t="array" aca="1" ref="Z25" ca="1">SUMPRODUCT(Z$55:Z$114,TRANSPOSE(SAP_Speadsheet!$E$89:$BL$89))</f>
        <v>0</v>
      </c>
      <c r="AA25" s="382" cm="1">
        <f t="array" aca="1" ref="AA25" ca="1">SUMPRODUCT(AA$55:AA$114,TRANSPOSE(SAP_Speadsheet!$E$89:$BL$89))</f>
        <v>0</v>
      </c>
      <c r="AB25" s="382" cm="1">
        <f t="array" aca="1" ref="AB25" ca="1">SUMPRODUCT(AB$55:AB$114,TRANSPOSE(SAP_Speadsheet!$E$89:$BL$89))</f>
        <v>0</v>
      </c>
      <c r="AC25" s="382" cm="1">
        <f t="array" aca="1" ref="AC25" ca="1">SUMPRODUCT(AC$55:AC$114,TRANSPOSE(SAP_Speadsheet!$E$89:$BL$89))</f>
        <v>0</v>
      </c>
      <c r="AD25" s="382" cm="1">
        <f t="array" aca="1" ref="AD25" ca="1">SUMPRODUCT(AD$55:AD$114,TRANSPOSE(SAP_Speadsheet!$E$89:$BL$89))</f>
        <v>0</v>
      </c>
      <c r="AE25" s="382" cm="1">
        <f t="array" aca="1" ref="AE25" ca="1">SUMPRODUCT(AE$55:AE$114,TRANSPOSE(SAP_Speadsheet!$E$89:$BL$89))</f>
        <v>0</v>
      </c>
      <c r="AF25" s="382" cm="1">
        <f t="array" aca="1" ref="AF25" ca="1">SUMPRODUCT(AF$55:AF$114,TRANSPOSE(SAP_Speadsheet!$E$89:$BL$89))</f>
        <v>0</v>
      </c>
      <c r="AG25" s="382" cm="1">
        <f t="array" aca="1" ref="AG25" ca="1">SUMPRODUCT(AG$55:AG$114,TRANSPOSE(SAP_Speadsheet!$E$89:$BL$89))</f>
        <v>0</v>
      </c>
      <c r="AH25" s="382" cm="1">
        <f t="array" aca="1" ref="AH25" ca="1">SUMPRODUCT(AH$55:AH$114,TRANSPOSE(SAP_Speadsheet!$E$89:$BL$89))</f>
        <v>0</v>
      </c>
      <c r="AI25" s="382" cm="1">
        <f t="array" aca="1" ref="AI25" ca="1">SUMPRODUCT(AI$55:AI$114,TRANSPOSE(SAP_Speadsheet!$E$89:$BL$89))</f>
        <v>0</v>
      </c>
      <c r="AJ25" s="382" cm="1">
        <f t="array" aca="1" ref="AJ25" ca="1">SUMPRODUCT(AJ$55:AJ$114,TRANSPOSE(SAP_Speadsheet!$E$89:$BL$89))</f>
        <v>0</v>
      </c>
      <c r="AK25" s="382" cm="1">
        <f t="array" aca="1" ref="AK25" ca="1">SUMPRODUCT(AK$55:AK$114,TRANSPOSE(SAP_Speadsheet!$E$89:$BL$89))</f>
        <v>0</v>
      </c>
      <c r="AL25" s="382" cm="1">
        <f t="array" aca="1" ref="AL25" ca="1">SUMPRODUCT(AL$55:AL$114,TRANSPOSE(SAP_Speadsheet!$E$89:$BL$89))</f>
        <v>0</v>
      </c>
      <c r="AM25" s="382" cm="1">
        <f t="array" aca="1" ref="AM25" ca="1">SUMPRODUCT(AM$55:AM$114,TRANSPOSE(SAP_Speadsheet!$E$89:$BL$89))</f>
        <v>0</v>
      </c>
      <c r="AN25" s="382" cm="1">
        <f t="array" aca="1" ref="AN25" ca="1">SUMPRODUCT(AN$55:AN$114,TRANSPOSE(SAP_Speadsheet!$E$89:$BL$89))</f>
        <v>0</v>
      </c>
      <c r="AO25" s="382" cm="1">
        <f t="array" aca="1" ref="AO25" ca="1">SUMPRODUCT(AO$55:AO$114,TRANSPOSE(SAP_Speadsheet!$E$89:$BL$89))</f>
        <v>0</v>
      </c>
      <c r="AP25" s="382" cm="1">
        <f t="array" aca="1" ref="AP25" ca="1">SUMPRODUCT(AP$55:AP$114,TRANSPOSE(SAP_Speadsheet!$E$89:$BL$89))</f>
        <v>0</v>
      </c>
      <c r="AQ25" s="382" cm="1">
        <f t="array" aca="1" ref="AQ25" ca="1">SUMPRODUCT(AQ$55:AQ$114,TRANSPOSE(SAP_Speadsheet!$E$89:$BL$89))</f>
        <v>0</v>
      </c>
      <c r="AR25" s="382" cm="1">
        <f t="array" aca="1" ref="AR25" ca="1">SUMPRODUCT(AR$55:AR$114,TRANSPOSE(SAP_Speadsheet!$E$89:$BL$89))</f>
        <v>0</v>
      </c>
      <c r="AS25" s="382" cm="1">
        <f t="array" aca="1" ref="AS25" ca="1">SUMPRODUCT(AS$55:AS$114,TRANSPOSE(SAP_Speadsheet!$E$89:$BL$89))</f>
        <v>0</v>
      </c>
      <c r="AT25" s="382" cm="1">
        <f t="array" aca="1" ref="AT25" ca="1">SUMPRODUCT(AT$55:AT$114,TRANSPOSE(SAP_Speadsheet!$E$89:$BL$89))</f>
        <v>0</v>
      </c>
      <c r="AU25" s="382" cm="1">
        <f t="array" aca="1" ref="AU25" ca="1">SUMPRODUCT(AU$55:AU$114,TRANSPOSE(SAP_Speadsheet!$E$89:$BL$89))</f>
        <v>0</v>
      </c>
      <c r="AV25" s="382" cm="1">
        <f t="array" aca="1" ref="AV25" ca="1">SUMPRODUCT(AV$55:AV$114,TRANSPOSE(SAP_Speadsheet!$E$89:$BL$89))</f>
        <v>0</v>
      </c>
      <c r="AW25" s="382" cm="1">
        <f t="array" aca="1" ref="AW25" ca="1">SUMPRODUCT(AW$55:AW$114,TRANSPOSE(SAP_Speadsheet!$E$89:$BL$89))</f>
        <v>0</v>
      </c>
      <c r="AX25" s="382" cm="1">
        <f t="array" aca="1" ref="AX25" ca="1">SUMPRODUCT(AX$55:AX$114,TRANSPOSE(SAP_Speadsheet!$E$89:$BL$89))</f>
        <v>0</v>
      </c>
      <c r="AY25" s="382" cm="1">
        <f t="array" aca="1" ref="AY25" ca="1">SUMPRODUCT(AY$55:AY$114,TRANSPOSE(SAP_Speadsheet!$E$89:$BL$89))</f>
        <v>0</v>
      </c>
      <c r="AZ25" s="382" cm="1">
        <f t="array" aca="1" ref="AZ25" ca="1">SUMPRODUCT(AZ$55:AZ$114,TRANSPOSE(SAP_Speadsheet!$E$89:$BL$89))</f>
        <v>0</v>
      </c>
      <c r="BA25" s="382" cm="1">
        <f t="array" aca="1" ref="BA25" ca="1">SUMPRODUCT(BA$55:BA$114,TRANSPOSE(SAP_Speadsheet!$E$89:$BL$89))</f>
        <v>0</v>
      </c>
      <c r="BB25" s="382" cm="1">
        <f t="array" aca="1" ref="BB25" ca="1">SUMPRODUCT(BB$55:BB$114,TRANSPOSE(SAP_Speadsheet!$E$89:$BL$89))</f>
        <v>0</v>
      </c>
      <c r="BC25" s="382" cm="1">
        <f t="array" aca="1" ref="BC25" ca="1">SUMPRODUCT(BC$55:BC$114,TRANSPOSE(SAP_Speadsheet!$E$89:$BL$89))</f>
        <v>0</v>
      </c>
      <c r="BD25" s="382" cm="1">
        <f t="array" aca="1" ref="BD25" ca="1">SUMPRODUCT(BD$55:BD$114,TRANSPOSE(SAP_Speadsheet!$E$89:$BL$89))</f>
        <v>0</v>
      </c>
      <c r="BE25" s="382" cm="1">
        <f t="array" aca="1" ref="BE25" ca="1">SUMPRODUCT(BE$55:BE$114,TRANSPOSE(SAP_Speadsheet!$E$89:$BL$89))</f>
        <v>0</v>
      </c>
      <c r="BF25" s="382" cm="1">
        <f t="array" aca="1" ref="BF25" ca="1">SUMPRODUCT(BF$55:BF$114,TRANSPOSE(SAP_Speadsheet!$E$89:$BL$89))</f>
        <v>0</v>
      </c>
      <c r="BG25" s="382" cm="1">
        <f t="array" aca="1" ref="BG25" ca="1">SUMPRODUCT(BG$55:BG$114,TRANSPOSE(SAP_Speadsheet!$E$89:$BL$89))</f>
        <v>0</v>
      </c>
      <c r="BH25" s="382" cm="1">
        <f t="array" aca="1" ref="BH25" ca="1">SUMPRODUCT(BH$55:BH$114,TRANSPOSE(SAP_Speadsheet!$E$89:$BL$89))</f>
        <v>0</v>
      </c>
      <c r="BI25" s="382" cm="1">
        <f t="array" aca="1" ref="BI25" ca="1">SUMPRODUCT(BI$55:BI$114,TRANSPOSE(SAP_Speadsheet!$E$89:$BL$89))</f>
        <v>0</v>
      </c>
    </row>
    <row r="26" spans="1:61" x14ac:dyDescent="0.15">
      <c r="A26" s="371" t="s">
        <v>305</v>
      </c>
      <c r="B26" s="382" cm="1">
        <f t="array" aca="1" ref="B26" ca="1">SUMPRODUCT(B$55:B$114,TRANSPOSE(SAP_Speadsheet!$E$90:$BL$90))</f>
        <v>0</v>
      </c>
      <c r="C26" s="382" cm="1">
        <f t="array" aca="1" ref="C26" ca="1">SUMPRODUCT(C$55:C$114,TRANSPOSE(SAP_Speadsheet!$E$90:$BL$90))</f>
        <v>0</v>
      </c>
      <c r="D26" s="382" cm="1">
        <f t="array" aca="1" ref="D26" ca="1">SUMPRODUCT(D$55:D$114,TRANSPOSE(SAP_Speadsheet!$E$90:$BL$90))</f>
        <v>0</v>
      </c>
      <c r="E26" s="382" cm="1">
        <f t="array" aca="1" ref="E26" ca="1">SUMPRODUCT(E$55:E$114,TRANSPOSE(SAP_Speadsheet!$E$90:$BL$90))</f>
        <v>0</v>
      </c>
      <c r="F26" s="382" cm="1">
        <f t="array" aca="1" ref="F26" ca="1">SUMPRODUCT(F$55:F$114,TRANSPOSE(SAP_Speadsheet!$E$90:$BL$90))</f>
        <v>0</v>
      </c>
      <c r="G26" s="382" cm="1">
        <f t="array" aca="1" ref="G26" ca="1">SUMPRODUCT(G$55:G$114,TRANSPOSE(SAP_Speadsheet!$E$90:$BL$90))</f>
        <v>0</v>
      </c>
      <c r="H26" s="382" cm="1">
        <f t="array" aca="1" ref="H26" ca="1">SUMPRODUCT(H$55:H$114,TRANSPOSE(SAP_Speadsheet!$E$90:$BL$90))</f>
        <v>-24.46</v>
      </c>
      <c r="I26" s="382" cm="1">
        <f t="array" aca="1" ref="I26" ca="1">SUMPRODUCT(I$55:I$114,TRANSPOSE(SAP_Speadsheet!$E$90:$BL$90))</f>
        <v>-23.3</v>
      </c>
      <c r="J26" s="382" cm="1">
        <f t="array" aca="1" ref="J26" ca="1">SUMPRODUCT(J$55:J$114,TRANSPOSE(SAP_Speadsheet!$E$90:$BL$90))</f>
        <v>-23.084</v>
      </c>
      <c r="K26" s="382" cm="1">
        <f t="array" aca="1" ref="K26" ca="1">SUMPRODUCT(K$55:K$114,TRANSPOSE(SAP_Speadsheet!$E$90:$BL$90))</f>
        <v>0</v>
      </c>
      <c r="L26" s="382" cm="1">
        <f t="array" aca="1" ref="L26" ca="1">SUMPRODUCT(L$55:L$114,TRANSPOSE(SAP_Speadsheet!$E$90:$BL$90))</f>
        <v>0</v>
      </c>
      <c r="M26" s="382" cm="1">
        <f t="array" aca="1" ref="M26" ca="1">SUMPRODUCT(M$55:M$114,TRANSPOSE(SAP_Speadsheet!$E$90:$BL$90))</f>
        <v>0</v>
      </c>
      <c r="N26" s="382" cm="1">
        <f t="array" aca="1" ref="N26" ca="1">SUMPRODUCT(N$55:N$114,TRANSPOSE(SAP_Speadsheet!$E$90:$BL$90))</f>
        <v>0</v>
      </c>
      <c r="O26" s="382" cm="1">
        <f t="array" aca="1" ref="O26" ca="1">SUMPRODUCT(O$55:O$114,TRANSPOSE(SAP_Speadsheet!$E$90:$BL$90))</f>
        <v>0</v>
      </c>
      <c r="P26" s="382" cm="1">
        <f t="array" aca="1" ref="P26" ca="1">SUMPRODUCT(P$55:P$114,TRANSPOSE(SAP_Speadsheet!$E$90:$BL$90))</f>
        <v>0</v>
      </c>
      <c r="Q26" s="382" cm="1">
        <f t="array" aca="1" ref="Q26" ca="1">SUMPRODUCT(Q$55:Q$114,TRANSPOSE(SAP_Speadsheet!$E$90:$BL$90))</f>
        <v>0</v>
      </c>
      <c r="R26" s="382" cm="1">
        <f t="array" aca="1" ref="R26" ca="1">SUMPRODUCT(R$55:R$114,TRANSPOSE(SAP_Speadsheet!$E$90:$BL$90))</f>
        <v>0</v>
      </c>
      <c r="S26" s="382" cm="1">
        <f t="array" aca="1" ref="S26" ca="1">SUMPRODUCT(S$55:S$114,TRANSPOSE(SAP_Speadsheet!$E$90:$BL$90))</f>
        <v>0</v>
      </c>
      <c r="T26" s="382" cm="1">
        <f t="array" aca="1" ref="T26" ca="1">SUMPRODUCT(T$55:T$114,TRANSPOSE(SAP_Speadsheet!$E$90:$BL$90))</f>
        <v>0</v>
      </c>
      <c r="U26" s="382" cm="1">
        <f t="array" aca="1" ref="U26" ca="1">SUMPRODUCT(U$55:U$114,TRANSPOSE(SAP_Speadsheet!$E$90:$BL$90))</f>
        <v>0</v>
      </c>
      <c r="V26" s="382" cm="1">
        <f t="array" aca="1" ref="V26" ca="1">SUMPRODUCT(V$55:V$114,TRANSPOSE(SAP_Speadsheet!$E$90:$BL$90))</f>
        <v>0</v>
      </c>
      <c r="W26" s="382" cm="1">
        <f t="array" aca="1" ref="W26" ca="1">SUMPRODUCT(W$55:W$114,TRANSPOSE(SAP_Speadsheet!$E$90:$BL$90))</f>
        <v>0</v>
      </c>
      <c r="X26" s="382" cm="1">
        <f t="array" aca="1" ref="X26" ca="1">SUMPRODUCT(X$55:X$114,TRANSPOSE(SAP_Speadsheet!$E$90:$BL$90))</f>
        <v>0</v>
      </c>
      <c r="Y26" s="382" cm="1">
        <f t="array" aca="1" ref="Y26" ca="1">SUMPRODUCT(Y$55:Y$114,TRANSPOSE(SAP_Speadsheet!$E$90:$BL$90))</f>
        <v>0</v>
      </c>
      <c r="Z26" s="382" cm="1">
        <f t="array" aca="1" ref="Z26" ca="1">SUMPRODUCT(Z$55:Z$114,TRANSPOSE(SAP_Speadsheet!$E$90:$BL$90))</f>
        <v>0</v>
      </c>
      <c r="AA26" s="382" cm="1">
        <f t="array" aca="1" ref="AA26" ca="1">SUMPRODUCT(AA$55:AA$114,TRANSPOSE(SAP_Speadsheet!$E$90:$BL$90))</f>
        <v>0</v>
      </c>
      <c r="AB26" s="382" cm="1">
        <f t="array" aca="1" ref="AB26" ca="1">SUMPRODUCT(AB$55:AB$114,TRANSPOSE(SAP_Speadsheet!$E$90:$BL$90))</f>
        <v>0</v>
      </c>
      <c r="AC26" s="382" cm="1">
        <f t="array" aca="1" ref="AC26" ca="1">SUMPRODUCT(AC$55:AC$114,TRANSPOSE(SAP_Speadsheet!$E$90:$BL$90))</f>
        <v>0</v>
      </c>
      <c r="AD26" s="382" cm="1">
        <f t="array" aca="1" ref="AD26" ca="1">SUMPRODUCT(AD$55:AD$114,TRANSPOSE(SAP_Speadsheet!$E$90:$BL$90))</f>
        <v>0</v>
      </c>
      <c r="AE26" s="382" cm="1">
        <f t="array" aca="1" ref="AE26" ca="1">SUMPRODUCT(AE$55:AE$114,TRANSPOSE(SAP_Speadsheet!$E$90:$BL$90))</f>
        <v>0</v>
      </c>
      <c r="AF26" s="382" cm="1">
        <f t="array" aca="1" ref="AF26" ca="1">SUMPRODUCT(AF$55:AF$114,TRANSPOSE(SAP_Speadsheet!$E$90:$BL$90))</f>
        <v>0</v>
      </c>
      <c r="AG26" s="382" cm="1">
        <f t="array" aca="1" ref="AG26" ca="1">SUMPRODUCT(AG$55:AG$114,TRANSPOSE(SAP_Speadsheet!$E$90:$BL$90))</f>
        <v>0</v>
      </c>
      <c r="AH26" s="382" cm="1">
        <f t="array" aca="1" ref="AH26" ca="1">SUMPRODUCT(AH$55:AH$114,TRANSPOSE(SAP_Speadsheet!$E$90:$BL$90))</f>
        <v>0</v>
      </c>
      <c r="AI26" s="382" cm="1">
        <f t="array" aca="1" ref="AI26" ca="1">SUMPRODUCT(AI$55:AI$114,TRANSPOSE(SAP_Speadsheet!$E$90:$BL$90))</f>
        <v>0</v>
      </c>
      <c r="AJ26" s="382" cm="1">
        <f t="array" aca="1" ref="AJ26" ca="1">SUMPRODUCT(AJ$55:AJ$114,TRANSPOSE(SAP_Speadsheet!$E$90:$BL$90))</f>
        <v>0</v>
      </c>
      <c r="AK26" s="382" cm="1">
        <f t="array" aca="1" ref="AK26" ca="1">SUMPRODUCT(AK$55:AK$114,TRANSPOSE(SAP_Speadsheet!$E$90:$BL$90))</f>
        <v>0</v>
      </c>
      <c r="AL26" s="382" cm="1">
        <f t="array" aca="1" ref="AL26" ca="1">SUMPRODUCT(AL$55:AL$114,TRANSPOSE(SAP_Speadsheet!$E$90:$BL$90))</f>
        <v>0</v>
      </c>
      <c r="AM26" s="382" cm="1">
        <f t="array" aca="1" ref="AM26" ca="1">SUMPRODUCT(AM$55:AM$114,TRANSPOSE(SAP_Speadsheet!$E$90:$BL$90))</f>
        <v>0</v>
      </c>
      <c r="AN26" s="382" cm="1">
        <f t="array" aca="1" ref="AN26" ca="1">SUMPRODUCT(AN$55:AN$114,TRANSPOSE(SAP_Speadsheet!$E$90:$BL$90))</f>
        <v>0</v>
      </c>
      <c r="AO26" s="382" cm="1">
        <f t="array" aca="1" ref="AO26" ca="1">SUMPRODUCT(AO$55:AO$114,TRANSPOSE(SAP_Speadsheet!$E$90:$BL$90))</f>
        <v>0</v>
      </c>
      <c r="AP26" s="382" cm="1">
        <f t="array" aca="1" ref="AP26" ca="1">SUMPRODUCT(AP$55:AP$114,TRANSPOSE(SAP_Speadsheet!$E$90:$BL$90))</f>
        <v>0</v>
      </c>
      <c r="AQ26" s="382" cm="1">
        <f t="array" aca="1" ref="AQ26" ca="1">SUMPRODUCT(AQ$55:AQ$114,TRANSPOSE(SAP_Speadsheet!$E$90:$BL$90))</f>
        <v>0</v>
      </c>
      <c r="AR26" s="382" cm="1">
        <f t="array" aca="1" ref="AR26" ca="1">SUMPRODUCT(AR$55:AR$114,TRANSPOSE(SAP_Speadsheet!$E$90:$BL$90))</f>
        <v>0</v>
      </c>
      <c r="AS26" s="382" cm="1">
        <f t="array" aca="1" ref="AS26" ca="1">SUMPRODUCT(AS$55:AS$114,TRANSPOSE(SAP_Speadsheet!$E$90:$BL$90))</f>
        <v>0</v>
      </c>
      <c r="AT26" s="382" cm="1">
        <f t="array" aca="1" ref="AT26" ca="1">SUMPRODUCT(AT$55:AT$114,TRANSPOSE(SAP_Speadsheet!$E$90:$BL$90))</f>
        <v>0</v>
      </c>
      <c r="AU26" s="382" cm="1">
        <f t="array" aca="1" ref="AU26" ca="1">SUMPRODUCT(AU$55:AU$114,TRANSPOSE(SAP_Speadsheet!$E$90:$BL$90))</f>
        <v>0</v>
      </c>
      <c r="AV26" s="382" cm="1">
        <f t="array" aca="1" ref="AV26" ca="1">SUMPRODUCT(AV$55:AV$114,TRANSPOSE(SAP_Speadsheet!$E$90:$BL$90))</f>
        <v>0</v>
      </c>
      <c r="AW26" s="382" cm="1">
        <f t="array" aca="1" ref="AW26" ca="1">SUMPRODUCT(AW$55:AW$114,TRANSPOSE(SAP_Speadsheet!$E$90:$BL$90))</f>
        <v>0</v>
      </c>
      <c r="AX26" s="382" cm="1">
        <f t="array" aca="1" ref="AX26" ca="1">SUMPRODUCT(AX$55:AX$114,TRANSPOSE(SAP_Speadsheet!$E$90:$BL$90))</f>
        <v>0</v>
      </c>
      <c r="AY26" s="382" cm="1">
        <f t="array" aca="1" ref="AY26" ca="1">SUMPRODUCT(AY$55:AY$114,TRANSPOSE(SAP_Speadsheet!$E$90:$BL$90))</f>
        <v>0</v>
      </c>
      <c r="AZ26" s="382" cm="1">
        <f t="array" aca="1" ref="AZ26" ca="1">SUMPRODUCT(AZ$55:AZ$114,TRANSPOSE(SAP_Speadsheet!$E$90:$BL$90))</f>
        <v>0</v>
      </c>
      <c r="BA26" s="382" cm="1">
        <f t="array" aca="1" ref="BA26" ca="1">SUMPRODUCT(BA$55:BA$114,TRANSPOSE(SAP_Speadsheet!$E$90:$BL$90))</f>
        <v>0</v>
      </c>
      <c r="BB26" s="382" cm="1">
        <f t="array" aca="1" ref="BB26" ca="1">SUMPRODUCT(BB$55:BB$114,TRANSPOSE(SAP_Speadsheet!$E$90:$BL$90))</f>
        <v>0</v>
      </c>
      <c r="BC26" s="382" cm="1">
        <f t="array" aca="1" ref="BC26" ca="1">SUMPRODUCT(BC$55:BC$114,TRANSPOSE(SAP_Speadsheet!$E$90:$BL$90))</f>
        <v>0</v>
      </c>
      <c r="BD26" s="382" cm="1">
        <f t="array" aca="1" ref="BD26" ca="1">SUMPRODUCT(BD$55:BD$114,TRANSPOSE(SAP_Speadsheet!$E$90:$BL$90))</f>
        <v>0</v>
      </c>
      <c r="BE26" s="382" cm="1">
        <f t="array" aca="1" ref="BE26" ca="1">SUMPRODUCT(BE$55:BE$114,TRANSPOSE(SAP_Speadsheet!$E$90:$BL$90))</f>
        <v>0</v>
      </c>
      <c r="BF26" s="382" cm="1">
        <f t="array" aca="1" ref="BF26" ca="1">SUMPRODUCT(BF$55:BF$114,TRANSPOSE(SAP_Speadsheet!$E$90:$BL$90))</f>
        <v>0</v>
      </c>
      <c r="BG26" s="382" cm="1">
        <f t="array" aca="1" ref="BG26" ca="1">SUMPRODUCT(BG$55:BG$114,TRANSPOSE(SAP_Speadsheet!$E$90:$BL$90))</f>
        <v>0</v>
      </c>
      <c r="BH26" s="382" cm="1">
        <f t="array" aca="1" ref="BH26" ca="1">SUMPRODUCT(BH$55:BH$114,TRANSPOSE(SAP_Speadsheet!$E$90:$BL$90))</f>
        <v>0</v>
      </c>
      <c r="BI26" s="382" cm="1">
        <f t="array" aca="1" ref="BI26" ca="1">SUMPRODUCT(BI$55:BI$114,TRANSPOSE(SAP_Speadsheet!$E$90:$BL$90))</f>
        <v>0</v>
      </c>
    </row>
    <row r="27" spans="1:61" x14ac:dyDescent="0.15">
      <c r="A27" s="371" t="s">
        <v>509</v>
      </c>
      <c r="B27" s="382" cm="1">
        <f t="array" aca="1" ref="B27" ca="1">SUMPRODUCT(B$55:B$114,TRANSPOSE(SAP_Speadsheet!$E$91:$BL$91))</f>
        <v>0</v>
      </c>
      <c r="C27" s="382" cm="1">
        <f t="array" aca="1" ref="C27" ca="1">SUMPRODUCT(C$55:C$114,TRANSPOSE(SAP_Speadsheet!$E$91:$BL$91))</f>
        <v>0</v>
      </c>
      <c r="D27" s="382" cm="1">
        <f t="array" aca="1" ref="D27" ca="1">SUMPRODUCT(D$55:D$114,TRANSPOSE(SAP_Speadsheet!$E$91:$BL$91))</f>
        <v>0</v>
      </c>
      <c r="E27" s="382" cm="1">
        <f t="array" aca="1" ref="E27" ca="1">SUMPRODUCT(E$55:E$114,TRANSPOSE(SAP_Speadsheet!$E$91:$BL$91))</f>
        <v>0</v>
      </c>
      <c r="F27" s="382" cm="1">
        <f t="array" aca="1" ref="F27" ca="1">SUMPRODUCT(F$55:F$114,TRANSPOSE(SAP_Speadsheet!$E$91:$BL$91))</f>
        <v>0</v>
      </c>
      <c r="G27" s="382" cm="1">
        <f t="array" aca="1" ref="G27" ca="1">SUMPRODUCT(G$55:G$114,TRANSPOSE(SAP_Speadsheet!$E$91:$BL$91))</f>
        <v>0</v>
      </c>
      <c r="H27" s="382" cm="1">
        <f t="array" aca="1" ref="H27" ca="1">SUMPRODUCT(H$55:H$114,TRANSPOSE(SAP_Speadsheet!$E$91:$BL$91))</f>
        <v>0</v>
      </c>
      <c r="I27" s="382" cm="1">
        <f t="array" aca="1" ref="I27" ca="1">SUMPRODUCT(I$55:I$114,TRANSPOSE(SAP_Speadsheet!$E$91:$BL$91))</f>
        <v>0</v>
      </c>
      <c r="J27" s="382" cm="1">
        <f t="array" aca="1" ref="J27" ca="1">SUMPRODUCT(J$55:J$114,TRANSPOSE(SAP_Speadsheet!$E$91:$BL$91))</f>
        <v>0</v>
      </c>
      <c r="K27" s="382" cm="1">
        <f t="array" aca="1" ref="K27" ca="1">SUMPRODUCT(K$55:K$114,TRANSPOSE(SAP_Speadsheet!$E$91:$BL$91))</f>
        <v>0</v>
      </c>
      <c r="L27" s="382" cm="1">
        <f t="array" aca="1" ref="L27" ca="1">SUMPRODUCT(L$55:L$114,TRANSPOSE(SAP_Speadsheet!$E$91:$BL$91))</f>
        <v>0</v>
      </c>
      <c r="M27" s="382" cm="1">
        <f t="array" aca="1" ref="M27" ca="1">SUMPRODUCT(M$55:M$114,TRANSPOSE(SAP_Speadsheet!$E$91:$BL$91))</f>
        <v>0</v>
      </c>
      <c r="N27" s="382" cm="1">
        <f t="array" aca="1" ref="N27" ca="1">SUMPRODUCT(N$55:N$114,TRANSPOSE(SAP_Speadsheet!$E$91:$BL$91))</f>
        <v>0</v>
      </c>
      <c r="O27" s="382" cm="1">
        <f t="array" aca="1" ref="O27" ca="1">SUMPRODUCT(O$55:O$114,TRANSPOSE(SAP_Speadsheet!$E$91:$BL$91))</f>
        <v>0</v>
      </c>
      <c r="P27" s="382" cm="1">
        <f t="array" aca="1" ref="P27" ca="1">SUMPRODUCT(P$55:P$114,TRANSPOSE(SAP_Speadsheet!$E$91:$BL$91))</f>
        <v>0</v>
      </c>
      <c r="Q27" s="382" cm="1">
        <f t="array" aca="1" ref="Q27" ca="1">SUMPRODUCT(Q$55:Q$114,TRANSPOSE(SAP_Speadsheet!$E$91:$BL$91))</f>
        <v>0</v>
      </c>
      <c r="R27" s="382" cm="1">
        <f t="array" aca="1" ref="R27" ca="1">SUMPRODUCT(R$55:R$114,TRANSPOSE(SAP_Speadsheet!$E$91:$BL$91))</f>
        <v>0</v>
      </c>
      <c r="S27" s="382" cm="1">
        <f t="array" aca="1" ref="S27" ca="1">SUMPRODUCT(S$55:S$114,TRANSPOSE(SAP_Speadsheet!$E$91:$BL$91))</f>
        <v>0</v>
      </c>
      <c r="T27" s="382" cm="1">
        <f t="array" aca="1" ref="T27" ca="1">SUMPRODUCT(T$55:T$114,TRANSPOSE(SAP_Speadsheet!$E$91:$BL$91))</f>
        <v>0</v>
      </c>
      <c r="U27" s="382" cm="1">
        <f t="array" aca="1" ref="U27" ca="1">SUMPRODUCT(U$55:U$114,TRANSPOSE(SAP_Speadsheet!$E$91:$BL$91))</f>
        <v>0</v>
      </c>
      <c r="V27" s="382" cm="1">
        <f t="array" aca="1" ref="V27" ca="1">SUMPRODUCT(V$55:V$114,TRANSPOSE(SAP_Speadsheet!$E$91:$BL$91))</f>
        <v>0</v>
      </c>
      <c r="W27" s="382" cm="1">
        <f t="array" aca="1" ref="W27" ca="1">SUMPRODUCT(W$55:W$114,TRANSPOSE(SAP_Speadsheet!$E$91:$BL$91))</f>
        <v>0</v>
      </c>
      <c r="X27" s="382" cm="1">
        <f t="array" aca="1" ref="X27" ca="1">SUMPRODUCT(X$55:X$114,TRANSPOSE(SAP_Speadsheet!$E$91:$BL$91))</f>
        <v>0</v>
      </c>
      <c r="Y27" s="382" cm="1">
        <f t="array" aca="1" ref="Y27" ca="1">SUMPRODUCT(Y$55:Y$114,TRANSPOSE(SAP_Speadsheet!$E$91:$BL$91))</f>
        <v>0</v>
      </c>
      <c r="Z27" s="382" cm="1">
        <f t="array" aca="1" ref="Z27" ca="1">SUMPRODUCT(Z$55:Z$114,TRANSPOSE(SAP_Speadsheet!$E$91:$BL$91))</f>
        <v>0</v>
      </c>
      <c r="AA27" s="382" cm="1">
        <f t="array" aca="1" ref="AA27" ca="1">SUMPRODUCT(AA$55:AA$114,TRANSPOSE(SAP_Speadsheet!$E$91:$BL$91))</f>
        <v>0</v>
      </c>
      <c r="AB27" s="382" cm="1">
        <f t="array" aca="1" ref="AB27" ca="1">SUMPRODUCT(AB$55:AB$114,TRANSPOSE(SAP_Speadsheet!$E$91:$BL$91))</f>
        <v>0</v>
      </c>
      <c r="AC27" s="382" cm="1">
        <f t="array" aca="1" ref="AC27" ca="1">SUMPRODUCT(AC$55:AC$114,TRANSPOSE(SAP_Speadsheet!$E$91:$BL$91))</f>
        <v>0</v>
      </c>
      <c r="AD27" s="382" cm="1">
        <f t="array" aca="1" ref="AD27" ca="1">SUMPRODUCT(AD$55:AD$114,TRANSPOSE(SAP_Speadsheet!$E$91:$BL$91))</f>
        <v>0</v>
      </c>
      <c r="AE27" s="382" cm="1">
        <f t="array" aca="1" ref="AE27" ca="1">SUMPRODUCT(AE$55:AE$114,TRANSPOSE(SAP_Speadsheet!$E$91:$BL$91))</f>
        <v>0</v>
      </c>
      <c r="AF27" s="382" cm="1">
        <f t="array" aca="1" ref="AF27" ca="1">SUMPRODUCT(AF$55:AF$114,TRANSPOSE(SAP_Speadsheet!$E$91:$BL$91))</f>
        <v>0</v>
      </c>
      <c r="AG27" s="382" cm="1">
        <f t="array" aca="1" ref="AG27" ca="1">SUMPRODUCT(AG$55:AG$114,TRANSPOSE(SAP_Speadsheet!$E$91:$BL$91))</f>
        <v>0</v>
      </c>
      <c r="AH27" s="382" cm="1">
        <f t="array" aca="1" ref="AH27" ca="1">SUMPRODUCT(AH$55:AH$114,TRANSPOSE(SAP_Speadsheet!$E$91:$BL$91))</f>
        <v>0</v>
      </c>
      <c r="AI27" s="382" cm="1">
        <f t="array" aca="1" ref="AI27" ca="1">SUMPRODUCT(AI$55:AI$114,TRANSPOSE(SAP_Speadsheet!$E$91:$BL$91))</f>
        <v>0</v>
      </c>
      <c r="AJ27" s="382" cm="1">
        <f t="array" aca="1" ref="AJ27" ca="1">SUMPRODUCT(AJ$55:AJ$114,TRANSPOSE(SAP_Speadsheet!$E$91:$BL$91))</f>
        <v>0</v>
      </c>
      <c r="AK27" s="382" cm="1">
        <f t="array" aca="1" ref="AK27" ca="1">SUMPRODUCT(AK$55:AK$114,TRANSPOSE(SAP_Speadsheet!$E$91:$BL$91))</f>
        <v>0</v>
      </c>
      <c r="AL27" s="382" cm="1">
        <f t="array" aca="1" ref="AL27" ca="1">SUMPRODUCT(AL$55:AL$114,TRANSPOSE(SAP_Speadsheet!$E$91:$BL$91))</f>
        <v>0</v>
      </c>
      <c r="AM27" s="382" cm="1">
        <f t="array" aca="1" ref="AM27" ca="1">SUMPRODUCT(AM$55:AM$114,TRANSPOSE(SAP_Speadsheet!$E$91:$BL$91))</f>
        <v>0</v>
      </c>
      <c r="AN27" s="382" cm="1">
        <f t="array" aca="1" ref="AN27" ca="1">SUMPRODUCT(AN$55:AN$114,TRANSPOSE(SAP_Speadsheet!$E$91:$BL$91))</f>
        <v>0</v>
      </c>
      <c r="AO27" s="382" cm="1">
        <f t="array" aca="1" ref="AO27" ca="1">SUMPRODUCT(AO$55:AO$114,TRANSPOSE(SAP_Speadsheet!$E$91:$BL$91))</f>
        <v>0</v>
      </c>
      <c r="AP27" s="382" cm="1">
        <f t="array" aca="1" ref="AP27" ca="1">SUMPRODUCT(AP$55:AP$114,TRANSPOSE(SAP_Speadsheet!$E$91:$BL$91))</f>
        <v>0</v>
      </c>
      <c r="AQ27" s="382" cm="1">
        <f t="array" aca="1" ref="AQ27" ca="1">SUMPRODUCT(AQ$55:AQ$114,TRANSPOSE(SAP_Speadsheet!$E$91:$BL$91))</f>
        <v>0</v>
      </c>
      <c r="AR27" s="382" cm="1">
        <f t="array" aca="1" ref="AR27" ca="1">SUMPRODUCT(AR$55:AR$114,TRANSPOSE(SAP_Speadsheet!$E$91:$BL$91))</f>
        <v>0</v>
      </c>
      <c r="AS27" s="382" cm="1">
        <f t="array" aca="1" ref="AS27" ca="1">SUMPRODUCT(AS$55:AS$114,TRANSPOSE(SAP_Speadsheet!$E$91:$BL$91))</f>
        <v>0</v>
      </c>
      <c r="AT27" s="382" cm="1">
        <f t="array" aca="1" ref="AT27" ca="1">SUMPRODUCT(AT$55:AT$114,TRANSPOSE(SAP_Speadsheet!$E$91:$BL$91))</f>
        <v>0</v>
      </c>
      <c r="AU27" s="382" cm="1">
        <f t="array" aca="1" ref="AU27" ca="1">SUMPRODUCT(AU$55:AU$114,TRANSPOSE(SAP_Speadsheet!$E$91:$BL$91))</f>
        <v>0</v>
      </c>
      <c r="AV27" s="382" cm="1">
        <f t="array" aca="1" ref="AV27" ca="1">SUMPRODUCT(AV$55:AV$114,TRANSPOSE(SAP_Speadsheet!$E$91:$BL$91))</f>
        <v>0</v>
      </c>
      <c r="AW27" s="382" cm="1">
        <f t="array" aca="1" ref="AW27" ca="1">SUMPRODUCT(AW$55:AW$114,TRANSPOSE(SAP_Speadsheet!$E$91:$BL$91))</f>
        <v>0</v>
      </c>
      <c r="AX27" s="382" cm="1">
        <f t="array" aca="1" ref="AX27" ca="1">SUMPRODUCT(AX$55:AX$114,TRANSPOSE(SAP_Speadsheet!$E$91:$BL$91))</f>
        <v>0</v>
      </c>
      <c r="AY27" s="382" cm="1">
        <f t="array" aca="1" ref="AY27" ca="1">SUMPRODUCT(AY$55:AY$114,TRANSPOSE(SAP_Speadsheet!$E$91:$BL$91))</f>
        <v>0</v>
      </c>
      <c r="AZ27" s="382" cm="1">
        <f t="array" aca="1" ref="AZ27" ca="1">SUMPRODUCT(AZ$55:AZ$114,TRANSPOSE(SAP_Speadsheet!$E$91:$BL$91))</f>
        <v>0</v>
      </c>
      <c r="BA27" s="382" cm="1">
        <f t="array" aca="1" ref="BA27" ca="1">SUMPRODUCT(BA$55:BA$114,TRANSPOSE(SAP_Speadsheet!$E$91:$BL$91))</f>
        <v>0</v>
      </c>
      <c r="BB27" s="382" cm="1">
        <f t="array" aca="1" ref="BB27" ca="1">SUMPRODUCT(BB$55:BB$114,TRANSPOSE(SAP_Speadsheet!$E$91:$BL$91))</f>
        <v>0</v>
      </c>
      <c r="BC27" s="382" cm="1">
        <f t="array" aca="1" ref="BC27" ca="1">SUMPRODUCT(BC$55:BC$114,TRANSPOSE(SAP_Speadsheet!$E$91:$BL$91))</f>
        <v>0</v>
      </c>
      <c r="BD27" s="382" cm="1">
        <f t="array" aca="1" ref="BD27" ca="1">SUMPRODUCT(BD$55:BD$114,TRANSPOSE(SAP_Speadsheet!$E$91:$BL$91))</f>
        <v>0</v>
      </c>
      <c r="BE27" s="382" cm="1">
        <f t="array" aca="1" ref="BE27" ca="1">SUMPRODUCT(BE$55:BE$114,TRANSPOSE(SAP_Speadsheet!$E$91:$BL$91))</f>
        <v>0</v>
      </c>
      <c r="BF27" s="382" cm="1">
        <f t="array" aca="1" ref="BF27" ca="1">SUMPRODUCT(BF$55:BF$114,TRANSPOSE(SAP_Speadsheet!$E$91:$BL$91))</f>
        <v>0</v>
      </c>
      <c r="BG27" s="382" cm="1">
        <f t="array" aca="1" ref="BG27" ca="1">SUMPRODUCT(BG$55:BG$114,TRANSPOSE(SAP_Speadsheet!$E$91:$BL$91))</f>
        <v>0</v>
      </c>
      <c r="BH27" s="382" cm="1">
        <f t="array" aca="1" ref="BH27" ca="1">SUMPRODUCT(BH$55:BH$114,TRANSPOSE(SAP_Speadsheet!$E$91:$BL$91))</f>
        <v>0</v>
      </c>
      <c r="BI27" s="382" cm="1">
        <f t="array" aca="1" ref="BI27" ca="1">SUMPRODUCT(BI$55:BI$114,TRANSPOSE(SAP_Speadsheet!$E$91:$BL$91))</f>
        <v>0</v>
      </c>
    </row>
    <row r="28" spans="1:61" x14ac:dyDescent="0.15">
      <c r="A28" s="383" t="s">
        <v>381</v>
      </c>
      <c r="B28" s="377" cm="1">
        <f t="array" aca="1" ref="B28" ca="1">SUMPRODUCT(B$55:B$114,TRANSPOSE(SAP_Speadsheet!$E$95:$BL$95))</f>
        <v>0</v>
      </c>
      <c r="C28" s="377" cm="1">
        <f t="array" aca="1" ref="C28" ca="1">SUMPRODUCT(C$55:C$114,TRANSPOSE(SAP_Speadsheet!$E$95:$BL$95))</f>
        <v>0</v>
      </c>
      <c r="D28" s="377" cm="1">
        <f t="array" aca="1" ref="D28" ca="1">SUMPRODUCT(D$55:D$114,TRANSPOSE(SAP_Speadsheet!$E$95:$BL$95))</f>
        <v>0</v>
      </c>
      <c r="E28" s="377" cm="1">
        <f t="array" aca="1" ref="E28" ca="1">SUMPRODUCT(E$55:E$114,TRANSPOSE(SAP_Speadsheet!$E$95:$BL$95))</f>
        <v>0</v>
      </c>
      <c r="F28" s="377" cm="1">
        <f t="array" aca="1" ref="F28" ca="1">SUMPRODUCT(F$55:F$114,TRANSPOSE(SAP_Speadsheet!$E$95:$BL$95))</f>
        <v>0</v>
      </c>
      <c r="G28" s="377" cm="1">
        <f t="array" aca="1" ref="G28" ca="1">SUMPRODUCT(G$55:G$114,TRANSPOSE(SAP_Speadsheet!$E$95:$BL$95))</f>
        <v>0</v>
      </c>
      <c r="H28" s="377" cm="1">
        <f t="array" aca="1" ref="H28" ca="1">SUMPRODUCT(H$55:H$114,TRANSPOSE(SAP_Speadsheet!$E$95:$BL$95))</f>
        <v>-48.92</v>
      </c>
      <c r="I28" s="377" cm="1">
        <f t="array" aca="1" ref="I28" ca="1">SUMPRODUCT(I$55:I$114,TRANSPOSE(SAP_Speadsheet!$E$95:$BL$95))</f>
        <v>-91.606400000000008</v>
      </c>
      <c r="J28" s="377" cm="1">
        <f t="array" aca="1" ref="J28" ca="1">SUMPRODUCT(J$55:J$114,TRANSPOSE(SAP_Speadsheet!$E$95:$BL$95))</f>
        <v>-131.1112</v>
      </c>
      <c r="K28" s="377" cm="1">
        <f t="array" aca="1" ref="K28" ca="1">SUMPRODUCT(K$55:K$114,TRANSPOSE(SAP_Speadsheet!$E$95:$BL$95))</f>
        <v>-121.68656000000001</v>
      </c>
      <c r="L28" s="377" cm="1">
        <f t="array" aca="1" ref="L28" ca="1">SUMPRODUCT(L$55:L$114,TRANSPOSE(SAP_Speadsheet!$E$95:$BL$95))</f>
        <v>-114.89748</v>
      </c>
      <c r="M28" s="377" cm="1">
        <f t="array" aca="1" ref="M28" ca="1">SUMPRODUCT(M$55:M$114,TRANSPOSE(SAP_Speadsheet!$E$95:$BL$95))</f>
        <v>-109.7394</v>
      </c>
      <c r="N28" s="377" cm="1">
        <f t="array" aca="1" ref="N28" ca="1">SUMPRODUCT(N$55:N$114,TRANSPOSE(SAP_Speadsheet!$E$95:$BL$95))</f>
        <v>-106.1972</v>
      </c>
      <c r="O28" s="377" cm="1">
        <f t="array" aca="1" ref="O28" ca="1">SUMPRODUCT(O$55:O$114,TRANSPOSE(SAP_Speadsheet!$E$95:$BL$95))</f>
        <v>-102.655</v>
      </c>
      <c r="P28" s="377" cm="1">
        <f t="array" aca="1" ref="P28" ca="1">SUMPRODUCT(P$55:P$114,TRANSPOSE(SAP_Speadsheet!$E$95:$BL$95))</f>
        <v>-99.112799999999993</v>
      </c>
      <c r="Q28" s="377" cm="1">
        <f t="array" aca="1" ref="Q28" ca="1">SUMPRODUCT(Q$55:Q$114,TRANSPOSE(SAP_Speadsheet!$E$95:$BL$95))</f>
        <v>-95.570599999999999</v>
      </c>
      <c r="R28" s="377" cm="1">
        <f t="array" aca="1" ref="R28" ca="1">SUMPRODUCT(R$55:R$114,TRANSPOSE(SAP_Speadsheet!$E$95:$BL$95))</f>
        <v>-92.028399999999991</v>
      </c>
      <c r="S28" s="377" cm="1">
        <f t="array" aca="1" ref="S28" ca="1">SUMPRODUCT(S$55:S$114,TRANSPOSE(SAP_Speadsheet!$E$95:$BL$95))</f>
        <v>-89.513519999999986</v>
      </c>
      <c r="T28" s="377" cm="1">
        <f t="array" aca="1" ref="T28" ca="1">SUMPRODUCT(T$55:T$114,TRANSPOSE(SAP_Speadsheet!$E$95:$BL$95))</f>
        <v>-86.907114999999976</v>
      </c>
      <c r="U28" s="377" cm="1">
        <f t="array" aca="1" ref="U28" ca="1">SUMPRODUCT(U$55:U$114,TRANSPOSE(SAP_Speadsheet!$E$95:$BL$95))</f>
        <v>-84.250862999999967</v>
      </c>
      <c r="V28" s="377" cm="1">
        <f t="array" aca="1" ref="V28" ca="1">SUMPRODUCT(V$55:V$114,TRANSPOSE(SAP_Speadsheet!$E$95:$BL$95))</f>
        <v>-60.687625433440864</v>
      </c>
      <c r="W28" s="377" cm="1">
        <f t="array" aca="1" ref="W28" ca="1">SUMPRODUCT(W$55:W$114,TRANSPOSE(SAP_Speadsheet!$E$95:$BL$95))</f>
        <v>-39.332082896345085</v>
      </c>
      <c r="X28" s="377" cm="1">
        <f t="array" aca="1" ref="X28" ca="1">SUMPRODUCT(X$55:X$114,TRANSPOSE(SAP_Speadsheet!$E$95:$BL$95))</f>
        <v>-19.357490054929048</v>
      </c>
      <c r="Y28" s="377" cm="1">
        <f t="array" aca="1" ref="Y28" ca="1">SUMPRODUCT(Y$55:Y$114,TRANSPOSE(SAP_Speadsheet!$E$95:$BL$95))</f>
        <v>-19.355287638189463</v>
      </c>
      <c r="Z28" s="377" cm="1">
        <f t="array" aca="1" ref="Z28" ca="1">SUMPRODUCT(Z$55:Z$114,TRANSPOSE(SAP_Speadsheet!$E$95:$BL$95))</f>
        <v>-19.354709586383162</v>
      </c>
      <c r="AA28" s="377" cm="1">
        <f t="array" aca="1" ref="AA28" ca="1">SUMPRODUCT(AA$55:AA$114,TRANSPOSE(SAP_Speadsheet!$E$95:$BL$95))</f>
        <v>-19.354709586383162</v>
      </c>
      <c r="AB28" s="377" cm="1">
        <f t="array" aca="1" ref="AB28" ca="1">SUMPRODUCT(AB$55:AB$114,TRANSPOSE(SAP_Speadsheet!$E$95:$BL$95))</f>
        <v>-12.672193120868339</v>
      </c>
      <c r="AC28" s="377" cm="1">
        <f t="array" aca="1" ref="AC28" ca="1">SUMPRODUCT(AC$55:AC$114,TRANSPOSE(SAP_Speadsheet!$E$95:$BL$95))</f>
        <v>-6.3065907641023786</v>
      </c>
      <c r="AD28" s="377" cm="1">
        <f t="array" aca="1" ref="AD28" ca="1">SUMPRODUCT(AD$55:AD$114,TRANSPOSE(SAP_Speadsheet!$E$95:$BL$95))</f>
        <v>0</v>
      </c>
      <c r="AE28" s="377" cm="1">
        <f t="array" aca="1" ref="AE28" ca="1">SUMPRODUCT(AE$55:AE$114,TRANSPOSE(SAP_Speadsheet!$E$95:$BL$95))</f>
        <v>0</v>
      </c>
      <c r="AF28" s="377" cm="1">
        <f t="array" aca="1" ref="AF28" ca="1">SUMPRODUCT(AF$55:AF$114,TRANSPOSE(SAP_Speadsheet!$E$95:$BL$95))</f>
        <v>0</v>
      </c>
      <c r="AG28" s="377" cm="1">
        <f t="array" aca="1" ref="AG28" ca="1">SUMPRODUCT(AG$55:AG$114,TRANSPOSE(SAP_Speadsheet!$E$95:$BL$95))</f>
        <v>0</v>
      </c>
      <c r="AH28" s="377" cm="1">
        <f t="array" aca="1" ref="AH28" ca="1">SUMPRODUCT(AH$55:AH$114,TRANSPOSE(SAP_Speadsheet!$E$95:$BL$95))</f>
        <v>0</v>
      </c>
      <c r="AI28" s="377" cm="1">
        <f t="array" aca="1" ref="AI28" ca="1">SUMPRODUCT(AI$55:AI$114,TRANSPOSE(SAP_Speadsheet!$E$95:$BL$95))</f>
        <v>0</v>
      </c>
      <c r="AJ28" s="377" cm="1">
        <f t="array" aca="1" ref="AJ28" ca="1">SUMPRODUCT(AJ$55:AJ$114,TRANSPOSE(SAP_Speadsheet!$E$95:$BL$95))</f>
        <v>0</v>
      </c>
      <c r="AK28" s="377" cm="1">
        <f t="array" aca="1" ref="AK28" ca="1">SUMPRODUCT(AK$55:AK$114,TRANSPOSE(SAP_Speadsheet!$E$95:$BL$95))</f>
        <v>0</v>
      </c>
      <c r="AL28" s="377" cm="1">
        <f t="array" aca="1" ref="AL28" ca="1">SUMPRODUCT(AL$55:AL$114,TRANSPOSE(SAP_Speadsheet!$E$95:$BL$95))</f>
        <v>0</v>
      </c>
      <c r="AM28" s="377" cm="1">
        <f t="array" aca="1" ref="AM28" ca="1">SUMPRODUCT(AM$55:AM$114,TRANSPOSE(SAP_Speadsheet!$E$95:$BL$95))</f>
        <v>0</v>
      </c>
      <c r="AN28" s="377" cm="1">
        <f t="array" aca="1" ref="AN28" ca="1">SUMPRODUCT(AN$55:AN$114,TRANSPOSE(SAP_Speadsheet!$E$95:$BL$95))</f>
        <v>0</v>
      </c>
      <c r="AO28" s="377" cm="1">
        <f t="array" aca="1" ref="AO28" ca="1">SUMPRODUCT(AO$55:AO$114,TRANSPOSE(SAP_Speadsheet!$E$95:$BL$95))</f>
        <v>0</v>
      </c>
      <c r="AP28" s="377" cm="1">
        <f t="array" aca="1" ref="AP28" ca="1">SUMPRODUCT(AP$55:AP$114,TRANSPOSE(SAP_Speadsheet!$E$95:$BL$95))</f>
        <v>0</v>
      </c>
      <c r="AQ28" s="377" cm="1">
        <f t="array" aca="1" ref="AQ28" ca="1">SUMPRODUCT(AQ$55:AQ$114,TRANSPOSE(SAP_Speadsheet!$E$95:$BL$95))</f>
        <v>0</v>
      </c>
      <c r="AR28" s="377" cm="1">
        <f t="array" aca="1" ref="AR28" ca="1">SUMPRODUCT(AR$55:AR$114,TRANSPOSE(SAP_Speadsheet!$E$95:$BL$95))</f>
        <v>0</v>
      </c>
      <c r="AS28" s="377" cm="1">
        <f t="array" aca="1" ref="AS28" ca="1">SUMPRODUCT(AS$55:AS$114,TRANSPOSE(SAP_Speadsheet!$E$95:$BL$95))</f>
        <v>0</v>
      </c>
      <c r="AT28" s="377" cm="1">
        <f t="array" aca="1" ref="AT28" ca="1">SUMPRODUCT(AT$55:AT$114,TRANSPOSE(SAP_Speadsheet!$E$95:$BL$95))</f>
        <v>0</v>
      </c>
      <c r="AU28" s="377" cm="1">
        <f t="array" aca="1" ref="AU28" ca="1">SUMPRODUCT(AU$55:AU$114,TRANSPOSE(SAP_Speadsheet!$E$95:$BL$95))</f>
        <v>0</v>
      </c>
      <c r="AV28" s="377" cm="1">
        <f t="array" aca="1" ref="AV28" ca="1">SUMPRODUCT(AV$55:AV$114,TRANSPOSE(SAP_Speadsheet!$E$95:$BL$95))</f>
        <v>0</v>
      </c>
      <c r="AW28" s="377" cm="1">
        <f t="array" aca="1" ref="AW28" ca="1">SUMPRODUCT(AW$55:AW$114,TRANSPOSE(SAP_Speadsheet!$E$95:$BL$95))</f>
        <v>0</v>
      </c>
      <c r="AX28" s="377" cm="1">
        <f t="array" aca="1" ref="AX28" ca="1">SUMPRODUCT(AX$55:AX$114,TRANSPOSE(SAP_Speadsheet!$E$95:$BL$95))</f>
        <v>0</v>
      </c>
      <c r="AY28" s="377" cm="1">
        <f t="array" aca="1" ref="AY28" ca="1">SUMPRODUCT(AY$55:AY$114,TRANSPOSE(SAP_Speadsheet!$E$95:$BL$95))</f>
        <v>0</v>
      </c>
      <c r="AZ28" s="377" cm="1">
        <f t="array" aca="1" ref="AZ28" ca="1">SUMPRODUCT(AZ$55:AZ$114,TRANSPOSE(SAP_Speadsheet!$E$95:$BL$95))</f>
        <v>0</v>
      </c>
      <c r="BA28" s="377" cm="1">
        <f t="array" aca="1" ref="BA28" ca="1">SUMPRODUCT(BA$55:BA$114,TRANSPOSE(SAP_Speadsheet!$E$95:$BL$95))</f>
        <v>0</v>
      </c>
      <c r="BB28" s="377" cm="1">
        <f t="array" aca="1" ref="BB28" ca="1">SUMPRODUCT(BB$55:BB$114,TRANSPOSE(SAP_Speadsheet!$E$95:$BL$95))</f>
        <v>0</v>
      </c>
      <c r="BC28" s="377" cm="1">
        <f t="array" aca="1" ref="BC28" ca="1">SUMPRODUCT(BC$55:BC$114,TRANSPOSE(SAP_Speadsheet!$E$95:$BL$95))</f>
        <v>0</v>
      </c>
      <c r="BD28" s="377" cm="1">
        <f t="array" aca="1" ref="BD28" ca="1">SUMPRODUCT(BD$55:BD$114,TRANSPOSE(SAP_Speadsheet!$E$95:$BL$95))</f>
        <v>0</v>
      </c>
      <c r="BE28" s="377" cm="1">
        <f t="array" aca="1" ref="BE28" ca="1">SUMPRODUCT(BE$55:BE$114,TRANSPOSE(SAP_Speadsheet!$E$95:$BL$95))</f>
        <v>0</v>
      </c>
      <c r="BF28" s="377" cm="1">
        <f t="array" aca="1" ref="BF28" ca="1">SUMPRODUCT(BF$55:BF$114,TRANSPOSE(SAP_Speadsheet!$E$95:$BL$95))</f>
        <v>0</v>
      </c>
      <c r="BG28" s="377" cm="1">
        <f t="array" aca="1" ref="BG28" ca="1">SUMPRODUCT(BG$55:BG$114,TRANSPOSE(SAP_Speadsheet!$E$95:$BL$95))</f>
        <v>0</v>
      </c>
      <c r="BH28" s="377" cm="1">
        <f t="array" aca="1" ref="BH28" ca="1">SUMPRODUCT(BH$55:BH$114,TRANSPOSE(SAP_Speadsheet!$E$95:$BL$95))</f>
        <v>0</v>
      </c>
      <c r="BI28" s="377" cm="1">
        <f t="array" aca="1" ref="BI28" ca="1">SUMPRODUCT(BI$55:BI$114,TRANSPOSE(SAP_Speadsheet!$E$95:$BL$95))</f>
        <v>0</v>
      </c>
    </row>
    <row r="29" spans="1:61" x14ac:dyDescent="0.15">
      <c r="A29" s="370" t="s">
        <v>500</v>
      </c>
      <c r="B29" s="377" cm="1">
        <f t="array" aca="1" ref="B29" ca="1">SUMPRODUCT(B$55:B$114,TRANSPOSE(SAP_Speadsheet!$E$99:$BL$99))</f>
        <v>0</v>
      </c>
      <c r="C29" s="377" cm="1">
        <f t="array" aca="1" ref="C29" ca="1">SUMPRODUCT(C$55:C$114,TRANSPOSE(SAP_Speadsheet!$E$99:$BL$99))</f>
        <v>0</v>
      </c>
      <c r="D29" s="377" cm="1">
        <f t="array" aca="1" ref="D29" ca="1">SUMPRODUCT(D$55:D$114,TRANSPOSE(SAP_Speadsheet!$E$99:$BL$99))</f>
        <v>0</v>
      </c>
      <c r="E29" s="377" cm="1">
        <f t="array" aca="1" ref="E29" ca="1">SUMPRODUCT(E$55:E$114,TRANSPOSE(SAP_Speadsheet!$E$99:$BL$99))</f>
        <v>0</v>
      </c>
      <c r="F29" s="377" cm="1">
        <f t="array" aca="1" ref="F29" ca="1">SUMPRODUCT(F$55:F$114,TRANSPOSE(SAP_Speadsheet!$E$99:$BL$99))</f>
        <v>0</v>
      </c>
      <c r="G29" s="377" cm="1">
        <f t="array" aca="1" ref="G29" ca="1">SUMPRODUCT(G$55:G$114,TRANSPOSE(SAP_Speadsheet!$E$99:$BL$99))</f>
        <v>0</v>
      </c>
      <c r="H29" s="377" cm="1">
        <f t="array" aca="1" ref="H29" ca="1">SUMPRODUCT(H$55:H$114,TRANSPOSE(SAP_Speadsheet!$E$99:$BL$99))</f>
        <v>-3.9380600000000001</v>
      </c>
      <c r="I29" s="377" cm="1">
        <f t="array" aca="1" ref="I29" ca="1">SUMPRODUCT(I$55:I$114,TRANSPOSE(SAP_Speadsheet!$E$99:$BL$99))</f>
        <v>-7.4325300000000007</v>
      </c>
      <c r="J29" s="377" cm="1">
        <f t="array" aca="1" ref="J29" ca="1">SUMPRODUCT(J$55:J$114,TRANSPOSE(SAP_Speadsheet!$E$99:$BL$99))</f>
        <v>-10.647574000000001</v>
      </c>
      <c r="K29" s="377" cm="1">
        <f t="array" aca="1" ref="K29" ca="1">SUMPRODUCT(K$55:K$114,TRANSPOSE(SAP_Speadsheet!$E$99:$BL$99))</f>
        <v>-10.053529500000002</v>
      </c>
      <c r="L29" s="377" cm="1">
        <f t="array" aca="1" ref="L29" ca="1">SUMPRODUCT(L$55:L$114,TRANSPOSE(SAP_Speadsheet!$E$99:$BL$99))</f>
        <v>-9.6021974999999991</v>
      </c>
      <c r="M29" s="377" cm="1">
        <f t="array" aca="1" ref="M29" ca="1">SUMPRODUCT(M$55:M$114,TRANSPOSE(SAP_Speadsheet!$E$99:$BL$99))</f>
        <v>-9.2922550000000008</v>
      </c>
      <c r="N29" s="377" cm="1">
        <f t="array" aca="1" ref="N29" ca="1">SUMPRODUCT(N$55:N$114,TRANSPOSE(SAP_Speadsheet!$E$99:$BL$99))</f>
        <v>-8.982312499999999</v>
      </c>
      <c r="O29" s="377" cm="1">
        <f t="array" aca="1" ref="O29" ca="1">SUMPRODUCT(O$55:O$114,TRANSPOSE(SAP_Speadsheet!$E$99:$BL$99))</f>
        <v>-8.672369999999999</v>
      </c>
      <c r="P29" s="377" cm="1">
        <f t="array" aca="1" ref="P29" ca="1">SUMPRODUCT(P$55:P$114,TRANSPOSE(SAP_Speadsheet!$E$99:$BL$99))</f>
        <v>-8.362427499999999</v>
      </c>
      <c r="Q29" s="377" cm="1">
        <f t="array" aca="1" ref="Q29" ca="1">SUMPRODUCT(Q$55:Q$114,TRANSPOSE(SAP_Speadsheet!$E$99:$BL$99))</f>
        <v>-8.0524849999999972</v>
      </c>
      <c r="R29" s="377" cm="1">
        <f t="array" aca="1" ref="R29" ca="1">SUMPRODUCT(R$55:R$114,TRANSPOSE(SAP_Speadsheet!$E$99:$BL$99))</f>
        <v>-7.742542499999999</v>
      </c>
      <c r="S29" s="377" cm="1">
        <f t="array" aca="1" ref="S29" ca="1">SUMPRODUCT(S$55:S$114,TRANSPOSE(SAP_Speadsheet!$E$99:$BL$99))</f>
        <v>-7.4325999999999981</v>
      </c>
      <c r="T29" s="377" cm="1">
        <f t="array" aca="1" ref="T29" ca="1">SUMPRODUCT(T$55:T$114,TRANSPOSE(SAP_Speadsheet!$E$99:$BL$99))</f>
        <v>-7.1226574999999972</v>
      </c>
      <c r="U29" s="377" cm="1">
        <f t="array" aca="1" ref="U29" ca="1">SUMPRODUCT(U$55:U$114,TRANSPOSE(SAP_Speadsheet!$E$99:$BL$99))</f>
        <v>-6.9197274999999987</v>
      </c>
      <c r="V29" s="377" cm="1">
        <f t="array" aca="1" ref="V29" ca="1">SUMPRODUCT(V$55:V$114,TRANSPOSE(SAP_Speadsheet!$E$99:$BL$99))</f>
        <v>-4.464459999999999</v>
      </c>
      <c r="W29" s="377" cm="1">
        <f t="array" aca="1" ref="W29" ca="1">SUMPRODUCT(W$55:W$114,TRANSPOSE(SAP_Speadsheet!$E$99:$BL$99))</f>
        <v>-2.2218349999999991</v>
      </c>
      <c r="X29" s="377" cm="1">
        <f t="array" aca="1" ref="X29" ca="1">SUMPRODUCT(X$55:X$114,TRANSPOSE(SAP_Speadsheet!$E$99:$BL$99))</f>
        <v>0</v>
      </c>
      <c r="Y29" s="377" cm="1">
        <f t="array" aca="1" ref="Y29" ca="1">SUMPRODUCT(Y$55:Y$114,TRANSPOSE(SAP_Speadsheet!$E$99:$BL$99))</f>
        <v>0</v>
      </c>
      <c r="Z29" s="377" cm="1">
        <f t="array" aca="1" ref="Z29" ca="1">SUMPRODUCT(Z$55:Z$114,TRANSPOSE(SAP_Speadsheet!$E$99:$BL$99))</f>
        <v>0</v>
      </c>
      <c r="AA29" s="377" cm="1">
        <f t="array" aca="1" ref="AA29" ca="1">SUMPRODUCT(AA$55:AA$114,TRANSPOSE(SAP_Speadsheet!$E$99:$BL$99))</f>
        <v>0</v>
      </c>
      <c r="AB29" s="377" cm="1">
        <f t="array" aca="1" ref="AB29" ca="1">SUMPRODUCT(AB$55:AB$114,TRANSPOSE(SAP_Speadsheet!$E$99:$BL$99))</f>
        <v>0</v>
      </c>
      <c r="AC29" s="377" cm="1">
        <f t="array" aca="1" ref="AC29" ca="1">SUMPRODUCT(AC$55:AC$114,TRANSPOSE(SAP_Speadsheet!$E$99:$BL$99))</f>
        <v>0</v>
      </c>
      <c r="AD29" s="377" cm="1">
        <f t="array" aca="1" ref="AD29" ca="1">SUMPRODUCT(AD$55:AD$114,TRANSPOSE(SAP_Speadsheet!$E$99:$BL$99))</f>
        <v>0</v>
      </c>
      <c r="AE29" s="377" cm="1">
        <f t="array" aca="1" ref="AE29" ca="1">SUMPRODUCT(AE$55:AE$114,TRANSPOSE(SAP_Speadsheet!$E$99:$BL$99))</f>
        <v>0</v>
      </c>
      <c r="AF29" s="377" cm="1">
        <f t="array" aca="1" ref="AF29" ca="1">SUMPRODUCT(AF$55:AF$114,TRANSPOSE(SAP_Speadsheet!$E$99:$BL$99))</f>
        <v>0</v>
      </c>
      <c r="AG29" s="377" cm="1">
        <f t="array" aca="1" ref="AG29" ca="1">SUMPRODUCT(AG$55:AG$114,TRANSPOSE(SAP_Speadsheet!$E$99:$BL$99))</f>
        <v>0</v>
      </c>
      <c r="AH29" s="377" cm="1">
        <f t="array" aca="1" ref="AH29" ca="1">SUMPRODUCT(AH$55:AH$114,TRANSPOSE(SAP_Speadsheet!$E$99:$BL$99))</f>
        <v>0</v>
      </c>
      <c r="AI29" s="377" cm="1">
        <f t="array" aca="1" ref="AI29" ca="1">SUMPRODUCT(AI$55:AI$114,TRANSPOSE(SAP_Speadsheet!$E$99:$BL$99))</f>
        <v>0</v>
      </c>
      <c r="AJ29" s="377" cm="1">
        <f t="array" aca="1" ref="AJ29" ca="1">SUMPRODUCT(AJ$55:AJ$114,TRANSPOSE(SAP_Speadsheet!$E$99:$BL$99))</f>
        <v>0</v>
      </c>
      <c r="AK29" s="377" cm="1">
        <f t="array" aca="1" ref="AK29" ca="1">SUMPRODUCT(AK$55:AK$114,TRANSPOSE(SAP_Speadsheet!$E$99:$BL$99))</f>
        <v>0</v>
      </c>
      <c r="AL29" s="377" cm="1">
        <f t="array" aca="1" ref="AL29" ca="1">SUMPRODUCT(AL$55:AL$114,TRANSPOSE(SAP_Speadsheet!$E$99:$BL$99))</f>
        <v>0</v>
      </c>
      <c r="AM29" s="377" cm="1">
        <f t="array" aca="1" ref="AM29" ca="1">SUMPRODUCT(AM$55:AM$114,TRANSPOSE(SAP_Speadsheet!$E$99:$BL$99))</f>
        <v>0</v>
      </c>
      <c r="AN29" s="377" cm="1">
        <f t="array" aca="1" ref="AN29" ca="1">SUMPRODUCT(AN$55:AN$114,TRANSPOSE(SAP_Speadsheet!$E$99:$BL$99))</f>
        <v>0</v>
      </c>
      <c r="AO29" s="377" cm="1">
        <f t="array" aca="1" ref="AO29" ca="1">SUMPRODUCT(AO$55:AO$114,TRANSPOSE(SAP_Speadsheet!$E$99:$BL$99))</f>
        <v>0</v>
      </c>
      <c r="AP29" s="377" cm="1">
        <f t="array" aca="1" ref="AP29" ca="1">SUMPRODUCT(AP$55:AP$114,TRANSPOSE(SAP_Speadsheet!$E$99:$BL$99))</f>
        <v>0</v>
      </c>
      <c r="AQ29" s="377" cm="1">
        <f t="array" aca="1" ref="AQ29" ca="1">SUMPRODUCT(AQ$55:AQ$114,TRANSPOSE(SAP_Speadsheet!$E$99:$BL$99))</f>
        <v>0</v>
      </c>
      <c r="AR29" s="377" cm="1">
        <f t="array" aca="1" ref="AR29" ca="1">SUMPRODUCT(AR$55:AR$114,TRANSPOSE(SAP_Speadsheet!$E$99:$BL$99))</f>
        <v>0</v>
      </c>
      <c r="AS29" s="377" cm="1">
        <f t="array" aca="1" ref="AS29" ca="1">SUMPRODUCT(AS$55:AS$114,TRANSPOSE(SAP_Speadsheet!$E$99:$BL$99))</f>
        <v>0</v>
      </c>
      <c r="AT29" s="377" cm="1">
        <f t="array" aca="1" ref="AT29" ca="1">SUMPRODUCT(AT$55:AT$114,TRANSPOSE(SAP_Speadsheet!$E$99:$BL$99))</f>
        <v>0</v>
      </c>
      <c r="AU29" s="377" cm="1">
        <f t="array" aca="1" ref="AU29" ca="1">SUMPRODUCT(AU$55:AU$114,TRANSPOSE(SAP_Speadsheet!$E$99:$BL$99))</f>
        <v>0</v>
      </c>
      <c r="AV29" s="377" cm="1">
        <f t="array" aca="1" ref="AV29" ca="1">SUMPRODUCT(AV$55:AV$114,TRANSPOSE(SAP_Speadsheet!$E$99:$BL$99))</f>
        <v>0</v>
      </c>
      <c r="AW29" s="377" cm="1">
        <f t="array" aca="1" ref="AW29" ca="1">SUMPRODUCT(AW$55:AW$114,TRANSPOSE(SAP_Speadsheet!$E$99:$BL$99))</f>
        <v>0</v>
      </c>
      <c r="AX29" s="377" cm="1">
        <f t="array" aca="1" ref="AX29" ca="1">SUMPRODUCT(AX$55:AX$114,TRANSPOSE(SAP_Speadsheet!$E$99:$BL$99))</f>
        <v>0</v>
      </c>
      <c r="AY29" s="377" cm="1">
        <f t="array" aca="1" ref="AY29" ca="1">SUMPRODUCT(AY$55:AY$114,TRANSPOSE(SAP_Speadsheet!$E$99:$BL$99))</f>
        <v>0</v>
      </c>
      <c r="AZ29" s="377" cm="1">
        <f t="array" aca="1" ref="AZ29" ca="1">SUMPRODUCT(AZ$55:AZ$114,TRANSPOSE(SAP_Speadsheet!$E$99:$BL$99))</f>
        <v>0</v>
      </c>
      <c r="BA29" s="377" cm="1">
        <f t="array" aca="1" ref="BA29" ca="1">SUMPRODUCT(BA$55:BA$114,TRANSPOSE(SAP_Speadsheet!$E$99:$BL$99))</f>
        <v>0</v>
      </c>
      <c r="BB29" s="377" cm="1">
        <f t="array" aca="1" ref="BB29" ca="1">SUMPRODUCT(BB$55:BB$114,TRANSPOSE(SAP_Speadsheet!$E$99:$BL$99))</f>
        <v>0</v>
      </c>
      <c r="BC29" s="377" cm="1">
        <f t="array" aca="1" ref="BC29" ca="1">SUMPRODUCT(BC$55:BC$114,TRANSPOSE(SAP_Speadsheet!$E$99:$BL$99))</f>
        <v>0</v>
      </c>
      <c r="BD29" s="377" cm="1">
        <f t="array" aca="1" ref="BD29" ca="1">SUMPRODUCT(BD$55:BD$114,TRANSPOSE(SAP_Speadsheet!$E$99:$BL$99))</f>
        <v>0</v>
      </c>
      <c r="BE29" s="377" cm="1">
        <f t="array" aca="1" ref="BE29" ca="1">SUMPRODUCT(BE$55:BE$114,TRANSPOSE(SAP_Speadsheet!$E$99:$BL$99))</f>
        <v>0</v>
      </c>
      <c r="BF29" s="377" cm="1">
        <f t="array" aca="1" ref="BF29" ca="1">SUMPRODUCT(BF$55:BF$114,TRANSPOSE(SAP_Speadsheet!$E$99:$BL$99))</f>
        <v>0</v>
      </c>
      <c r="BG29" s="377" cm="1">
        <f t="array" aca="1" ref="BG29" ca="1">SUMPRODUCT(BG$55:BG$114,TRANSPOSE(SAP_Speadsheet!$E$99:$BL$99))</f>
        <v>0</v>
      </c>
      <c r="BH29" s="377" cm="1">
        <f t="array" aca="1" ref="BH29" ca="1">SUMPRODUCT(BH$55:BH$114,TRANSPOSE(SAP_Speadsheet!$E$99:$BL$99))</f>
        <v>0</v>
      </c>
      <c r="BI29" s="377" cm="1">
        <f t="array" aca="1" ref="BI29" ca="1">SUMPRODUCT(BI$55:BI$114,TRANSPOSE(SAP_Speadsheet!$E$99:$BL$99))</f>
        <v>0</v>
      </c>
    </row>
    <row r="30" spans="1:61" x14ac:dyDescent="0.15">
      <c r="A30" s="370" t="s">
        <v>315</v>
      </c>
      <c r="B30" s="377" cm="1">
        <f t="array" aca="1" ref="B30" ca="1">SUMPRODUCT(B$55:B$114,TRANSPOSE(SAP_Speadsheet!$E$103:$BL$103))</f>
        <v>0</v>
      </c>
      <c r="C30" s="377" cm="1">
        <f t="array" aca="1" ref="C30" ca="1">SUMPRODUCT(C$55:C$114,TRANSPOSE(SAP_Speadsheet!$E$103:$BL$103))</f>
        <v>0</v>
      </c>
      <c r="D30" s="377" cm="1">
        <f t="array" aca="1" ref="D30" ca="1">SUMPRODUCT(D$55:D$114,TRANSPOSE(SAP_Speadsheet!$E$103:$BL$103))</f>
        <v>0</v>
      </c>
      <c r="E30" s="377" cm="1">
        <f t="array" aca="1" ref="E30" ca="1">SUMPRODUCT(E$55:E$114,TRANSPOSE(SAP_Speadsheet!$E$103:$BL$103))</f>
        <v>0</v>
      </c>
      <c r="F30" s="377" cm="1">
        <f t="array" aca="1" ref="F30" ca="1">SUMPRODUCT(F$55:F$114,TRANSPOSE(SAP_Speadsheet!$E$103:$BL$103))</f>
        <v>0</v>
      </c>
      <c r="G30" s="377" cm="1">
        <f t="array" aca="1" ref="G30" ca="1">SUMPRODUCT(G$55:G$114,TRANSPOSE(SAP_Speadsheet!$E$103:$BL$103))</f>
        <v>0</v>
      </c>
      <c r="H30" s="377" cm="1">
        <f t="array" aca="1" ref="H30" ca="1">SUMPRODUCT(H$55:H$114,TRANSPOSE(SAP_Speadsheet!$E$103:$BL$103))</f>
        <v>-298.41329162996715</v>
      </c>
      <c r="I30" s="377" cm="1">
        <f t="array" aca="1" ref="I30" ca="1">SUMPRODUCT(I$55:I$114,TRANSPOSE(SAP_Speadsheet!$E$103:$BL$103))</f>
        <v>-558.80145867480428</v>
      </c>
      <c r="J30" s="377" cm="1">
        <f t="array" aca="1" ref="J30" ca="1">SUMPRODUCT(J$55:J$114,TRANSPOSE(SAP_Speadsheet!$E$103:$BL$103))</f>
        <v>-799.7817817161681</v>
      </c>
      <c r="K30" s="377" cm="1">
        <f t="array" aca="1" ref="K30" ca="1">SUMPRODUCT(K$55:K$114,TRANSPOSE(SAP_Speadsheet!$E$103:$BL$103))</f>
        <v>-742.2912288783217</v>
      </c>
      <c r="L30" s="377" cm="1">
        <f t="array" aca="1" ref="L30" ca="1">SUMPRODUCT(L$55:L$114,TRANSPOSE(SAP_Speadsheet!$E$103:$BL$103))</f>
        <v>-700.87766162690764</v>
      </c>
      <c r="M30" s="377" cm="1">
        <f t="array" aca="1" ref="M30" ca="1">SUMPRODUCT(M$55:M$114,TRANSPOSE(SAP_Speadsheet!$E$103:$BL$103))</f>
        <v>-669.41323743862665</v>
      </c>
      <c r="N30" s="377" cm="1">
        <f t="array" aca="1" ref="N30" ca="1">SUMPRODUCT(N$55:N$114,TRANSPOSE(SAP_Speadsheet!$E$103:$BL$103))</f>
        <v>-647.80572391426711</v>
      </c>
      <c r="O30" s="377" cm="1">
        <f t="array" aca="1" ref="O30" ca="1">SUMPRODUCT(O$55:O$114,TRANSPOSE(SAP_Speadsheet!$E$103:$BL$103))</f>
        <v>-626.19821038990756</v>
      </c>
      <c r="P30" s="377" cm="1">
        <f t="array" aca="1" ref="P30" ca="1">SUMPRODUCT(P$55:P$114,TRANSPOSE(SAP_Speadsheet!$E$103:$BL$103))</f>
        <v>-604.59069686554801</v>
      </c>
      <c r="Q30" s="377" cm="1">
        <f t="array" aca="1" ref="Q30" ca="1">SUMPRODUCT(Q$55:Q$114,TRANSPOSE(SAP_Speadsheet!$E$103:$BL$103))</f>
        <v>-582.98318334118835</v>
      </c>
      <c r="R30" s="377" cm="1">
        <f t="array" aca="1" ref="R30" ca="1">SUMPRODUCT(R$55:R$114,TRANSPOSE(SAP_Speadsheet!$E$103:$BL$103))</f>
        <v>-561.3756698168288</v>
      </c>
      <c r="S30" s="377" cm="1">
        <f t="array" aca="1" ref="S30" ca="1">SUMPRODUCT(S$55:S$114,TRANSPOSE(SAP_Speadsheet!$E$103:$BL$103))</f>
        <v>-546.03483541669857</v>
      </c>
      <c r="T30" s="377" cm="1">
        <f t="array" aca="1" ref="T30" ca="1">SUMPRODUCT(T$55:T$114,TRANSPOSE(SAP_Speadsheet!$E$103:$BL$103))</f>
        <v>-530.13569610004265</v>
      </c>
      <c r="U30" s="377" cm="1">
        <f t="array" aca="1" ref="U30" ca="1">SUMPRODUCT(U$55:U$114,TRANSPOSE(SAP_Speadsheet!$E$103:$BL$103))</f>
        <v>-513.93248876728126</v>
      </c>
      <c r="V30" s="377" cm="1">
        <f t="array" aca="1" ref="V30" ca="1">SUMPRODUCT(V$55:V$114,TRANSPOSE(SAP_Speadsheet!$E$103:$BL$103))</f>
        <v>-329.41838993013579</v>
      </c>
      <c r="W30" s="377" cm="1">
        <f t="array" aca="1" ref="W30" ca="1">SUMPRODUCT(W$55:W$114,TRANSPOSE(SAP_Speadsheet!$E$103:$BL$103))</f>
        <v>-160.31561129820611</v>
      </c>
      <c r="X30" s="377" cm="1">
        <f t="array" aca="1" ref="X30" ca="1">SUMPRODUCT(X$55:X$114,TRANSPOSE(SAP_Speadsheet!$E$103:$BL$103))</f>
        <v>0</v>
      </c>
      <c r="Y30" s="377" cm="1">
        <f t="array" aca="1" ref="Y30" ca="1">SUMPRODUCT(Y$55:Y$114,TRANSPOSE(SAP_Speadsheet!$E$103:$BL$103))</f>
        <v>0</v>
      </c>
      <c r="Z30" s="377" cm="1">
        <f t="array" aca="1" ref="Z30" ca="1">SUMPRODUCT(Z$55:Z$114,TRANSPOSE(SAP_Speadsheet!$E$103:$BL$103))</f>
        <v>0</v>
      </c>
      <c r="AA30" s="377" cm="1">
        <f t="array" aca="1" ref="AA30" ca="1">SUMPRODUCT(AA$55:AA$114,TRANSPOSE(SAP_Speadsheet!$E$103:$BL$103))</f>
        <v>0</v>
      </c>
      <c r="AB30" s="377" cm="1">
        <f t="array" aca="1" ref="AB30" ca="1">SUMPRODUCT(AB$55:AB$114,TRANSPOSE(SAP_Speadsheet!$E$103:$BL$103))</f>
        <v>0</v>
      </c>
      <c r="AC30" s="377" cm="1">
        <f t="array" aca="1" ref="AC30" ca="1">SUMPRODUCT(AC$55:AC$114,TRANSPOSE(SAP_Speadsheet!$E$103:$BL$103))</f>
        <v>0</v>
      </c>
      <c r="AD30" s="377" cm="1">
        <f t="array" aca="1" ref="AD30" ca="1">SUMPRODUCT(AD$55:AD$114,TRANSPOSE(SAP_Speadsheet!$E$103:$BL$103))</f>
        <v>0</v>
      </c>
      <c r="AE30" s="377" cm="1">
        <f t="array" aca="1" ref="AE30" ca="1">SUMPRODUCT(AE$55:AE$114,TRANSPOSE(SAP_Speadsheet!$E$103:$BL$103))</f>
        <v>0</v>
      </c>
      <c r="AF30" s="377" cm="1">
        <f t="array" aca="1" ref="AF30" ca="1">SUMPRODUCT(AF$55:AF$114,TRANSPOSE(SAP_Speadsheet!$E$103:$BL$103))</f>
        <v>0</v>
      </c>
      <c r="AG30" s="377" cm="1">
        <f t="array" aca="1" ref="AG30" ca="1">SUMPRODUCT(AG$55:AG$114,TRANSPOSE(SAP_Speadsheet!$E$103:$BL$103))</f>
        <v>0</v>
      </c>
      <c r="AH30" s="377" cm="1">
        <f t="array" aca="1" ref="AH30" ca="1">SUMPRODUCT(AH$55:AH$114,TRANSPOSE(SAP_Speadsheet!$E$103:$BL$103))</f>
        <v>0</v>
      </c>
      <c r="AI30" s="377" cm="1">
        <f t="array" aca="1" ref="AI30" ca="1">SUMPRODUCT(AI$55:AI$114,TRANSPOSE(SAP_Speadsheet!$E$103:$BL$103))</f>
        <v>0</v>
      </c>
      <c r="AJ30" s="377" cm="1">
        <f t="array" aca="1" ref="AJ30" ca="1">SUMPRODUCT(AJ$55:AJ$114,TRANSPOSE(SAP_Speadsheet!$E$103:$BL$103))</f>
        <v>0</v>
      </c>
      <c r="AK30" s="377" cm="1">
        <f t="array" aca="1" ref="AK30" ca="1">SUMPRODUCT(AK$55:AK$114,TRANSPOSE(SAP_Speadsheet!$E$103:$BL$103))</f>
        <v>0</v>
      </c>
      <c r="AL30" s="377" cm="1">
        <f t="array" aca="1" ref="AL30" ca="1">SUMPRODUCT(AL$55:AL$114,TRANSPOSE(SAP_Speadsheet!$E$103:$BL$103))</f>
        <v>0</v>
      </c>
      <c r="AM30" s="377" cm="1">
        <f t="array" aca="1" ref="AM30" ca="1">SUMPRODUCT(AM$55:AM$114,TRANSPOSE(SAP_Speadsheet!$E$103:$BL$103))</f>
        <v>0</v>
      </c>
      <c r="AN30" s="377" cm="1">
        <f t="array" aca="1" ref="AN30" ca="1">SUMPRODUCT(AN$55:AN$114,TRANSPOSE(SAP_Speadsheet!$E$103:$BL$103))</f>
        <v>0</v>
      </c>
      <c r="AO30" s="377" cm="1">
        <f t="array" aca="1" ref="AO30" ca="1">SUMPRODUCT(AO$55:AO$114,TRANSPOSE(SAP_Speadsheet!$E$103:$BL$103))</f>
        <v>0</v>
      </c>
      <c r="AP30" s="377" cm="1">
        <f t="array" aca="1" ref="AP30" ca="1">SUMPRODUCT(AP$55:AP$114,TRANSPOSE(SAP_Speadsheet!$E$103:$BL$103))</f>
        <v>0</v>
      </c>
      <c r="AQ30" s="377" cm="1">
        <f t="array" aca="1" ref="AQ30" ca="1">SUMPRODUCT(AQ$55:AQ$114,TRANSPOSE(SAP_Speadsheet!$E$103:$BL$103))</f>
        <v>0</v>
      </c>
      <c r="AR30" s="377" cm="1">
        <f t="array" aca="1" ref="AR30" ca="1">SUMPRODUCT(AR$55:AR$114,TRANSPOSE(SAP_Speadsheet!$E$103:$BL$103))</f>
        <v>0</v>
      </c>
      <c r="AS30" s="377" cm="1">
        <f t="array" aca="1" ref="AS30" ca="1">SUMPRODUCT(AS$55:AS$114,TRANSPOSE(SAP_Speadsheet!$E$103:$BL$103))</f>
        <v>0</v>
      </c>
      <c r="AT30" s="377" cm="1">
        <f t="array" aca="1" ref="AT30" ca="1">SUMPRODUCT(AT$55:AT$114,TRANSPOSE(SAP_Speadsheet!$E$103:$BL$103))</f>
        <v>0</v>
      </c>
      <c r="AU30" s="377" cm="1">
        <f t="array" aca="1" ref="AU30" ca="1">SUMPRODUCT(AU$55:AU$114,TRANSPOSE(SAP_Speadsheet!$E$103:$BL$103))</f>
        <v>0</v>
      </c>
      <c r="AV30" s="377" cm="1">
        <f t="array" aca="1" ref="AV30" ca="1">SUMPRODUCT(AV$55:AV$114,TRANSPOSE(SAP_Speadsheet!$E$103:$BL$103))</f>
        <v>0</v>
      </c>
      <c r="AW30" s="377" cm="1">
        <f t="array" aca="1" ref="AW30" ca="1">SUMPRODUCT(AW$55:AW$114,TRANSPOSE(SAP_Speadsheet!$E$103:$BL$103))</f>
        <v>0</v>
      </c>
      <c r="AX30" s="377" cm="1">
        <f t="array" aca="1" ref="AX30" ca="1">SUMPRODUCT(AX$55:AX$114,TRANSPOSE(SAP_Speadsheet!$E$103:$BL$103))</f>
        <v>0</v>
      </c>
      <c r="AY30" s="377" cm="1">
        <f t="array" aca="1" ref="AY30" ca="1">SUMPRODUCT(AY$55:AY$114,TRANSPOSE(SAP_Speadsheet!$E$103:$BL$103))</f>
        <v>0</v>
      </c>
      <c r="AZ30" s="377" cm="1">
        <f t="array" aca="1" ref="AZ30" ca="1">SUMPRODUCT(AZ$55:AZ$114,TRANSPOSE(SAP_Speadsheet!$E$103:$BL$103))</f>
        <v>0</v>
      </c>
      <c r="BA30" s="377" cm="1">
        <f t="array" aca="1" ref="BA30" ca="1">SUMPRODUCT(BA$55:BA$114,TRANSPOSE(SAP_Speadsheet!$E$103:$BL$103))</f>
        <v>0</v>
      </c>
      <c r="BB30" s="377" cm="1">
        <f t="array" aca="1" ref="BB30" ca="1">SUMPRODUCT(BB$55:BB$114,TRANSPOSE(SAP_Speadsheet!$E$103:$BL$103))</f>
        <v>0</v>
      </c>
      <c r="BC30" s="377" cm="1">
        <f t="array" aca="1" ref="BC30" ca="1">SUMPRODUCT(BC$55:BC$114,TRANSPOSE(SAP_Speadsheet!$E$103:$BL$103))</f>
        <v>0</v>
      </c>
      <c r="BD30" s="377" cm="1">
        <f t="array" aca="1" ref="BD30" ca="1">SUMPRODUCT(BD$55:BD$114,TRANSPOSE(SAP_Speadsheet!$E$103:$BL$103))</f>
        <v>0</v>
      </c>
      <c r="BE30" s="377" cm="1">
        <f t="array" aca="1" ref="BE30" ca="1">SUMPRODUCT(BE$55:BE$114,TRANSPOSE(SAP_Speadsheet!$E$103:$BL$103))</f>
        <v>0</v>
      </c>
      <c r="BF30" s="377" cm="1">
        <f t="array" aca="1" ref="BF30" ca="1">SUMPRODUCT(BF$55:BF$114,TRANSPOSE(SAP_Speadsheet!$E$103:$BL$103))</f>
        <v>0</v>
      </c>
      <c r="BG30" s="377" cm="1">
        <f t="array" aca="1" ref="BG30" ca="1">SUMPRODUCT(BG$55:BG$114,TRANSPOSE(SAP_Speadsheet!$E$103:$BL$103))</f>
        <v>0</v>
      </c>
      <c r="BH30" s="377" cm="1">
        <f t="array" aca="1" ref="BH30" ca="1">SUMPRODUCT(BH$55:BH$114,TRANSPOSE(SAP_Speadsheet!$E$103:$BL$103))</f>
        <v>0</v>
      </c>
      <c r="BI30" s="377" cm="1">
        <f t="array" aca="1" ref="BI30" ca="1">SUMPRODUCT(BI$55:BI$114,TRANSPOSE(SAP_Speadsheet!$E$103:$BL$103))</f>
        <v>0</v>
      </c>
    </row>
    <row r="31" spans="1:61" x14ac:dyDescent="0.15">
      <c r="A31" s="370" t="s">
        <v>276</v>
      </c>
      <c r="B31" s="377" cm="1">
        <f t="array" aca="1" ref="B31" ca="1">SUMPRODUCT(B$55:B$114,TRANSPOSE(SAP_Speadsheet!$E$183:$BL$183))</f>
        <v>0</v>
      </c>
      <c r="C31" s="377" cm="1">
        <f t="array" aca="1" ref="C31" ca="1">SUMPRODUCT(C$55:C$114,TRANSPOSE(SAP_Speadsheet!$E$183:$BL$183))</f>
        <v>0</v>
      </c>
      <c r="D31" s="377" cm="1">
        <f t="array" aca="1" ref="D31" ca="1">SUMPRODUCT(D$55:D$114,TRANSPOSE(SAP_Speadsheet!$E$183:$BL$183))</f>
        <v>0</v>
      </c>
      <c r="E31" s="377" cm="1">
        <f t="array" aca="1" ref="E31" ca="1">SUMPRODUCT(E$55:E$114,TRANSPOSE(SAP_Speadsheet!$E$183:$BL$183))</f>
        <v>0</v>
      </c>
      <c r="F31" s="377" cm="1">
        <f t="array" aca="1" ref="F31" ca="1">SUMPRODUCT(F$55:F$114,TRANSPOSE(SAP_Speadsheet!$E$183:$BL$183))</f>
        <v>0</v>
      </c>
      <c r="G31" s="377" cm="1">
        <f t="array" aca="1" ref="G31" ca="1">SUMPRODUCT(G$55:G$114,TRANSPOSE(SAP_Speadsheet!$E$183:$BL$183))</f>
        <v>0</v>
      </c>
      <c r="H31" s="377" cm="1">
        <f t="array" aca="1" ref="H31" ca="1">SUMPRODUCT(H$55:H$114,TRANSPOSE(SAP_Speadsheet!$E$183:$BL$183))</f>
        <v>-3451.3194637793581</v>
      </c>
      <c r="I31" s="377" cm="1">
        <f t="array" aca="1" ref="I31" ca="1">SUMPRODUCT(I$55:I$114,TRANSPOSE(SAP_Speadsheet!$E$183:$BL$183))</f>
        <v>-4632.1262869192733</v>
      </c>
      <c r="J31" s="377" cm="1">
        <f t="array" aca="1" ref="J31" ca="1">SUMPRODUCT(J$55:J$114,TRANSPOSE(SAP_Speadsheet!$E$183:$BL$183))</f>
        <v>-5674.8309392566671</v>
      </c>
      <c r="K31" s="377" cm="1">
        <f t="array" aca="1" ref="K31" ca="1">SUMPRODUCT(K$55:K$114,TRANSPOSE(SAP_Speadsheet!$E$183:$BL$183))</f>
        <v>-3349.5903539568462</v>
      </c>
      <c r="L31" s="377" cm="1">
        <f t="array" aca="1" ref="L31" ca="1">SUMPRODUCT(L$55:L$114,TRANSPOSE(SAP_Speadsheet!$E$183:$BL$183))</f>
        <v>-2888.6338315821563</v>
      </c>
      <c r="M31" s="377" cm="1">
        <f t="array" aca="1" ref="M31" ca="1">SUMPRODUCT(M$55:M$114,TRANSPOSE(SAP_Speadsheet!$E$183:$BL$183))</f>
        <v>-2505.9903334605769</v>
      </c>
      <c r="N31" s="377" cm="1">
        <f t="array" aca="1" ref="N31" ca="1">SUMPRODUCT(N$55:N$114,TRANSPOSE(SAP_Speadsheet!$E$183:$BL$183))</f>
        <v>-2144.0901292299545</v>
      </c>
      <c r="O31" s="377" cm="1">
        <f t="array" aca="1" ref="O31" ca="1">SUMPRODUCT(O$55:O$114,TRANSPOSE(SAP_Speadsheet!$E$183:$BL$183))</f>
        <v>-1841.7734976841757</v>
      </c>
      <c r="P31" s="377" cm="1">
        <f t="array" aca="1" ref="P31" ca="1">SUMPRODUCT(P$55:P$114,TRANSPOSE(SAP_Speadsheet!$E$183:$BL$183))</f>
        <v>-1552.2302633944346</v>
      </c>
      <c r="Q31" s="377" cm="1">
        <f t="array" aca="1" ref="Q31" ca="1">SUMPRODUCT(Q$55:Q$114,TRANSPOSE(SAP_Speadsheet!$E$183:$BL$183))</f>
        <v>-1278.7802151413605</v>
      </c>
      <c r="R31" s="377" cm="1">
        <f t="array" aca="1" ref="R31" ca="1">SUMPRODUCT(R$55:R$114,TRANSPOSE(SAP_Speadsheet!$E$183:$BL$183))</f>
        <v>-985.68485826858284</v>
      </c>
      <c r="S31" s="377" cm="1">
        <f t="array" aca="1" ref="S31" ca="1">SUMPRODUCT(S$55:S$114,TRANSPOSE(SAP_Speadsheet!$E$183:$BL$183))</f>
        <v>-716.44151413114992</v>
      </c>
      <c r="T31" s="377" cm="1">
        <f t="array" aca="1" ref="T31" ca="1">SUMPRODUCT(T$55:T$114,TRANSPOSE(SAP_Speadsheet!$E$183:$BL$183))</f>
        <v>-469.55115925317074</v>
      </c>
      <c r="U31" s="377" cm="1">
        <f t="array" aca="1" ref="U31" ca="1">SUMPRODUCT(U$55:U$114,TRANSPOSE(SAP_Speadsheet!$E$183:$BL$183))</f>
        <v>-286.04124396457138</v>
      </c>
      <c r="V31" s="377" cm="1">
        <f t="array" aca="1" ref="V31" ca="1">SUMPRODUCT(V$55:V$114,TRANSPOSE(SAP_Speadsheet!$E$183:$BL$183))</f>
        <v>-175.94985355640088</v>
      </c>
      <c r="W31" s="377" cm="1">
        <f t="array" aca="1" ref="W31" ca="1">SUMPRODUCT(W$55:W$114,TRANSPOSE(SAP_Speadsheet!$E$183:$BL$183))</f>
        <v>-132.92012314723735</v>
      </c>
      <c r="X31" s="377" cm="1">
        <f t="array" aca="1" ref="X31" ca="1">SUMPRODUCT(X$55:X$114,TRANSPOSE(SAP_Speadsheet!$E$183:$BL$183))</f>
        <v>-111.48029397322129</v>
      </c>
      <c r="Y31" s="377" cm="1">
        <f t="array" aca="1" ref="Y31" ca="1">SUMPRODUCT(Y$55:Y$114,TRANSPOSE(SAP_Speadsheet!$E$183:$BL$183))</f>
        <v>-93.929294232783377</v>
      </c>
      <c r="Z31" s="377" cm="1">
        <f t="array" aca="1" ref="Z31" ca="1">SUMPRODUCT(Z$55:Z$114,TRANSPOSE(SAP_Speadsheet!$E$183:$BL$183))</f>
        <v>-78.646776176383383</v>
      </c>
      <c r="AA31" s="377" cm="1">
        <f t="array" aca="1" ref="AA31" ca="1">SUMPRODUCT(AA$55:AA$114,TRANSPOSE(SAP_Speadsheet!$E$183:$BL$183))</f>
        <v>-65.412561645772342</v>
      </c>
      <c r="AB31" s="377" cm="1">
        <f t="array" aca="1" ref="AB31" ca="1">SUMPRODUCT(AB$55:AB$114,TRANSPOSE(SAP_Speadsheet!$E$183:$BL$183))</f>
        <v>-38.722982800083642</v>
      </c>
      <c r="AC31" s="377" cm="1">
        <f t="array" aca="1" ref="AC31" ca="1">SUMPRODUCT(AC$55:AC$114,TRANSPOSE(SAP_Speadsheet!$E$183:$BL$183))</f>
        <v>-17.260469529729026</v>
      </c>
      <c r="AD31" s="377" cm="1">
        <f t="array" aca="1" ref="AD31" ca="1">SUMPRODUCT(AD$55:AD$114,TRANSPOSE(SAP_Speadsheet!$E$183:$BL$183))</f>
        <v>0</v>
      </c>
      <c r="AE31" s="377" cm="1">
        <f t="array" aca="1" ref="AE31" ca="1">SUMPRODUCT(AE$55:AE$114,TRANSPOSE(SAP_Speadsheet!$E$183:$BL$183))</f>
        <v>0</v>
      </c>
      <c r="AF31" s="377" cm="1">
        <f t="array" aca="1" ref="AF31" ca="1">SUMPRODUCT(AF$55:AF$114,TRANSPOSE(SAP_Speadsheet!$E$183:$BL$183))</f>
        <v>0</v>
      </c>
      <c r="AG31" s="377" cm="1">
        <f t="array" aca="1" ref="AG31" ca="1">SUMPRODUCT(AG$55:AG$114,TRANSPOSE(SAP_Speadsheet!$E$183:$BL$183))</f>
        <v>0</v>
      </c>
      <c r="AH31" s="377" cm="1">
        <f t="array" aca="1" ref="AH31" ca="1">SUMPRODUCT(AH$55:AH$114,TRANSPOSE(SAP_Speadsheet!$E$183:$BL$183))</f>
        <v>0</v>
      </c>
      <c r="AI31" s="377" cm="1">
        <f t="array" aca="1" ref="AI31" ca="1">SUMPRODUCT(AI$55:AI$114,TRANSPOSE(SAP_Speadsheet!$E$183:$BL$183))</f>
        <v>0</v>
      </c>
      <c r="AJ31" s="377" cm="1">
        <f t="array" aca="1" ref="AJ31" ca="1">SUMPRODUCT(AJ$55:AJ$114,TRANSPOSE(SAP_Speadsheet!$E$183:$BL$183))</f>
        <v>0</v>
      </c>
      <c r="AK31" s="377" cm="1">
        <f t="array" aca="1" ref="AK31" ca="1">SUMPRODUCT(AK$55:AK$114,TRANSPOSE(SAP_Speadsheet!$E$183:$BL$183))</f>
        <v>0</v>
      </c>
      <c r="AL31" s="377" cm="1">
        <f t="array" aca="1" ref="AL31" ca="1">SUMPRODUCT(AL$55:AL$114,TRANSPOSE(SAP_Speadsheet!$E$183:$BL$183))</f>
        <v>0</v>
      </c>
      <c r="AM31" s="377" cm="1">
        <f t="array" aca="1" ref="AM31" ca="1">SUMPRODUCT(AM$55:AM$114,TRANSPOSE(SAP_Speadsheet!$E$183:$BL$183))</f>
        <v>0</v>
      </c>
      <c r="AN31" s="377" cm="1">
        <f t="array" aca="1" ref="AN31" ca="1">SUMPRODUCT(AN$55:AN$114,TRANSPOSE(SAP_Speadsheet!$E$183:$BL$183))</f>
        <v>0</v>
      </c>
      <c r="AO31" s="377" cm="1">
        <f t="array" aca="1" ref="AO31" ca="1">SUMPRODUCT(AO$55:AO$114,TRANSPOSE(SAP_Speadsheet!$E$183:$BL$183))</f>
        <v>0</v>
      </c>
      <c r="AP31" s="377" cm="1">
        <f t="array" aca="1" ref="AP31" ca="1">SUMPRODUCT(AP$55:AP$114,TRANSPOSE(SAP_Speadsheet!$E$183:$BL$183))</f>
        <v>0</v>
      </c>
      <c r="AQ31" s="377" cm="1">
        <f t="array" aca="1" ref="AQ31" ca="1">SUMPRODUCT(AQ$55:AQ$114,TRANSPOSE(SAP_Speadsheet!$E$183:$BL$183))</f>
        <v>0</v>
      </c>
      <c r="AR31" s="377" cm="1">
        <f t="array" aca="1" ref="AR31" ca="1">SUMPRODUCT(AR$55:AR$114,TRANSPOSE(SAP_Speadsheet!$E$183:$BL$183))</f>
        <v>0</v>
      </c>
      <c r="AS31" s="377" cm="1">
        <f t="array" aca="1" ref="AS31" ca="1">SUMPRODUCT(AS$55:AS$114,TRANSPOSE(SAP_Speadsheet!$E$183:$BL$183))</f>
        <v>0</v>
      </c>
      <c r="AT31" s="377" cm="1">
        <f t="array" aca="1" ref="AT31" ca="1">SUMPRODUCT(AT$55:AT$114,TRANSPOSE(SAP_Speadsheet!$E$183:$BL$183))</f>
        <v>0</v>
      </c>
      <c r="AU31" s="377" cm="1">
        <f t="array" aca="1" ref="AU31" ca="1">SUMPRODUCT(AU$55:AU$114,TRANSPOSE(SAP_Speadsheet!$E$183:$BL$183))</f>
        <v>0</v>
      </c>
      <c r="AV31" s="377" cm="1">
        <f t="array" aca="1" ref="AV31" ca="1">SUMPRODUCT(AV$55:AV$114,TRANSPOSE(SAP_Speadsheet!$E$183:$BL$183))</f>
        <v>0</v>
      </c>
      <c r="AW31" s="377" cm="1">
        <f t="array" aca="1" ref="AW31" ca="1">SUMPRODUCT(AW$55:AW$114,TRANSPOSE(SAP_Speadsheet!$E$183:$BL$183))</f>
        <v>0</v>
      </c>
      <c r="AX31" s="377" cm="1">
        <f t="array" aca="1" ref="AX31" ca="1">SUMPRODUCT(AX$55:AX$114,TRANSPOSE(SAP_Speadsheet!$E$183:$BL$183))</f>
        <v>0</v>
      </c>
      <c r="AY31" s="377" cm="1">
        <f t="array" aca="1" ref="AY31" ca="1">SUMPRODUCT(AY$55:AY$114,TRANSPOSE(SAP_Speadsheet!$E$183:$BL$183))</f>
        <v>0</v>
      </c>
      <c r="AZ31" s="377" cm="1">
        <f t="array" aca="1" ref="AZ31" ca="1">SUMPRODUCT(AZ$55:AZ$114,TRANSPOSE(SAP_Speadsheet!$E$183:$BL$183))</f>
        <v>0</v>
      </c>
      <c r="BA31" s="377" cm="1">
        <f t="array" aca="1" ref="BA31" ca="1">SUMPRODUCT(BA$55:BA$114,TRANSPOSE(SAP_Speadsheet!$E$183:$BL$183))</f>
        <v>0</v>
      </c>
      <c r="BB31" s="377" cm="1">
        <f t="array" aca="1" ref="BB31" ca="1">SUMPRODUCT(BB$55:BB$114,TRANSPOSE(SAP_Speadsheet!$E$183:$BL$183))</f>
        <v>0</v>
      </c>
      <c r="BC31" s="377" cm="1">
        <f t="array" aca="1" ref="BC31" ca="1">SUMPRODUCT(BC$55:BC$114,TRANSPOSE(SAP_Speadsheet!$E$183:$BL$183))</f>
        <v>0</v>
      </c>
      <c r="BD31" s="377" cm="1">
        <f t="array" aca="1" ref="BD31" ca="1">SUMPRODUCT(BD$55:BD$114,TRANSPOSE(SAP_Speadsheet!$E$183:$BL$183))</f>
        <v>0</v>
      </c>
      <c r="BE31" s="377" cm="1">
        <f t="array" aca="1" ref="BE31" ca="1">SUMPRODUCT(BE$55:BE$114,TRANSPOSE(SAP_Speadsheet!$E$183:$BL$183))</f>
        <v>0</v>
      </c>
      <c r="BF31" s="377" cm="1">
        <f t="array" aca="1" ref="BF31" ca="1">SUMPRODUCT(BF$55:BF$114,TRANSPOSE(SAP_Speadsheet!$E$183:$BL$183))</f>
        <v>0</v>
      </c>
      <c r="BG31" s="377" cm="1">
        <f t="array" aca="1" ref="BG31" ca="1">SUMPRODUCT(BG$55:BG$114,TRANSPOSE(SAP_Speadsheet!$E$183:$BL$183))</f>
        <v>0</v>
      </c>
      <c r="BH31" s="377" cm="1">
        <f t="array" aca="1" ref="BH31" ca="1">SUMPRODUCT(BH$55:BH$114,TRANSPOSE(SAP_Speadsheet!$E$183:$BL$183))</f>
        <v>0</v>
      </c>
      <c r="BI31" s="377" cm="1">
        <f t="array" aca="1" ref="BI31" ca="1">SUMPRODUCT(BI$55:BI$114,TRANSPOSE(SAP_Speadsheet!$E$183:$BL$183))</f>
        <v>0</v>
      </c>
    </row>
    <row r="32" spans="1:61" x14ac:dyDescent="0.15">
      <c r="A32" s="370" t="s">
        <v>283</v>
      </c>
      <c r="B32" s="377" cm="1">
        <f t="array" aca="1" ref="B32" ca="1">SUMPRODUCT(B$55:B$114,TRANSPOSE(SAP_Speadsheet!$E$189:$BL$189))</f>
        <v>0</v>
      </c>
      <c r="C32" s="377" cm="1">
        <f t="array" aca="1" ref="C32" ca="1">SUMPRODUCT(C$55:C$114,TRANSPOSE(SAP_Speadsheet!$E$189:$BL$189))</f>
        <v>0</v>
      </c>
      <c r="D32" s="377" cm="1">
        <f t="array" aca="1" ref="D32" ca="1">SUMPRODUCT(D$55:D$114,TRANSPOSE(SAP_Speadsheet!$E$189:$BL$189))</f>
        <v>0</v>
      </c>
      <c r="E32" s="377" cm="1">
        <f t="array" aca="1" ref="E32" ca="1">SUMPRODUCT(E$55:E$114,TRANSPOSE(SAP_Speadsheet!$E$189:$BL$189))</f>
        <v>0</v>
      </c>
      <c r="F32" s="377" cm="1">
        <f t="array" aca="1" ref="F32" ca="1">SUMPRODUCT(F$55:F$114,TRANSPOSE(SAP_Speadsheet!$E$189:$BL$189))</f>
        <v>0</v>
      </c>
      <c r="G32" s="377" cm="1">
        <f t="array" aca="1" ref="G32" ca="1">SUMPRODUCT(G$55:G$114,TRANSPOSE(SAP_Speadsheet!$E$189:$BL$189))</f>
        <v>0</v>
      </c>
      <c r="H32" s="377" cm="1">
        <f t="array" aca="1" ref="H32" ca="1">SUMPRODUCT(H$55:H$114,TRANSPOSE(SAP_Speadsheet!$E$189:$BL$189))</f>
        <v>-360.98795515468726</v>
      </c>
      <c r="I32" s="377" cm="1">
        <f t="array" aca="1" ref="I32" ca="1">SUMPRODUCT(I$55:I$114,TRANSPOSE(SAP_Speadsheet!$E$189:$BL$189))</f>
        <v>815.58855718471887</v>
      </c>
      <c r="J32" s="377" cm="1">
        <f t="array" aca="1" ref="J32" ca="1">SUMPRODUCT(J$55:J$114,TRANSPOSE(SAP_Speadsheet!$E$189:$BL$189))</f>
        <v>1743.7445719569178</v>
      </c>
      <c r="K32" s="377" cm="1">
        <f t="array" aca="1" ref="K32" ca="1">SUMPRODUCT(K$55:K$114,TRANSPOSE(SAP_Speadsheet!$E$189:$BL$189))</f>
        <v>2716.4316737654835</v>
      </c>
      <c r="L32" s="377" cm="1">
        <f t="array" aca="1" ref="L32" ca="1">SUMPRODUCT(L$55:L$114,TRANSPOSE(SAP_Speadsheet!$E$189:$BL$189))</f>
        <v>2161.0628945369854</v>
      </c>
      <c r="M32" s="377" cm="1">
        <f t="array" aca="1" ref="M32" ca="1">SUMPRODUCT(M$55:M$114,TRANSPOSE(SAP_Speadsheet!$E$189:$BL$189))</f>
        <v>1680.2900174784818</v>
      </c>
      <c r="N32" s="377" cm="1">
        <f t="array" aca="1" ref="N32" ca="1">SUMPRODUCT(N$55:N$114,TRANSPOSE(SAP_Speadsheet!$E$189:$BL$189))</f>
        <v>1383.7481524542054</v>
      </c>
      <c r="O32" s="377" cm="1">
        <f t="array" aca="1" ref="O32" ca="1">SUMPRODUCT(O$55:O$114,TRANSPOSE(SAP_Speadsheet!$E$189:$BL$189))</f>
        <v>1072.1737596628427</v>
      </c>
      <c r="P32" s="377" cm="1">
        <f t="array" aca="1" ref="P32" ca="1">SUMPRODUCT(P$55:P$114,TRANSPOSE(SAP_Speadsheet!$E$189:$BL$189))</f>
        <v>796.67295085458022</v>
      </c>
      <c r="Q32" s="377" cm="1">
        <f t="array" aca="1" ref="Q32" ca="1">SUMPRODUCT(Q$55:Q$114,TRANSPOSE(SAP_Speadsheet!$E$189:$BL$189))</f>
        <v>551.42371544552157</v>
      </c>
      <c r="R32" s="377" cm="1">
        <f t="array" aca="1" ref="R32" ca="1">SUMPRODUCT(R$55:R$114,TRANSPOSE(SAP_Speadsheet!$E$189:$BL$189))</f>
        <v>364.75247983406075</v>
      </c>
      <c r="S32" s="377" cm="1">
        <f t="array" aca="1" ref="S32" ca="1">SUMPRODUCT(S$55:S$114,TRANSPOSE(SAP_Speadsheet!$E$189:$BL$189))</f>
        <v>179.74182385889151</v>
      </c>
      <c r="T32" s="377" cm="1">
        <f t="array" aca="1" ref="T32" ca="1">SUMPRODUCT(T$55:T$114,TRANSPOSE(SAP_Speadsheet!$E$189:$BL$189))</f>
        <v>6.3286789762315294</v>
      </c>
      <c r="U32" s="377" cm="1">
        <f t="array" aca="1" ref="U32" ca="1">SUMPRODUCT(U$55:U$114,TRANSPOSE(SAP_Speadsheet!$E$189:$BL$189))</f>
        <v>-200.83312996136675</v>
      </c>
      <c r="V32" s="377" cm="1">
        <f t="array" aca="1" ref="V32" ca="1">SUMPRODUCT(V$55:V$114,TRANSPOSE(SAP_Speadsheet!$E$189:$BL$189))</f>
        <v>-255.93439067810965</v>
      </c>
      <c r="W32" s="377" cm="1">
        <f t="array" aca="1" ref="W32" ca="1">SUMPRODUCT(W$55:W$114,TRANSPOSE(SAP_Speadsheet!$E$189:$BL$189))</f>
        <v>-254.55768896557507</v>
      </c>
      <c r="X32" s="377" cm="1">
        <f t="array" aca="1" ref="X32" ca="1">SUMPRODUCT(X$55:X$114,TRANSPOSE(SAP_Speadsheet!$E$189:$BL$189))</f>
        <v>-155.80037955194868</v>
      </c>
      <c r="Y32" s="377" cm="1">
        <f t="array" aca="1" ref="Y32" ca="1">SUMPRODUCT(Y$55:Y$114,TRANSPOSE(SAP_Speadsheet!$E$189:$BL$189))</f>
        <v>-131.01984327979471</v>
      </c>
      <c r="Z32" s="377" cm="1">
        <f t="array" aca="1" ref="Z32" ca="1">SUMPRODUCT(Z$55:Z$114,TRANSPOSE(SAP_Speadsheet!$E$189:$BL$189))</f>
        <v>-109.14292349406091</v>
      </c>
      <c r="AA32" s="377" cm="1">
        <f t="array" aca="1" ref="AA32" ca="1">SUMPRODUCT(AA$55:AA$114,TRANSPOSE(SAP_Speadsheet!$E$189:$BL$189))</f>
        <v>-90.807201553186701</v>
      </c>
      <c r="AB32" s="377" cm="1">
        <f t="array" aca="1" ref="AB32" ca="1">SUMPRODUCT(AB$55:AB$114,TRANSPOSE(SAP_Speadsheet!$E$189:$BL$189))</f>
        <v>-53.905796575524541</v>
      </c>
      <c r="AC32" s="377" cm="1">
        <f t="array" aca="1" ref="AC32" ca="1">SUMPRODUCT(AC$55:AC$114,TRANSPOSE(SAP_Speadsheet!$E$189:$BL$189))</f>
        <v>-24.181185012294986</v>
      </c>
      <c r="AD32" s="377" cm="1">
        <f t="array" aca="1" ref="AD32" ca="1">SUMPRODUCT(AD$55:AD$114,TRANSPOSE(SAP_Speadsheet!$E$189:$BL$189))</f>
        <v>0</v>
      </c>
      <c r="AE32" s="377" cm="1">
        <f t="array" aca="1" ref="AE32" ca="1">SUMPRODUCT(AE$55:AE$114,TRANSPOSE(SAP_Speadsheet!$E$189:$BL$189))</f>
        <v>0</v>
      </c>
      <c r="AF32" s="377" cm="1">
        <f t="array" aca="1" ref="AF32" ca="1">SUMPRODUCT(AF$55:AF$114,TRANSPOSE(SAP_Speadsheet!$E$189:$BL$189))</f>
        <v>0</v>
      </c>
      <c r="AG32" s="377" cm="1">
        <f t="array" aca="1" ref="AG32" ca="1">SUMPRODUCT(AG$55:AG$114,TRANSPOSE(SAP_Speadsheet!$E$189:$BL$189))</f>
        <v>0</v>
      </c>
      <c r="AH32" s="377" cm="1">
        <f t="array" aca="1" ref="AH32" ca="1">SUMPRODUCT(AH$55:AH$114,TRANSPOSE(SAP_Speadsheet!$E$189:$BL$189))</f>
        <v>0</v>
      </c>
      <c r="AI32" s="377" cm="1">
        <f t="array" aca="1" ref="AI32" ca="1">SUMPRODUCT(AI$55:AI$114,TRANSPOSE(SAP_Speadsheet!$E$189:$BL$189))</f>
        <v>0</v>
      </c>
      <c r="AJ32" s="377" cm="1">
        <f t="array" aca="1" ref="AJ32" ca="1">SUMPRODUCT(AJ$55:AJ$114,TRANSPOSE(SAP_Speadsheet!$E$189:$BL$189))</f>
        <v>0</v>
      </c>
      <c r="AK32" s="377" cm="1">
        <f t="array" aca="1" ref="AK32" ca="1">SUMPRODUCT(AK$55:AK$114,TRANSPOSE(SAP_Speadsheet!$E$189:$BL$189))</f>
        <v>0</v>
      </c>
      <c r="AL32" s="377" cm="1">
        <f t="array" aca="1" ref="AL32" ca="1">SUMPRODUCT(AL$55:AL$114,TRANSPOSE(SAP_Speadsheet!$E$189:$BL$189))</f>
        <v>0</v>
      </c>
      <c r="AM32" s="377" cm="1">
        <f t="array" aca="1" ref="AM32" ca="1">SUMPRODUCT(AM$55:AM$114,TRANSPOSE(SAP_Speadsheet!$E$189:$BL$189))</f>
        <v>0</v>
      </c>
      <c r="AN32" s="377" cm="1">
        <f t="array" aca="1" ref="AN32" ca="1">SUMPRODUCT(AN$55:AN$114,TRANSPOSE(SAP_Speadsheet!$E$189:$BL$189))</f>
        <v>0</v>
      </c>
      <c r="AO32" s="377" cm="1">
        <f t="array" aca="1" ref="AO32" ca="1">SUMPRODUCT(AO$55:AO$114,TRANSPOSE(SAP_Speadsheet!$E$189:$BL$189))</f>
        <v>0</v>
      </c>
      <c r="AP32" s="377" cm="1">
        <f t="array" aca="1" ref="AP32" ca="1">SUMPRODUCT(AP$55:AP$114,TRANSPOSE(SAP_Speadsheet!$E$189:$BL$189))</f>
        <v>0</v>
      </c>
      <c r="AQ32" s="377" cm="1">
        <f t="array" aca="1" ref="AQ32" ca="1">SUMPRODUCT(AQ$55:AQ$114,TRANSPOSE(SAP_Speadsheet!$E$189:$BL$189))</f>
        <v>0</v>
      </c>
      <c r="AR32" s="377" cm="1">
        <f t="array" aca="1" ref="AR32" ca="1">SUMPRODUCT(AR$55:AR$114,TRANSPOSE(SAP_Speadsheet!$E$189:$BL$189))</f>
        <v>0</v>
      </c>
      <c r="AS32" s="377" cm="1">
        <f t="array" aca="1" ref="AS32" ca="1">SUMPRODUCT(AS$55:AS$114,TRANSPOSE(SAP_Speadsheet!$E$189:$BL$189))</f>
        <v>0</v>
      </c>
      <c r="AT32" s="377" cm="1">
        <f t="array" aca="1" ref="AT32" ca="1">SUMPRODUCT(AT$55:AT$114,TRANSPOSE(SAP_Speadsheet!$E$189:$BL$189))</f>
        <v>0</v>
      </c>
      <c r="AU32" s="377" cm="1">
        <f t="array" aca="1" ref="AU32" ca="1">SUMPRODUCT(AU$55:AU$114,TRANSPOSE(SAP_Speadsheet!$E$189:$BL$189))</f>
        <v>0</v>
      </c>
      <c r="AV32" s="377" cm="1">
        <f t="array" aca="1" ref="AV32" ca="1">SUMPRODUCT(AV$55:AV$114,TRANSPOSE(SAP_Speadsheet!$E$189:$BL$189))</f>
        <v>0</v>
      </c>
      <c r="AW32" s="377" cm="1">
        <f t="array" aca="1" ref="AW32" ca="1">SUMPRODUCT(AW$55:AW$114,TRANSPOSE(SAP_Speadsheet!$E$189:$BL$189))</f>
        <v>0</v>
      </c>
      <c r="AX32" s="377" cm="1">
        <f t="array" aca="1" ref="AX32" ca="1">SUMPRODUCT(AX$55:AX$114,TRANSPOSE(SAP_Speadsheet!$E$189:$BL$189))</f>
        <v>0</v>
      </c>
      <c r="AY32" s="377" cm="1">
        <f t="array" aca="1" ref="AY32" ca="1">SUMPRODUCT(AY$55:AY$114,TRANSPOSE(SAP_Speadsheet!$E$189:$BL$189))</f>
        <v>0</v>
      </c>
      <c r="AZ32" s="377" cm="1">
        <f t="array" aca="1" ref="AZ32" ca="1">SUMPRODUCT(AZ$55:AZ$114,TRANSPOSE(SAP_Speadsheet!$E$189:$BL$189))</f>
        <v>0</v>
      </c>
      <c r="BA32" s="377" cm="1">
        <f t="array" aca="1" ref="BA32" ca="1">SUMPRODUCT(BA$55:BA$114,TRANSPOSE(SAP_Speadsheet!$E$189:$BL$189))</f>
        <v>0</v>
      </c>
      <c r="BB32" s="377" cm="1">
        <f t="array" aca="1" ref="BB32" ca="1">SUMPRODUCT(BB$55:BB$114,TRANSPOSE(SAP_Speadsheet!$E$189:$BL$189))</f>
        <v>0</v>
      </c>
      <c r="BC32" s="377" cm="1">
        <f t="array" aca="1" ref="BC32" ca="1">SUMPRODUCT(BC$55:BC$114,TRANSPOSE(SAP_Speadsheet!$E$189:$BL$189))</f>
        <v>0</v>
      </c>
      <c r="BD32" s="377" cm="1">
        <f t="array" aca="1" ref="BD32" ca="1">SUMPRODUCT(BD$55:BD$114,TRANSPOSE(SAP_Speadsheet!$E$189:$BL$189))</f>
        <v>0</v>
      </c>
      <c r="BE32" s="377" cm="1">
        <f t="array" aca="1" ref="BE32" ca="1">SUMPRODUCT(BE$55:BE$114,TRANSPOSE(SAP_Speadsheet!$E$189:$BL$189))</f>
        <v>0</v>
      </c>
      <c r="BF32" s="377" cm="1">
        <f t="array" aca="1" ref="BF32" ca="1">SUMPRODUCT(BF$55:BF$114,TRANSPOSE(SAP_Speadsheet!$E$189:$BL$189))</f>
        <v>0</v>
      </c>
      <c r="BG32" s="377" cm="1">
        <f t="array" aca="1" ref="BG32" ca="1">SUMPRODUCT(BG$55:BG$114,TRANSPOSE(SAP_Speadsheet!$E$189:$BL$189))</f>
        <v>0</v>
      </c>
      <c r="BH32" s="377" cm="1">
        <f t="array" aca="1" ref="BH32" ca="1">SUMPRODUCT(BH$55:BH$114,TRANSPOSE(SAP_Speadsheet!$E$189:$BL$189))</f>
        <v>0</v>
      </c>
      <c r="BI32" s="377" cm="1">
        <f t="array" aca="1" ref="BI32" ca="1">SUMPRODUCT(BI$55:BI$114,TRANSPOSE(SAP_Speadsheet!$E$189:$BL$189))</f>
        <v>0</v>
      </c>
    </row>
    <row r="33" spans="1:61" s="384" customFormat="1" x14ac:dyDescent="0.15">
      <c r="A33" s="384" t="s">
        <v>478</v>
      </c>
      <c r="B33" s="385">
        <f t="shared" ref="B33:BI33" ca="1" si="5">B9+B19+B31-B32</f>
        <v>0</v>
      </c>
      <c r="C33" s="385">
        <f t="shared" ca="1" si="5"/>
        <v>0</v>
      </c>
      <c r="D33" s="385">
        <f t="shared" ca="1" si="5"/>
        <v>0</v>
      </c>
      <c r="E33" s="385">
        <f t="shared" ca="1" si="5"/>
        <v>0</v>
      </c>
      <c r="F33" s="385">
        <f t="shared" ca="1" si="5"/>
        <v>0</v>
      </c>
      <c r="G33" s="385">
        <f t="shared" ca="1" si="5"/>
        <v>0</v>
      </c>
      <c r="H33" s="385">
        <f t="shared" ca="1" si="5"/>
        <v>0</v>
      </c>
      <c r="I33" s="385">
        <f t="shared" ca="1" si="5"/>
        <v>-1.3642420526593924E-12</v>
      </c>
      <c r="J33" s="385">
        <f t="shared" ca="1" si="5"/>
        <v>0</v>
      </c>
      <c r="K33" s="385">
        <f t="shared" ca="1" si="5"/>
        <v>0</v>
      </c>
      <c r="L33" s="385">
        <f t="shared" ca="1" si="5"/>
        <v>0</v>
      </c>
      <c r="M33" s="385">
        <f t="shared" ca="1" si="5"/>
        <v>0</v>
      </c>
      <c r="N33" s="385">
        <f t="shared" ca="1" si="5"/>
        <v>0</v>
      </c>
      <c r="O33" s="385">
        <f t="shared" ca="1" si="5"/>
        <v>0</v>
      </c>
      <c r="P33" s="385">
        <f t="shared" ca="1" si="5"/>
        <v>0</v>
      </c>
      <c r="Q33" s="385">
        <f t="shared" ca="1" si="5"/>
        <v>0</v>
      </c>
      <c r="R33" s="385">
        <f t="shared" ca="1" si="5"/>
        <v>0</v>
      </c>
      <c r="S33" s="385">
        <f t="shared" ca="1" si="5"/>
        <v>0</v>
      </c>
      <c r="T33" s="385">
        <f t="shared" ca="1" si="5"/>
        <v>9.9475983006414026E-14</v>
      </c>
      <c r="U33" s="385">
        <f t="shared" ca="1" si="5"/>
        <v>0</v>
      </c>
      <c r="V33" s="385">
        <f t="shared" ca="1" si="5"/>
        <v>0</v>
      </c>
      <c r="W33" s="385">
        <f t="shared" ca="1" si="5"/>
        <v>0</v>
      </c>
      <c r="X33" s="385">
        <f t="shared" ca="1" si="5"/>
        <v>0</v>
      </c>
      <c r="Y33" s="385">
        <f t="shared" ca="1" si="5"/>
        <v>0</v>
      </c>
      <c r="Z33" s="385">
        <f t="shared" ca="1" si="5"/>
        <v>0</v>
      </c>
      <c r="AA33" s="385">
        <f t="shared" ca="1" si="5"/>
        <v>0</v>
      </c>
      <c r="AB33" s="385">
        <f t="shared" ca="1" si="5"/>
        <v>0</v>
      </c>
      <c r="AC33" s="385">
        <f t="shared" ca="1" si="5"/>
        <v>0</v>
      </c>
      <c r="AD33" s="385">
        <f t="shared" ca="1" si="5"/>
        <v>0</v>
      </c>
      <c r="AE33" s="385">
        <f t="shared" ca="1" si="5"/>
        <v>0</v>
      </c>
      <c r="AF33" s="385">
        <f t="shared" ca="1" si="5"/>
        <v>0</v>
      </c>
      <c r="AG33" s="385">
        <f t="shared" ca="1" si="5"/>
        <v>0</v>
      </c>
      <c r="AH33" s="385">
        <f t="shared" ca="1" si="5"/>
        <v>0</v>
      </c>
      <c r="AI33" s="385">
        <f t="shared" ca="1" si="5"/>
        <v>0</v>
      </c>
      <c r="AJ33" s="385">
        <f t="shared" ca="1" si="5"/>
        <v>0</v>
      </c>
      <c r="AK33" s="385">
        <f t="shared" ca="1" si="5"/>
        <v>0</v>
      </c>
      <c r="AL33" s="385">
        <f t="shared" ca="1" si="5"/>
        <v>0</v>
      </c>
      <c r="AM33" s="385">
        <f t="shared" ca="1" si="5"/>
        <v>0</v>
      </c>
      <c r="AN33" s="385">
        <f t="shared" ca="1" si="5"/>
        <v>0</v>
      </c>
      <c r="AO33" s="385">
        <f t="shared" ca="1" si="5"/>
        <v>0</v>
      </c>
      <c r="AP33" s="385">
        <f t="shared" ca="1" si="5"/>
        <v>0</v>
      </c>
      <c r="AQ33" s="385">
        <f t="shared" ca="1" si="5"/>
        <v>0</v>
      </c>
      <c r="AR33" s="385">
        <f t="shared" ca="1" si="5"/>
        <v>0</v>
      </c>
      <c r="AS33" s="385">
        <f t="shared" ca="1" si="5"/>
        <v>0</v>
      </c>
      <c r="AT33" s="385">
        <f t="shared" ca="1" si="5"/>
        <v>0</v>
      </c>
      <c r="AU33" s="385">
        <f t="shared" ca="1" si="5"/>
        <v>0</v>
      </c>
      <c r="AV33" s="385">
        <f t="shared" ca="1" si="5"/>
        <v>0</v>
      </c>
      <c r="AW33" s="385">
        <f t="shared" ca="1" si="5"/>
        <v>0</v>
      </c>
      <c r="AX33" s="385">
        <f t="shared" ca="1" si="5"/>
        <v>0</v>
      </c>
      <c r="AY33" s="385">
        <f t="shared" ca="1" si="5"/>
        <v>0</v>
      </c>
      <c r="AZ33" s="385">
        <f t="shared" ca="1" si="5"/>
        <v>0</v>
      </c>
      <c r="BA33" s="385">
        <f t="shared" ca="1" si="5"/>
        <v>0</v>
      </c>
      <c r="BB33" s="385">
        <f t="shared" ca="1" si="5"/>
        <v>0</v>
      </c>
      <c r="BC33" s="385">
        <f t="shared" ca="1" si="5"/>
        <v>0</v>
      </c>
      <c r="BD33" s="385">
        <f t="shared" ca="1" si="5"/>
        <v>0</v>
      </c>
      <c r="BE33" s="385">
        <f t="shared" ca="1" si="5"/>
        <v>0</v>
      </c>
      <c r="BF33" s="385">
        <f t="shared" ca="1" si="5"/>
        <v>0</v>
      </c>
      <c r="BG33" s="385">
        <f t="shared" ca="1" si="5"/>
        <v>0</v>
      </c>
      <c r="BH33" s="385">
        <f t="shared" ca="1" si="5"/>
        <v>0</v>
      </c>
      <c r="BI33" s="385">
        <f t="shared" ca="1" si="5"/>
        <v>0</v>
      </c>
    </row>
    <row r="35" spans="1:61" x14ac:dyDescent="0.15">
      <c r="A35" s="370" t="s">
        <v>510</v>
      </c>
      <c r="D35" s="386"/>
      <c r="K35" s="387"/>
    </row>
    <row r="36" spans="1:61" x14ac:dyDescent="0.15">
      <c r="A36" s="371" t="s">
        <v>412</v>
      </c>
      <c r="B36" s="382" cm="1">
        <f t="array" aca="1" ref="B36" ca="1">SUMPRODUCT(B$55:B$114,TRANSPOSE(SAP_Speadsheet!$E$27:$BL$27))</f>
        <v>0</v>
      </c>
      <c r="C36" s="382" cm="1">
        <f t="array" aca="1" ref="C36" ca="1">SUMPRODUCT(C$55:C$114,TRANSPOSE(SAP_Speadsheet!$E$27:$BL$27))</f>
        <v>0</v>
      </c>
      <c r="D36" s="382" cm="1">
        <f t="array" aca="1" ref="D36" ca="1">SUMPRODUCT(D$55:D$114,TRANSPOSE(SAP_Speadsheet!$E$27:$BL$27))</f>
        <v>0</v>
      </c>
      <c r="E36" s="382" cm="1">
        <f t="array" aca="1" ref="E36" ca="1">SUMPRODUCT(E$55:E$114,TRANSPOSE(SAP_Speadsheet!$E$27:$BL$27))</f>
        <v>0</v>
      </c>
      <c r="F36" s="382" cm="1">
        <f t="array" aca="1" ref="F36" ca="1">SUMPRODUCT(F$55:F$114,TRANSPOSE(SAP_Speadsheet!$E$27:$BL$27))</f>
        <v>0</v>
      </c>
      <c r="G36" s="382" cm="1">
        <f t="array" aca="1" ref="G36" ca="1">SUMPRODUCT(G$55:G$114,TRANSPOSE(SAP_Speadsheet!$E$27:$BL$27))</f>
        <v>0</v>
      </c>
      <c r="H36" s="382" cm="1">
        <f t="array" aca="1" ref="H36" ca="1">SUMPRODUCT(H$55:H$114,TRANSPOSE(SAP_Speadsheet!$E$27:$BL$27))</f>
        <v>73429.700253007584</v>
      </c>
      <c r="I36" s="382" cm="1">
        <f t="array" aca="1" ref="I36" ca="1">SUMPRODUCT(I$55:I$114,TRANSPOSE(SAP_Speadsheet!$E$27:$BL$27))</f>
        <v>132829.74391772525</v>
      </c>
      <c r="J36" s="382" cm="1">
        <f t="array" aca="1" ref="J36" ca="1">SUMPRODUCT(J$55:J$114,TRANSPOSE(SAP_Speadsheet!$E$27:$BL$27))</f>
        <v>182374.77023719644</v>
      </c>
      <c r="K36" s="382" cm="1">
        <f t="array" aca="1" ref="K36" ca="1">SUMPRODUCT(K$55:K$114,TRANSPOSE(SAP_Speadsheet!$E$27:$BL$27))</f>
        <v>156662.60591378558</v>
      </c>
      <c r="L36" s="382" cm="1">
        <f t="array" aca="1" ref="L36" ca="1">SUMPRODUCT(L$55:L$114,TRANSPOSE(SAP_Speadsheet!$E$27:$BL$27))</f>
        <v>135103.3576544071</v>
      </c>
      <c r="M36" s="382" cm="1">
        <f t="array" aca="1" ref="M36" ca="1">SUMPRODUCT(M$55:M$114,TRANSPOSE(SAP_Speadsheet!$E$27:$BL$27))</f>
        <v>117206.86249616192</v>
      </c>
      <c r="N36" s="382" cm="1">
        <f t="array" aca="1" ref="N36" ca="1">SUMPRODUCT(N$55:N$114,TRANSPOSE(SAP_Speadsheet!$E$27:$BL$27))</f>
        <v>100280.54522022232</v>
      </c>
      <c r="O36" s="382" cm="1">
        <f t="array" aca="1" ref="O36" ca="1">SUMPRODUCT(O$55:O$114,TRANSPOSE(SAP_Speadsheet!$E$27:$BL$27))</f>
        <v>84345.260401395484</v>
      </c>
      <c r="P36" s="382" cm="1">
        <f t="array" aca="1" ref="P36" ca="1">SUMPRODUCT(P$55:P$114,TRANSPOSE(SAP_Speadsheet!$E$27:$BL$27))</f>
        <v>69389.723657346171</v>
      </c>
      <c r="Q36" s="382" cm="1">
        <f t="array" aca="1" ref="Q36" ca="1">SUMPRODUCT(Q$55:Q$114,TRANSPOSE(SAP_Speadsheet!$E$27:$BL$27))</f>
        <v>55403.891844698912</v>
      </c>
      <c r="R36" s="382" cm="1">
        <f t="array" aca="1" ref="R36" ca="1">SUMPRODUCT(R$55:R$114,TRANSPOSE(SAP_Speadsheet!$E$27:$BL$27))</f>
        <v>42379.213274337963</v>
      </c>
      <c r="S36" s="382" cm="1">
        <f t="array" aca="1" ref="S36" ca="1">SUMPRODUCT(S$55:S$114,TRANSPOSE(SAP_Speadsheet!$E$27:$BL$27))</f>
        <v>30311.258048774042</v>
      </c>
      <c r="T36" s="382" cm="1">
        <f t="array" aca="1" ref="T36" ca="1">SUMPRODUCT(T$55:T$114,TRANSPOSE(SAP_Speadsheet!$E$27:$BL$27))</f>
        <v>19204.013857346286</v>
      </c>
      <c r="U36" s="382" cm="1">
        <f t="array" aca="1" ref="U36" ca="1">SUMPRODUCT(U$55:U$114,TRANSPOSE(SAP_Speadsheet!$E$27:$BL$27))</f>
        <v>9153.9865101610667</v>
      </c>
      <c r="V36" s="382" cm="1">
        <f t="array" aca="1" ref="V36" ca="1">SUMPRODUCT(V$55:V$114,TRANSPOSE(SAP_Speadsheet!$E$27:$BL$27))</f>
        <v>2908.1239226128409</v>
      </c>
      <c r="W36" s="382" cm="1">
        <f t="array" aca="1" ref="W36" ca="1">SUMPRODUCT(W$55:W$114,TRANSPOSE(SAP_Speadsheet!$E$27:$BL$27))</f>
        <v>0</v>
      </c>
      <c r="X36" s="382" cm="1">
        <f t="array" aca="1" ref="X36" ca="1">SUMPRODUCT(X$55:X$114,TRANSPOSE(SAP_Speadsheet!$E$27:$BL$27))</f>
        <v>0</v>
      </c>
      <c r="Y36" s="382" cm="1">
        <f t="array" aca="1" ref="Y36" ca="1">SUMPRODUCT(Y$55:Y$114,TRANSPOSE(SAP_Speadsheet!$E$27:$BL$27))</f>
        <v>0</v>
      </c>
      <c r="Z36" s="382" cm="1">
        <f t="array" aca="1" ref="Z36" ca="1">SUMPRODUCT(Z$55:Z$114,TRANSPOSE(SAP_Speadsheet!$E$27:$BL$27))</f>
        <v>0</v>
      </c>
      <c r="AA36" s="382" cm="1">
        <f t="array" aca="1" ref="AA36" ca="1">SUMPRODUCT(AA$55:AA$114,TRANSPOSE(SAP_Speadsheet!$E$27:$BL$27))</f>
        <v>0</v>
      </c>
      <c r="AB36" s="382" cm="1">
        <f t="array" aca="1" ref="AB36" ca="1">SUMPRODUCT(AB$55:AB$114,TRANSPOSE(SAP_Speadsheet!$E$27:$BL$27))</f>
        <v>0</v>
      </c>
      <c r="AC36" s="382" cm="1">
        <f t="array" aca="1" ref="AC36" ca="1">SUMPRODUCT(AC$55:AC$114,TRANSPOSE(SAP_Speadsheet!$E$27:$BL$27))</f>
        <v>0</v>
      </c>
      <c r="AD36" s="382" cm="1">
        <f t="array" aca="1" ref="AD36" ca="1">SUMPRODUCT(AD$55:AD$114,TRANSPOSE(SAP_Speadsheet!$E$27:$BL$27))</f>
        <v>0</v>
      </c>
      <c r="AE36" s="382" cm="1">
        <f t="array" aca="1" ref="AE36" ca="1">SUMPRODUCT(AE$55:AE$114,TRANSPOSE(SAP_Speadsheet!$E$27:$BL$27))</f>
        <v>0</v>
      </c>
      <c r="AF36" s="382" cm="1">
        <f t="array" aca="1" ref="AF36" ca="1">SUMPRODUCT(AF$55:AF$114,TRANSPOSE(SAP_Speadsheet!$E$27:$BL$27))</f>
        <v>0</v>
      </c>
      <c r="AG36" s="382" cm="1">
        <f t="array" aca="1" ref="AG36" ca="1">SUMPRODUCT(AG$55:AG$114,TRANSPOSE(SAP_Speadsheet!$E$27:$BL$27))</f>
        <v>0</v>
      </c>
      <c r="AH36" s="382" cm="1">
        <f t="array" aca="1" ref="AH36" ca="1">SUMPRODUCT(AH$55:AH$114,TRANSPOSE(SAP_Speadsheet!$E$27:$BL$27))</f>
        <v>0</v>
      </c>
      <c r="AI36" s="382" cm="1">
        <f t="array" aca="1" ref="AI36" ca="1">SUMPRODUCT(AI$55:AI$114,TRANSPOSE(SAP_Speadsheet!$E$27:$BL$27))</f>
        <v>0</v>
      </c>
      <c r="AJ36" s="382" cm="1">
        <f t="array" aca="1" ref="AJ36" ca="1">SUMPRODUCT(AJ$55:AJ$114,TRANSPOSE(SAP_Speadsheet!$E$27:$BL$27))</f>
        <v>0</v>
      </c>
      <c r="AK36" s="382" cm="1">
        <f t="array" aca="1" ref="AK36" ca="1">SUMPRODUCT(AK$55:AK$114,TRANSPOSE(SAP_Speadsheet!$E$27:$BL$27))</f>
        <v>0</v>
      </c>
      <c r="AL36" s="382" cm="1">
        <f t="array" aca="1" ref="AL36" ca="1">SUMPRODUCT(AL$55:AL$114,TRANSPOSE(SAP_Speadsheet!$E$27:$BL$27))</f>
        <v>0</v>
      </c>
      <c r="AM36" s="382" cm="1">
        <f t="array" aca="1" ref="AM36" ca="1">SUMPRODUCT(AM$55:AM$114,TRANSPOSE(SAP_Speadsheet!$E$27:$BL$27))</f>
        <v>0</v>
      </c>
      <c r="AN36" s="382" cm="1">
        <f t="array" aca="1" ref="AN36" ca="1">SUMPRODUCT(AN$55:AN$114,TRANSPOSE(SAP_Speadsheet!$E$27:$BL$27))</f>
        <v>0</v>
      </c>
      <c r="AO36" s="382" cm="1">
        <f t="array" aca="1" ref="AO36" ca="1">SUMPRODUCT(AO$55:AO$114,TRANSPOSE(SAP_Speadsheet!$E$27:$BL$27))</f>
        <v>0</v>
      </c>
      <c r="AP36" s="382" cm="1">
        <f t="array" aca="1" ref="AP36" ca="1">SUMPRODUCT(AP$55:AP$114,TRANSPOSE(SAP_Speadsheet!$E$27:$BL$27))</f>
        <v>0</v>
      </c>
      <c r="AQ36" s="382" cm="1">
        <f t="array" aca="1" ref="AQ36" ca="1">SUMPRODUCT(AQ$55:AQ$114,TRANSPOSE(SAP_Speadsheet!$E$27:$BL$27))</f>
        <v>0</v>
      </c>
      <c r="AR36" s="382" cm="1">
        <f t="array" aca="1" ref="AR36" ca="1">SUMPRODUCT(AR$55:AR$114,TRANSPOSE(SAP_Speadsheet!$E$27:$BL$27))</f>
        <v>0</v>
      </c>
      <c r="AS36" s="382" cm="1">
        <f t="array" aca="1" ref="AS36" ca="1">SUMPRODUCT(AS$55:AS$114,TRANSPOSE(SAP_Speadsheet!$E$27:$BL$27))</f>
        <v>0</v>
      </c>
      <c r="AT36" s="382" cm="1">
        <f t="array" aca="1" ref="AT36" ca="1">SUMPRODUCT(AT$55:AT$114,TRANSPOSE(SAP_Speadsheet!$E$27:$BL$27))</f>
        <v>0</v>
      </c>
      <c r="AU36" s="382" cm="1">
        <f t="array" aca="1" ref="AU36" ca="1">SUMPRODUCT(AU$55:AU$114,TRANSPOSE(SAP_Speadsheet!$E$27:$BL$27))</f>
        <v>0</v>
      </c>
      <c r="AV36" s="382" cm="1">
        <f t="array" aca="1" ref="AV36" ca="1">SUMPRODUCT(AV$55:AV$114,TRANSPOSE(SAP_Speadsheet!$E$27:$BL$27))</f>
        <v>0</v>
      </c>
      <c r="AW36" s="382" cm="1">
        <f t="array" aca="1" ref="AW36" ca="1">SUMPRODUCT(AW$55:AW$114,TRANSPOSE(SAP_Speadsheet!$E$27:$BL$27))</f>
        <v>0</v>
      </c>
      <c r="AX36" s="382" cm="1">
        <f t="array" aca="1" ref="AX36" ca="1">SUMPRODUCT(AX$55:AX$114,TRANSPOSE(SAP_Speadsheet!$E$27:$BL$27))</f>
        <v>0</v>
      </c>
      <c r="AY36" s="382" cm="1">
        <f t="array" aca="1" ref="AY36" ca="1">SUMPRODUCT(AY$55:AY$114,TRANSPOSE(SAP_Speadsheet!$E$27:$BL$27))</f>
        <v>0</v>
      </c>
      <c r="AZ36" s="382" cm="1">
        <f t="array" aca="1" ref="AZ36" ca="1">SUMPRODUCT(AZ$55:AZ$114,TRANSPOSE(SAP_Speadsheet!$E$27:$BL$27))</f>
        <v>0</v>
      </c>
      <c r="BA36" s="382" cm="1">
        <f t="array" aca="1" ref="BA36" ca="1">SUMPRODUCT(BA$55:BA$114,TRANSPOSE(SAP_Speadsheet!$E$27:$BL$27))</f>
        <v>0</v>
      </c>
      <c r="BB36" s="382" cm="1">
        <f t="array" aca="1" ref="BB36" ca="1">SUMPRODUCT(BB$55:BB$114,TRANSPOSE(SAP_Speadsheet!$E$27:$BL$27))</f>
        <v>0</v>
      </c>
      <c r="BC36" s="382" cm="1">
        <f t="array" aca="1" ref="BC36" ca="1">SUMPRODUCT(BC$55:BC$114,TRANSPOSE(SAP_Speadsheet!$E$27:$BL$27))</f>
        <v>0</v>
      </c>
      <c r="BD36" s="382" cm="1">
        <f t="array" aca="1" ref="BD36" ca="1">SUMPRODUCT(BD$55:BD$114,TRANSPOSE(SAP_Speadsheet!$E$27:$BL$27))</f>
        <v>0</v>
      </c>
      <c r="BE36" s="382" cm="1">
        <f t="array" aca="1" ref="BE36" ca="1">SUMPRODUCT(BE$55:BE$114,TRANSPOSE(SAP_Speadsheet!$E$27:$BL$27))</f>
        <v>0</v>
      </c>
      <c r="BF36" s="382" cm="1">
        <f t="array" aca="1" ref="BF36" ca="1">SUMPRODUCT(BF$55:BF$114,TRANSPOSE(SAP_Speadsheet!$E$27:$BL$27))</f>
        <v>0</v>
      </c>
      <c r="BG36" s="382" cm="1">
        <f t="array" aca="1" ref="BG36" ca="1">SUMPRODUCT(BG$55:BG$114,TRANSPOSE(SAP_Speadsheet!$E$27:$BL$27))</f>
        <v>0</v>
      </c>
      <c r="BH36" s="382" cm="1">
        <f t="array" aca="1" ref="BH36" ca="1">SUMPRODUCT(BH$55:BH$114,TRANSPOSE(SAP_Speadsheet!$E$27:$BL$27))</f>
        <v>0</v>
      </c>
      <c r="BI36" s="382" cm="1">
        <f t="array" aca="1" ref="BI36" ca="1">SUMPRODUCT(BI$55:BI$114,TRANSPOSE(SAP_Speadsheet!$E$27:$BL$27))</f>
        <v>0</v>
      </c>
    </row>
    <row r="37" spans="1:61" x14ac:dyDescent="0.15">
      <c r="A37" s="371" t="s">
        <v>414</v>
      </c>
      <c r="B37" s="382" cm="1">
        <f t="array" aca="1" ref="B37" ca="1">SUMPRODUCT(B$55:B$114,TRANSPOSE(SAP_Speadsheet!$E$28:$BL$28))</f>
        <v>0</v>
      </c>
      <c r="C37" s="382" cm="1">
        <f t="array" aca="1" ref="C37" ca="1">SUMPRODUCT(C$55:C$114,TRANSPOSE(SAP_Speadsheet!$E$28:$BL$28))</f>
        <v>0</v>
      </c>
      <c r="D37" s="382" cm="1">
        <f t="array" aca="1" ref="D37" ca="1">SUMPRODUCT(D$55:D$114,TRANSPOSE(SAP_Speadsheet!$E$28:$BL$28))</f>
        <v>0</v>
      </c>
      <c r="E37" s="382" cm="1">
        <f t="array" aca="1" ref="E37" ca="1">SUMPRODUCT(E$55:E$114,TRANSPOSE(SAP_Speadsheet!$E$28:$BL$28))</f>
        <v>0</v>
      </c>
      <c r="F37" s="382" cm="1">
        <f t="array" aca="1" ref="F37" ca="1">SUMPRODUCT(F$55:F$114,TRANSPOSE(SAP_Speadsheet!$E$28:$BL$28))</f>
        <v>0</v>
      </c>
      <c r="G37" s="382" cm="1">
        <f t="array" aca="1" ref="G37" ca="1">SUMPRODUCT(G$55:G$114,TRANSPOSE(SAP_Speadsheet!$E$28:$BL$28))</f>
        <v>0</v>
      </c>
      <c r="H37" s="382" cm="1">
        <f t="array" aca="1" ref="H37" ca="1">SUMPRODUCT(H$55:H$114,TRANSPOSE(SAP_Speadsheet!$E$28:$BL$28))</f>
        <v>2975.8496536559724</v>
      </c>
      <c r="I37" s="382" cm="1">
        <f t="array" aca="1" ref="I37" ca="1">SUMPRODUCT(I$55:I$114,TRANSPOSE(SAP_Speadsheet!$E$28:$BL$28))</f>
        <v>5318.1137300572409</v>
      </c>
      <c r="J37" s="382" cm="1">
        <f t="array" aca="1" ref="J37" ca="1">SUMPRODUCT(J$55:J$114,TRANSPOSE(SAP_Speadsheet!$E$28:$BL$28))</f>
        <v>7300.7437530567204</v>
      </c>
      <c r="K37" s="382" cm="1">
        <f t="array" aca="1" ref="K37" ca="1">SUMPRODUCT(K$55:K$114,TRANSPOSE(SAP_Speadsheet!$E$28:$BL$28))</f>
        <v>6167.9132340321821</v>
      </c>
      <c r="L37" s="382" cm="1">
        <f t="array" aca="1" ref="L37" ca="1">SUMPRODUCT(L$55:L$114,TRANSPOSE(SAP_Speadsheet!$E$28:$BL$28))</f>
        <v>5298.3280474424282</v>
      </c>
      <c r="M37" s="382" cm="1">
        <f t="array" aca="1" ref="M37" ca="1">SUMPRODUCT(M$55:M$114,TRANSPOSE(SAP_Speadsheet!$E$28:$BL$28))</f>
        <v>4569.1944480862348</v>
      </c>
      <c r="N37" s="382" cm="1">
        <f t="array" aca="1" ref="N37" ca="1">SUMPRODUCT(N$55:N$114,TRANSPOSE(SAP_Speadsheet!$E$28:$BL$28))</f>
        <v>3963.9351285774683</v>
      </c>
      <c r="O37" s="382" cm="1">
        <f t="array" aca="1" ref="O37" ca="1">SUMPRODUCT(O$55:O$114,TRANSPOSE(SAP_Speadsheet!$E$28:$BL$28))</f>
        <v>3391.4872170932595</v>
      </c>
      <c r="P37" s="382" cm="1">
        <f t="array" aca="1" ref="P37" ca="1">SUMPRODUCT(P$55:P$114,TRANSPOSE(SAP_Speadsheet!$E$28:$BL$28))</f>
        <v>2852.5560151825916</v>
      </c>
      <c r="Q37" s="382" cm="1">
        <f t="array" aca="1" ref="Q37" ca="1">SUMPRODUCT(Q$55:Q$114,TRANSPOSE(SAP_Speadsheet!$E$28:$BL$28))</f>
        <v>2346.7598851274129</v>
      </c>
      <c r="R37" s="382" cm="1">
        <f t="array" aca="1" ref="R37" ca="1">SUMPRODUCT(R$55:R$114,TRANSPOSE(SAP_Speadsheet!$E$28:$BL$28))</f>
        <v>1873.7591679011143</v>
      </c>
      <c r="S37" s="382" cm="1">
        <f t="array" aca="1" ref="S37" ca="1">SUMPRODUCT(S$55:S$114,TRANSPOSE(SAP_Speadsheet!$E$28:$BL$28))</f>
        <v>1433.2646454479218</v>
      </c>
      <c r="T37" s="382" cm="1">
        <f t="array" aca="1" ref="T37" ca="1">SUMPRODUCT(T$55:T$114,TRANSPOSE(SAP_Speadsheet!$E$28:$BL$28))</f>
        <v>1025.1264986710694</v>
      </c>
      <c r="U37" s="382" cm="1">
        <f t="array" aca="1" ref="U37" ca="1">SUMPRODUCT(U$55:U$114,TRANSPOSE(SAP_Speadsheet!$E$28:$BL$28))</f>
        <v>649.47959119131087</v>
      </c>
      <c r="V37" s="382" cm="1">
        <f t="array" aca="1" ref="V37" ca="1">SUMPRODUCT(V$55:V$114,TRANSPOSE(SAP_Speadsheet!$E$28:$BL$28))</f>
        <v>309.58774871513975</v>
      </c>
      <c r="W37" s="382" cm="1">
        <f t="array" aca="1" ref="W37" ca="1">SUMPRODUCT(W$55:W$114,TRANSPOSE(SAP_Speadsheet!$E$28:$BL$28))</f>
        <v>98.352727217478645</v>
      </c>
      <c r="X37" s="382" cm="1">
        <f t="array" aca="1" ref="X37" ca="1">SUMPRODUCT(X$55:X$114,TRANSPOSE(SAP_Speadsheet!$E$28:$BL$28))</f>
        <v>0</v>
      </c>
      <c r="Y37" s="382" cm="1">
        <f t="array" aca="1" ref="Y37" ca="1">SUMPRODUCT(Y$55:Y$114,TRANSPOSE(SAP_Speadsheet!$E$28:$BL$28))</f>
        <v>0</v>
      </c>
      <c r="Z37" s="382" cm="1">
        <f t="array" aca="1" ref="Z37" ca="1">SUMPRODUCT(Z$55:Z$114,TRANSPOSE(SAP_Speadsheet!$E$28:$BL$28))</f>
        <v>0</v>
      </c>
      <c r="AA37" s="382" cm="1">
        <f t="array" aca="1" ref="AA37" ca="1">SUMPRODUCT(AA$55:AA$114,TRANSPOSE(SAP_Speadsheet!$E$28:$BL$28))</f>
        <v>0</v>
      </c>
      <c r="AB37" s="382" cm="1">
        <f t="array" aca="1" ref="AB37" ca="1">SUMPRODUCT(AB$55:AB$114,TRANSPOSE(SAP_Speadsheet!$E$28:$BL$28))</f>
        <v>0</v>
      </c>
      <c r="AC37" s="382" cm="1">
        <f t="array" aca="1" ref="AC37" ca="1">SUMPRODUCT(AC$55:AC$114,TRANSPOSE(SAP_Speadsheet!$E$28:$BL$28))</f>
        <v>0</v>
      </c>
      <c r="AD37" s="382" cm="1">
        <f t="array" aca="1" ref="AD37" ca="1">SUMPRODUCT(AD$55:AD$114,TRANSPOSE(SAP_Speadsheet!$E$28:$BL$28))</f>
        <v>0</v>
      </c>
      <c r="AE37" s="382" cm="1">
        <f t="array" aca="1" ref="AE37" ca="1">SUMPRODUCT(AE$55:AE$114,TRANSPOSE(SAP_Speadsheet!$E$28:$BL$28))</f>
        <v>0</v>
      </c>
      <c r="AF37" s="382" cm="1">
        <f t="array" aca="1" ref="AF37" ca="1">SUMPRODUCT(AF$55:AF$114,TRANSPOSE(SAP_Speadsheet!$E$28:$BL$28))</f>
        <v>0</v>
      </c>
      <c r="AG37" s="382" cm="1">
        <f t="array" aca="1" ref="AG37" ca="1">SUMPRODUCT(AG$55:AG$114,TRANSPOSE(SAP_Speadsheet!$E$28:$BL$28))</f>
        <v>0</v>
      </c>
      <c r="AH37" s="382" cm="1">
        <f t="array" aca="1" ref="AH37" ca="1">SUMPRODUCT(AH$55:AH$114,TRANSPOSE(SAP_Speadsheet!$E$28:$BL$28))</f>
        <v>0</v>
      </c>
      <c r="AI37" s="382" cm="1">
        <f t="array" aca="1" ref="AI37" ca="1">SUMPRODUCT(AI$55:AI$114,TRANSPOSE(SAP_Speadsheet!$E$28:$BL$28))</f>
        <v>0</v>
      </c>
      <c r="AJ37" s="382" cm="1">
        <f t="array" aca="1" ref="AJ37" ca="1">SUMPRODUCT(AJ$55:AJ$114,TRANSPOSE(SAP_Speadsheet!$E$28:$BL$28))</f>
        <v>0</v>
      </c>
      <c r="AK37" s="382" cm="1">
        <f t="array" aca="1" ref="AK37" ca="1">SUMPRODUCT(AK$55:AK$114,TRANSPOSE(SAP_Speadsheet!$E$28:$BL$28))</f>
        <v>0</v>
      </c>
      <c r="AL37" s="382" cm="1">
        <f t="array" aca="1" ref="AL37" ca="1">SUMPRODUCT(AL$55:AL$114,TRANSPOSE(SAP_Speadsheet!$E$28:$BL$28))</f>
        <v>0</v>
      </c>
      <c r="AM37" s="382" cm="1">
        <f t="array" aca="1" ref="AM37" ca="1">SUMPRODUCT(AM$55:AM$114,TRANSPOSE(SAP_Speadsheet!$E$28:$BL$28))</f>
        <v>0</v>
      </c>
      <c r="AN37" s="382" cm="1">
        <f t="array" aca="1" ref="AN37" ca="1">SUMPRODUCT(AN$55:AN$114,TRANSPOSE(SAP_Speadsheet!$E$28:$BL$28))</f>
        <v>0</v>
      </c>
      <c r="AO37" s="382" cm="1">
        <f t="array" aca="1" ref="AO37" ca="1">SUMPRODUCT(AO$55:AO$114,TRANSPOSE(SAP_Speadsheet!$E$28:$BL$28))</f>
        <v>0</v>
      </c>
      <c r="AP37" s="382" cm="1">
        <f t="array" aca="1" ref="AP37" ca="1">SUMPRODUCT(AP$55:AP$114,TRANSPOSE(SAP_Speadsheet!$E$28:$BL$28))</f>
        <v>0</v>
      </c>
      <c r="AQ37" s="382" cm="1">
        <f t="array" aca="1" ref="AQ37" ca="1">SUMPRODUCT(AQ$55:AQ$114,TRANSPOSE(SAP_Speadsheet!$E$28:$BL$28))</f>
        <v>0</v>
      </c>
      <c r="AR37" s="382" cm="1">
        <f t="array" aca="1" ref="AR37" ca="1">SUMPRODUCT(AR$55:AR$114,TRANSPOSE(SAP_Speadsheet!$E$28:$BL$28))</f>
        <v>0</v>
      </c>
      <c r="AS37" s="382" cm="1">
        <f t="array" aca="1" ref="AS37" ca="1">SUMPRODUCT(AS$55:AS$114,TRANSPOSE(SAP_Speadsheet!$E$28:$BL$28))</f>
        <v>0</v>
      </c>
      <c r="AT37" s="382" cm="1">
        <f t="array" aca="1" ref="AT37" ca="1">SUMPRODUCT(AT$55:AT$114,TRANSPOSE(SAP_Speadsheet!$E$28:$BL$28))</f>
        <v>0</v>
      </c>
      <c r="AU37" s="382" cm="1">
        <f t="array" aca="1" ref="AU37" ca="1">SUMPRODUCT(AU$55:AU$114,TRANSPOSE(SAP_Speadsheet!$E$28:$BL$28))</f>
        <v>0</v>
      </c>
      <c r="AV37" s="382" cm="1">
        <f t="array" aca="1" ref="AV37" ca="1">SUMPRODUCT(AV$55:AV$114,TRANSPOSE(SAP_Speadsheet!$E$28:$BL$28))</f>
        <v>0</v>
      </c>
      <c r="AW37" s="382" cm="1">
        <f t="array" aca="1" ref="AW37" ca="1">SUMPRODUCT(AW$55:AW$114,TRANSPOSE(SAP_Speadsheet!$E$28:$BL$28))</f>
        <v>0</v>
      </c>
      <c r="AX37" s="382" cm="1">
        <f t="array" aca="1" ref="AX37" ca="1">SUMPRODUCT(AX$55:AX$114,TRANSPOSE(SAP_Speadsheet!$E$28:$BL$28))</f>
        <v>0</v>
      </c>
      <c r="AY37" s="382" cm="1">
        <f t="array" aca="1" ref="AY37" ca="1">SUMPRODUCT(AY$55:AY$114,TRANSPOSE(SAP_Speadsheet!$E$28:$BL$28))</f>
        <v>0</v>
      </c>
      <c r="AZ37" s="382" cm="1">
        <f t="array" aca="1" ref="AZ37" ca="1">SUMPRODUCT(AZ$55:AZ$114,TRANSPOSE(SAP_Speadsheet!$E$28:$BL$28))</f>
        <v>0</v>
      </c>
      <c r="BA37" s="382" cm="1">
        <f t="array" aca="1" ref="BA37" ca="1">SUMPRODUCT(BA$55:BA$114,TRANSPOSE(SAP_Speadsheet!$E$28:$BL$28))</f>
        <v>0</v>
      </c>
      <c r="BB37" s="382" cm="1">
        <f t="array" aca="1" ref="BB37" ca="1">SUMPRODUCT(BB$55:BB$114,TRANSPOSE(SAP_Speadsheet!$E$28:$BL$28))</f>
        <v>0</v>
      </c>
      <c r="BC37" s="382" cm="1">
        <f t="array" aca="1" ref="BC37" ca="1">SUMPRODUCT(BC$55:BC$114,TRANSPOSE(SAP_Speadsheet!$E$28:$BL$28))</f>
        <v>0</v>
      </c>
      <c r="BD37" s="382" cm="1">
        <f t="array" aca="1" ref="BD37" ca="1">SUMPRODUCT(BD$55:BD$114,TRANSPOSE(SAP_Speadsheet!$E$28:$BL$28))</f>
        <v>0</v>
      </c>
      <c r="BE37" s="382" cm="1">
        <f t="array" aca="1" ref="BE37" ca="1">SUMPRODUCT(BE$55:BE$114,TRANSPOSE(SAP_Speadsheet!$E$28:$BL$28))</f>
        <v>0</v>
      </c>
      <c r="BF37" s="382" cm="1">
        <f t="array" aca="1" ref="BF37" ca="1">SUMPRODUCT(BF$55:BF$114,TRANSPOSE(SAP_Speadsheet!$E$28:$BL$28))</f>
        <v>0</v>
      </c>
      <c r="BG37" s="382" cm="1">
        <f t="array" aca="1" ref="BG37" ca="1">SUMPRODUCT(BG$55:BG$114,TRANSPOSE(SAP_Speadsheet!$E$28:$BL$28))</f>
        <v>0</v>
      </c>
      <c r="BH37" s="382" cm="1">
        <f t="array" aca="1" ref="BH37" ca="1">SUMPRODUCT(BH$55:BH$114,TRANSPOSE(SAP_Speadsheet!$E$28:$BL$28))</f>
        <v>0</v>
      </c>
      <c r="BI37" s="382" cm="1">
        <f t="array" aca="1" ref="BI37" ca="1">SUMPRODUCT(BI$55:BI$114,TRANSPOSE(SAP_Speadsheet!$E$28:$BL$28))</f>
        <v>0</v>
      </c>
    </row>
    <row r="38" spans="1:61" x14ac:dyDescent="0.15">
      <c r="A38" s="371" t="s">
        <v>415</v>
      </c>
      <c r="B38" s="382" cm="1">
        <f t="array" aca="1" ref="B38" ca="1">SUMPRODUCT(B$55:B$114,TRANSPOSE(SAP_Speadsheet!$E$29:$BL$29))</f>
        <v>0</v>
      </c>
      <c r="C38" s="382" cm="1">
        <f t="array" aca="1" ref="C38" ca="1">SUMPRODUCT(C$55:C$114,TRANSPOSE(SAP_Speadsheet!$E$29:$BL$29))</f>
        <v>0</v>
      </c>
      <c r="D38" s="382" cm="1">
        <f t="array" aca="1" ref="D38" ca="1">SUMPRODUCT(D$55:D$114,TRANSPOSE(SAP_Speadsheet!$E$29:$BL$29))</f>
        <v>0</v>
      </c>
      <c r="E38" s="382" cm="1">
        <f t="array" aca="1" ref="E38" ca="1">SUMPRODUCT(E$55:E$114,TRANSPOSE(SAP_Speadsheet!$E$29:$BL$29))</f>
        <v>0</v>
      </c>
      <c r="F38" s="382" cm="1">
        <f t="array" aca="1" ref="F38" ca="1">SUMPRODUCT(F$55:F$114,TRANSPOSE(SAP_Speadsheet!$E$29:$BL$29))</f>
        <v>0</v>
      </c>
      <c r="G38" s="382" cm="1">
        <f t="array" aca="1" ref="G38" ca="1">SUMPRODUCT(G$55:G$114,TRANSPOSE(SAP_Speadsheet!$E$29:$BL$29))</f>
        <v>0</v>
      </c>
      <c r="H38" s="382" cm="1">
        <f t="array" aca="1" ref="H38" ca="1">SUMPRODUCT(H$55:H$114,TRANSPOSE(SAP_Speadsheet!$E$29:$BL$29))</f>
        <v>0</v>
      </c>
      <c r="I38" s="382" cm="1">
        <f t="array" aca="1" ref="I38" ca="1">SUMPRODUCT(I$55:I$114,TRANSPOSE(SAP_Speadsheet!$E$29:$BL$29))</f>
        <v>2069.592320557359</v>
      </c>
      <c r="J38" s="382" cm="1">
        <f t="array" aca="1" ref="J38" ca="1">SUMPRODUCT(J$55:J$114,TRANSPOSE(SAP_Speadsheet!$E$29:$BL$29))</f>
        <v>3698.5495292261567</v>
      </c>
      <c r="K38" s="382" cm="1">
        <f t="array" aca="1" ref="K38" ca="1">SUMPRODUCT(K$55:K$114,TRANSPOSE(SAP_Speadsheet!$E$29:$BL$29))</f>
        <v>5077.3946819257108</v>
      </c>
      <c r="L38" s="382" cm="1">
        <f t="array" aca="1" ref="L38" ca="1">SUMPRODUCT(L$55:L$114,TRANSPOSE(SAP_Speadsheet!$E$29:$BL$29))</f>
        <v>4289.5533540596116</v>
      </c>
      <c r="M38" s="382" cm="1">
        <f t="array" aca="1" ref="M38" ca="1">SUMPRODUCT(M$55:M$114,TRANSPOSE(SAP_Speadsheet!$E$29:$BL$29))</f>
        <v>3684.7893257339229</v>
      </c>
      <c r="N38" s="382" cm="1">
        <f t="array" aca="1" ref="N38" ca="1">SUMPRODUCT(N$55:N$114,TRANSPOSE(SAP_Speadsheet!$E$29:$BL$29))</f>
        <v>3177.7041320871149</v>
      </c>
      <c r="O38" s="382" cm="1">
        <f t="array" aca="1" ref="O38" ca="1">SUMPRODUCT(O$55:O$114,TRANSPOSE(SAP_Speadsheet!$E$29:$BL$29))</f>
        <v>2756.7688748027995</v>
      </c>
      <c r="P38" s="382" cm="1">
        <f t="array" aca="1" ref="P38" ca="1">SUMPRODUCT(P$55:P$114,TRANSPOSE(SAP_Speadsheet!$E$29:$BL$29))</f>
        <v>2358.6527266730327</v>
      </c>
      <c r="Q38" s="382" cm="1">
        <f t="array" aca="1" ref="Q38" ca="1">SUMPRODUCT(Q$55:Q$114,TRANSPOSE(SAP_Speadsheet!$E$29:$BL$29))</f>
        <v>1983.8461985902768</v>
      </c>
      <c r="R38" s="382" cm="1">
        <f t="array" aca="1" ref="R38" ca="1">SUMPRODUCT(R$55:R$114,TRANSPOSE(SAP_Speadsheet!$E$29:$BL$29))</f>
        <v>1632.0838757713818</v>
      </c>
      <c r="S38" s="382" cm="1">
        <f t="array" aca="1" ref="S38" ca="1">SUMPRODUCT(S$55:S$114,TRANSPOSE(SAP_Speadsheet!$E$29:$BL$29))</f>
        <v>1303.1295380456763</v>
      </c>
      <c r="T38" s="382" cm="1">
        <f t="array" aca="1" ref="T38" ca="1">SUMPRODUCT(T$55:T$114,TRANSPOSE(SAP_Speadsheet!$E$29:$BL$29))</f>
        <v>996.78204505431813</v>
      </c>
      <c r="U38" s="382" cm="1">
        <f t="array" aca="1" ref="U38" ca="1">SUMPRODUCT(U$55:U$114,TRANSPOSE(SAP_Speadsheet!$E$29:$BL$29))</f>
        <v>712.93720320951695</v>
      </c>
      <c r="V38" s="382" cm="1">
        <f t="array" aca="1" ref="V38" ca="1">SUMPRODUCT(V$55:V$114,TRANSPOSE(SAP_Speadsheet!$E$29:$BL$29))</f>
        <v>451.68880512391075</v>
      </c>
      <c r="W38" s="382" cm="1">
        <f t="array" aca="1" ref="W38" ca="1">SUMPRODUCT(W$55:W$114,TRANSPOSE(SAP_Speadsheet!$E$29:$BL$29))</f>
        <v>215.30671971023105</v>
      </c>
      <c r="X38" s="382" cm="1">
        <f t="array" aca="1" ref="X38" ca="1">SUMPRODUCT(X$55:X$114,TRANSPOSE(SAP_Speadsheet!$E$29:$BL$29))</f>
        <v>68.400649443124806</v>
      </c>
      <c r="Y38" s="382" cm="1">
        <f t="array" aca="1" ref="Y38" ca="1">SUMPRODUCT(Y$55:Y$114,TRANSPOSE(SAP_Speadsheet!$E$29:$BL$29))</f>
        <v>0</v>
      </c>
      <c r="Z38" s="382" cm="1">
        <f t="array" aca="1" ref="Z38" ca="1">SUMPRODUCT(Z$55:Z$114,TRANSPOSE(SAP_Speadsheet!$E$29:$BL$29))</f>
        <v>0</v>
      </c>
      <c r="AA38" s="382" cm="1">
        <f t="array" aca="1" ref="AA38" ca="1">SUMPRODUCT(AA$55:AA$114,TRANSPOSE(SAP_Speadsheet!$E$29:$BL$29))</f>
        <v>0</v>
      </c>
      <c r="AB38" s="382" cm="1">
        <f t="array" aca="1" ref="AB38" ca="1">SUMPRODUCT(AB$55:AB$114,TRANSPOSE(SAP_Speadsheet!$E$29:$BL$29))</f>
        <v>0</v>
      </c>
      <c r="AC38" s="382" cm="1">
        <f t="array" aca="1" ref="AC38" ca="1">SUMPRODUCT(AC$55:AC$114,TRANSPOSE(SAP_Speadsheet!$E$29:$BL$29))</f>
        <v>0</v>
      </c>
      <c r="AD38" s="382" cm="1">
        <f t="array" aca="1" ref="AD38" ca="1">SUMPRODUCT(AD$55:AD$114,TRANSPOSE(SAP_Speadsheet!$E$29:$BL$29))</f>
        <v>0</v>
      </c>
      <c r="AE38" s="382" cm="1">
        <f t="array" aca="1" ref="AE38" ca="1">SUMPRODUCT(AE$55:AE$114,TRANSPOSE(SAP_Speadsheet!$E$29:$BL$29))</f>
        <v>0</v>
      </c>
      <c r="AF38" s="382" cm="1">
        <f t="array" aca="1" ref="AF38" ca="1">SUMPRODUCT(AF$55:AF$114,TRANSPOSE(SAP_Speadsheet!$E$29:$BL$29))</f>
        <v>0</v>
      </c>
      <c r="AG38" s="382" cm="1">
        <f t="array" aca="1" ref="AG38" ca="1">SUMPRODUCT(AG$55:AG$114,TRANSPOSE(SAP_Speadsheet!$E$29:$BL$29))</f>
        <v>0</v>
      </c>
      <c r="AH38" s="382" cm="1">
        <f t="array" aca="1" ref="AH38" ca="1">SUMPRODUCT(AH$55:AH$114,TRANSPOSE(SAP_Speadsheet!$E$29:$BL$29))</f>
        <v>0</v>
      </c>
      <c r="AI38" s="382" cm="1">
        <f t="array" aca="1" ref="AI38" ca="1">SUMPRODUCT(AI$55:AI$114,TRANSPOSE(SAP_Speadsheet!$E$29:$BL$29))</f>
        <v>0</v>
      </c>
      <c r="AJ38" s="382" cm="1">
        <f t="array" aca="1" ref="AJ38" ca="1">SUMPRODUCT(AJ$55:AJ$114,TRANSPOSE(SAP_Speadsheet!$E$29:$BL$29))</f>
        <v>0</v>
      </c>
      <c r="AK38" s="382" cm="1">
        <f t="array" aca="1" ref="AK38" ca="1">SUMPRODUCT(AK$55:AK$114,TRANSPOSE(SAP_Speadsheet!$E$29:$BL$29))</f>
        <v>0</v>
      </c>
      <c r="AL38" s="382" cm="1">
        <f t="array" aca="1" ref="AL38" ca="1">SUMPRODUCT(AL$55:AL$114,TRANSPOSE(SAP_Speadsheet!$E$29:$BL$29))</f>
        <v>0</v>
      </c>
      <c r="AM38" s="382" cm="1">
        <f t="array" aca="1" ref="AM38" ca="1">SUMPRODUCT(AM$55:AM$114,TRANSPOSE(SAP_Speadsheet!$E$29:$BL$29))</f>
        <v>0</v>
      </c>
      <c r="AN38" s="382" cm="1">
        <f t="array" aca="1" ref="AN38" ca="1">SUMPRODUCT(AN$55:AN$114,TRANSPOSE(SAP_Speadsheet!$E$29:$BL$29))</f>
        <v>0</v>
      </c>
      <c r="AO38" s="382" cm="1">
        <f t="array" aca="1" ref="AO38" ca="1">SUMPRODUCT(AO$55:AO$114,TRANSPOSE(SAP_Speadsheet!$E$29:$BL$29))</f>
        <v>0</v>
      </c>
      <c r="AP38" s="382" cm="1">
        <f t="array" aca="1" ref="AP38" ca="1">SUMPRODUCT(AP$55:AP$114,TRANSPOSE(SAP_Speadsheet!$E$29:$BL$29))</f>
        <v>0</v>
      </c>
      <c r="AQ38" s="382" cm="1">
        <f t="array" aca="1" ref="AQ38" ca="1">SUMPRODUCT(AQ$55:AQ$114,TRANSPOSE(SAP_Speadsheet!$E$29:$BL$29))</f>
        <v>0</v>
      </c>
      <c r="AR38" s="382" cm="1">
        <f t="array" aca="1" ref="AR38" ca="1">SUMPRODUCT(AR$55:AR$114,TRANSPOSE(SAP_Speadsheet!$E$29:$BL$29))</f>
        <v>0</v>
      </c>
      <c r="AS38" s="382" cm="1">
        <f t="array" aca="1" ref="AS38" ca="1">SUMPRODUCT(AS$55:AS$114,TRANSPOSE(SAP_Speadsheet!$E$29:$BL$29))</f>
        <v>0</v>
      </c>
      <c r="AT38" s="382" cm="1">
        <f t="array" aca="1" ref="AT38" ca="1">SUMPRODUCT(AT$55:AT$114,TRANSPOSE(SAP_Speadsheet!$E$29:$BL$29))</f>
        <v>0</v>
      </c>
      <c r="AU38" s="382" cm="1">
        <f t="array" aca="1" ref="AU38" ca="1">SUMPRODUCT(AU$55:AU$114,TRANSPOSE(SAP_Speadsheet!$E$29:$BL$29))</f>
        <v>0</v>
      </c>
      <c r="AV38" s="382" cm="1">
        <f t="array" aca="1" ref="AV38" ca="1">SUMPRODUCT(AV$55:AV$114,TRANSPOSE(SAP_Speadsheet!$E$29:$BL$29))</f>
        <v>0</v>
      </c>
      <c r="AW38" s="382" cm="1">
        <f t="array" aca="1" ref="AW38" ca="1">SUMPRODUCT(AW$55:AW$114,TRANSPOSE(SAP_Speadsheet!$E$29:$BL$29))</f>
        <v>0</v>
      </c>
      <c r="AX38" s="382" cm="1">
        <f t="array" aca="1" ref="AX38" ca="1">SUMPRODUCT(AX$55:AX$114,TRANSPOSE(SAP_Speadsheet!$E$29:$BL$29))</f>
        <v>0</v>
      </c>
      <c r="AY38" s="382" cm="1">
        <f t="array" aca="1" ref="AY38" ca="1">SUMPRODUCT(AY$55:AY$114,TRANSPOSE(SAP_Speadsheet!$E$29:$BL$29))</f>
        <v>0</v>
      </c>
      <c r="AZ38" s="382" cm="1">
        <f t="array" aca="1" ref="AZ38" ca="1">SUMPRODUCT(AZ$55:AZ$114,TRANSPOSE(SAP_Speadsheet!$E$29:$BL$29))</f>
        <v>0</v>
      </c>
      <c r="BA38" s="382" cm="1">
        <f t="array" aca="1" ref="BA38" ca="1">SUMPRODUCT(BA$55:BA$114,TRANSPOSE(SAP_Speadsheet!$E$29:$BL$29))</f>
        <v>0</v>
      </c>
      <c r="BB38" s="382" cm="1">
        <f t="array" aca="1" ref="BB38" ca="1">SUMPRODUCT(BB$55:BB$114,TRANSPOSE(SAP_Speadsheet!$E$29:$BL$29))</f>
        <v>0</v>
      </c>
      <c r="BC38" s="382" cm="1">
        <f t="array" aca="1" ref="BC38" ca="1">SUMPRODUCT(BC$55:BC$114,TRANSPOSE(SAP_Speadsheet!$E$29:$BL$29))</f>
        <v>0</v>
      </c>
      <c r="BD38" s="382" cm="1">
        <f t="array" aca="1" ref="BD38" ca="1">SUMPRODUCT(BD$55:BD$114,TRANSPOSE(SAP_Speadsheet!$E$29:$BL$29))</f>
        <v>0</v>
      </c>
      <c r="BE38" s="382" cm="1">
        <f t="array" aca="1" ref="BE38" ca="1">SUMPRODUCT(BE$55:BE$114,TRANSPOSE(SAP_Speadsheet!$E$29:$BL$29))</f>
        <v>0</v>
      </c>
      <c r="BF38" s="382" cm="1">
        <f t="array" aca="1" ref="BF38" ca="1">SUMPRODUCT(BF$55:BF$114,TRANSPOSE(SAP_Speadsheet!$E$29:$BL$29))</f>
        <v>0</v>
      </c>
      <c r="BG38" s="382" cm="1">
        <f t="array" aca="1" ref="BG38" ca="1">SUMPRODUCT(BG$55:BG$114,TRANSPOSE(SAP_Speadsheet!$E$29:$BL$29))</f>
        <v>0</v>
      </c>
      <c r="BH38" s="382" cm="1">
        <f t="array" aca="1" ref="BH38" ca="1">SUMPRODUCT(BH$55:BH$114,TRANSPOSE(SAP_Speadsheet!$E$29:$BL$29))</f>
        <v>0</v>
      </c>
      <c r="BI38" s="382" cm="1">
        <f t="array" aca="1" ref="BI38" ca="1">SUMPRODUCT(BI$55:BI$114,TRANSPOSE(SAP_Speadsheet!$E$29:$BL$29))</f>
        <v>0</v>
      </c>
    </row>
    <row r="39" spans="1:61" x14ac:dyDescent="0.15">
      <c r="A39" s="371" t="s">
        <v>416</v>
      </c>
      <c r="B39" s="382" cm="1">
        <f t="array" aca="1" ref="B39" ca="1">SUMPRODUCT(B$55:B$114,TRANSPOSE(SAP_Speadsheet!$E$30:$BL$30))</f>
        <v>0</v>
      </c>
      <c r="C39" s="382" cm="1">
        <f t="array" aca="1" ref="C39" ca="1">SUMPRODUCT(C$55:C$114,TRANSPOSE(SAP_Speadsheet!$E$30:$BL$30))</f>
        <v>0</v>
      </c>
      <c r="D39" s="382" cm="1">
        <f t="array" aca="1" ref="D39" ca="1">SUMPRODUCT(D$55:D$114,TRANSPOSE(SAP_Speadsheet!$E$30:$BL$30))</f>
        <v>0</v>
      </c>
      <c r="E39" s="382" cm="1">
        <f t="array" aca="1" ref="E39" ca="1">SUMPRODUCT(E$55:E$114,TRANSPOSE(SAP_Speadsheet!$E$30:$BL$30))</f>
        <v>0</v>
      </c>
      <c r="F39" s="382" cm="1">
        <f t="array" aca="1" ref="F39" ca="1">SUMPRODUCT(F$55:F$114,TRANSPOSE(SAP_Speadsheet!$E$30:$BL$30))</f>
        <v>0</v>
      </c>
      <c r="G39" s="382" cm="1">
        <f t="array" aca="1" ref="G39" ca="1">SUMPRODUCT(G$55:G$114,TRANSPOSE(SAP_Speadsheet!$E$30:$BL$30))</f>
        <v>0</v>
      </c>
      <c r="H39" s="382" cm="1">
        <f t="array" aca="1" ref="H39" ca="1">SUMPRODUCT(H$55:H$114,TRANSPOSE(SAP_Speadsheet!$E$30:$BL$30))</f>
        <v>0</v>
      </c>
      <c r="I39" s="382" cm="1">
        <f t="array" aca="1" ref="I39" ca="1">SUMPRODUCT(I$55:I$114,TRANSPOSE(SAP_Speadsheet!$E$30:$BL$30))</f>
        <v>0</v>
      </c>
      <c r="J39" s="382" cm="1">
        <f t="array" aca="1" ref="J39" ca="1">SUMPRODUCT(J$55:J$114,TRANSPOSE(SAP_Speadsheet!$E$30:$BL$30))</f>
        <v>2049.4605346736348</v>
      </c>
      <c r="K39" s="382" cm="1">
        <f t="array" aca="1" ref="K39" ca="1">SUMPRODUCT(K$55:K$114,TRANSPOSE(SAP_Speadsheet!$E$30:$BL$30))</f>
        <v>3662.5721985880737</v>
      </c>
      <c r="L39" s="382" cm="1">
        <f t="array" aca="1" ref="L39" ca="1">SUMPRODUCT(L$55:L$114,TRANSPOSE(SAP_Speadsheet!$E$30:$BL$30))</f>
        <v>5028.0047506004148</v>
      </c>
      <c r="M39" s="382" cm="1">
        <f t="array" aca="1" ref="M39" ca="1">SUMPRODUCT(M$55:M$114,TRANSPOSE(SAP_Speadsheet!$E$30:$BL$30))</f>
        <v>4247.8270832366316</v>
      </c>
      <c r="N39" s="382" cm="1">
        <f t="array" aca="1" ref="N39" ca="1">SUMPRODUCT(N$55:N$114,TRANSPOSE(SAP_Speadsheet!$E$30:$BL$30))</f>
        <v>3648.9458463223204</v>
      </c>
      <c r="O39" s="382" cm="1">
        <f t="array" aca="1" ref="O39" ca="1">SUMPRODUCT(O$55:O$114,TRANSPOSE(SAP_Speadsheet!$E$30:$BL$30))</f>
        <v>3146.7932814072215</v>
      </c>
      <c r="P39" s="382" cm="1">
        <f t="array" aca="1" ref="P39" ca="1">SUMPRODUCT(P$55:P$114,TRANSPOSE(SAP_Speadsheet!$E$30:$BL$30))</f>
        <v>2729.9526365672914</v>
      </c>
      <c r="Q39" s="382" cm="1">
        <f t="array" aca="1" ref="Q39" ca="1">SUMPRODUCT(Q$55:Q$114,TRANSPOSE(SAP_Speadsheet!$E$30:$BL$30))</f>
        <v>2335.7091299096587</v>
      </c>
      <c r="R39" s="382" cm="1">
        <f t="array" aca="1" ref="R39" ca="1">SUMPRODUCT(R$55:R$114,TRANSPOSE(SAP_Speadsheet!$E$30:$BL$30))</f>
        <v>1964.5485009231807</v>
      </c>
      <c r="S39" s="382" cm="1">
        <f t="array" aca="1" ref="S39" ca="1">SUMPRODUCT(S$55:S$114,TRANSPOSE(SAP_Speadsheet!$E$30:$BL$30))</f>
        <v>1616.2079166247713</v>
      </c>
      <c r="T39" s="382" cm="1">
        <f t="array" aca="1" ref="T39" ca="1">SUMPRODUCT(T$55:T$114,TRANSPOSE(SAP_Speadsheet!$E$30:$BL$30))</f>
        <v>1290.4534546556749</v>
      </c>
      <c r="U39" s="382" cm="1">
        <f t="array" aca="1" ref="U39" ca="1">SUMPRODUCT(U$55:U$114,TRANSPOSE(SAP_Speadsheet!$E$30:$BL$30))</f>
        <v>987.08593123303683</v>
      </c>
      <c r="V39" s="382" cm="1">
        <f t="array" aca="1" ref="V39" ca="1">SUMPRODUCT(V$55:V$114,TRANSPOSE(SAP_Speadsheet!$E$30:$BL$30))</f>
        <v>706.00216630346119</v>
      </c>
      <c r="W39" s="382" cm="1">
        <f t="array" aca="1" ref="W39" ca="1">SUMPRODUCT(W$55:W$114,TRANSPOSE(SAP_Speadsheet!$E$30:$BL$30))</f>
        <v>447.29504011980566</v>
      </c>
      <c r="X39" s="382" cm="1">
        <f t="array" aca="1" ref="X39" ca="1">SUMPRODUCT(X$55:X$114,TRANSPOSE(SAP_Speadsheet!$E$30:$BL$30))</f>
        <v>213.2123416351491</v>
      </c>
      <c r="Y39" s="382" cm="1">
        <f t="array" aca="1" ref="Y39" ca="1">SUMPRODUCT(Y$55:Y$114,TRANSPOSE(SAP_Speadsheet!$E$30:$BL$30))</f>
        <v>67.735287857068187</v>
      </c>
      <c r="Z39" s="382" cm="1">
        <f t="array" aca="1" ref="Z39" ca="1">SUMPRODUCT(Z$55:Z$114,TRANSPOSE(SAP_Speadsheet!$E$30:$BL$30))</f>
        <v>0</v>
      </c>
      <c r="AA39" s="382" cm="1">
        <f t="array" aca="1" ref="AA39" ca="1">SUMPRODUCT(AA$55:AA$114,TRANSPOSE(SAP_Speadsheet!$E$30:$BL$30))</f>
        <v>0</v>
      </c>
      <c r="AB39" s="382" cm="1">
        <f t="array" aca="1" ref="AB39" ca="1">SUMPRODUCT(AB$55:AB$114,TRANSPOSE(SAP_Speadsheet!$E$30:$BL$30))</f>
        <v>0</v>
      </c>
      <c r="AC39" s="382" cm="1">
        <f t="array" aca="1" ref="AC39" ca="1">SUMPRODUCT(AC$55:AC$114,TRANSPOSE(SAP_Speadsheet!$E$30:$BL$30))</f>
        <v>0</v>
      </c>
      <c r="AD39" s="382" cm="1">
        <f t="array" aca="1" ref="AD39" ca="1">SUMPRODUCT(AD$55:AD$114,TRANSPOSE(SAP_Speadsheet!$E$30:$BL$30))</f>
        <v>0</v>
      </c>
      <c r="AE39" s="382" cm="1">
        <f t="array" aca="1" ref="AE39" ca="1">SUMPRODUCT(AE$55:AE$114,TRANSPOSE(SAP_Speadsheet!$E$30:$BL$30))</f>
        <v>0</v>
      </c>
      <c r="AF39" s="382" cm="1">
        <f t="array" aca="1" ref="AF39" ca="1">SUMPRODUCT(AF$55:AF$114,TRANSPOSE(SAP_Speadsheet!$E$30:$BL$30))</f>
        <v>0</v>
      </c>
      <c r="AG39" s="382" cm="1">
        <f t="array" aca="1" ref="AG39" ca="1">SUMPRODUCT(AG$55:AG$114,TRANSPOSE(SAP_Speadsheet!$E$30:$BL$30))</f>
        <v>0</v>
      </c>
      <c r="AH39" s="382" cm="1">
        <f t="array" aca="1" ref="AH39" ca="1">SUMPRODUCT(AH$55:AH$114,TRANSPOSE(SAP_Speadsheet!$E$30:$BL$30))</f>
        <v>0</v>
      </c>
      <c r="AI39" s="382" cm="1">
        <f t="array" aca="1" ref="AI39" ca="1">SUMPRODUCT(AI$55:AI$114,TRANSPOSE(SAP_Speadsheet!$E$30:$BL$30))</f>
        <v>0</v>
      </c>
      <c r="AJ39" s="382" cm="1">
        <f t="array" aca="1" ref="AJ39" ca="1">SUMPRODUCT(AJ$55:AJ$114,TRANSPOSE(SAP_Speadsheet!$E$30:$BL$30))</f>
        <v>0</v>
      </c>
      <c r="AK39" s="382" cm="1">
        <f t="array" aca="1" ref="AK39" ca="1">SUMPRODUCT(AK$55:AK$114,TRANSPOSE(SAP_Speadsheet!$E$30:$BL$30))</f>
        <v>0</v>
      </c>
      <c r="AL39" s="382" cm="1">
        <f t="array" aca="1" ref="AL39" ca="1">SUMPRODUCT(AL$55:AL$114,TRANSPOSE(SAP_Speadsheet!$E$30:$BL$30))</f>
        <v>0</v>
      </c>
      <c r="AM39" s="382" cm="1">
        <f t="array" aca="1" ref="AM39" ca="1">SUMPRODUCT(AM$55:AM$114,TRANSPOSE(SAP_Speadsheet!$E$30:$BL$30))</f>
        <v>0</v>
      </c>
      <c r="AN39" s="382" cm="1">
        <f t="array" aca="1" ref="AN39" ca="1">SUMPRODUCT(AN$55:AN$114,TRANSPOSE(SAP_Speadsheet!$E$30:$BL$30))</f>
        <v>0</v>
      </c>
      <c r="AO39" s="382" cm="1">
        <f t="array" aca="1" ref="AO39" ca="1">SUMPRODUCT(AO$55:AO$114,TRANSPOSE(SAP_Speadsheet!$E$30:$BL$30))</f>
        <v>0</v>
      </c>
      <c r="AP39" s="382" cm="1">
        <f t="array" aca="1" ref="AP39" ca="1">SUMPRODUCT(AP$55:AP$114,TRANSPOSE(SAP_Speadsheet!$E$30:$BL$30))</f>
        <v>0</v>
      </c>
      <c r="AQ39" s="382" cm="1">
        <f t="array" aca="1" ref="AQ39" ca="1">SUMPRODUCT(AQ$55:AQ$114,TRANSPOSE(SAP_Speadsheet!$E$30:$BL$30))</f>
        <v>0</v>
      </c>
      <c r="AR39" s="382" cm="1">
        <f t="array" aca="1" ref="AR39" ca="1">SUMPRODUCT(AR$55:AR$114,TRANSPOSE(SAP_Speadsheet!$E$30:$BL$30))</f>
        <v>0</v>
      </c>
      <c r="AS39" s="382" cm="1">
        <f t="array" aca="1" ref="AS39" ca="1">SUMPRODUCT(AS$55:AS$114,TRANSPOSE(SAP_Speadsheet!$E$30:$BL$30))</f>
        <v>0</v>
      </c>
      <c r="AT39" s="382" cm="1">
        <f t="array" aca="1" ref="AT39" ca="1">SUMPRODUCT(AT$55:AT$114,TRANSPOSE(SAP_Speadsheet!$E$30:$BL$30))</f>
        <v>0</v>
      </c>
      <c r="AU39" s="382" cm="1">
        <f t="array" aca="1" ref="AU39" ca="1">SUMPRODUCT(AU$55:AU$114,TRANSPOSE(SAP_Speadsheet!$E$30:$BL$30))</f>
        <v>0</v>
      </c>
      <c r="AV39" s="382" cm="1">
        <f t="array" aca="1" ref="AV39" ca="1">SUMPRODUCT(AV$55:AV$114,TRANSPOSE(SAP_Speadsheet!$E$30:$BL$30))</f>
        <v>0</v>
      </c>
      <c r="AW39" s="382" cm="1">
        <f t="array" aca="1" ref="AW39" ca="1">SUMPRODUCT(AW$55:AW$114,TRANSPOSE(SAP_Speadsheet!$E$30:$BL$30))</f>
        <v>0</v>
      </c>
      <c r="AX39" s="382" cm="1">
        <f t="array" aca="1" ref="AX39" ca="1">SUMPRODUCT(AX$55:AX$114,TRANSPOSE(SAP_Speadsheet!$E$30:$BL$30))</f>
        <v>0</v>
      </c>
      <c r="AY39" s="382" cm="1">
        <f t="array" aca="1" ref="AY39" ca="1">SUMPRODUCT(AY$55:AY$114,TRANSPOSE(SAP_Speadsheet!$E$30:$BL$30))</f>
        <v>0</v>
      </c>
      <c r="AZ39" s="382" cm="1">
        <f t="array" aca="1" ref="AZ39" ca="1">SUMPRODUCT(AZ$55:AZ$114,TRANSPOSE(SAP_Speadsheet!$E$30:$BL$30))</f>
        <v>0</v>
      </c>
      <c r="BA39" s="382" cm="1">
        <f t="array" aca="1" ref="BA39" ca="1">SUMPRODUCT(BA$55:BA$114,TRANSPOSE(SAP_Speadsheet!$E$30:$BL$30))</f>
        <v>0</v>
      </c>
      <c r="BB39" s="382" cm="1">
        <f t="array" aca="1" ref="BB39" ca="1">SUMPRODUCT(BB$55:BB$114,TRANSPOSE(SAP_Speadsheet!$E$30:$BL$30))</f>
        <v>0</v>
      </c>
      <c r="BC39" s="382" cm="1">
        <f t="array" aca="1" ref="BC39" ca="1">SUMPRODUCT(BC$55:BC$114,TRANSPOSE(SAP_Speadsheet!$E$30:$BL$30))</f>
        <v>0</v>
      </c>
      <c r="BD39" s="382" cm="1">
        <f t="array" aca="1" ref="BD39" ca="1">SUMPRODUCT(BD$55:BD$114,TRANSPOSE(SAP_Speadsheet!$E$30:$BL$30))</f>
        <v>0</v>
      </c>
      <c r="BE39" s="382" cm="1">
        <f t="array" aca="1" ref="BE39" ca="1">SUMPRODUCT(BE$55:BE$114,TRANSPOSE(SAP_Speadsheet!$E$30:$BL$30))</f>
        <v>0</v>
      </c>
      <c r="BF39" s="382" cm="1">
        <f t="array" aca="1" ref="BF39" ca="1">SUMPRODUCT(BF$55:BF$114,TRANSPOSE(SAP_Speadsheet!$E$30:$BL$30))</f>
        <v>0</v>
      </c>
      <c r="BG39" s="382" cm="1">
        <f t="array" aca="1" ref="BG39" ca="1">SUMPRODUCT(BG$55:BG$114,TRANSPOSE(SAP_Speadsheet!$E$30:$BL$30))</f>
        <v>0</v>
      </c>
      <c r="BH39" s="382" cm="1">
        <f t="array" aca="1" ref="BH39" ca="1">SUMPRODUCT(BH$55:BH$114,TRANSPOSE(SAP_Speadsheet!$E$30:$BL$30))</f>
        <v>0</v>
      </c>
      <c r="BI39" s="382" cm="1">
        <f t="array" aca="1" ref="BI39" ca="1">SUMPRODUCT(BI$55:BI$114,TRANSPOSE(SAP_Speadsheet!$E$30:$BL$30))</f>
        <v>0</v>
      </c>
    </row>
    <row r="40" spans="1:61" x14ac:dyDescent="0.15">
      <c r="A40" s="371" t="s">
        <v>418</v>
      </c>
      <c r="B40" s="382" cm="1">
        <f t="array" aca="1" ref="B40" ca="1">SUMPRODUCT(B$55:B$114,TRANSPOSE(SAP_Speadsheet!$E$31:$BL$31))</f>
        <v>0</v>
      </c>
      <c r="C40" s="382" cm="1">
        <f t="array" aca="1" ref="C40" ca="1">SUMPRODUCT(C$55:C$114,TRANSPOSE(SAP_Speadsheet!$E$31:$BL$31))</f>
        <v>0</v>
      </c>
      <c r="D40" s="382" cm="1">
        <f t="array" aca="1" ref="D40" ca="1">SUMPRODUCT(D$55:D$114,TRANSPOSE(SAP_Speadsheet!$E$31:$BL$31))</f>
        <v>0</v>
      </c>
      <c r="E40" s="382" cm="1">
        <f t="array" aca="1" ref="E40" ca="1">SUMPRODUCT(E$55:E$114,TRANSPOSE(SAP_Speadsheet!$E$31:$BL$31))</f>
        <v>0</v>
      </c>
      <c r="F40" s="382" cm="1">
        <f t="array" aca="1" ref="F40" ca="1">SUMPRODUCT(F$55:F$114,TRANSPOSE(SAP_Speadsheet!$E$31:$BL$31))</f>
        <v>0</v>
      </c>
      <c r="G40" s="382" cm="1">
        <f t="array" aca="1" ref="G40" ca="1">SUMPRODUCT(G$55:G$114,TRANSPOSE(SAP_Speadsheet!$E$31:$BL$31))</f>
        <v>0</v>
      </c>
      <c r="H40" s="382" cm="1">
        <f t="array" aca="1" ref="H40" ca="1">SUMPRODUCT(H$55:H$114,TRANSPOSE(SAP_Speadsheet!$E$31:$BL$31))</f>
        <v>0</v>
      </c>
      <c r="I40" s="382" cm="1">
        <f t="array" aca="1" ref="I40" ca="1">SUMPRODUCT(I$55:I$114,TRANSPOSE(SAP_Speadsheet!$E$31:$BL$31))</f>
        <v>0</v>
      </c>
      <c r="J40" s="382" cm="1">
        <f t="array" aca="1" ref="J40" ca="1">SUMPRODUCT(J$55:J$114,TRANSPOSE(SAP_Speadsheet!$E$31:$BL$31))</f>
        <v>0</v>
      </c>
      <c r="K40" s="382" cm="1">
        <f t="array" aca="1" ref="K40" ca="1">SUMPRODUCT(K$55:K$114,TRANSPOSE(SAP_Speadsheet!$E$31:$BL$31))</f>
        <v>2019.0655428141949</v>
      </c>
      <c r="L40" s="382" cm="1">
        <f t="array" aca="1" ref="L40" ca="1">SUMPRODUCT(L$55:L$114,TRANSPOSE(SAP_Speadsheet!$E$31:$BL$31))</f>
        <v>3608.2535863107105</v>
      </c>
      <c r="M40" s="382" cm="1">
        <f t="array" aca="1" ref="M40" ca="1">SUMPRODUCT(M$55:M$114,TRANSPOSE(SAP_Speadsheet!$E$31:$BL$31))</f>
        <v>4953.43577945989</v>
      </c>
      <c r="N40" s="382" cm="1">
        <f t="array" aca="1" ref="N40" ca="1">SUMPRODUCT(N$55:N$114,TRANSPOSE(SAP_Speadsheet!$E$31:$BL$31))</f>
        <v>4184.8287149192602</v>
      </c>
      <c r="O40" s="382" cm="1">
        <f t="array" aca="1" ref="O40" ca="1">SUMPRODUCT(O$55:O$114,TRANSPOSE(SAP_Speadsheet!$E$31:$BL$31))</f>
        <v>3594.8293227698605</v>
      </c>
      <c r="P40" s="382" cm="1">
        <f t="array" aca="1" ref="P40" ca="1">SUMPRODUCT(P$55:P$114,TRANSPOSE(SAP_Speadsheet!$E$31:$BL$31))</f>
        <v>3100.1240459896471</v>
      </c>
      <c r="Q40" s="382" cm="1">
        <f t="array" aca="1" ref="Q40" ca="1">SUMPRODUCT(Q$55:Q$114,TRANSPOSE(SAP_Speadsheet!$E$31:$BL$31))</f>
        <v>2689.4654513976916</v>
      </c>
      <c r="R40" s="382" cm="1">
        <f t="array" aca="1" ref="R40" ca="1">SUMPRODUCT(R$55:R$114,TRANSPOSE(SAP_Speadsheet!$E$31:$BL$31))</f>
        <v>2301.0688629767174</v>
      </c>
      <c r="S40" s="382" cm="1">
        <f t="array" aca="1" ref="S40" ca="1">SUMPRODUCT(S$55:S$114,TRANSPOSE(SAP_Speadsheet!$E$31:$BL$31))</f>
        <v>1935.4128163453154</v>
      </c>
      <c r="T40" s="382" cm="1">
        <f t="array" aca="1" ref="T40" ca="1">SUMPRODUCT(T$55:T$114,TRANSPOSE(SAP_Speadsheet!$E$31:$BL$31))</f>
        <v>1592.2383765248958</v>
      </c>
      <c r="U40" s="382" cm="1">
        <f t="array" aca="1" ref="U40" ca="1">SUMPRODUCT(U$55:U$114,TRANSPOSE(SAP_Speadsheet!$E$31:$BL$31))</f>
        <v>1271.3150903955936</v>
      </c>
      <c r="V40" s="382" cm="1">
        <f t="array" aca="1" ref="V40" ca="1">SUMPRODUCT(V$55:V$114,TRANSPOSE(SAP_Speadsheet!$E$31:$BL$31))</f>
        <v>972.44672821507118</v>
      </c>
      <c r="W40" s="382" cm="1">
        <f t="array" aca="1" ref="W40" ca="1">SUMPRODUCT(W$55:W$114,TRANSPOSE(SAP_Speadsheet!$E$31:$BL$31))</f>
        <v>695.53164016524613</v>
      </c>
      <c r="X40" s="382" cm="1">
        <f t="array" aca="1" ref="X40" ca="1">SUMPRODUCT(X$55:X$114,TRANSPOSE(SAP_Speadsheet!$E$31:$BL$31))</f>
        <v>440.66132901720357</v>
      </c>
      <c r="Y40" s="382" cm="1">
        <f t="array" aca="1" ref="Y40" ca="1">SUMPRODUCT(Y$55:Y$114,TRANSPOSE(SAP_Speadsheet!$E$31:$BL$31))</f>
        <v>210.05024737732313</v>
      </c>
      <c r="Z40" s="382" cm="1">
        <f t="array" aca="1" ref="Z40" ca="1">SUMPRODUCT(Z$55:Z$114,TRANSPOSE(SAP_Speadsheet!$E$31:$BL$31))</f>
        <v>66.730724222794436</v>
      </c>
      <c r="AA40" s="382" cm="1">
        <f t="array" aca="1" ref="AA40" ca="1">SUMPRODUCT(AA$55:AA$114,TRANSPOSE(SAP_Speadsheet!$E$31:$BL$31))</f>
        <v>0</v>
      </c>
      <c r="AB40" s="382" cm="1">
        <f t="array" aca="1" ref="AB40" ca="1">SUMPRODUCT(AB$55:AB$114,TRANSPOSE(SAP_Speadsheet!$E$31:$BL$31))</f>
        <v>0</v>
      </c>
      <c r="AC40" s="382" cm="1">
        <f t="array" aca="1" ref="AC40" ca="1">SUMPRODUCT(AC$55:AC$114,TRANSPOSE(SAP_Speadsheet!$E$31:$BL$31))</f>
        <v>0</v>
      </c>
      <c r="AD40" s="382" cm="1">
        <f t="array" aca="1" ref="AD40" ca="1">SUMPRODUCT(AD$55:AD$114,TRANSPOSE(SAP_Speadsheet!$E$31:$BL$31))</f>
        <v>0</v>
      </c>
      <c r="AE40" s="382" cm="1">
        <f t="array" aca="1" ref="AE40" ca="1">SUMPRODUCT(AE$55:AE$114,TRANSPOSE(SAP_Speadsheet!$E$31:$BL$31))</f>
        <v>0</v>
      </c>
      <c r="AF40" s="382" cm="1">
        <f t="array" aca="1" ref="AF40" ca="1">SUMPRODUCT(AF$55:AF$114,TRANSPOSE(SAP_Speadsheet!$E$31:$BL$31))</f>
        <v>0</v>
      </c>
      <c r="AG40" s="382" cm="1">
        <f t="array" aca="1" ref="AG40" ca="1">SUMPRODUCT(AG$55:AG$114,TRANSPOSE(SAP_Speadsheet!$E$31:$BL$31))</f>
        <v>0</v>
      </c>
      <c r="AH40" s="382" cm="1">
        <f t="array" aca="1" ref="AH40" ca="1">SUMPRODUCT(AH$55:AH$114,TRANSPOSE(SAP_Speadsheet!$E$31:$BL$31))</f>
        <v>0</v>
      </c>
      <c r="AI40" s="382" cm="1">
        <f t="array" aca="1" ref="AI40" ca="1">SUMPRODUCT(AI$55:AI$114,TRANSPOSE(SAP_Speadsheet!$E$31:$BL$31))</f>
        <v>0</v>
      </c>
      <c r="AJ40" s="382" cm="1">
        <f t="array" aca="1" ref="AJ40" ca="1">SUMPRODUCT(AJ$55:AJ$114,TRANSPOSE(SAP_Speadsheet!$E$31:$BL$31))</f>
        <v>0</v>
      </c>
      <c r="AK40" s="382" cm="1">
        <f t="array" aca="1" ref="AK40" ca="1">SUMPRODUCT(AK$55:AK$114,TRANSPOSE(SAP_Speadsheet!$E$31:$BL$31))</f>
        <v>0</v>
      </c>
      <c r="AL40" s="382" cm="1">
        <f t="array" aca="1" ref="AL40" ca="1">SUMPRODUCT(AL$55:AL$114,TRANSPOSE(SAP_Speadsheet!$E$31:$BL$31))</f>
        <v>0</v>
      </c>
      <c r="AM40" s="382" cm="1">
        <f t="array" aca="1" ref="AM40" ca="1">SUMPRODUCT(AM$55:AM$114,TRANSPOSE(SAP_Speadsheet!$E$31:$BL$31))</f>
        <v>0</v>
      </c>
      <c r="AN40" s="382" cm="1">
        <f t="array" aca="1" ref="AN40" ca="1">SUMPRODUCT(AN$55:AN$114,TRANSPOSE(SAP_Speadsheet!$E$31:$BL$31))</f>
        <v>0</v>
      </c>
      <c r="AO40" s="382" cm="1">
        <f t="array" aca="1" ref="AO40" ca="1">SUMPRODUCT(AO$55:AO$114,TRANSPOSE(SAP_Speadsheet!$E$31:$BL$31))</f>
        <v>0</v>
      </c>
      <c r="AP40" s="382" cm="1">
        <f t="array" aca="1" ref="AP40" ca="1">SUMPRODUCT(AP$55:AP$114,TRANSPOSE(SAP_Speadsheet!$E$31:$BL$31))</f>
        <v>0</v>
      </c>
      <c r="AQ40" s="382" cm="1">
        <f t="array" aca="1" ref="AQ40" ca="1">SUMPRODUCT(AQ$55:AQ$114,TRANSPOSE(SAP_Speadsheet!$E$31:$BL$31))</f>
        <v>0</v>
      </c>
      <c r="AR40" s="382" cm="1">
        <f t="array" aca="1" ref="AR40" ca="1">SUMPRODUCT(AR$55:AR$114,TRANSPOSE(SAP_Speadsheet!$E$31:$BL$31))</f>
        <v>0</v>
      </c>
      <c r="AS40" s="382" cm="1">
        <f t="array" aca="1" ref="AS40" ca="1">SUMPRODUCT(AS$55:AS$114,TRANSPOSE(SAP_Speadsheet!$E$31:$BL$31))</f>
        <v>0</v>
      </c>
      <c r="AT40" s="382" cm="1">
        <f t="array" aca="1" ref="AT40" ca="1">SUMPRODUCT(AT$55:AT$114,TRANSPOSE(SAP_Speadsheet!$E$31:$BL$31))</f>
        <v>0</v>
      </c>
      <c r="AU40" s="382" cm="1">
        <f t="array" aca="1" ref="AU40" ca="1">SUMPRODUCT(AU$55:AU$114,TRANSPOSE(SAP_Speadsheet!$E$31:$BL$31))</f>
        <v>0</v>
      </c>
      <c r="AV40" s="382" cm="1">
        <f t="array" aca="1" ref="AV40" ca="1">SUMPRODUCT(AV$55:AV$114,TRANSPOSE(SAP_Speadsheet!$E$31:$BL$31))</f>
        <v>0</v>
      </c>
      <c r="AW40" s="382" cm="1">
        <f t="array" aca="1" ref="AW40" ca="1">SUMPRODUCT(AW$55:AW$114,TRANSPOSE(SAP_Speadsheet!$E$31:$BL$31))</f>
        <v>0</v>
      </c>
      <c r="AX40" s="382" cm="1">
        <f t="array" aca="1" ref="AX40" ca="1">SUMPRODUCT(AX$55:AX$114,TRANSPOSE(SAP_Speadsheet!$E$31:$BL$31))</f>
        <v>0</v>
      </c>
      <c r="AY40" s="382" cm="1">
        <f t="array" aca="1" ref="AY40" ca="1">SUMPRODUCT(AY$55:AY$114,TRANSPOSE(SAP_Speadsheet!$E$31:$BL$31))</f>
        <v>0</v>
      </c>
      <c r="AZ40" s="382" cm="1">
        <f t="array" aca="1" ref="AZ40" ca="1">SUMPRODUCT(AZ$55:AZ$114,TRANSPOSE(SAP_Speadsheet!$E$31:$BL$31))</f>
        <v>0</v>
      </c>
      <c r="BA40" s="382" cm="1">
        <f t="array" aca="1" ref="BA40" ca="1">SUMPRODUCT(BA$55:BA$114,TRANSPOSE(SAP_Speadsheet!$E$31:$BL$31))</f>
        <v>0</v>
      </c>
      <c r="BB40" s="382" cm="1">
        <f t="array" aca="1" ref="BB40" ca="1">SUMPRODUCT(BB$55:BB$114,TRANSPOSE(SAP_Speadsheet!$E$31:$BL$31))</f>
        <v>0</v>
      </c>
      <c r="BC40" s="382" cm="1">
        <f t="array" aca="1" ref="BC40" ca="1">SUMPRODUCT(BC$55:BC$114,TRANSPOSE(SAP_Speadsheet!$E$31:$BL$31))</f>
        <v>0</v>
      </c>
      <c r="BD40" s="382" cm="1">
        <f t="array" aca="1" ref="BD40" ca="1">SUMPRODUCT(BD$55:BD$114,TRANSPOSE(SAP_Speadsheet!$E$31:$BL$31))</f>
        <v>0</v>
      </c>
      <c r="BE40" s="382" cm="1">
        <f t="array" aca="1" ref="BE40" ca="1">SUMPRODUCT(BE$55:BE$114,TRANSPOSE(SAP_Speadsheet!$E$31:$BL$31))</f>
        <v>0</v>
      </c>
      <c r="BF40" s="382" cm="1">
        <f t="array" aca="1" ref="BF40" ca="1">SUMPRODUCT(BF$55:BF$114,TRANSPOSE(SAP_Speadsheet!$E$31:$BL$31))</f>
        <v>0</v>
      </c>
      <c r="BG40" s="382" cm="1">
        <f t="array" aca="1" ref="BG40" ca="1">SUMPRODUCT(BG$55:BG$114,TRANSPOSE(SAP_Speadsheet!$E$31:$BL$31))</f>
        <v>0</v>
      </c>
      <c r="BH40" s="382" cm="1">
        <f t="array" aca="1" ref="BH40" ca="1">SUMPRODUCT(BH$55:BH$114,TRANSPOSE(SAP_Speadsheet!$E$31:$BL$31))</f>
        <v>0</v>
      </c>
      <c r="BI40" s="382" cm="1">
        <f t="array" aca="1" ref="BI40" ca="1">SUMPRODUCT(BI$55:BI$114,TRANSPOSE(SAP_Speadsheet!$E$31:$BL$31))</f>
        <v>0</v>
      </c>
    </row>
    <row r="41" spans="1:61" x14ac:dyDescent="0.15">
      <c r="A41" s="371" t="s">
        <v>419</v>
      </c>
      <c r="B41" s="382" cm="1">
        <f t="array" aca="1" ref="B41" ca="1">SUMPRODUCT(B$55:B$114,TRANSPOSE(SAP_Speadsheet!$E$32:$BL$32))</f>
        <v>0</v>
      </c>
      <c r="C41" s="382" cm="1">
        <f t="array" aca="1" ref="C41" ca="1">SUMPRODUCT(C$55:C$114,TRANSPOSE(SAP_Speadsheet!$E$32:$BL$32))</f>
        <v>0</v>
      </c>
      <c r="D41" s="382" cm="1">
        <f t="array" aca="1" ref="D41" ca="1">SUMPRODUCT(D$55:D$114,TRANSPOSE(SAP_Speadsheet!$E$32:$BL$32))</f>
        <v>0</v>
      </c>
      <c r="E41" s="382" cm="1">
        <f t="array" aca="1" ref="E41" ca="1">SUMPRODUCT(E$55:E$114,TRANSPOSE(SAP_Speadsheet!$E$32:$BL$32))</f>
        <v>0</v>
      </c>
      <c r="F41" s="382" cm="1">
        <f t="array" aca="1" ref="F41" ca="1">SUMPRODUCT(F$55:F$114,TRANSPOSE(SAP_Speadsheet!$E$32:$BL$32))</f>
        <v>0</v>
      </c>
      <c r="G41" s="382" cm="1">
        <f t="array" aca="1" ref="G41" ca="1">SUMPRODUCT(G$55:G$114,TRANSPOSE(SAP_Speadsheet!$E$32:$BL$32))</f>
        <v>0</v>
      </c>
      <c r="H41" s="382" cm="1">
        <f t="array" aca="1" ref="H41" ca="1">SUMPRODUCT(H$55:H$114,TRANSPOSE(SAP_Speadsheet!$E$32:$BL$32))</f>
        <v>0</v>
      </c>
      <c r="I41" s="382" cm="1">
        <f t="array" aca="1" ref="I41" ca="1">SUMPRODUCT(I$55:I$114,TRANSPOSE(SAP_Speadsheet!$E$32:$BL$32))</f>
        <v>0</v>
      </c>
      <c r="J41" s="382" cm="1">
        <f t="array" aca="1" ref="J41" ca="1">SUMPRODUCT(J$55:J$114,TRANSPOSE(SAP_Speadsheet!$E$32:$BL$32))</f>
        <v>0</v>
      </c>
      <c r="K41" s="382" cm="1">
        <f t="array" aca="1" ref="K41" ca="1">SUMPRODUCT(K$55:K$114,TRANSPOSE(SAP_Speadsheet!$E$32:$BL$32))</f>
        <v>0</v>
      </c>
      <c r="L41" s="382" cm="1">
        <f t="array" aca="1" ref="L41" ca="1">SUMPRODUCT(L$55:L$114,TRANSPOSE(SAP_Speadsheet!$E$32:$BL$32))</f>
        <v>2019.0655428141949</v>
      </c>
      <c r="M41" s="382" cm="1">
        <f t="array" aca="1" ref="M41" ca="1">SUMPRODUCT(M$55:M$114,TRANSPOSE(SAP_Speadsheet!$E$32:$BL$32))</f>
        <v>3608.2535863107105</v>
      </c>
      <c r="N41" s="382" cm="1">
        <f t="array" aca="1" ref="N41" ca="1">SUMPRODUCT(N$55:N$114,TRANSPOSE(SAP_Speadsheet!$E$32:$BL$32))</f>
        <v>4953.43577945989</v>
      </c>
      <c r="O41" s="382" cm="1">
        <f t="array" aca="1" ref="O41" ca="1">SUMPRODUCT(O$55:O$114,TRANSPOSE(SAP_Speadsheet!$E$32:$BL$32))</f>
        <v>4184.8287149192602</v>
      </c>
      <c r="P41" s="382" cm="1">
        <f t="array" aca="1" ref="P41" ca="1">SUMPRODUCT(P$55:P$114,TRANSPOSE(SAP_Speadsheet!$E$32:$BL$32))</f>
        <v>3594.8293227698605</v>
      </c>
      <c r="Q41" s="382" cm="1">
        <f t="array" aca="1" ref="Q41" ca="1">SUMPRODUCT(Q$55:Q$114,TRANSPOSE(SAP_Speadsheet!$E$32:$BL$32))</f>
        <v>3100.1240459896471</v>
      </c>
      <c r="R41" s="382" cm="1">
        <f t="array" aca="1" ref="R41" ca="1">SUMPRODUCT(R$55:R$114,TRANSPOSE(SAP_Speadsheet!$E$32:$BL$32))</f>
        <v>2689.4654513976916</v>
      </c>
      <c r="S41" s="382" cm="1">
        <f t="array" aca="1" ref="S41" ca="1">SUMPRODUCT(S$55:S$114,TRANSPOSE(SAP_Speadsheet!$E$32:$BL$32))</f>
        <v>2301.0688629767174</v>
      </c>
      <c r="T41" s="382" cm="1">
        <f t="array" aca="1" ref="T41" ca="1">SUMPRODUCT(T$55:T$114,TRANSPOSE(SAP_Speadsheet!$E$32:$BL$32))</f>
        <v>1935.4128163453154</v>
      </c>
      <c r="U41" s="382" cm="1">
        <f t="array" aca="1" ref="U41" ca="1">SUMPRODUCT(U$55:U$114,TRANSPOSE(SAP_Speadsheet!$E$32:$BL$32))</f>
        <v>1592.2383765248958</v>
      </c>
      <c r="V41" s="382" cm="1">
        <f t="array" aca="1" ref="V41" ca="1">SUMPRODUCT(V$55:V$114,TRANSPOSE(SAP_Speadsheet!$E$32:$BL$32))</f>
        <v>1271.3150903955936</v>
      </c>
      <c r="W41" s="382" cm="1">
        <f t="array" aca="1" ref="W41" ca="1">SUMPRODUCT(W$55:W$114,TRANSPOSE(SAP_Speadsheet!$E$32:$BL$32))</f>
        <v>972.44672821507118</v>
      </c>
      <c r="X41" s="382" cm="1">
        <f t="array" aca="1" ref="X41" ca="1">SUMPRODUCT(X$55:X$114,TRANSPOSE(SAP_Speadsheet!$E$32:$BL$32))</f>
        <v>695.53164016524613</v>
      </c>
      <c r="Y41" s="382" cm="1">
        <f t="array" aca="1" ref="Y41" ca="1">SUMPRODUCT(Y$55:Y$114,TRANSPOSE(SAP_Speadsheet!$E$32:$BL$32))</f>
        <v>440.66132901720357</v>
      </c>
      <c r="Z41" s="382" cm="1">
        <f t="array" aca="1" ref="Z41" ca="1">SUMPRODUCT(Z$55:Z$114,TRANSPOSE(SAP_Speadsheet!$E$32:$BL$32))</f>
        <v>210.05024737732313</v>
      </c>
      <c r="AA41" s="382" cm="1">
        <f t="array" aca="1" ref="AA41" ca="1">SUMPRODUCT(AA$55:AA$114,TRANSPOSE(SAP_Speadsheet!$E$32:$BL$32))</f>
        <v>66.730724222794436</v>
      </c>
      <c r="AB41" s="382" cm="1">
        <f t="array" aca="1" ref="AB41" ca="1">SUMPRODUCT(AB$55:AB$114,TRANSPOSE(SAP_Speadsheet!$E$32:$BL$32))</f>
        <v>0</v>
      </c>
      <c r="AC41" s="382" cm="1">
        <f t="array" aca="1" ref="AC41" ca="1">SUMPRODUCT(AC$55:AC$114,TRANSPOSE(SAP_Speadsheet!$E$32:$BL$32))</f>
        <v>0</v>
      </c>
      <c r="AD41" s="382" cm="1">
        <f t="array" aca="1" ref="AD41" ca="1">SUMPRODUCT(AD$55:AD$114,TRANSPOSE(SAP_Speadsheet!$E$32:$BL$32))</f>
        <v>0</v>
      </c>
      <c r="AE41" s="382" cm="1">
        <f t="array" aca="1" ref="AE41" ca="1">SUMPRODUCT(AE$55:AE$114,TRANSPOSE(SAP_Speadsheet!$E$32:$BL$32))</f>
        <v>0</v>
      </c>
      <c r="AF41" s="382" cm="1">
        <f t="array" aca="1" ref="AF41" ca="1">SUMPRODUCT(AF$55:AF$114,TRANSPOSE(SAP_Speadsheet!$E$32:$BL$32))</f>
        <v>0</v>
      </c>
      <c r="AG41" s="382" cm="1">
        <f t="array" aca="1" ref="AG41" ca="1">SUMPRODUCT(AG$55:AG$114,TRANSPOSE(SAP_Speadsheet!$E$32:$BL$32))</f>
        <v>0</v>
      </c>
      <c r="AH41" s="382" cm="1">
        <f t="array" aca="1" ref="AH41" ca="1">SUMPRODUCT(AH$55:AH$114,TRANSPOSE(SAP_Speadsheet!$E$32:$BL$32))</f>
        <v>0</v>
      </c>
      <c r="AI41" s="382" cm="1">
        <f t="array" aca="1" ref="AI41" ca="1">SUMPRODUCT(AI$55:AI$114,TRANSPOSE(SAP_Speadsheet!$E$32:$BL$32))</f>
        <v>0</v>
      </c>
      <c r="AJ41" s="382" cm="1">
        <f t="array" aca="1" ref="AJ41" ca="1">SUMPRODUCT(AJ$55:AJ$114,TRANSPOSE(SAP_Speadsheet!$E$32:$BL$32))</f>
        <v>0</v>
      </c>
      <c r="AK41" s="382" cm="1">
        <f t="array" aca="1" ref="AK41" ca="1">SUMPRODUCT(AK$55:AK$114,TRANSPOSE(SAP_Speadsheet!$E$32:$BL$32))</f>
        <v>0</v>
      </c>
      <c r="AL41" s="382" cm="1">
        <f t="array" aca="1" ref="AL41" ca="1">SUMPRODUCT(AL$55:AL$114,TRANSPOSE(SAP_Speadsheet!$E$32:$BL$32))</f>
        <v>0</v>
      </c>
      <c r="AM41" s="382" cm="1">
        <f t="array" aca="1" ref="AM41" ca="1">SUMPRODUCT(AM$55:AM$114,TRANSPOSE(SAP_Speadsheet!$E$32:$BL$32))</f>
        <v>0</v>
      </c>
      <c r="AN41" s="382" cm="1">
        <f t="array" aca="1" ref="AN41" ca="1">SUMPRODUCT(AN$55:AN$114,TRANSPOSE(SAP_Speadsheet!$E$32:$BL$32))</f>
        <v>0</v>
      </c>
      <c r="AO41" s="382" cm="1">
        <f t="array" aca="1" ref="AO41" ca="1">SUMPRODUCT(AO$55:AO$114,TRANSPOSE(SAP_Speadsheet!$E$32:$BL$32))</f>
        <v>0</v>
      </c>
      <c r="AP41" s="382" cm="1">
        <f t="array" aca="1" ref="AP41" ca="1">SUMPRODUCT(AP$55:AP$114,TRANSPOSE(SAP_Speadsheet!$E$32:$BL$32))</f>
        <v>0</v>
      </c>
      <c r="AQ41" s="382" cm="1">
        <f t="array" aca="1" ref="AQ41" ca="1">SUMPRODUCT(AQ$55:AQ$114,TRANSPOSE(SAP_Speadsheet!$E$32:$BL$32))</f>
        <v>0</v>
      </c>
      <c r="AR41" s="382" cm="1">
        <f t="array" aca="1" ref="AR41" ca="1">SUMPRODUCT(AR$55:AR$114,TRANSPOSE(SAP_Speadsheet!$E$32:$BL$32))</f>
        <v>0</v>
      </c>
      <c r="AS41" s="382" cm="1">
        <f t="array" aca="1" ref="AS41" ca="1">SUMPRODUCT(AS$55:AS$114,TRANSPOSE(SAP_Speadsheet!$E$32:$BL$32))</f>
        <v>0</v>
      </c>
      <c r="AT41" s="382" cm="1">
        <f t="array" aca="1" ref="AT41" ca="1">SUMPRODUCT(AT$55:AT$114,TRANSPOSE(SAP_Speadsheet!$E$32:$BL$32))</f>
        <v>0</v>
      </c>
      <c r="AU41" s="382" cm="1">
        <f t="array" aca="1" ref="AU41" ca="1">SUMPRODUCT(AU$55:AU$114,TRANSPOSE(SAP_Speadsheet!$E$32:$BL$32))</f>
        <v>0</v>
      </c>
      <c r="AV41" s="382" cm="1">
        <f t="array" aca="1" ref="AV41" ca="1">SUMPRODUCT(AV$55:AV$114,TRANSPOSE(SAP_Speadsheet!$E$32:$BL$32))</f>
        <v>0</v>
      </c>
      <c r="AW41" s="382" cm="1">
        <f t="array" aca="1" ref="AW41" ca="1">SUMPRODUCT(AW$55:AW$114,TRANSPOSE(SAP_Speadsheet!$E$32:$BL$32))</f>
        <v>0</v>
      </c>
      <c r="AX41" s="382" cm="1">
        <f t="array" aca="1" ref="AX41" ca="1">SUMPRODUCT(AX$55:AX$114,TRANSPOSE(SAP_Speadsheet!$E$32:$BL$32))</f>
        <v>0</v>
      </c>
      <c r="AY41" s="382" cm="1">
        <f t="array" aca="1" ref="AY41" ca="1">SUMPRODUCT(AY$55:AY$114,TRANSPOSE(SAP_Speadsheet!$E$32:$BL$32))</f>
        <v>0</v>
      </c>
      <c r="AZ41" s="382" cm="1">
        <f t="array" aca="1" ref="AZ41" ca="1">SUMPRODUCT(AZ$55:AZ$114,TRANSPOSE(SAP_Speadsheet!$E$32:$BL$32))</f>
        <v>0</v>
      </c>
      <c r="BA41" s="382" cm="1">
        <f t="array" aca="1" ref="BA41" ca="1">SUMPRODUCT(BA$55:BA$114,TRANSPOSE(SAP_Speadsheet!$E$32:$BL$32))</f>
        <v>0</v>
      </c>
      <c r="BB41" s="382" cm="1">
        <f t="array" aca="1" ref="BB41" ca="1">SUMPRODUCT(BB$55:BB$114,TRANSPOSE(SAP_Speadsheet!$E$32:$BL$32))</f>
        <v>0</v>
      </c>
      <c r="BC41" s="382" cm="1">
        <f t="array" aca="1" ref="BC41" ca="1">SUMPRODUCT(BC$55:BC$114,TRANSPOSE(SAP_Speadsheet!$E$32:$BL$32))</f>
        <v>0</v>
      </c>
      <c r="BD41" s="382" cm="1">
        <f t="array" aca="1" ref="BD41" ca="1">SUMPRODUCT(BD$55:BD$114,TRANSPOSE(SAP_Speadsheet!$E$32:$BL$32))</f>
        <v>0</v>
      </c>
      <c r="BE41" s="382" cm="1">
        <f t="array" aca="1" ref="BE41" ca="1">SUMPRODUCT(BE$55:BE$114,TRANSPOSE(SAP_Speadsheet!$E$32:$BL$32))</f>
        <v>0</v>
      </c>
      <c r="BF41" s="382" cm="1">
        <f t="array" aca="1" ref="BF41" ca="1">SUMPRODUCT(BF$55:BF$114,TRANSPOSE(SAP_Speadsheet!$E$32:$BL$32))</f>
        <v>0</v>
      </c>
      <c r="BG41" s="382" cm="1">
        <f t="array" aca="1" ref="BG41" ca="1">SUMPRODUCT(BG$55:BG$114,TRANSPOSE(SAP_Speadsheet!$E$32:$BL$32))</f>
        <v>0</v>
      </c>
      <c r="BH41" s="382" cm="1">
        <f t="array" aca="1" ref="BH41" ca="1">SUMPRODUCT(BH$55:BH$114,TRANSPOSE(SAP_Speadsheet!$E$32:$BL$32))</f>
        <v>0</v>
      </c>
      <c r="BI41" s="382" cm="1">
        <f t="array" aca="1" ref="BI41" ca="1">SUMPRODUCT(BI$55:BI$114,TRANSPOSE(SAP_Speadsheet!$E$32:$BL$32))</f>
        <v>0</v>
      </c>
    </row>
    <row r="42" spans="1:61" x14ac:dyDescent="0.15">
      <c r="A42" s="371" t="s">
        <v>420</v>
      </c>
      <c r="B42" s="382" cm="1">
        <f t="array" aca="1" ref="B42" ca="1">SUMPRODUCT(B$55:B$114,TRANSPOSE(SAP_Speadsheet!$E$33:$BL$33))</f>
        <v>0</v>
      </c>
      <c r="C42" s="382" cm="1">
        <f t="array" aca="1" ref="C42" ca="1">SUMPRODUCT(C$55:C$114,TRANSPOSE(SAP_Speadsheet!$E$33:$BL$33))</f>
        <v>0</v>
      </c>
      <c r="D42" s="382" cm="1">
        <f t="array" aca="1" ref="D42" ca="1">SUMPRODUCT(D$55:D$114,TRANSPOSE(SAP_Speadsheet!$E$33:$BL$33))</f>
        <v>0</v>
      </c>
      <c r="E42" s="382" cm="1">
        <f t="array" aca="1" ref="E42" ca="1">SUMPRODUCT(E$55:E$114,TRANSPOSE(SAP_Speadsheet!$E$33:$BL$33))</f>
        <v>0</v>
      </c>
      <c r="F42" s="382" cm="1">
        <f t="array" aca="1" ref="F42" ca="1">SUMPRODUCT(F$55:F$114,TRANSPOSE(SAP_Speadsheet!$E$33:$BL$33))</f>
        <v>0</v>
      </c>
      <c r="G42" s="382" cm="1">
        <f t="array" aca="1" ref="G42" ca="1">SUMPRODUCT(G$55:G$114,TRANSPOSE(SAP_Speadsheet!$E$33:$BL$33))</f>
        <v>0</v>
      </c>
      <c r="H42" s="382" cm="1">
        <f t="array" aca="1" ref="H42" ca="1">SUMPRODUCT(H$55:H$114,TRANSPOSE(SAP_Speadsheet!$E$33:$BL$33))</f>
        <v>0</v>
      </c>
      <c r="I42" s="382" cm="1">
        <f t="array" aca="1" ref="I42" ca="1">SUMPRODUCT(I$55:I$114,TRANSPOSE(SAP_Speadsheet!$E$33:$BL$33))</f>
        <v>0</v>
      </c>
      <c r="J42" s="382" cm="1">
        <f t="array" aca="1" ref="J42" ca="1">SUMPRODUCT(J$55:J$114,TRANSPOSE(SAP_Speadsheet!$E$33:$BL$33))</f>
        <v>0</v>
      </c>
      <c r="K42" s="382" cm="1">
        <f t="array" aca="1" ref="K42" ca="1">SUMPRODUCT(K$55:K$114,TRANSPOSE(SAP_Speadsheet!$E$33:$BL$33))</f>
        <v>0</v>
      </c>
      <c r="L42" s="382" cm="1">
        <f t="array" aca="1" ref="L42" ca="1">SUMPRODUCT(L$55:L$114,TRANSPOSE(SAP_Speadsheet!$E$33:$BL$33))</f>
        <v>0</v>
      </c>
      <c r="M42" s="382" cm="1">
        <f t="array" aca="1" ref="M42" ca="1">SUMPRODUCT(M$55:M$114,TRANSPOSE(SAP_Speadsheet!$E$33:$BL$33))</f>
        <v>2019.0655428141949</v>
      </c>
      <c r="N42" s="382" cm="1">
        <f t="array" aca="1" ref="N42" ca="1">SUMPRODUCT(N$55:N$114,TRANSPOSE(SAP_Speadsheet!$E$33:$BL$33))</f>
        <v>3608.2535863107105</v>
      </c>
      <c r="O42" s="382" cm="1">
        <f t="array" aca="1" ref="O42" ca="1">SUMPRODUCT(O$55:O$114,TRANSPOSE(SAP_Speadsheet!$E$33:$BL$33))</f>
        <v>4953.43577945989</v>
      </c>
      <c r="P42" s="382" cm="1">
        <f t="array" aca="1" ref="P42" ca="1">SUMPRODUCT(P$55:P$114,TRANSPOSE(SAP_Speadsheet!$E$33:$BL$33))</f>
        <v>4184.8287149192602</v>
      </c>
      <c r="Q42" s="382" cm="1">
        <f t="array" aca="1" ref="Q42" ca="1">SUMPRODUCT(Q$55:Q$114,TRANSPOSE(SAP_Speadsheet!$E$33:$BL$33))</f>
        <v>3594.8293227698605</v>
      </c>
      <c r="R42" s="382" cm="1">
        <f t="array" aca="1" ref="R42" ca="1">SUMPRODUCT(R$55:R$114,TRANSPOSE(SAP_Speadsheet!$E$33:$BL$33))</f>
        <v>3100.1240459896471</v>
      </c>
      <c r="S42" s="382" cm="1">
        <f t="array" aca="1" ref="S42" ca="1">SUMPRODUCT(S$55:S$114,TRANSPOSE(SAP_Speadsheet!$E$33:$BL$33))</f>
        <v>2689.4654513976916</v>
      </c>
      <c r="T42" s="382" cm="1">
        <f t="array" aca="1" ref="T42" ca="1">SUMPRODUCT(T$55:T$114,TRANSPOSE(SAP_Speadsheet!$E$33:$BL$33))</f>
        <v>2301.0688629767174</v>
      </c>
      <c r="U42" s="382" cm="1">
        <f t="array" aca="1" ref="U42" ca="1">SUMPRODUCT(U$55:U$114,TRANSPOSE(SAP_Speadsheet!$E$33:$BL$33))</f>
        <v>1935.4128163453154</v>
      </c>
      <c r="V42" s="382" cm="1">
        <f t="array" aca="1" ref="V42" ca="1">SUMPRODUCT(V$55:V$114,TRANSPOSE(SAP_Speadsheet!$E$33:$BL$33))</f>
        <v>1592.2383765248958</v>
      </c>
      <c r="W42" s="382" cm="1">
        <f t="array" aca="1" ref="W42" ca="1">SUMPRODUCT(W$55:W$114,TRANSPOSE(SAP_Speadsheet!$E$33:$BL$33))</f>
        <v>1271.3150903955936</v>
      </c>
      <c r="X42" s="382" cm="1">
        <f t="array" aca="1" ref="X42" ca="1">SUMPRODUCT(X$55:X$114,TRANSPOSE(SAP_Speadsheet!$E$33:$BL$33))</f>
        <v>972.44672821507118</v>
      </c>
      <c r="Y42" s="382" cm="1">
        <f t="array" aca="1" ref="Y42" ca="1">SUMPRODUCT(Y$55:Y$114,TRANSPOSE(SAP_Speadsheet!$E$33:$BL$33))</f>
        <v>695.53164016524613</v>
      </c>
      <c r="Z42" s="382" cm="1">
        <f t="array" aca="1" ref="Z42" ca="1">SUMPRODUCT(Z$55:Z$114,TRANSPOSE(SAP_Speadsheet!$E$33:$BL$33))</f>
        <v>440.66132901720357</v>
      </c>
      <c r="AA42" s="382" cm="1">
        <f t="array" aca="1" ref="AA42" ca="1">SUMPRODUCT(AA$55:AA$114,TRANSPOSE(SAP_Speadsheet!$E$33:$BL$33))</f>
        <v>210.05024737732313</v>
      </c>
      <c r="AB42" s="382" cm="1">
        <f t="array" aca="1" ref="AB42" ca="1">SUMPRODUCT(AB$55:AB$114,TRANSPOSE(SAP_Speadsheet!$E$33:$BL$33))</f>
        <v>66.730724222794436</v>
      </c>
      <c r="AC42" s="382" cm="1">
        <f t="array" aca="1" ref="AC42" ca="1">SUMPRODUCT(AC$55:AC$114,TRANSPOSE(SAP_Speadsheet!$E$33:$BL$33))</f>
        <v>0</v>
      </c>
      <c r="AD42" s="382" cm="1">
        <f t="array" aca="1" ref="AD42" ca="1">SUMPRODUCT(AD$55:AD$114,TRANSPOSE(SAP_Speadsheet!$E$33:$BL$33))</f>
        <v>0</v>
      </c>
      <c r="AE42" s="382" cm="1">
        <f t="array" aca="1" ref="AE42" ca="1">SUMPRODUCT(AE$55:AE$114,TRANSPOSE(SAP_Speadsheet!$E$33:$BL$33))</f>
        <v>0</v>
      </c>
      <c r="AF42" s="382" cm="1">
        <f t="array" aca="1" ref="AF42" ca="1">SUMPRODUCT(AF$55:AF$114,TRANSPOSE(SAP_Speadsheet!$E$33:$BL$33))</f>
        <v>0</v>
      </c>
      <c r="AG42" s="382" cm="1">
        <f t="array" aca="1" ref="AG42" ca="1">SUMPRODUCT(AG$55:AG$114,TRANSPOSE(SAP_Speadsheet!$E$33:$BL$33))</f>
        <v>0</v>
      </c>
      <c r="AH42" s="382" cm="1">
        <f t="array" aca="1" ref="AH42" ca="1">SUMPRODUCT(AH$55:AH$114,TRANSPOSE(SAP_Speadsheet!$E$33:$BL$33))</f>
        <v>0</v>
      </c>
      <c r="AI42" s="382" cm="1">
        <f t="array" aca="1" ref="AI42" ca="1">SUMPRODUCT(AI$55:AI$114,TRANSPOSE(SAP_Speadsheet!$E$33:$BL$33))</f>
        <v>0</v>
      </c>
      <c r="AJ42" s="382" cm="1">
        <f t="array" aca="1" ref="AJ42" ca="1">SUMPRODUCT(AJ$55:AJ$114,TRANSPOSE(SAP_Speadsheet!$E$33:$BL$33))</f>
        <v>0</v>
      </c>
      <c r="AK42" s="382" cm="1">
        <f t="array" aca="1" ref="AK42" ca="1">SUMPRODUCT(AK$55:AK$114,TRANSPOSE(SAP_Speadsheet!$E$33:$BL$33))</f>
        <v>0</v>
      </c>
      <c r="AL42" s="382" cm="1">
        <f t="array" aca="1" ref="AL42" ca="1">SUMPRODUCT(AL$55:AL$114,TRANSPOSE(SAP_Speadsheet!$E$33:$BL$33))</f>
        <v>0</v>
      </c>
      <c r="AM42" s="382" cm="1">
        <f t="array" aca="1" ref="AM42" ca="1">SUMPRODUCT(AM$55:AM$114,TRANSPOSE(SAP_Speadsheet!$E$33:$BL$33))</f>
        <v>0</v>
      </c>
      <c r="AN42" s="382" cm="1">
        <f t="array" aca="1" ref="AN42" ca="1">SUMPRODUCT(AN$55:AN$114,TRANSPOSE(SAP_Speadsheet!$E$33:$BL$33))</f>
        <v>0</v>
      </c>
      <c r="AO42" s="382" cm="1">
        <f t="array" aca="1" ref="AO42" ca="1">SUMPRODUCT(AO$55:AO$114,TRANSPOSE(SAP_Speadsheet!$E$33:$BL$33))</f>
        <v>0</v>
      </c>
      <c r="AP42" s="382" cm="1">
        <f t="array" aca="1" ref="AP42" ca="1">SUMPRODUCT(AP$55:AP$114,TRANSPOSE(SAP_Speadsheet!$E$33:$BL$33))</f>
        <v>0</v>
      </c>
      <c r="AQ42" s="382" cm="1">
        <f t="array" aca="1" ref="AQ42" ca="1">SUMPRODUCT(AQ$55:AQ$114,TRANSPOSE(SAP_Speadsheet!$E$33:$BL$33))</f>
        <v>0</v>
      </c>
      <c r="AR42" s="382" cm="1">
        <f t="array" aca="1" ref="AR42" ca="1">SUMPRODUCT(AR$55:AR$114,TRANSPOSE(SAP_Speadsheet!$E$33:$BL$33))</f>
        <v>0</v>
      </c>
      <c r="AS42" s="382" cm="1">
        <f t="array" aca="1" ref="AS42" ca="1">SUMPRODUCT(AS$55:AS$114,TRANSPOSE(SAP_Speadsheet!$E$33:$BL$33))</f>
        <v>0</v>
      </c>
      <c r="AT42" s="382" cm="1">
        <f t="array" aca="1" ref="AT42" ca="1">SUMPRODUCT(AT$55:AT$114,TRANSPOSE(SAP_Speadsheet!$E$33:$BL$33))</f>
        <v>0</v>
      </c>
      <c r="AU42" s="382" cm="1">
        <f t="array" aca="1" ref="AU42" ca="1">SUMPRODUCT(AU$55:AU$114,TRANSPOSE(SAP_Speadsheet!$E$33:$BL$33))</f>
        <v>0</v>
      </c>
      <c r="AV42" s="382" cm="1">
        <f t="array" aca="1" ref="AV42" ca="1">SUMPRODUCT(AV$55:AV$114,TRANSPOSE(SAP_Speadsheet!$E$33:$BL$33))</f>
        <v>0</v>
      </c>
      <c r="AW42" s="382" cm="1">
        <f t="array" aca="1" ref="AW42" ca="1">SUMPRODUCT(AW$55:AW$114,TRANSPOSE(SAP_Speadsheet!$E$33:$BL$33))</f>
        <v>0</v>
      </c>
      <c r="AX42" s="382" cm="1">
        <f t="array" aca="1" ref="AX42" ca="1">SUMPRODUCT(AX$55:AX$114,TRANSPOSE(SAP_Speadsheet!$E$33:$BL$33))</f>
        <v>0</v>
      </c>
      <c r="AY42" s="382" cm="1">
        <f t="array" aca="1" ref="AY42" ca="1">SUMPRODUCT(AY$55:AY$114,TRANSPOSE(SAP_Speadsheet!$E$33:$BL$33))</f>
        <v>0</v>
      </c>
      <c r="AZ42" s="382" cm="1">
        <f t="array" aca="1" ref="AZ42" ca="1">SUMPRODUCT(AZ$55:AZ$114,TRANSPOSE(SAP_Speadsheet!$E$33:$BL$33))</f>
        <v>0</v>
      </c>
      <c r="BA42" s="382" cm="1">
        <f t="array" aca="1" ref="BA42" ca="1">SUMPRODUCT(BA$55:BA$114,TRANSPOSE(SAP_Speadsheet!$E$33:$BL$33))</f>
        <v>0</v>
      </c>
      <c r="BB42" s="382" cm="1">
        <f t="array" aca="1" ref="BB42" ca="1">SUMPRODUCT(BB$55:BB$114,TRANSPOSE(SAP_Speadsheet!$E$33:$BL$33))</f>
        <v>0</v>
      </c>
      <c r="BC42" s="382" cm="1">
        <f t="array" aca="1" ref="BC42" ca="1">SUMPRODUCT(BC$55:BC$114,TRANSPOSE(SAP_Speadsheet!$E$33:$BL$33))</f>
        <v>0</v>
      </c>
      <c r="BD42" s="382" cm="1">
        <f t="array" aca="1" ref="BD42" ca="1">SUMPRODUCT(BD$55:BD$114,TRANSPOSE(SAP_Speadsheet!$E$33:$BL$33))</f>
        <v>0</v>
      </c>
      <c r="BE42" s="382" cm="1">
        <f t="array" aca="1" ref="BE42" ca="1">SUMPRODUCT(BE$55:BE$114,TRANSPOSE(SAP_Speadsheet!$E$33:$BL$33))</f>
        <v>0</v>
      </c>
      <c r="BF42" s="382" cm="1">
        <f t="array" aca="1" ref="BF42" ca="1">SUMPRODUCT(BF$55:BF$114,TRANSPOSE(SAP_Speadsheet!$E$33:$BL$33))</f>
        <v>0</v>
      </c>
      <c r="BG42" s="382" cm="1">
        <f t="array" aca="1" ref="BG42" ca="1">SUMPRODUCT(BG$55:BG$114,TRANSPOSE(SAP_Speadsheet!$E$33:$BL$33))</f>
        <v>0</v>
      </c>
      <c r="BH42" s="382" cm="1">
        <f t="array" aca="1" ref="BH42" ca="1">SUMPRODUCT(BH$55:BH$114,TRANSPOSE(SAP_Speadsheet!$E$33:$BL$33))</f>
        <v>0</v>
      </c>
      <c r="BI42" s="382" cm="1">
        <f t="array" aca="1" ref="BI42" ca="1">SUMPRODUCT(BI$55:BI$114,TRANSPOSE(SAP_Speadsheet!$E$33:$BL$33))</f>
        <v>0</v>
      </c>
    </row>
    <row r="43" spans="1:61" x14ac:dyDescent="0.15">
      <c r="A43" s="371" t="s">
        <v>422</v>
      </c>
      <c r="B43" s="382" cm="1">
        <f t="array" aca="1" ref="B43" ca="1">SUMPRODUCT(B$55:B$114,TRANSPOSE(SAP_Speadsheet!$E$34:$BL$34))</f>
        <v>0</v>
      </c>
      <c r="C43" s="382" cm="1">
        <f t="array" aca="1" ref="C43" ca="1">SUMPRODUCT(C$55:C$114,TRANSPOSE(SAP_Speadsheet!$E$34:$BL$34))</f>
        <v>0</v>
      </c>
      <c r="D43" s="382" cm="1">
        <f t="array" aca="1" ref="D43" ca="1">SUMPRODUCT(D$55:D$114,TRANSPOSE(SAP_Speadsheet!$E$34:$BL$34))</f>
        <v>0</v>
      </c>
      <c r="E43" s="382" cm="1">
        <f t="array" aca="1" ref="E43" ca="1">SUMPRODUCT(E$55:E$114,TRANSPOSE(SAP_Speadsheet!$E$34:$BL$34))</f>
        <v>0</v>
      </c>
      <c r="F43" s="382" cm="1">
        <f t="array" aca="1" ref="F43" ca="1">SUMPRODUCT(F$55:F$114,TRANSPOSE(SAP_Speadsheet!$E$34:$BL$34))</f>
        <v>0</v>
      </c>
      <c r="G43" s="382" cm="1">
        <f t="array" aca="1" ref="G43" ca="1">SUMPRODUCT(G$55:G$114,TRANSPOSE(SAP_Speadsheet!$E$34:$BL$34))</f>
        <v>0</v>
      </c>
      <c r="H43" s="382" cm="1">
        <f t="array" aca="1" ref="H43" ca="1">SUMPRODUCT(H$55:H$114,TRANSPOSE(SAP_Speadsheet!$E$34:$BL$34))</f>
        <v>0</v>
      </c>
      <c r="I43" s="382" cm="1">
        <f t="array" aca="1" ref="I43" ca="1">SUMPRODUCT(I$55:I$114,TRANSPOSE(SAP_Speadsheet!$E$34:$BL$34))</f>
        <v>0</v>
      </c>
      <c r="J43" s="382" cm="1">
        <f t="array" aca="1" ref="J43" ca="1">SUMPRODUCT(J$55:J$114,TRANSPOSE(SAP_Speadsheet!$E$34:$BL$34))</f>
        <v>0</v>
      </c>
      <c r="K43" s="382" cm="1">
        <f t="array" aca="1" ref="K43" ca="1">SUMPRODUCT(K$55:K$114,TRANSPOSE(SAP_Speadsheet!$E$34:$BL$34))</f>
        <v>0</v>
      </c>
      <c r="L43" s="382" cm="1">
        <f t="array" aca="1" ref="L43" ca="1">SUMPRODUCT(L$55:L$114,TRANSPOSE(SAP_Speadsheet!$E$34:$BL$34))</f>
        <v>0</v>
      </c>
      <c r="M43" s="382" cm="1">
        <f t="array" aca="1" ref="M43" ca="1">SUMPRODUCT(M$55:M$114,TRANSPOSE(SAP_Speadsheet!$E$34:$BL$34))</f>
        <v>0</v>
      </c>
      <c r="N43" s="382" cm="1">
        <f t="array" aca="1" ref="N43" ca="1">SUMPRODUCT(N$55:N$114,TRANSPOSE(SAP_Speadsheet!$E$34:$BL$34))</f>
        <v>2019.0655428141949</v>
      </c>
      <c r="O43" s="382" cm="1">
        <f t="array" aca="1" ref="O43" ca="1">SUMPRODUCT(O$55:O$114,TRANSPOSE(SAP_Speadsheet!$E$34:$BL$34))</f>
        <v>3608.2535863107105</v>
      </c>
      <c r="P43" s="382" cm="1">
        <f t="array" aca="1" ref="P43" ca="1">SUMPRODUCT(P$55:P$114,TRANSPOSE(SAP_Speadsheet!$E$34:$BL$34))</f>
        <v>4953.43577945989</v>
      </c>
      <c r="Q43" s="382" cm="1">
        <f t="array" aca="1" ref="Q43" ca="1">SUMPRODUCT(Q$55:Q$114,TRANSPOSE(SAP_Speadsheet!$E$34:$BL$34))</f>
        <v>4184.8287149192602</v>
      </c>
      <c r="R43" s="382" cm="1">
        <f t="array" aca="1" ref="R43" ca="1">SUMPRODUCT(R$55:R$114,TRANSPOSE(SAP_Speadsheet!$E$34:$BL$34))</f>
        <v>3594.8293227698605</v>
      </c>
      <c r="S43" s="382" cm="1">
        <f t="array" aca="1" ref="S43" ca="1">SUMPRODUCT(S$55:S$114,TRANSPOSE(SAP_Speadsheet!$E$34:$BL$34))</f>
        <v>3100.1240459896471</v>
      </c>
      <c r="T43" s="382" cm="1">
        <f t="array" aca="1" ref="T43" ca="1">SUMPRODUCT(T$55:T$114,TRANSPOSE(SAP_Speadsheet!$E$34:$BL$34))</f>
        <v>2689.4654513976916</v>
      </c>
      <c r="U43" s="382" cm="1">
        <f t="array" aca="1" ref="U43" ca="1">SUMPRODUCT(U$55:U$114,TRANSPOSE(SAP_Speadsheet!$E$34:$BL$34))</f>
        <v>2301.0688629767174</v>
      </c>
      <c r="V43" s="382" cm="1">
        <f t="array" aca="1" ref="V43" ca="1">SUMPRODUCT(V$55:V$114,TRANSPOSE(SAP_Speadsheet!$E$34:$BL$34))</f>
        <v>1935.4128163453154</v>
      </c>
      <c r="W43" s="382" cm="1">
        <f t="array" aca="1" ref="W43" ca="1">SUMPRODUCT(W$55:W$114,TRANSPOSE(SAP_Speadsheet!$E$34:$BL$34))</f>
        <v>1592.2383765248958</v>
      </c>
      <c r="X43" s="382" cm="1">
        <f t="array" aca="1" ref="X43" ca="1">SUMPRODUCT(X$55:X$114,TRANSPOSE(SAP_Speadsheet!$E$34:$BL$34))</f>
        <v>1271.3150903955936</v>
      </c>
      <c r="Y43" s="382" cm="1">
        <f t="array" aca="1" ref="Y43" ca="1">SUMPRODUCT(Y$55:Y$114,TRANSPOSE(SAP_Speadsheet!$E$34:$BL$34))</f>
        <v>972.44672821507118</v>
      </c>
      <c r="Z43" s="382" cm="1">
        <f t="array" aca="1" ref="Z43" ca="1">SUMPRODUCT(Z$55:Z$114,TRANSPOSE(SAP_Speadsheet!$E$34:$BL$34))</f>
        <v>695.53164016524613</v>
      </c>
      <c r="AA43" s="382" cm="1">
        <f t="array" aca="1" ref="AA43" ca="1">SUMPRODUCT(AA$55:AA$114,TRANSPOSE(SAP_Speadsheet!$E$34:$BL$34))</f>
        <v>440.66132901720357</v>
      </c>
      <c r="AB43" s="382" cm="1">
        <f t="array" aca="1" ref="AB43" ca="1">SUMPRODUCT(AB$55:AB$114,TRANSPOSE(SAP_Speadsheet!$E$34:$BL$34))</f>
        <v>210.05024737732313</v>
      </c>
      <c r="AC43" s="382" cm="1">
        <f t="array" aca="1" ref="AC43" ca="1">SUMPRODUCT(AC$55:AC$114,TRANSPOSE(SAP_Speadsheet!$E$34:$BL$34))</f>
        <v>66.730724222794436</v>
      </c>
      <c r="AD43" s="382" cm="1">
        <f t="array" aca="1" ref="AD43" ca="1">SUMPRODUCT(AD$55:AD$114,TRANSPOSE(SAP_Speadsheet!$E$34:$BL$34))</f>
        <v>0</v>
      </c>
      <c r="AE43" s="382" cm="1">
        <f t="array" aca="1" ref="AE43" ca="1">SUMPRODUCT(AE$55:AE$114,TRANSPOSE(SAP_Speadsheet!$E$34:$BL$34))</f>
        <v>0</v>
      </c>
      <c r="AF43" s="382" cm="1">
        <f t="array" aca="1" ref="AF43" ca="1">SUMPRODUCT(AF$55:AF$114,TRANSPOSE(SAP_Speadsheet!$E$34:$BL$34))</f>
        <v>0</v>
      </c>
      <c r="AG43" s="382" cm="1">
        <f t="array" aca="1" ref="AG43" ca="1">SUMPRODUCT(AG$55:AG$114,TRANSPOSE(SAP_Speadsheet!$E$34:$BL$34))</f>
        <v>0</v>
      </c>
      <c r="AH43" s="382" cm="1">
        <f t="array" aca="1" ref="AH43" ca="1">SUMPRODUCT(AH$55:AH$114,TRANSPOSE(SAP_Speadsheet!$E$34:$BL$34))</f>
        <v>0</v>
      </c>
      <c r="AI43" s="382" cm="1">
        <f t="array" aca="1" ref="AI43" ca="1">SUMPRODUCT(AI$55:AI$114,TRANSPOSE(SAP_Speadsheet!$E$34:$BL$34))</f>
        <v>0</v>
      </c>
      <c r="AJ43" s="382" cm="1">
        <f t="array" aca="1" ref="AJ43" ca="1">SUMPRODUCT(AJ$55:AJ$114,TRANSPOSE(SAP_Speadsheet!$E$34:$BL$34))</f>
        <v>0</v>
      </c>
      <c r="AK43" s="382" cm="1">
        <f t="array" aca="1" ref="AK43" ca="1">SUMPRODUCT(AK$55:AK$114,TRANSPOSE(SAP_Speadsheet!$E$34:$BL$34))</f>
        <v>0</v>
      </c>
      <c r="AL43" s="382" cm="1">
        <f t="array" aca="1" ref="AL43" ca="1">SUMPRODUCT(AL$55:AL$114,TRANSPOSE(SAP_Speadsheet!$E$34:$BL$34))</f>
        <v>0</v>
      </c>
      <c r="AM43" s="382" cm="1">
        <f t="array" aca="1" ref="AM43" ca="1">SUMPRODUCT(AM$55:AM$114,TRANSPOSE(SAP_Speadsheet!$E$34:$BL$34))</f>
        <v>0</v>
      </c>
      <c r="AN43" s="382" cm="1">
        <f t="array" aca="1" ref="AN43" ca="1">SUMPRODUCT(AN$55:AN$114,TRANSPOSE(SAP_Speadsheet!$E$34:$BL$34))</f>
        <v>0</v>
      </c>
      <c r="AO43" s="382" cm="1">
        <f t="array" aca="1" ref="AO43" ca="1">SUMPRODUCT(AO$55:AO$114,TRANSPOSE(SAP_Speadsheet!$E$34:$BL$34))</f>
        <v>0</v>
      </c>
      <c r="AP43" s="382" cm="1">
        <f t="array" aca="1" ref="AP43" ca="1">SUMPRODUCT(AP$55:AP$114,TRANSPOSE(SAP_Speadsheet!$E$34:$BL$34))</f>
        <v>0</v>
      </c>
      <c r="AQ43" s="382" cm="1">
        <f t="array" aca="1" ref="AQ43" ca="1">SUMPRODUCT(AQ$55:AQ$114,TRANSPOSE(SAP_Speadsheet!$E$34:$BL$34))</f>
        <v>0</v>
      </c>
      <c r="AR43" s="382" cm="1">
        <f t="array" aca="1" ref="AR43" ca="1">SUMPRODUCT(AR$55:AR$114,TRANSPOSE(SAP_Speadsheet!$E$34:$BL$34))</f>
        <v>0</v>
      </c>
      <c r="AS43" s="382" cm="1">
        <f t="array" aca="1" ref="AS43" ca="1">SUMPRODUCT(AS$55:AS$114,TRANSPOSE(SAP_Speadsheet!$E$34:$BL$34))</f>
        <v>0</v>
      </c>
      <c r="AT43" s="382" cm="1">
        <f t="array" aca="1" ref="AT43" ca="1">SUMPRODUCT(AT$55:AT$114,TRANSPOSE(SAP_Speadsheet!$E$34:$BL$34))</f>
        <v>0</v>
      </c>
      <c r="AU43" s="382" cm="1">
        <f t="array" aca="1" ref="AU43" ca="1">SUMPRODUCT(AU$55:AU$114,TRANSPOSE(SAP_Speadsheet!$E$34:$BL$34))</f>
        <v>0</v>
      </c>
      <c r="AV43" s="382" cm="1">
        <f t="array" aca="1" ref="AV43" ca="1">SUMPRODUCT(AV$55:AV$114,TRANSPOSE(SAP_Speadsheet!$E$34:$BL$34))</f>
        <v>0</v>
      </c>
      <c r="AW43" s="382" cm="1">
        <f t="array" aca="1" ref="AW43" ca="1">SUMPRODUCT(AW$55:AW$114,TRANSPOSE(SAP_Speadsheet!$E$34:$BL$34))</f>
        <v>0</v>
      </c>
      <c r="AX43" s="382" cm="1">
        <f t="array" aca="1" ref="AX43" ca="1">SUMPRODUCT(AX$55:AX$114,TRANSPOSE(SAP_Speadsheet!$E$34:$BL$34))</f>
        <v>0</v>
      </c>
      <c r="AY43" s="382" cm="1">
        <f t="array" aca="1" ref="AY43" ca="1">SUMPRODUCT(AY$55:AY$114,TRANSPOSE(SAP_Speadsheet!$E$34:$BL$34))</f>
        <v>0</v>
      </c>
      <c r="AZ43" s="382" cm="1">
        <f t="array" aca="1" ref="AZ43" ca="1">SUMPRODUCT(AZ$55:AZ$114,TRANSPOSE(SAP_Speadsheet!$E$34:$BL$34))</f>
        <v>0</v>
      </c>
      <c r="BA43" s="382" cm="1">
        <f t="array" aca="1" ref="BA43" ca="1">SUMPRODUCT(BA$55:BA$114,TRANSPOSE(SAP_Speadsheet!$E$34:$BL$34))</f>
        <v>0</v>
      </c>
      <c r="BB43" s="382" cm="1">
        <f t="array" aca="1" ref="BB43" ca="1">SUMPRODUCT(BB$55:BB$114,TRANSPOSE(SAP_Speadsheet!$E$34:$BL$34))</f>
        <v>0</v>
      </c>
      <c r="BC43" s="382" cm="1">
        <f t="array" aca="1" ref="BC43" ca="1">SUMPRODUCT(BC$55:BC$114,TRANSPOSE(SAP_Speadsheet!$E$34:$BL$34))</f>
        <v>0</v>
      </c>
      <c r="BD43" s="382" cm="1">
        <f t="array" aca="1" ref="BD43" ca="1">SUMPRODUCT(BD$55:BD$114,TRANSPOSE(SAP_Speadsheet!$E$34:$BL$34))</f>
        <v>0</v>
      </c>
      <c r="BE43" s="382" cm="1">
        <f t="array" aca="1" ref="BE43" ca="1">SUMPRODUCT(BE$55:BE$114,TRANSPOSE(SAP_Speadsheet!$E$34:$BL$34))</f>
        <v>0</v>
      </c>
      <c r="BF43" s="382" cm="1">
        <f t="array" aca="1" ref="BF43" ca="1">SUMPRODUCT(BF$55:BF$114,TRANSPOSE(SAP_Speadsheet!$E$34:$BL$34))</f>
        <v>0</v>
      </c>
      <c r="BG43" s="382" cm="1">
        <f t="array" aca="1" ref="BG43" ca="1">SUMPRODUCT(BG$55:BG$114,TRANSPOSE(SAP_Speadsheet!$E$34:$BL$34))</f>
        <v>0</v>
      </c>
      <c r="BH43" s="382" cm="1">
        <f t="array" aca="1" ref="BH43" ca="1">SUMPRODUCT(BH$55:BH$114,TRANSPOSE(SAP_Speadsheet!$E$34:$BL$34))</f>
        <v>0</v>
      </c>
      <c r="BI43" s="382" cm="1">
        <f t="array" aca="1" ref="BI43" ca="1">SUMPRODUCT(BI$55:BI$114,TRANSPOSE(SAP_Speadsheet!$E$34:$BL$34))</f>
        <v>0</v>
      </c>
    </row>
    <row r="44" spans="1:61" x14ac:dyDescent="0.15">
      <c r="A44" s="371" t="s">
        <v>423</v>
      </c>
      <c r="B44" s="382" cm="1">
        <f t="array" aca="1" ref="B44" ca="1">SUMPRODUCT(B$55:B$114,TRANSPOSE(SAP_Speadsheet!$E$35:$BL$35))</f>
        <v>0</v>
      </c>
      <c r="C44" s="382" cm="1">
        <f t="array" aca="1" ref="C44" ca="1">SUMPRODUCT(C$55:C$114,TRANSPOSE(SAP_Speadsheet!$E$35:$BL$35))</f>
        <v>0</v>
      </c>
      <c r="D44" s="382" cm="1">
        <f t="array" aca="1" ref="D44" ca="1">SUMPRODUCT(D$55:D$114,TRANSPOSE(SAP_Speadsheet!$E$35:$BL$35))</f>
        <v>0</v>
      </c>
      <c r="E44" s="382" cm="1">
        <f t="array" aca="1" ref="E44" ca="1">SUMPRODUCT(E$55:E$114,TRANSPOSE(SAP_Speadsheet!$E$35:$BL$35))</f>
        <v>0</v>
      </c>
      <c r="F44" s="382" cm="1">
        <f t="array" aca="1" ref="F44" ca="1">SUMPRODUCT(F$55:F$114,TRANSPOSE(SAP_Speadsheet!$E$35:$BL$35))</f>
        <v>0</v>
      </c>
      <c r="G44" s="382" cm="1">
        <f t="array" aca="1" ref="G44" ca="1">SUMPRODUCT(G$55:G$114,TRANSPOSE(SAP_Speadsheet!$E$35:$BL$35))</f>
        <v>0</v>
      </c>
      <c r="H44" s="382" cm="1">
        <f t="array" aca="1" ref="H44" ca="1">SUMPRODUCT(H$55:H$114,TRANSPOSE(SAP_Speadsheet!$E$35:$BL$35))</f>
        <v>0</v>
      </c>
      <c r="I44" s="382" cm="1">
        <f t="array" aca="1" ref="I44" ca="1">SUMPRODUCT(I$55:I$114,TRANSPOSE(SAP_Speadsheet!$E$35:$BL$35))</f>
        <v>0</v>
      </c>
      <c r="J44" s="382" cm="1">
        <f t="array" aca="1" ref="J44" ca="1">SUMPRODUCT(J$55:J$114,TRANSPOSE(SAP_Speadsheet!$E$35:$BL$35))</f>
        <v>0</v>
      </c>
      <c r="K44" s="382" cm="1">
        <f t="array" aca="1" ref="K44" ca="1">SUMPRODUCT(K$55:K$114,TRANSPOSE(SAP_Speadsheet!$E$35:$BL$35))</f>
        <v>0</v>
      </c>
      <c r="L44" s="382" cm="1">
        <f t="array" aca="1" ref="L44" ca="1">SUMPRODUCT(L$55:L$114,TRANSPOSE(SAP_Speadsheet!$E$35:$BL$35))</f>
        <v>0</v>
      </c>
      <c r="M44" s="382" cm="1">
        <f t="array" aca="1" ref="M44" ca="1">SUMPRODUCT(M$55:M$114,TRANSPOSE(SAP_Speadsheet!$E$35:$BL$35))</f>
        <v>0</v>
      </c>
      <c r="N44" s="382" cm="1">
        <f t="array" aca="1" ref="N44" ca="1">SUMPRODUCT(N$55:N$114,TRANSPOSE(SAP_Speadsheet!$E$35:$BL$35))</f>
        <v>0</v>
      </c>
      <c r="O44" s="382" cm="1">
        <f t="array" aca="1" ref="O44" ca="1">SUMPRODUCT(O$55:O$114,TRANSPOSE(SAP_Speadsheet!$E$35:$BL$35))</f>
        <v>2019.0655428141949</v>
      </c>
      <c r="P44" s="382" cm="1">
        <f t="array" aca="1" ref="P44" ca="1">SUMPRODUCT(P$55:P$114,TRANSPOSE(SAP_Speadsheet!$E$35:$BL$35))</f>
        <v>3608.2535863107105</v>
      </c>
      <c r="Q44" s="382" cm="1">
        <f t="array" aca="1" ref="Q44" ca="1">SUMPRODUCT(Q$55:Q$114,TRANSPOSE(SAP_Speadsheet!$E$35:$BL$35))</f>
        <v>4953.43577945989</v>
      </c>
      <c r="R44" s="382" cm="1">
        <f t="array" aca="1" ref="R44" ca="1">SUMPRODUCT(R$55:R$114,TRANSPOSE(SAP_Speadsheet!$E$35:$BL$35))</f>
        <v>4184.8287149192602</v>
      </c>
      <c r="S44" s="382" cm="1">
        <f t="array" aca="1" ref="S44" ca="1">SUMPRODUCT(S$55:S$114,TRANSPOSE(SAP_Speadsheet!$E$35:$BL$35))</f>
        <v>3594.8293227698605</v>
      </c>
      <c r="T44" s="382" cm="1">
        <f t="array" aca="1" ref="T44" ca="1">SUMPRODUCT(T$55:T$114,TRANSPOSE(SAP_Speadsheet!$E$35:$BL$35))</f>
        <v>3100.1240459896471</v>
      </c>
      <c r="U44" s="382" cm="1">
        <f t="array" aca="1" ref="U44" ca="1">SUMPRODUCT(U$55:U$114,TRANSPOSE(SAP_Speadsheet!$E$35:$BL$35))</f>
        <v>2689.4654513976916</v>
      </c>
      <c r="V44" s="382" cm="1">
        <f t="array" aca="1" ref="V44" ca="1">SUMPRODUCT(V$55:V$114,TRANSPOSE(SAP_Speadsheet!$E$35:$BL$35))</f>
        <v>2301.0688629767174</v>
      </c>
      <c r="W44" s="382" cm="1">
        <f t="array" aca="1" ref="W44" ca="1">SUMPRODUCT(W$55:W$114,TRANSPOSE(SAP_Speadsheet!$E$35:$BL$35))</f>
        <v>1935.4128163453154</v>
      </c>
      <c r="X44" s="382" cm="1">
        <f t="array" aca="1" ref="X44" ca="1">SUMPRODUCT(X$55:X$114,TRANSPOSE(SAP_Speadsheet!$E$35:$BL$35))</f>
        <v>1592.2383765248958</v>
      </c>
      <c r="Y44" s="382" cm="1">
        <f t="array" aca="1" ref="Y44" ca="1">SUMPRODUCT(Y$55:Y$114,TRANSPOSE(SAP_Speadsheet!$E$35:$BL$35))</f>
        <v>1271.3150903955936</v>
      </c>
      <c r="Z44" s="382" cm="1">
        <f t="array" aca="1" ref="Z44" ca="1">SUMPRODUCT(Z$55:Z$114,TRANSPOSE(SAP_Speadsheet!$E$35:$BL$35))</f>
        <v>972.44672821507118</v>
      </c>
      <c r="AA44" s="382" cm="1">
        <f t="array" aca="1" ref="AA44" ca="1">SUMPRODUCT(AA$55:AA$114,TRANSPOSE(SAP_Speadsheet!$E$35:$BL$35))</f>
        <v>695.53164016524613</v>
      </c>
      <c r="AB44" s="382" cm="1">
        <f t="array" aca="1" ref="AB44" ca="1">SUMPRODUCT(AB$55:AB$114,TRANSPOSE(SAP_Speadsheet!$E$35:$BL$35))</f>
        <v>369.95289397606894</v>
      </c>
      <c r="AC44" s="382" cm="1">
        <f t="array" aca="1" ref="AC44" ca="1">SUMPRODUCT(AC$55:AC$114,TRANSPOSE(SAP_Speadsheet!$E$35:$BL$35))</f>
        <v>142.69511506095205</v>
      </c>
      <c r="AD44" s="382" cm="1">
        <f t="array" aca="1" ref="AD44" ca="1">SUMPRODUCT(AD$55:AD$114,TRANSPOSE(SAP_Speadsheet!$E$35:$BL$35))</f>
        <v>0</v>
      </c>
      <c r="AE44" s="382" cm="1">
        <f t="array" aca="1" ref="AE44" ca="1">SUMPRODUCT(AE$55:AE$114,TRANSPOSE(SAP_Speadsheet!$E$35:$BL$35))</f>
        <v>0</v>
      </c>
      <c r="AF44" s="382" cm="1">
        <f t="array" aca="1" ref="AF44" ca="1">SUMPRODUCT(AF$55:AF$114,TRANSPOSE(SAP_Speadsheet!$E$35:$BL$35))</f>
        <v>0</v>
      </c>
      <c r="AG44" s="382" cm="1">
        <f t="array" aca="1" ref="AG44" ca="1">SUMPRODUCT(AG$55:AG$114,TRANSPOSE(SAP_Speadsheet!$E$35:$BL$35))</f>
        <v>0</v>
      </c>
      <c r="AH44" s="382" cm="1">
        <f t="array" aca="1" ref="AH44" ca="1">SUMPRODUCT(AH$55:AH$114,TRANSPOSE(SAP_Speadsheet!$E$35:$BL$35))</f>
        <v>0</v>
      </c>
      <c r="AI44" s="382" cm="1">
        <f t="array" aca="1" ref="AI44" ca="1">SUMPRODUCT(AI$55:AI$114,TRANSPOSE(SAP_Speadsheet!$E$35:$BL$35))</f>
        <v>0</v>
      </c>
      <c r="AJ44" s="382" cm="1">
        <f t="array" aca="1" ref="AJ44" ca="1">SUMPRODUCT(AJ$55:AJ$114,TRANSPOSE(SAP_Speadsheet!$E$35:$BL$35))</f>
        <v>0</v>
      </c>
      <c r="AK44" s="382" cm="1">
        <f t="array" aca="1" ref="AK44" ca="1">SUMPRODUCT(AK$55:AK$114,TRANSPOSE(SAP_Speadsheet!$E$35:$BL$35))</f>
        <v>0</v>
      </c>
      <c r="AL44" s="382" cm="1">
        <f t="array" aca="1" ref="AL44" ca="1">SUMPRODUCT(AL$55:AL$114,TRANSPOSE(SAP_Speadsheet!$E$35:$BL$35))</f>
        <v>0</v>
      </c>
      <c r="AM44" s="382" cm="1">
        <f t="array" aca="1" ref="AM44" ca="1">SUMPRODUCT(AM$55:AM$114,TRANSPOSE(SAP_Speadsheet!$E$35:$BL$35))</f>
        <v>0</v>
      </c>
      <c r="AN44" s="382" cm="1">
        <f t="array" aca="1" ref="AN44" ca="1">SUMPRODUCT(AN$55:AN$114,TRANSPOSE(SAP_Speadsheet!$E$35:$BL$35))</f>
        <v>0</v>
      </c>
      <c r="AO44" s="382" cm="1">
        <f t="array" aca="1" ref="AO44" ca="1">SUMPRODUCT(AO$55:AO$114,TRANSPOSE(SAP_Speadsheet!$E$35:$BL$35))</f>
        <v>0</v>
      </c>
      <c r="AP44" s="382" cm="1">
        <f t="array" aca="1" ref="AP44" ca="1">SUMPRODUCT(AP$55:AP$114,TRANSPOSE(SAP_Speadsheet!$E$35:$BL$35))</f>
        <v>0</v>
      </c>
      <c r="AQ44" s="382" cm="1">
        <f t="array" aca="1" ref="AQ44" ca="1">SUMPRODUCT(AQ$55:AQ$114,TRANSPOSE(SAP_Speadsheet!$E$35:$BL$35))</f>
        <v>0</v>
      </c>
      <c r="AR44" s="382" cm="1">
        <f t="array" aca="1" ref="AR44" ca="1">SUMPRODUCT(AR$55:AR$114,TRANSPOSE(SAP_Speadsheet!$E$35:$BL$35))</f>
        <v>0</v>
      </c>
      <c r="AS44" s="382" cm="1">
        <f t="array" aca="1" ref="AS44" ca="1">SUMPRODUCT(AS$55:AS$114,TRANSPOSE(SAP_Speadsheet!$E$35:$BL$35))</f>
        <v>0</v>
      </c>
      <c r="AT44" s="382" cm="1">
        <f t="array" aca="1" ref="AT44" ca="1">SUMPRODUCT(AT$55:AT$114,TRANSPOSE(SAP_Speadsheet!$E$35:$BL$35))</f>
        <v>0</v>
      </c>
      <c r="AU44" s="382" cm="1">
        <f t="array" aca="1" ref="AU44" ca="1">SUMPRODUCT(AU$55:AU$114,TRANSPOSE(SAP_Speadsheet!$E$35:$BL$35))</f>
        <v>0</v>
      </c>
      <c r="AV44" s="382" cm="1">
        <f t="array" aca="1" ref="AV44" ca="1">SUMPRODUCT(AV$55:AV$114,TRANSPOSE(SAP_Speadsheet!$E$35:$BL$35))</f>
        <v>0</v>
      </c>
      <c r="AW44" s="382" cm="1">
        <f t="array" aca="1" ref="AW44" ca="1">SUMPRODUCT(AW$55:AW$114,TRANSPOSE(SAP_Speadsheet!$E$35:$BL$35))</f>
        <v>0</v>
      </c>
      <c r="AX44" s="382" cm="1">
        <f t="array" aca="1" ref="AX44" ca="1">SUMPRODUCT(AX$55:AX$114,TRANSPOSE(SAP_Speadsheet!$E$35:$BL$35))</f>
        <v>0</v>
      </c>
      <c r="AY44" s="382" cm="1">
        <f t="array" aca="1" ref="AY44" ca="1">SUMPRODUCT(AY$55:AY$114,TRANSPOSE(SAP_Speadsheet!$E$35:$BL$35))</f>
        <v>0</v>
      </c>
      <c r="AZ44" s="382" cm="1">
        <f t="array" aca="1" ref="AZ44" ca="1">SUMPRODUCT(AZ$55:AZ$114,TRANSPOSE(SAP_Speadsheet!$E$35:$BL$35))</f>
        <v>0</v>
      </c>
      <c r="BA44" s="382" cm="1">
        <f t="array" aca="1" ref="BA44" ca="1">SUMPRODUCT(BA$55:BA$114,TRANSPOSE(SAP_Speadsheet!$E$35:$BL$35))</f>
        <v>0</v>
      </c>
      <c r="BB44" s="382" cm="1">
        <f t="array" aca="1" ref="BB44" ca="1">SUMPRODUCT(BB$55:BB$114,TRANSPOSE(SAP_Speadsheet!$E$35:$BL$35))</f>
        <v>0</v>
      </c>
      <c r="BC44" s="382" cm="1">
        <f t="array" aca="1" ref="BC44" ca="1">SUMPRODUCT(BC$55:BC$114,TRANSPOSE(SAP_Speadsheet!$E$35:$BL$35))</f>
        <v>0</v>
      </c>
      <c r="BD44" s="382" cm="1">
        <f t="array" aca="1" ref="BD44" ca="1">SUMPRODUCT(BD$55:BD$114,TRANSPOSE(SAP_Speadsheet!$E$35:$BL$35))</f>
        <v>0</v>
      </c>
      <c r="BE44" s="382" cm="1">
        <f t="array" aca="1" ref="BE44" ca="1">SUMPRODUCT(BE$55:BE$114,TRANSPOSE(SAP_Speadsheet!$E$35:$BL$35))</f>
        <v>0</v>
      </c>
      <c r="BF44" s="382" cm="1">
        <f t="array" aca="1" ref="BF44" ca="1">SUMPRODUCT(BF$55:BF$114,TRANSPOSE(SAP_Speadsheet!$E$35:$BL$35))</f>
        <v>0</v>
      </c>
      <c r="BG44" s="382" cm="1">
        <f t="array" aca="1" ref="BG44" ca="1">SUMPRODUCT(BG$55:BG$114,TRANSPOSE(SAP_Speadsheet!$E$35:$BL$35))</f>
        <v>0</v>
      </c>
      <c r="BH44" s="382" cm="1">
        <f t="array" aca="1" ref="BH44" ca="1">SUMPRODUCT(BH$55:BH$114,TRANSPOSE(SAP_Speadsheet!$E$35:$BL$35))</f>
        <v>0</v>
      </c>
      <c r="BI44" s="382" cm="1">
        <f t="array" aca="1" ref="BI44" ca="1">SUMPRODUCT(BI$55:BI$114,TRANSPOSE(SAP_Speadsheet!$E$35:$BL$35))</f>
        <v>0</v>
      </c>
    </row>
    <row r="45" spans="1:61" x14ac:dyDescent="0.15">
      <c r="A45" s="371" t="s">
        <v>424</v>
      </c>
      <c r="B45" s="382" cm="1">
        <f t="array" aca="1" ref="B45" ca="1">SUMPRODUCT(B$55:B$114,TRANSPOSE(SAP_Speadsheet!$E$36:$BL$36))</f>
        <v>0</v>
      </c>
      <c r="C45" s="382" cm="1">
        <f t="array" aca="1" ref="C45" ca="1">SUMPRODUCT(C$55:C$114,TRANSPOSE(SAP_Speadsheet!$E$36:$BL$36))</f>
        <v>0</v>
      </c>
      <c r="D45" s="382" cm="1">
        <f t="array" aca="1" ref="D45" ca="1">SUMPRODUCT(D$55:D$114,TRANSPOSE(SAP_Speadsheet!$E$36:$BL$36))</f>
        <v>0</v>
      </c>
      <c r="E45" s="382" cm="1">
        <f t="array" aca="1" ref="E45" ca="1">SUMPRODUCT(E$55:E$114,TRANSPOSE(SAP_Speadsheet!$E$36:$BL$36))</f>
        <v>0</v>
      </c>
      <c r="F45" s="382" cm="1">
        <f t="array" aca="1" ref="F45" ca="1">SUMPRODUCT(F$55:F$114,TRANSPOSE(SAP_Speadsheet!$E$36:$BL$36))</f>
        <v>0</v>
      </c>
      <c r="G45" s="382" cm="1">
        <f t="array" aca="1" ref="G45" ca="1">SUMPRODUCT(G$55:G$114,TRANSPOSE(SAP_Speadsheet!$E$36:$BL$36))</f>
        <v>0</v>
      </c>
      <c r="H45" s="382" cm="1">
        <f t="array" aca="1" ref="H45" ca="1">SUMPRODUCT(H$55:H$114,TRANSPOSE(SAP_Speadsheet!$E$36:$BL$36))</f>
        <v>0</v>
      </c>
      <c r="I45" s="382" cm="1">
        <f t="array" aca="1" ref="I45" ca="1">SUMPRODUCT(I$55:I$114,TRANSPOSE(SAP_Speadsheet!$E$36:$BL$36))</f>
        <v>0</v>
      </c>
      <c r="J45" s="382" cm="1">
        <f t="array" aca="1" ref="J45" ca="1">SUMPRODUCT(J$55:J$114,TRANSPOSE(SAP_Speadsheet!$E$36:$BL$36))</f>
        <v>0</v>
      </c>
      <c r="K45" s="382" cm="1">
        <f t="array" aca="1" ref="K45" ca="1">SUMPRODUCT(K$55:K$114,TRANSPOSE(SAP_Speadsheet!$E$36:$BL$36))</f>
        <v>0</v>
      </c>
      <c r="L45" s="382" cm="1">
        <f t="array" aca="1" ref="L45" ca="1">SUMPRODUCT(L$55:L$114,TRANSPOSE(SAP_Speadsheet!$E$36:$BL$36))</f>
        <v>0</v>
      </c>
      <c r="M45" s="382" cm="1">
        <f t="array" aca="1" ref="M45" ca="1">SUMPRODUCT(M$55:M$114,TRANSPOSE(SAP_Speadsheet!$E$36:$BL$36))</f>
        <v>0</v>
      </c>
      <c r="N45" s="382" cm="1">
        <f t="array" aca="1" ref="N45" ca="1">SUMPRODUCT(N$55:N$114,TRANSPOSE(SAP_Speadsheet!$E$36:$BL$36))</f>
        <v>0</v>
      </c>
      <c r="O45" s="382" cm="1">
        <f t="array" aca="1" ref="O45" ca="1">SUMPRODUCT(O$55:O$114,TRANSPOSE(SAP_Speadsheet!$E$36:$BL$36))</f>
        <v>0</v>
      </c>
      <c r="P45" s="382" cm="1">
        <f t="array" aca="1" ref="P45" ca="1">SUMPRODUCT(P$55:P$114,TRANSPOSE(SAP_Speadsheet!$E$36:$BL$36))</f>
        <v>2019.0655428141949</v>
      </c>
      <c r="Q45" s="382" cm="1">
        <f t="array" aca="1" ref="Q45" ca="1">SUMPRODUCT(Q$55:Q$114,TRANSPOSE(SAP_Speadsheet!$E$36:$BL$36))</f>
        <v>3608.2535863107105</v>
      </c>
      <c r="R45" s="382" cm="1">
        <f t="array" aca="1" ref="R45" ca="1">SUMPRODUCT(R$55:R$114,TRANSPOSE(SAP_Speadsheet!$E$36:$BL$36))</f>
        <v>4953.43577945989</v>
      </c>
      <c r="S45" s="382" cm="1">
        <f t="array" aca="1" ref="S45" ca="1">SUMPRODUCT(S$55:S$114,TRANSPOSE(SAP_Speadsheet!$E$36:$BL$36))</f>
        <v>4184.8287149192602</v>
      </c>
      <c r="T45" s="382" cm="1">
        <f t="array" aca="1" ref="T45" ca="1">SUMPRODUCT(T$55:T$114,TRANSPOSE(SAP_Speadsheet!$E$36:$BL$36))</f>
        <v>3594.8293227698605</v>
      </c>
      <c r="U45" s="382" cm="1">
        <f t="array" aca="1" ref="U45" ca="1">SUMPRODUCT(U$55:U$114,TRANSPOSE(SAP_Speadsheet!$E$36:$BL$36))</f>
        <v>3100.1240459896471</v>
      </c>
      <c r="V45" s="382" cm="1">
        <f t="array" aca="1" ref="V45" ca="1">SUMPRODUCT(V$55:V$114,TRANSPOSE(SAP_Speadsheet!$E$36:$BL$36))</f>
        <v>2689.4654513976916</v>
      </c>
      <c r="W45" s="382" cm="1">
        <f t="array" aca="1" ref="W45" ca="1">SUMPRODUCT(W$55:W$114,TRANSPOSE(SAP_Speadsheet!$E$36:$BL$36))</f>
        <v>2301.0688629767174</v>
      </c>
      <c r="X45" s="382" cm="1">
        <f t="array" aca="1" ref="X45" ca="1">SUMPRODUCT(X$55:X$114,TRANSPOSE(SAP_Speadsheet!$E$36:$BL$36))</f>
        <v>1935.4128163453154</v>
      </c>
      <c r="Y45" s="382" cm="1">
        <f t="array" aca="1" ref="Y45" ca="1">SUMPRODUCT(Y$55:Y$114,TRANSPOSE(SAP_Speadsheet!$E$36:$BL$36))</f>
        <v>1592.2383765248958</v>
      </c>
      <c r="Z45" s="382" cm="1">
        <f t="array" aca="1" ref="Z45" ca="1">SUMPRODUCT(Z$55:Z$114,TRANSPOSE(SAP_Speadsheet!$E$36:$BL$36))</f>
        <v>1271.3150903955936</v>
      </c>
      <c r="AA45" s="382" cm="1">
        <f t="array" aca="1" ref="AA45" ca="1">SUMPRODUCT(AA$55:AA$114,TRANSPOSE(SAP_Speadsheet!$E$36:$BL$36))</f>
        <v>972.44672821507118</v>
      </c>
      <c r="AB45" s="382" cm="1">
        <f t="array" aca="1" ref="AB45" ca="1">SUMPRODUCT(AB$55:AB$114,TRANSPOSE(SAP_Speadsheet!$E$36:$BL$36))</f>
        <v>544.3306994967794</v>
      </c>
      <c r="AC45" s="382" cm="1">
        <f t="array" aca="1" ref="AC45" ca="1">SUMPRODUCT(AC$55:AC$114,TRANSPOSE(SAP_Speadsheet!$E$36:$BL$36))</f>
        <v>225.92256210463492</v>
      </c>
      <c r="AD45" s="382" cm="1">
        <f t="array" aca="1" ref="AD45" ca="1">SUMPRODUCT(AD$55:AD$114,TRANSPOSE(SAP_Speadsheet!$E$36:$BL$36))</f>
        <v>0</v>
      </c>
      <c r="AE45" s="382" cm="1">
        <f t="array" aca="1" ref="AE45" ca="1">SUMPRODUCT(AE$55:AE$114,TRANSPOSE(SAP_Speadsheet!$E$36:$BL$36))</f>
        <v>0</v>
      </c>
      <c r="AF45" s="382" cm="1">
        <f t="array" aca="1" ref="AF45" ca="1">SUMPRODUCT(AF$55:AF$114,TRANSPOSE(SAP_Speadsheet!$E$36:$BL$36))</f>
        <v>0</v>
      </c>
      <c r="AG45" s="382" cm="1">
        <f t="array" aca="1" ref="AG45" ca="1">SUMPRODUCT(AG$55:AG$114,TRANSPOSE(SAP_Speadsheet!$E$36:$BL$36))</f>
        <v>0</v>
      </c>
      <c r="AH45" s="382" cm="1">
        <f t="array" aca="1" ref="AH45" ca="1">SUMPRODUCT(AH$55:AH$114,TRANSPOSE(SAP_Speadsheet!$E$36:$BL$36))</f>
        <v>0</v>
      </c>
      <c r="AI45" s="382" cm="1">
        <f t="array" aca="1" ref="AI45" ca="1">SUMPRODUCT(AI$55:AI$114,TRANSPOSE(SAP_Speadsheet!$E$36:$BL$36))</f>
        <v>0</v>
      </c>
      <c r="AJ45" s="382" cm="1">
        <f t="array" aca="1" ref="AJ45" ca="1">SUMPRODUCT(AJ$55:AJ$114,TRANSPOSE(SAP_Speadsheet!$E$36:$BL$36))</f>
        <v>0</v>
      </c>
      <c r="AK45" s="382" cm="1">
        <f t="array" aca="1" ref="AK45" ca="1">SUMPRODUCT(AK$55:AK$114,TRANSPOSE(SAP_Speadsheet!$E$36:$BL$36))</f>
        <v>0</v>
      </c>
      <c r="AL45" s="382" cm="1">
        <f t="array" aca="1" ref="AL45" ca="1">SUMPRODUCT(AL$55:AL$114,TRANSPOSE(SAP_Speadsheet!$E$36:$BL$36))</f>
        <v>0</v>
      </c>
      <c r="AM45" s="382" cm="1">
        <f t="array" aca="1" ref="AM45" ca="1">SUMPRODUCT(AM$55:AM$114,TRANSPOSE(SAP_Speadsheet!$E$36:$BL$36))</f>
        <v>0</v>
      </c>
      <c r="AN45" s="382" cm="1">
        <f t="array" aca="1" ref="AN45" ca="1">SUMPRODUCT(AN$55:AN$114,TRANSPOSE(SAP_Speadsheet!$E$36:$BL$36))</f>
        <v>0</v>
      </c>
      <c r="AO45" s="382" cm="1">
        <f t="array" aca="1" ref="AO45" ca="1">SUMPRODUCT(AO$55:AO$114,TRANSPOSE(SAP_Speadsheet!$E$36:$BL$36))</f>
        <v>0</v>
      </c>
      <c r="AP45" s="382" cm="1">
        <f t="array" aca="1" ref="AP45" ca="1">SUMPRODUCT(AP$55:AP$114,TRANSPOSE(SAP_Speadsheet!$E$36:$BL$36))</f>
        <v>0</v>
      </c>
      <c r="AQ45" s="382" cm="1">
        <f t="array" aca="1" ref="AQ45" ca="1">SUMPRODUCT(AQ$55:AQ$114,TRANSPOSE(SAP_Speadsheet!$E$36:$BL$36))</f>
        <v>0</v>
      </c>
      <c r="AR45" s="382" cm="1">
        <f t="array" aca="1" ref="AR45" ca="1">SUMPRODUCT(AR$55:AR$114,TRANSPOSE(SAP_Speadsheet!$E$36:$BL$36))</f>
        <v>0</v>
      </c>
      <c r="AS45" s="382" cm="1">
        <f t="array" aca="1" ref="AS45" ca="1">SUMPRODUCT(AS$55:AS$114,TRANSPOSE(SAP_Speadsheet!$E$36:$BL$36))</f>
        <v>0</v>
      </c>
      <c r="AT45" s="382" cm="1">
        <f t="array" aca="1" ref="AT45" ca="1">SUMPRODUCT(AT$55:AT$114,TRANSPOSE(SAP_Speadsheet!$E$36:$BL$36))</f>
        <v>0</v>
      </c>
      <c r="AU45" s="382" cm="1">
        <f t="array" aca="1" ref="AU45" ca="1">SUMPRODUCT(AU$55:AU$114,TRANSPOSE(SAP_Speadsheet!$E$36:$BL$36))</f>
        <v>0</v>
      </c>
      <c r="AV45" s="382" cm="1">
        <f t="array" aca="1" ref="AV45" ca="1">SUMPRODUCT(AV$55:AV$114,TRANSPOSE(SAP_Speadsheet!$E$36:$BL$36))</f>
        <v>0</v>
      </c>
      <c r="AW45" s="382" cm="1">
        <f t="array" aca="1" ref="AW45" ca="1">SUMPRODUCT(AW$55:AW$114,TRANSPOSE(SAP_Speadsheet!$E$36:$BL$36))</f>
        <v>0</v>
      </c>
      <c r="AX45" s="382" cm="1">
        <f t="array" aca="1" ref="AX45" ca="1">SUMPRODUCT(AX$55:AX$114,TRANSPOSE(SAP_Speadsheet!$E$36:$BL$36))</f>
        <v>0</v>
      </c>
      <c r="AY45" s="382" cm="1">
        <f t="array" aca="1" ref="AY45" ca="1">SUMPRODUCT(AY$55:AY$114,TRANSPOSE(SAP_Speadsheet!$E$36:$BL$36))</f>
        <v>0</v>
      </c>
      <c r="AZ45" s="382" cm="1">
        <f t="array" aca="1" ref="AZ45" ca="1">SUMPRODUCT(AZ$55:AZ$114,TRANSPOSE(SAP_Speadsheet!$E$36:$BL$36))</f>
        <v>0</v>
      </c>
      <c r="BA45" s="382" cm="1">
        <f t="array" aca="1" ref="BA45" ca="1">SUMPRODUCT(BA$55:BA$114,TRANSPOSE(SAP_Speadsheet!$E$36:$BL$36))</f>
        <v>0</v>
      </c>
      <c r="BB45" s="382" cm="1">
        <f t="array" aca="1" ref="BB45" ca="1">SUMPRODUCT(BB$55:BB$114,TRANSPOSE(SAP_Speadsheet!$E$36:$BL$36))</f>
        <v>0</v>
      </c>
      <c r="BC45" s="382" cm="1">
        <f t="array" aca="1" ref="BC45" ca="1">SUMPRODUCT(BC$55:BC$114,TRANSPOSE(SAP_Speadsheet!$E$36:$BL$36))</f>
        <v>0</v>
      </c>
      <c r="BD45" s="382" cm="1">
        <f t="array" aca="1" ref="BD45" ca="1">SUMPRODUCT(BD$55:BD$114,TRANSPOSE(SAP_Speadsheet!$E$36:$BL$36))</f>
        <v>0</v>
      </c>
      <c r="BE45" s="382" cm="1">
        <f t="array" aca="1" ref="BE45" ca="1">SUMPRODUCT(BE$55:BE$114,TRANSPOSE(SAP_Speadsheet!$E$36:$BL$36))</f>
        <v>0</v>
      </c>
      <c r="BF45" s="382" cm="1">
        <f t="array" aca="1" ref="BF45" ca="1">SUMPRODUCT(BF$55:BF$114,TRANSPOSE(SAP_Speadsheet!$E$36:$BL$36))</f>
        <v>0</v>
      </c>
      <c r="BG45" s="382" cm="1">
        <f t="array" aca="1" ref="BG45" ca="1">SUMPRODUCT(BG$55:BG$114,TRANSPOSE(SAP_Speadsheet!$E$36:$BL$36))</f>
        <v>0</v>
      </c>
      <c r="BH45" s="382" cm="1">
        <f t="array" aca="1" ref="BH45" ca="1">SUMPRODUCT(BH$55:BH$114,TRANSPOSE(SAP_Speadsheet!$E$36:$BL$36))</f>
        <v>0</v>
      </c>
      <c r="BI45" s="382" cm="1">
        <f t="array" aca="1" ref="BI45" ca="1">SUMPRODUCT(BI$55:BI$114,TRANSPOSE(SAP_Speadsheet!$E$36:$BL$36))</f>
        <v>0</v>
      </c>
    </row>
    <row r="46" spans="1:61" x14ac:dyDescent="0.15">
      <c r="A46" s="371" t="s">
        <v>425</v>
      </c>
      <c r="B46" s="382" cm="1">
        <f t="array" aca="1" ref="B46" ca="1">SUMPRODUCT(B$55:B$114,TRANSPOSE(SAP_Speadsheet!$E$37:$BL$37))</f>
        <v>0</v>
      </c>
      <c r="C46" s="382" cm="1">
        <f t="array" aca="1" ref="C46" ca="1">SUMPRODUCT(C$55:C$114,TRANSPOSE(SAP_Speadsheet!$E$37:$BL$37))</f>
        <v>0</v>
      </c>
      <c r="D46" s="382" cm="1">
        <f t="array" aca="1" ref="D46" ca="1">SUMPRODUCT(D$55:D$114,TRANSPOSE(SAP_Speadsheet!$E$37:$BL$37))</f>
        <v>0</v>
      </c>
      <c r="E46" s="382" cm="1">
        <f t="array" aca="1" ref="E46" ca="1">SUMPRODUCT(E$55:E$114,TRANSPOSE(SAP_Speadsheet!$E$37:$BL$37))</f>
        <v>0</v>
      </c>
      <c r="F46" s="382" cm="1">
        <f t="array" aca="1" ref="F46" ca="1">SUMPRODUCT(F$55:F$114,TRANSPOSE(SAP_Speadsheet!$E$37:$BL$37))</f>
        <v>0</v>
      </c>
      <c r="G46" s="382" cm="1">
        <f t="array" aca="1" ref="G46" ca="1">SUMPRODUCT(G$55:G$114,TRANSPOSE(SAP_Speadsheet!$E$37:$BL$37))</f>
        <v>0</v>
      </c>
      <c r="H46" s="382" cm="1">
        <f t="array" aca="1" ref="H46" ca="1">SUMPRODUCT(H$55:H$114,TRANSPOSE(SAP_Speadsheet!$E$37:$BL$37))</f>
        <v>0</v>
      </c>
      <c r="I46" s="382" cm="1">
        <f t="array" aca="1" ref="I46" ca="1">SUMPRODUCT(I$55:I$114,TRANSPOSE(SAP_Speadsheet!$E$37:$BL$37))</f>
        <v>0</v>
      </c>
      <c r="J46" s="382" cm="1">
        <f t="array" aca="1" ref="J46" ca="1">SUMPRODUCT(J$55:J$114,TRANSPOSE(SAP_Speadsheet!$E$37:$BL$37))</f>
        <v>0</v>
      </c>
      <c r="K46" s="382" cm="1">
        <f t="array" aca="1" ref="K46" ca="1">SUMPRODUCT(K$55:K$114,TRANSPOSE(SAP_Speadsheet!$E$37:$BL$37))</f>
        <v>0</v>
      </c>
      <c r="L46" s="382" cm="1">
        <f t="array" aca="1" ref="L46" ca="1">SUMPRODUCT(L$55:L$114,TRANSPOSE(SAP_Speadsheet!$E$37:$BL$37))</f>
        <v>0</v>
      </c>
      <c r="M46" s="382" cm="1">
        <f t="array" aca="1" ref="M46" ca="1">SUMPRODUCT(M$55:M$114,TRANSPOSE(SAP_Speadsheet!$E$37:$BL$37))</f>
        <v>0</v>
      </c>
      <c r="N46" s="382" cm="1">
        <f t="array" aca="1" ref="N46" ca="1">SUMPRODUCT(N$55:N$114,TRANSPOSE(SAP_Speadsheet!$E$37:$BL$37))</f>
        <v>0</v>
      </c>
      <c r="O46" s="382" cm="1">
        <f t="array" aca="1" ref="O46" ca="1">SUMPRODUCT(O$55:O$114,TRANSPOSE(SAP_Speadsheet!$E$37:$BL$37))</f>
        <v>0</v>
      </c>
      <c r="P46" s="382" cm="1">
        <f t="array" aca="1" ref="P46" ca="1">SUMPRODUCT(P$55:P$114,TRANSPOSE(SAP_Speadsheet!$E$37:$BL$37))</f>
        <v>0</v>
      </c>
      <c r="Q46" s="382" cm="1">
        <f t="array" aca="1" ref="Q46" ca="1">SUMPRODUCT(Q$55:Q$114,TRANSPOSE(SAP_Speadsheet!$E$37:$BL$37))</f>
        <v>2019.0655428141949</v>
      </c>
      <c r="R46" s="382" cm="1">
        <f t="array" aca="1" ref="R46" ca="1">SUMPRODUCT(R$55:R$114,TRANSPOSE(SAP_Speadsheet!$E$37:$BL$37))</f>
        <v>3608.2535863107105</v>
      </c>
      <c r="S46" s="382" cm="1">
        <f t="array" aca="1" ref="S46" ca="1">SUMPRODUCT(S$55:S$114,TRANSPOSE(SAP_Speadsheet!$E$37:$BL$37))</f>
        <v>4953.43577945989</v>
      </c>
      <c r="T46" s="382" cm="1">
        <f t="array" aca="1" ref="T46" ca="1">SUMPRODUCT(T$55:T$114,TRANSPOSE(SAP_Speadsheet!$E$37:$BL$37))</f>
        <v>4184.8287149192602</v>
      </c>
      <c r="U46" s="382" cm="1">
        <f t="array" aca="1" ref="U46" ca="1">SUMPRODUCT(U$55:U$114,TRANSPOSE(SAP_Speadsheet!$E$37:$BL$37))</f>
        <v>3594.8293227698605</v>
      </c>
      <c r="V46" s="382" cm="1">
        <f t="array" aca="1" ref="V46" ca="1">SUMPRODUCT(V$55:V$114,TRANSPOSE(SAP_Speadsheet!$E$37:$BL$37))</f>
        <v>3100.1240459896471</v>
      </c>
      <c r="W46" s="382" cm="1">
        <f t="array" aca="1" ref="W46" ca="1">SUMPRODUCT(W$55:W$114,TRANSPOSE(SAP_Speadsheet!$E$37:$BL$37))</f>
        <v>2689.4654513976916</v>
      </c>
      <c r="X46" s="382" cm="1">
        <f t="array" aca="1" ref="X46" ca="1">SUMPRODUCT(X$55:X$114,TRANSPOSE(SAP_Speadsheet!$E$37:$BL$37))</f>
        <v>2301.0688629767174</v>
      </c>
      <c r="Y46" s="382" cm="1">
        <f t="array" aca="1" ref="Y46" ca="1">SUMPRODUCT(Y$55:Y$114,TRANSPOSE(SAP_Speadsheet!$E$37:$BL$37))</f>
        <v>1935.4128163453154</v>
      </c>
      <c r="Z46" s="382" cm="1">
        <f t="array" aca="1" ref="Z46" ca="1">SUMPRODUCT(Z$55:Z$114,TRANSPOSE(SAP_Speadsheet!$E$37:$BL$37))</f>
        <v>1592.2383765248958</v>
      </c>
      <c r="AA46" s="382" cm="1">
        <f t="array" aca="1" ref="AA46" ca="1">SUMPRODUCT(AA$55:AA$114,TRANSPOSE(SAP_Speadsheet!$E$37:$BL$37))</f>
        <v>1271.3150903955936</v>
      </c>
      <c r="AB46" s="382" cm="1">
        <f t="array" aca="1" ref="AB46" ca="1">SUMPRODUCT(AB$55:AB$114,TRANSPOSE(SAP_Speadsheet!$E$37:$BL$37))</f>
        <v>733.05728665037827</v>
      </c>
      <c r="AC46" s="382" cm="1">
        <f t="array" aca="1" ref="AC46" ca="1">SUMPRODUCT(AC$55:AC$114,TRANSPOSE(SAP_Speadsheet!$E$37:$BL$37))</f>
        <v>316.29415050015859</v>
      </c>
      <c r="AD46" s="382" cm="1">
        <f t="array" aca="1" ref="AD46" ca="1">SUMPRODUCT(AD$55:AD$114,TRANSPOSE(SAP_Speadsheet!$E$37:$BL$37))</f>
        <v>0</v>
      </c>
      <c r="AE46" s="382" cm="1">
        <f t="array" aca="1" ref="AE46" ca="1">SUMPRODUCT(AE$55:AE$114,TRANSPOSE(SAP_Speadsheet!$E$37:$BL$37))</f>
        <v>0</v>
      </c>
      <c r="AF46" s="382" cm="1">
        <f t="array" aca="1" ref="AF46" ca="1">SUMPRODUCT(AF$55:AF$114,TRANSPOSE(SAP_Speadsheet!$E$37:$BL$37))</f>
        <v>0</v>
      </c>
      <c r="AG46" s="382" cm="1">
        <f t="array" aca="1" ref="AG46" ca="1">SUMPRODUCT(AG$55:AG$114,TRANSPOSE(SAP_Speadsheet!$E$37:$BL$37))</f>
        <v>0</v>
      </c>
      <c r="AH46" s="382" cm="1">
        <f t="array" aca="1" ref="AH46" ca="1">SUMPRODUCT(AH$55:AH$114,TRANSPOSE(SAP_Speadsheet!$E$37:$BL$37))</f>
        <v>0</v>
      </c>
      <c r="AI46" s="382" cm="1">
        <f t="array" aca="1" ref="AI46" ca="1">SUMPRODUCT(AI$55:AI$114,TRANSPOSE(SAP_Speadsheet!$E$37:$BL$37))</f>
        <v>0</v>
      </c>
      <c r="AJ46" s="382" cm="1">
        <f t="array" aca="1" ref="AJ46" ca="1">SUMPRODUCT(AJ$55:AJ$114,TRANSPOSE(SAP_Speadsheet!$E$37:$BL$37))</f>
        <v>0</v>
      </c>
      <c r="AK46" s="382" cm="1">
        <f t="array" aca="1" ref="AK46" ca="1">SUMPRODUCT(AK$55:AK$114,TRANSPOSE(SAP_Speadsheet!$E$37:$BL$37))</f>
        <v>0</v>
      </c>
      <c r="AL46" s="382" cm="1">
        <f t="array" aca="1" ref="AL46" ca="1">SUMPRODUCT(AL$55:AL$114,TRANSPOSE(SAP_Speadsheet!$E$37:$BL$37))</f>
        <v>0</v>
      </c>
      <c r="AM46" s="382" cm="1">
        <f t="array" aca="1" ref="AM46" ca="1">SUMPRODUCT(AM$55:AM$114,TRANSPOSE(SAP_Speadsheet!$E$37:$BL$37))</f>
        <v>0</v>
      </c>
      <c r="AN46" s="382" cm="1">
        <f t="array" aca="1" ref="AN46" ca="1">SUMPRODUCT(AN$55:AN$114,TRANSPOSE(SAP_Speadsheet!$E$37:$BL$37))</f>
        <v>0</v>
      </c>
      <c r="AO46" s="382" cm="1">
        <f t="array" aca="1" ref="AO46" ca="1">SUMPRODUCT(AO$55:AO$114,TRANSPOSE(SAP_Speadsheet!$E$37:$BL$37))</f>
        <v>0</v>
      </c>
      <c r="AP46" s="382" cm="1">
        <f t="array" aca="1" ref="AP46" ca="1">SUMPRODUCT(AP$55:AP$114,TRANSPOSE(SAP_Speadsheet!$E$37:$BL$37))</f>
        <v>0</v>
      </c>
      <c r="AQ46" s="382" cm="1">
        <f t="array" aca="1" ref="AQ46" ca="1">SUMPRODUCT(AQ$55:AQ$114,TRANSPOSE(SAP_Speadsheet!$E$37:$BL$37))</f>
        <v>0</v>
      </c>
      <c r="AR46" s="382" cm="1">
        <f t="array" aca="1" ref="AR46" ca="1">SUMPRODUCT(AR$55:AR$114,TRANSPOSE(SAP_Speadsheet!$E$37:$BL$37))</f>
        <v>0</v>
      </c>
      <c r="AS46" s="382" cm="1">
        <f t="array" aca="1" ref="AS46" ca="1">SUMPRODUCT(AS$55:AS$114,TRANSPOSE(SAP_Speadsheet!$E$37:$BL$37))</f>
        <v>0</v>
      </c>
      <c r="AT46" s="382" cm="1">
        <f t="array" aca="1" ref="AT46" ca="1">SUMPRODUCT(AT$55:AT$114,TRANSPOSE(SAP_Speadsheet!$E$37:$BL$37))</f>
        <v>0</v>
      </c>
      <c r="AU46" s="382" cm="1">
        <f t="array" aca="1" ref="AU46" ca="1">SUMPRODUCT(AU$55:AU$114,TRANSPOSE(SAP_Speadsheet!$E$37:$BL$37))</f>
        <v>0</v>
      </c>
      <c r="AV46" s="382" cm="1">
        <f t="array" aca="1" ref="AV46" ca="1">SUMPRODUCT(AV$55:AV$114,TRANSPOSE(SAP_Speadsheet!$E$37:$BL$37))</f>
        <v>0</v>
      </c>
      <c r="AW46" s="382" cm="1">
        <f t="array" aca="1" ref="AW46" ca="1">SUMPRODUCT(AW$55:AW$114,TRANSPOSE(SAP_Speadsheet!$E$37:$BL$37))</f>
        <v>0</v>
      </c>
      <c r="AX46" s="382" cm="1">
        <f t="array" aca="1" ref="AX46" ca="1">SUMPRODUCT(AX$55:AX$114,TRANSPOSE(SAP_Speadsheet!$E$37:$BL$37))</f>
        <v>0</v>
      </c>
      <c r="AY46" s="382" cm="1">
        <f t="array" aca="1" ref="AY46" ca="1">SUMPRODUCT(AY$55:AY$114,TRANSPOSE(SAP_Speadsheet!$E$37:$BL$37))</f>
        <v>0</v>
      </c>
      <c r="AZ46" s="382" cm="1">
        <f t="array" aca="1" ref="AZ46" ca="1">SUMPRODUCT(AZ$55:AZ$114,TRANSPOSE(SAP_Speadsheet!$E$37:$BL$37))</f>
        <v>0</v>
      </c>
      <c r="BA46" s="382" cm="1">
        <f t="array" aca="1" ref="BA46" ca="1">SUMPRODUCT(BA$55:BA$114,TRANSPOSE(SAP_Speadsheet!$E$37:$BL$37))</f>
        <v>0</v>
      </c>
      <c r="BB46" s="382" cm="1">
        <f t="array" aca="1" ref="BB46" ca="1">SUMPRODUCT(BB$55:BB$114,TRANSPOSE(SAP_Speadsheet!$E$37:$BL$37))</f>
        <v>0</v>
      </c>
      <c r="BC46" s="382" cm="1">
        <f t="array" aca="1" ref="BC46" ca="1">SUMPRODUCT(BC$55:BC$114,TRANSPOSE(SAP_Speadsheet!$E$37:$BL$37))</f>
        <v>0</v>
      </c>
      <c r="BD46" s="382" cm="1">
        <f t="array" aca="1" ref="BD46" ca="1">SUMPRODUCT(BD$55:BD$114,TRANSPOSE(SAP_Speadsheet!$E$37:$BL$37))</f>
        <v>0</v>
      </c>
      <c r="BE46" s="382" cm="1">
        <f t="array" aca="1" ref="BE46" ca="1">SUMPRODUCT(BE$55:BE$114,TRANSPOSE(SAP_Speadsheet!$E$37:$BL$37))</f>
        <v>0</v>
      </c>
      <c r="BF46" s="382" cm="1">
        <f t="array" aca="1" ref="BF46" ca="1">SUMPRODUCT(BF$55:BF$114,TRANSPOSE(SAP_Speadsheet!$E$37:$BL$37))</f>
        <v>0</v>
      </c>
      <c r="BG46" s="382" cm="1">
        <f t="array" aca="1" ref="BG46" ca="1">SUMPRODUCT(BG$55:BG$114,TRANSPOSE(SAP_Speadsheet!$E$37:$BL$37))</f>
        <v>0</v>
      </c>
      <c r="BH46" s="382" cm="1">
        <f t="array" aca="1" ref="BH46" ca="1">SUMPRODUCT(BH$55:BH$114,TRANSPOSE(SAP_Speadsheet!$E$37:$BL$37))</f>
        <v>0</v>
      </c>
      <c r="BI46" s="382" cm="1">
        <f t="array" aca="1" ref="BI46" ca="1">SUMPRODUCT(BI$55:BI$114,TRANSPOSE(SAP_Speadsheet!$E$37:$BL$37))</f>
        <v>0</v>
      </c>
    </row>
    <row r="47" spans="1:61" x14ac:dyDescent="0.15">
      <c r="A47" s="371" t="s">
        <v>426</v>
      </c>
      <c r="B47" s="382" cm="1">
        <f t="array" aca="1" ref="B47" ca="1">SUMPRODUCT(B$55:B$114,TRANSPOSE(SAP_Speadsheet!$E$38:$BL$38))</f>
        <v>0</v>
      </c>
      <c r="C47" s="382" cm="1">
        <f t="array" aca="1" ref="C47" ca="1">SUMPRODUCT(C$55:C$114,TRANSPOSE(SAP_Speadsheet!$E$38:$BL$38))</f>
        <v>0</v>
      </c>
      <c r="D47" s="382" cm="1">
        <f t="array" aca="1" ref="D47" ca="1">SUMPRODUCT(D$55:D$114,TRANSPOSE(SAP_Speadsheet!$E$38:$BL$38))</f>
        <v>0</v>
      </c>
      <c r="E47" s="382" cm="1">
        <f t="array" aca="1" ref="E47" ca="1">SUMPRODUCT(E$55:E$114,TRANSPOSE(SAP_Speadsheet!$E$38:$BL$38))</f>
        <v>0</v>
      </c>
      <c r="F47" s="382" cm="1">
        <f t="array" aca="1" ref="F47" ca="1">SUMPRODUCT(F$55:F$114,TRANSPOSE(SAP_Speadsheet!$E$38:$BL$38))</f>
        <v>0</v>
      </c>
      <c r="G47" s="382" cm="1">
        <f t="array" aca="1" ref="G47" ca="1">SUMPRODUCT(G$55:G$114,TRANSPOSE(SAP_Speadsheet!$E$38:$BL$38))</f>
        <v>0</v>
      </c>
      <c r="H47" s="382" cm="1">
        <f t="array" aca="1" ref="H47" ca="1">SUMPRODUCT(H$55:H$114,TRANSPOSE(SAP_Speadsheet!$E$38:$BL$38))</f>
        <v>0</v>
      </c>
      <c r="I47" s="382" cm="1">
        <f t="array" aca="1" ref="I47" ca="1">SUMPRODUCT(I$55:I$114,TRANSPOSE(SAP_Speadsheet!$E$38:$BL$38))</f>
        <v>0</v>
      </c>
      <c r="J47" s="382" cm="1">
        <f t="array" aca="1" ref="J47" ca="1">SUMPRODUCT(J$55:J$114,TRANSPOSE(SAP_Speadsheet!$E$38:$BL$38))</f>
        <v>0</v>
      </c>
      <c r="K47" s="382" cm="1">
        <f t="array" aca="1" ref="K47" ca="1">SUMPRODUCT(K$55:K$114,TRANSPOSE(SAP_Speadsheet!$E$38:$BL$38))</f>
        <v>0</v>
      </c>
      <c r="L47" s="382" cm="1">
        <f t="array" aca="1" ref="L47" ca="1">SUMPRODUCT(L$55:L$114,TRANSPOSE(SAP_Speadsheet!$E$38:$BL$38))</f>
        <v>0</v>
      </c>
      <c r="M47" s="382" cm="1">
        <f t="array" aca="1" ref="M47" ca="1">SUMPRODUCT(M$55:M$114,TRANSPOSE(SAP_Speadsheet!$E$38:$BL$38))</f>
        <v>0</v>
      </c>
      <c r="N47" s="382" cm="1">
        <f t="array" aca="1" ref="N47" ca="1">SUMPRODUCT(N$55:N$114,TRANSPOSE(SAP_Speadsheet!$E$38:$BL$38))</f>
        <v>0</v>
      </c>
      <c r="O47" s="382" cm="1">
        <f t="array" aca="1" ref="O47" ca="1">SUMPRODUCT(O$55:O$114,TRANSPOSE(SAP_Speadsheet!$E$38:$BL$38))</f>
        <v>0</v>
      </c>
      <c r="P47" s="382" cm="1">
        <f t="array" aca="1" ref="P47" ca="1">SUMPRODUCT(P$55:P$114,TRANSPOSE(SAP_Speadsheet!$E$38:$BL$38))</f>
        <v>0</v>
      </c>
      <c r="Q47" s="382" cm="1">
        <f t="array" aca="1" ref="Q47" ca="1">SUMPRODUCT(Q$55:Q$114,TRANSPOSE(SAP_Speadsheet!$E$38:$BL$38))</f>
        <v>0</v>
      </c>
      <c r="R47" s="382" cm="1">
        <f t="array" aca="1" ref="R47" ca="1">SUMPRODUCT(R$55:R$114,TRANSPOSE(SAP_Speadsheet!$E$38:$BL$38))</f>
        <v>2019.0655428141949</v>
      </c>
      <c r="S47" s="382" cm="1">
        <f t="array" aca="1" ref="S47" ca="1">SUMPRODUCT(S$55:S$114,TRANSPOSE(SAP_Speadsheet!$E$38:$BL$38))</f>
        <v>3608.2535863107105</v>
      </c>
      <c r="T47" s="382" cm="1">
        <f t="array" aca="1" ref="T47" ca="1">SUMPRODUCT(T$55:T$114,TRANSPOSE(SAP_Speadsheet!$E$38:$BL$38))</f>
        <v>4953.43577945989</v>
      </c>
      <c r="U47" s="382" cm="1">
        <f t="array" aca="1" ref="U47" ca="1">SUMPRODUCT(U$55:U$114,TRANSPOSE(SAP_Speadsheet!$E$38:$BL$38))</f>
        <v>4184.8287149192602</v>
      </c>
      <c r="V47" s="382" cm="1">
        <f t="array" aca="1" ref="V47" ca="1">SUMPRODUCT(V$55:V$114,TRANSPOSE(SAP_Speadsheet!$E$38:$BL$38))</f>
        <v>3594.8293227698605</v>
      </c>
      <c r="W47" s="382" cm="1">
        <f t="array" aca="1" ref="W47" ca="1">SUMPRODUCT(W$55:W$114,TRANSPOSE(SAP_Speadsheet!$E$38:$BL$38))</f>
        <v>3100.1240459896471</v>
      </c>
      <c r="X47" s="382" cm="1">
        <f t="array" aca="1" ref="X47" ca="1">SUMPRODUCT(X$55:X$114,TRANSPOSE(SAP_Speadsheet!$E$38:$BL$38))</f>
        <v>2689.4654513976916</v>
      </c>
      <c r="Y47" s="382" cm="1">
        <f t="array" aca="1" ref="Y47" ca="1">SUMPRODUCT(Y$55:Y$114,TRANSPOSE(SAP_Speadsheet!$E$38:$BL$38))</f>
        <v>2301.0688629767174</v>
      </c>
      <c r="Z47" s="382" cm="1">
        <f t="array" aca="1" ref="Z47" ca="1">SUMPRODUCT(Z$55:Z$114,TRANSPOSE(SAP_Speadsheet!$E$38:$BL$38))</f>
        <v>1935.4128163453154</v>
      </c>
      <c r="AA47" s="382" cm="1">
        <f t="array" aca="1" ref="AA47" ca="1">SUMPRODUCT(AA$55:AA$114,TRANSPOSE(SAP_Speadsheet!$E$38:$BL$38))</f>
        <v>1592.2383765248958</v>
      </c>
      <c r="AB47" s="382" cm="1">
        <f t="array" aca="1" ref="AB47" ca="1">SUMPRODUCT(AB$55:AB$114,TRANSPOSE(SAP_Speadsheet!$E$38:$BL$38))</f>
        <v>936.16715584205531</v>
      </c>
      <c r="AC47" s="382" cm="1">
        <f t="array" aca="1" ref="AC47" ca="1">SUMPRODUCT(AC$55:AC$114,TRANSPOSE(SAP_Speadsheet!$E$38:$BL$38))</f>
        <v>413.80353051393331</v>
      </c>
      <c r="AD47" s="382" cm="1">
        <f t="array" aca="1" ref="AD47" ca="1">SUMPRODUCT(AD$55:AD$114,TRANSPOSE(SAP_Speadsheet!$E$38:$BL$38))</f>
        <v>0</v>
      </c>
      <c r="AE47" s="382" cm="1">
        <f t="array" aca="1" ref="AE47" ca="1">SUMPRODUCT(AE$55:AE$114,TRANSPOSE(SAP_Speadsheet!$E$38:$BL$38))</f>
        <v>0</v>
      </c>
      <c r="AF47" s="382" cm="1">
        <f t="array" aca="1" ref="AF47" ca="1">SUMPRODUCT(AF$55:AF$114,TRANSPOSE(SAP_Speadsheet!$E$38:$BL$38))</f>
        <v>0</v>
      </c>
      <c r="AG47" s="382" cm="1">
        <f t="array" aca="1" ref="AG47" ca="1">SUMPRODUCT(AG$55:AG$114,TRANSPOSE(SAP_Speadsheet!$E$38:$BL$38))</f>
        <v>0</v>
      </c>
      <c r="AH47" s="382" cm="1">
        <f t="array" aca="1" ref="AH47" ca="1">SUMPRODUCT(AH$55:AH$114,TRANSPOSE(SAP_Speadsheet!$E$38:$BL$38))</f>
        <v>0</v>
      </c>
      <c r="AI47" s="382" cm="1">
        <f t="array" aca="1" ref="AI47" ca="1">SUMPRODUCT(AI$55:AI$114,TRANSPOSE(SAP_Speadsheet!$E$38:$BL$38))</f>
        <v>0</v>
      </c>
      <c r="AJ47" s="382" cm="1">
        <f t="array" aca="1" ref="AJ47" ca="1">SUMPRODUCT(AJ$55:AJ$114,TRANSPOSE(SAP_Speadsheet!$E$38:$BL$38))</f>
        <v>0</v>
      </c>
      <c r="AK47" s="382" cm="1">
        <f t="array" aca="1" ref="AK47" ca="1">SUMPRODUCT(AK$55:AK$114,TRANSPOSE(SAP_Speadsheet!$E$38:$BL$38))</f>
        <v>0</v>
      </c>
      <c r="AL47" s="382" cm="1">
        <f t="array" aca="1" ref="AL47" ca="1">SUMPRODUCT(AL$55:AL$114,TRANSPOSE(SAP_Speadsheet!$E$38:$BL$38))</f>
        <v>0</v>
      </c>
      <c r="AM47" s="382" cm="1">
        <f t="array" aca="1" ref="AM47" ca="1">SUMPRODUCT(AM$55:AM$114,TRANSPOSE(SAP_Speadsheet!$E$38:$BL$38))</f>
        <v>0</v>
      </c>
      <c r="AN47" s="382" cm="1">
        <f t="array" aca="1" ref="AN47" ca="1">SUMPRODUCT(AN$55:AN$114,TRANSPOSE(SAP_Speadsheet!$E$38:$BL$38))</f>
        <v>0</v>
      </c>
      <c r="AO47" s="382" cm="1">
        <f t="array" aca="1" ref="AO47" ca="1">SUMPRODUCT(AO$55:AO$114,TRANSPOSE(SAP_Speadsheet!$E$38:$BL$38))</f>
        <v>0</v>
      </c>
      <c r="AP47" s="382" cm="1">
        <f t="array" aca="1" ref="AP47" ca="1">SUMPRODUCT(AP$55:AP$114,TRANSPOSE(SAP_Speadsheet!$E$38:$BL$38))</f>
        <v>0</v>
      </c>
      <c r="AQ47" s="382" cm="1">
        <f t="array" aca="1" ref="AQ47" ca="1">SUMPRODUCT(AQ$55:AQ$114,TRANSPOSE(SAP_Speadsheet!$E$38:$BL$38))</f>
        <v>0</v>
      </c>
      <c r="AR47" s="382" cm="1">
        <f t="array" aca="1" ref="AR47" ca="1">SUMPRODUCT(AR$55:AR$114,TRANSPOSE(SAP_Speadsheet!$E$38:$BL$38))</f>
        <v>0</v>
      </c>
      <c r="AS47" s="382" cm="1">
        <f t="array" aca="1" ref="AS47" ca="1">SUMPRODUCT(AS$55:AS$114,TRANSPOSE(SAP_Speadsheet!$E$38:$BL$38))</f>
        <v>0</v>
      </c>
      <c r="AT47" s="382" cm="1">
        <f t="array" aca="1" ref="AT47" ca="1">SUMPRODUCT(AT$55:AT$114,TRANSPOSE(SAP_Speadsheet!$E$38:$BL$38))</f>
        <v>0</v>
      </c>
      <c r="AU47" s="382" cm="1">
        <f t="array" aca="1" ref="AU47" ca="1">SUMPRODUCT(AU$55:AU$114,TRANSPOSE(SAP_Speadsheet!$E$38:$BL$38))</f>
        <v>0</v>
      </c>
      <c r="AV47" s="382" cm="1">
        <f t="array" aca="1" ref="AV47" ca="1">SUMPRODUCT(AV$55:AV$114,TRANSPOSE(SAP_Speadsheet!$E$38:$BL$38))</f>
        <v>0</v>
      </c>
      <c r="AW47" s="382" cm="1">
        <f t="array" aca="1" ref="AW47" ca="1">SUMPRODUCT(AW$55:AW$114,TRANSPOSE(SAP_Speadsheet!$E$38:$BL$38))</f>
        <v>0</v>
      </c>
      <c r="AX47" s="382" cm="1">
        <f t="array" aca="1" ref="AX47" ca="1">SUMPRODUCT(AX$55:AX$114,TRANSPOSE(SAP_Speadsheet!$E$38:$BL$38))</f>
        <v>0</v>
      </c>
      <c r="AY47" s="382" cm="1">
        <f t="array" aca="1" ref="AY47" ca="1">SUMPRODUCT(AY$55:AY$114,TRANSPOSE(SAP_Speadsheet!$E$38:$BL$38))</f>
        <v>0</v>
      </c>
      <c r="AZ47" s="382" cm="1">
        <f t="array" aca="1" ref="AZ47" ca="1">SUMPRODUCT(AZ$55:AZ$114,TRANSPOSE(SAP_Speadsheet!$E$38:$BL$38))</f>
        <v>0</v>
      </c>
      <c r="BA47" s="382" cm="1">
        <f t="array" aca="1" ref="BA47" ca="1">SUMPRODUCT(BA$55:BA$114,TRANSPOSE(SAP_Speadsheet!$E$38:$BL$38))</f>
        <v>0</v>
      </c>
      <c r="BB47" s="382" cm="1">
        <f t="array" aca="1" ref="BB47" ca="1">SUMPRODUCT(BB$55:BB$114,TRANSPOSE(SAP_Speadsheet!$E$38:$BL$38))</f>
        <v>0</v>
      </c>
      <c r="BC47" s="382" cm="1">
        <f t="array" aca="1" ref="BC47" ca="1">SUMPRODUCT(BC$55:BC$114,TRANSPOSE(SAP_Speadsheet!$E$38:$BL$38))</f>
        <v>0</v>
      </c>
      <c r="BD47" s="382" cm="1">
        <f t="array" aca="1" ref="BD47" ca="1">SUMPRODUCT(BD$55:BD$114,TRANSPOSE(SAP_Speadsheet!$E$38:$BL$38))</f>
        <v>0</v>
      </c>
      <c r="BE47" s="382" cm="1">
        <f t="array" aca="1" ref="BE47" ca="1">SUMPRODUCT(BE$55:BE$114,TRANSPOSE(SAP_Speadsheet!$E$38:$BL$38))</f>
        <v>0</v>
      </c>
      <c r="BF47" s="382" cm="1">
        <f t="array" aca="1" ref="BF47" ca="1">SUMPRODUCT(BF$55:BF$114,TRANSPOSE(SAP_Speadsheet!$E$38:$BL$38))</f>
        <v>0</v>
      </c>
      <c r="BG47" s="382" cm="1">
        <f t="array" aca="1" ref="BG47" ca="1">SUMPRODUCT(BG$55:BG$114,TRANSPOSE(SAP_Speadsheet!$E$38:$BL$38))</f>
        <v>0</v>
      </c>
      <c r="BH47" s="382" cm="1">
        <f t="array" aca="1" ref="BH47" ca="1">SUMPRODUCT(BH$55:BH$114,TRANSPOSE(SAP_Speadsheet!$E$38:$BL$38))</f>
        <v>0</v>
      </c>
      <c r="BI47" s="382" cm="1">
        <f t="array" aca="1" ref="BI47" ca="1">SUMPRODUCT(BI$55:BI$114,TRANSPOSE(SAP_Speadsheet!$E$38:$BL$38))</f>
        <v>0</v>
      </c>
    </row>
    <row r="48" spans="1:61" x14ac:dyDescent="0.15">
      <c r="A48" s="371" t="s">
        <v>427</v>
      </c>
      <c r="B48" s="382" cm="1">
        <f t="array" aca="1" ref="B48" ca="1">SUMPRODUCT(B$55:B$114,TRANSPOSE(SAP_Speadsheet!$E$39:$BL$39))</f>
        <v>0</v>
      </c>
      <c r="C48" s="382" cm="1">
        <f t="array" aca="1" ref="C48" ca="1">SUMPRODUCT(C$55:C$114,TRANSPOSE(SAP_Speadsheet!$E$39:$BL$39))</f>
        <v>0</v>
      </c>
      <c r="D48" s="382" cm="1">
        <f t="array" aca="1" ref="D48" ca="1">SUMPRODUCT(D$55:D$114,TRANSPOSE(SAP_Speadsheet!$E$39:$BL$39))</f>
        <v>0</v>
      </c>
      <c r="E48" s="382" cm="1">
        <f t="array" aca="1" ref="E48" ca="1">SUMPRODUCT(E$55:E$114,TRANSPOSE(SAP_Speadsheet!$E$39:$BL$39))</f>
        <v>0</v>
      </c>
      <c r="F48" s="382" cm="1">
        <f t="array" aca="1" ref="F48" ca="1">SUMPRODUCT(F$55:F$114,TRANSPOSE(SAP_Speadsheet!$E$39:$BL$39))</f>
        <v>0</v>
      </c>
      <c r="G48" s="382" cm="1">
        <f t="array" aca="1" ref="G48" ca="1">SUMPRODUCT(G$55:G$114,TRANSPOSE(SAP_Speadsheet!$E$39:$BL$39))</f>
        <v>0</v>
      </c>
      <c r="H48" s="382" cm="1">
        <f t="array" aca="1" ref="H48" ca="1">SUMPRODUCT(H$55:H$114,TRANSPOSE(SAP_Speadsheet!$E$39:$BL$39))</f>
        <v>0</v>
      </c>
      <c r="I48" s="382" cm="1">
        <f t="array" aca="1" ref="I48" ca="1">SUMPRODUCT(I$55:I$114,TRANSPOSE(SAP_Speadsheet!$E$39:$BL$39))</f>
        <v>0</v>
      </c>
      <c r="J48" s="382" cm="1">
        <f t="array" aca="1" ref="J48" ca="1">SUMPRODUCT(J$55:J$114,TRANSPOSE(SAP_Speadsheet!$E$39:$BL$39))</f>
        <v>0</v>
      </c>
      <c r="K48" s="382" cm="1">
        <f t="array" aca="1" ref="K48" ca="1">SUMPRODUCT(K$55:K$114,TRANSPOSE(SAP_Speadsheet!$E$39:$BL$39))</f>
        <v>0</v>
      </c>
      <c r="L48" s="382" cm="1">
        <f t="array" aca="1" ref="L48" ca="1">SUMPRODUCT(L$55:L$114,TRANSPOSE(SAP_Speadsheet!$E$39:$BL$39))</f>
        <v>0</v>
      </c>
      <c r="M48" s="382" cm="1">
        <f t="array" aca="1" ref="M48" ca="1">SUMPRODUCT(M$55:M$114,TRANSPOSE(SAP_Speadsheet!$E$39:$BL$39))</f>
        <v>0</v>
      </c>
      <c r="N48" s="382" cm="1">
        <f t="array" aca="1" ref="N48" ca="1">SUMPRODUCT(N$55:N$114,TRANSPOSE(SAP_Speadsheet!$E$39:$BL$39))</f>
        <v>0</v>
      </c>
      <c r="O48" s="382" cm="1">
        <f t="array" aca="1" ref="O48" ca="1">SUMPRODUCT(O$55:O$114,TRANSPOSE(SAP_Speadsheet!$E$39:$BL$39))</f>
        <v>0</v>
      </c>
      <c r="P48" s="382" cm="1">
        <f t="array" aca="1" ref="P48" ca="1">SUMPRODUCT(P$55:P$114,TRANSPOSE(SAP_Speadsheet!$E$39:$BL$39))</f>
        <v>0</v>
      </c>
      <c r="Q48" s="382" cm="1">
        <f t="array" aca="1" ref="Q48" ca="1">SUMPRODUCT(Q$55:Q$114,TRANSPOSE(SAP_Speadsheet!$E$39:$BL$39))</f>
        <v>0</v>
      </c>
      <c r="R48" s="382" cm="1">
        <f t="array" aca="1" ref="R48" ca="1">SUMPRODUCT(R$55:R$114,TRANSPOSE(SAP_Speadsheet!$E$39:$BL$39))</f>
        <v>0</v>
      </c>
      <c r="S48" s="382" cm="1">
        <f t="array" aca="1" ref="S48" ca="1">SUMPRODUCT(S$55:S$114,TRANSPOSE(SAP_Speadsheet!$E$39:$BL$39))</f>
        <v>2019.0655428141949</v>
      </c>
      <c r="T48" s="382" cm="1">
        <f t="array" aca="1" ref="T48" ca="1">SUMPRODUCT(T$55:T$114,TRANSPOSE(SAP_Speadsheet!$E$39:$BL$39))</f>
        <v>3608.2535863107105</v>
      </c>
      <c r="U48" s="382" cm="1">
        <f t="array" aca="1" ref="U48" ca="1">SUMPRODUCT(U$55:U$114,TRANSPOSE(SAP_Speadsheet!$E$39:$BL$39))</f>
        <v>4953.43577945989</v>
      </c>
      <c r="V48" s="382" cm="1">
        <f t="array" aca="1" ref="V48" ca="1">SUMPRODUCT(V$55:V$114,TRANSPOSE(SAP_Speadsheet!$E$39:$BL$39))</f>
        <v>4184.8287149192602</v>
      </c>
      <c r="W48" s="382" cm="1">
        <f t="array" aca="1" ref="W48" ca="1">SUMPRODUCT(W$55:W$114,TRANSPOSE(SAP_Speadsheet!$E$39:$BL$39))</f>
        <v>3594.8293227698605</v>
      </c>
      <c r="X48" s="382" cm="1">
        <f t="array" aca="1" ref="X48" ca="1">SUMPRODUCT(X$55:X$114,TRANSPOSE(SAP_Speadsheet!$E$39:$BL$39))</f>
        <v>3100.1240459896471</v>
      </c>
      <c r="Y48" s="382" cm="1">
        <f t="array" aca="1" ref="Y48" ca="1">SUMPRODUCT(Y$55:Y$114,TRANSPOSE(SAP_Speadsheet!$E$39:$BL$39))</f>
        <v>2689.4654513976916</v>
      </c>
      <c r="Z48" s="382" cm="1">
        <f t="array" aca="1" ref="Z48" ca="1">SUMPRODUCT(Z$55:Z$114,TRANSPOSE(SAP_Speadsheet!$E$39:$BL$39))</f>
        <v>2301.0688629767174</v>
      </c>
      <c r="AA48" s="382" cm="1">
        <f t="array" aca="1" ref="AA48" ca="1">SUMPRODUCT(AA$55:AA$114,TRANSPOSE(SAP_Speadsheet!$E$39:$BL$39))</f>
        <v>1935.4128163453154</v>
      </c>
      <c r="AB48" s="382" cm="1">
        <f t="array" aca="1" ref="AB48" ca="1">SUMPRODUCT(AB$55:AB$114,TRANSPOSE(SAP_Speadsheet!$E$39:$BL$39))</f>
        <v>1153.768685120858</v>
      </c>
      <c r="AC48" s="382" cm="1">
        <f t="array" aca="1" ref="AC48" ca="1">SUMPRODUCT(AC$55:AC$114,TRANSPOSE(SAP_Speadsheet!$E$39:$BL$39))</f>
        <v>518.49161170002412</v>
      </c>
      <c r="AD48" s="382" cm="1">
        <f t="array" aca="1" ref="AD48" ca="1">SUMPRODUCT(AD$55:AD$114,TRANSPOSE(SAP_Speadsheet!$E$39:$BL$39))</f>
        <v>0</v>
      </c>
      <c r="AE48" s="382" cm="1">
        <f t="array" aca="1" ref="AE48" ca="1">SUMPRODUCT(AE$55:AE$114,TRANSPOSE(SAP_Speadsheet!$E$39:$BL$39))</f>
        <v>0</v>
      </c>
      <c r="AF48" s="382" cm="1">
        <f t="array" aca="1" ref="AF48" ca="1">SUMPRODUCT(AF$55:AF$114,TRANSPOSE(SAP_Speadsheet!$E$39:$BL$39))</f>
        <v>0</v>
      </c>
      <c r="AG48" s="382" cm="1">
        <f t="array" aca="1" ref="AG48" ca="1">SUMPRODUCT(AG$55:AG$114,TRANSPOSE(SAP_Speadsheet!$E$39:$BL$39))</f>
        <v>0</v>
      </c>
      <c r="AH48" s="382" cm="1">
        <f t="array" aca="1" ref="AH48" ca="1">SUMPRODUCT(AH$55:AH$114,TRANSPOSE(SAP_Speadsheet!$E$39:$BL$39))</f>
        <v>0</v>
      </c>
      <c r="AI48" s="382" cm="1">
        <f t="array" aca="1" ref="AI48" ca="1">SUMPRODUCT(AI$55:AI$114,TRANSPOSE(SAP_Speadsheet!$E$39:$BL$39))</f>
        <v>0</v>
      </c>
      <c r="AJ48" s="382" cm="1">
        <f t="array" aca="1" ref="AJ48" ca="1">SUMPRODUCT(AJ$55:AJ$114,TRANSPOSE(SAP_Speadsheet!$E$39:$BL$39))</f>
        <v>0</v>
      </c>
      <c r="AK48" s="382" cm="1">
        <f t="array" aca="1" ref="AK48" ca="1">SUMPRODUCT(AK$55:AK$114,TRANSPOSE(SAP_Speadsheet!$E$39:$BL$39))</f>
        <v>0</v>
      </c>
      <c r="AL48" s="382" cm="1">
        <f t="array" aca="1" ref="AL48" ca="1">SUMPRODUCT(AL$55:AL$114,TRANSPOSE(SAP_Speadsheet!$E$39:$BL$39))</f>
        <v>0</v>
      </c>
      <c r="AM48" s="382" cm="1">
        <f t="array" aca="1" ref="AM48" ca="1">SUMPRODUCT(AM$55:AM$114,TRANSPOSE(SAP_Speadsheet!$E$39:$BL$39))</f>
        <v>0</v>
      </c>
      <c r="AN48" s="382" cm="1">
        <f t="array" aca="1" ref="AN48" ca="1">SUMPRODUCT(AN$55:AN$114,TRANSPOSE(SAP_Speadsheet!$E$39:$BL$39))</f>
        <v>0</v>
      </c>
      <c r="AO48" s="382" cm="1">
        <f t="array" aca="1" ref="AO48" ca="1">SUMPRODUCT(AO$55:AO$114,TRANSPOSE(SAP_Speadsheet!$E$39:$BL$39))</f>
        <v>0</v>
      </c>
      <c r="AP48" s="382" cm="1">
        <f t="array" aca="1" ref="AP48" ca="1">SUMPRODUCT(AP$55:AP$114,TRANSPOSE(SAP_Speadsheet!$E$39:$BL$39))</f>
        <v>0</v>
      </c>
      <c r="AQ48" s="382" cm="1">
        <f t="array" aca="1" ref="AQ48" ca="1">SUMPRODUCT(AQ$55:AQ$114,TRANSPOSE(SAP_Speadsheet!$E$39:$BL$39))</f>
        <v>0</v>
      </c>
      <c r="AR48" s="382" cm="1">
        <f t="array" aca="1" ref="AR48" ca="1">SUMPRODUCT(AR$55:AR$114,TRANSPOSE(SAP_Speadsheet!$E$39:$BL$39))</f>
        <v>0</v>
      </c>
      <c r="AS48" s="382" cm="1">
        <f t="array" aca="1" ref="AS48" ca="1">SUMPRODUCT(AS$55:AS$114,TRANSPOSE(SAP_Speadsheet!$E$39:$BL$39))</f>
        <v>0</v>
      </c>
      <c r="AT48" s="382" cm="1">
        <f t="array" aca="1" ref="AT48" ca="1">SUMPRODUCT(AT$55:AT$114,TRANSPOSE(SAP_Speadsheet!$E$39:$BL$39))</f>
        <v>0</v>
      </c>
      <c r="AU48" s="382" cm="1">
        <f t="array" aca="1" ref="AU48" ca="1">SUMPRODUCT(AU$55:AU$114,TRANSPOSE(SAP_Speadsheet!$E$39:$BL$39))</f>
        <v>0</v>
      </c>
      <c r="AV48" s="382" cm="1">
        <f t="array" aca="1" ref="AV48" ca="1">SUMPRODUCT(AV$55:AV$114,TRANSPOSE(SAP_Speadsheet!$E$39:$BL$39))</f>
        <v>0</v>
      </c>
      <c r="AW48" s="382" cm="1">
        <f t="array" aca="1" ref="AW48" ca="1">SUMPRODUCT(AW$55:AW$114,TRANSPOSE(SAP_Speadsheet!$E$39:$BL$39))</f>
        <v>0</v>
      </c>
      <c r="AX48" s="382" cm="1">
        <f t="array" aca="1" ref="AX48" ca="1">SUMPRODUCT(AX$55:AX$114,TRANSPOSE(SAP_Speadsheet!$E$39:$BL$39))</f>
        <v>0</v>
      </c>
      <c r="AY48" s="382" cm="1">
        <f t="array" aca="1" ref="AY48" ca="1">SUMPRODUCT(AY$55:AY$114,TRANSPOSE(SAP_Speadsheet!$E$39:$BL$39))</f>
        <v>0</v>
      </c>
      <c r="AZ48" s="382" cm="1">
        <f t="array" aca="1" ref="AZ48" ca="1">SUMPRODUCT(AZ$55:AZ$114,TRANSPOSE(SAP_Speadsheet!$E$39:$BL$39))</f>
        <v>0</v>
      </c>
      <c r="BA48" s="382" cm="1">
        <f t="array" aca="1" ref="BA48" ca="1">SUMPRODUCT(BA$55:BA$114,TRANSPOSE(SAP_Speadsheet!$E$39:$BL$39))</f>
        <v>0</v>
      </c>
      <c r="BB48" s="382" cm="1">
        <f t="array" aca="1" ref="BB48" ca="1">SUMPRODUCT(BB$55:BB$114,TRANSPOSE(SAP_Speadsheet!$E$39:$BL$39))</f>
        <v>0</v>
      </c>
      <c r="BC48" s="382" cm="1">
        <f t="array" aca="1" ref="BC48" ca="1">SUMPRODUCT(BC$55:BC$114,TRANSPOSE(SAP_Speadsheet!$E$39:$BL$39))</f>
        <v>0</v>
      </c>
      <c r="BD48" s="382" cm="1">
        <f t="array" aca="1" ref="BD48" ca="1">SUMPRODUCT(BD$55:BD$114,TRANSPOSE(SAP_Speadsheet!$E$39:$BL$39))</f>
        <v>0</v>
      </c>
      <c r="BE48" s="382" cm="1">
        <f t="array" aca="1" ref="BE48" ca="1">SUMPRODUCT(BE$55:BE$114,TRANSPOSE(SAP_Speadsheet!$E$39:$BL$39))</f>
        <v>0</v>
      </c>
      <c r="BF48" s="382" cm="1">
        <f t="array" aca="1" ref="BF48" ca="1">SUMPRODUCT(BF$55:BF$114,TRANSPOSE(SAP_Speadsheet!$E$39:$BL$39))</f>
        <v>0</v>
      </c>
      <c r="BG48" s="382" cm="1">
        <f t="array" aca="1" ref="BG48" ca="1">SUMPRODUCT(BG$55:BG$114,TRANSPOSE(SAP_Speadsheet!$E$39:$BL$39))</f>
        <v>0</v>
      </c>
      <c r="BH48" s="382" cm="1">
        <f t="array" aca="1" ref="BH48" ca="1">SUMPRODUCT(BH$55:BH$114,TRANSPOSE(SAP_Speadsheet!$E$39:$BL$39))</f>
        <v>0</v>
      </c>
      <c r="BI48" s="382" cm="1">
        <f t="array" aca="1" ref="BI48" ca="1">SUMPRODUCT(BI$55:BI$114,TRANSPOSE(SAP_Speadsheet!$E$39:$BL$39))</f>
        <v>0</v>
      </c>
    </row>
    <row r="49" spans="1:62" x14ac:dyDescent="0.15">
      <c r="A49" s="371" t="s">
        <v>511</v>
      </c>
      <c r="B49" s="382" cm="1">
        <f t="array" aca="1" ref="B49" ca="1">SUMPRODUCT(B$55:B$114,TRANSPOSE(SAP_Speadsheet!$E$40:$BL$40))</f>
        <v>0</v>
      </c>
      <c r="C49" s="382" cm="1">
        <f t="array" aca="1" ref="C49" ca="1">SUMPRODUCT(C$55:C$114,TRANSPOSE(SAP_Speadsheet!$E$40:$BL$40))</f>
        <v>0</v>
      </c>
      <c r="D49" s="382" cm="1">
        <f t="array" aca="1" ref="D49" ca="1">SUMPRODUCT(D$55:D$114,TRANSPOSE(SAP_Speadsheet!$E$40:$BL$40))</f>
        <v>0</v>
      </c>
      <c r="E49" s="382" cm="1">
        <f t="array" aca="1" ref="E49" ca="1">SUMPRODUCT(E$55:E$114,TRANSPOSE(SAP_Speadsheet!$E$40:$BL$40))</f>
        <v>0</v>
      </c>
      <c r="F49" s="382" cm="1">
        <f t="array" aca="1" ref="F49" ca="1">SUMPRODUCT(F$55:F$114,TRANSPOSE(SAP_Speadsheet!$E$40:$BL$40))</f>
        <v>0</v>
      </c>
      <c r="G49" s="382" cm="1">
        <f t="array" aca="1" ref="G49" ca="1">SUMPRODUCT(G$55:G$114,TRANSPOSE(SAP_Speadsheet!$E$40:$BL$40))</f>
        <v>0</v>
      </c>
      <c r="H49" s="382" cm="1">
        <f t="array" aca="1" ref="H49" ca="1">SUMPRODUCT(H$55:H$114,TRANSPOSE(SAP_Speadsheet!$E$40:$BL$40))</f>
        <v>0</v>
      </c>
      <c r="I49" s="382" cm="1">
        <f t="array" aca="1" ref="I49" ca="1">SUMPRODUCT(I$55:I$114,TRANSPOSE(SAP_Speadsheet!$E$40:$BL$40))</f>
        <v>0</v>
      </c>
      <c r="J49" s="382" cm="1">
        <f t="array" aca="1" ref="J49" ca="1">SUMPRODUCT(J$55:J$114,TRANSPOSE(SAP_Speadsheet!$E$40:$BL$40))</f>
        <v>0</v>
      </c>
      <c r="K49" s="382" cm="1">
        <f t="array" aca="1" ref="K49" ca="1">SUMPRODUCT(K$55:K$114,TRANSPOSE(SAP_Speadsheet!$E$40:$BL$40))</f>
        <v>0</v>
      </c>
      <c r="L49" s="382" cm="1">
        <f t="array" aca="1" ref="L49" ca="1">SUMPRODUCT(L$55:L$114,TRANSPOSE(SAP_Speadsheet!$E$40:$BL$40))</f>
        <v>0</v>
      </c>
      <c r="M49" s="382" cm="1">
        <f t="array" aca="1" ref="M49" ca="1">SUMPRODUCT(M$55:M$114,TRANSPOSE(SAP_Speadsheet!$E$40:$BL$40))</f>
        <v>0</v>
      </c>
      <c r="N49" s="382" cm="1">
        <f t="array" aca="1" ref="N49" ca="1">SUMPRODUCT(N$55:N$114,TRANSPOSE(SAP_Speadsheet!$E$40:$BL$40))</f>
        <v>0</v>
      </c>
      <c r="O49" s="382" cm="1">
        <f t="array" aca="1" ref="O49" ca="1">SUMPRODUCT(O$55:O$114,TRANSPOSE(SAP_Speadsheet!$E$40:$BL$40))</f>
        <v>0</v>
      </c>
      <c r="P49" s="382" cm="1">
        <f t="array" aca="1" ref="P49" ca="1">SUMPRODUCT(P$55:P$114,TRANSPOSE(SAP_Speadsheet!$E$40:$BL$40))</f>
        <v>0</v>
      </c>
      <c r="Q49" s="382" cm="1">
        <f t="array" aca="1" ref="Q49" ca="1">SUMPRODUCT(Q$55:Q$114,TRANSPOSE(SAP_Speadsheet!$E$40:$BL$40))</f>
        <v>0</v>
      </c>
      <c r="R49" s="382" cm="1">
        <f t="array" aca="1" ref="R49" ca="1">SUMPRODUCT(R$55:R$114,TRANSPOSE(SAP_Speadsheet!$E$40:$BL$40))</f>
        <v>0</v>
      </c>
      <c r="S49" s="382" cm="1">
        <f t="array" aca="1" ref="S49" ca="1">SUMPRODUCT(S$55:S$114,TRANSPOSE(SAP_Speadsheet!$E$40:$BL$40))</f>
        <v>0</v>
      </c>
      <c r="T49" s="382" cm="1">
        <f t="array" aca="1" ref="T49" ca="1">SUMPRODUCT(T$55:T$114,TRANSPOSE(SAP_Speadsheet!$E$40:$BL$40))</f>
        <v>2019.0655428141949</v>
      </c>
      <c r="U49" s="382" cm="1">
        <f t="array" aca="1" ref="U49" ca="1">SUMPRODUCT(U$55:U$114,TRANSPOSE(SAP_Speadsheet!$E$40:$BL$40))</f>
        <v>3608.2535863107105</v>
      </c>
      <c r="V49" s="382" cm="1">
        <f t="array" aca="1" ref="V49" ca="1">SUMPRODUCT(V$55:V$114,TRANSPOSE(SAP_Speadsheet!$E$40:$BL$40))</f>
        <v>4953.43577945989</v>
      </c>
      <c r="W49" s="382" cm="1">
        <f t="array" aca="1" ref="W49" ca="1">SUMPRODUCT(W$55:W$114,TRANSPOSE(SAP_Speadsheet!$E$40:$BL$40))</f>
        <v>4184.8287149192602</v>
      </c>
      <c r="X49" s="382" cm="1">
        <f t="array" aca="1" ref="X49" ca="1">SUMPRODUCT(X$55:X$114,TRANSPOSE(SAP_Speadsheet!$E$40:$BL$40))</f>
        <v>3594.8293227698605</v>
      </c>
      <c r="Y49" s="382" cm="1">
        <f t="array" aca="1" ref="Y49" ca="1">SUMPRODUCT(Y$55:Y$114,TRANSPOSE(SAP_Speadsheet!$E$40:$BL$40))</f>
        <v>3100.1240459896471</v>
      </c>
      <c r="Z49" s="382" cm="1">
        <f t="array" aca="1" ref="Z49" ca="1">SUMPRODUCT(Z$55:Z$114,TRANSPOSE(SAP_Speadsheet!$E$40:$BL$40))</f>
        <v>2689.4654513976916</v>
      </c>
      <c r="AA49" s="382" cm="1">
        <f t="array" aca="1" ref="AA49" ca="1">SUMPRODUCT(AA$55:AA$114,TRANSPOSE(SAP_Speadsheet!$E$40:$BL$40))</f>
        <v>2301.0688629767174</v>
      </c>
      <c r="AB49" s="382" cm="1">
        <f t="array" aca="1" ref="AB49" ca="1">SUMPRODUCT(AB$55:AB$114,TRANSPOSE(SAP_Speadsheet!$E$40:$BL$40))</f>
        <v>1386.0147561225381</v>
      </c>
      <c r="AC49" s="382" cm="1">
        <f t="array" aca="1" ref="AC49" ca="1">SUMPRODUCT(AC$55:AC$114,TRANSPOSE(SAP_Speadsheet!$E$40:$BL$40))</f>
        <v>630.42547975737841</v>
      </c>
      <c r="AD49" s="382" cm="1">
        <f t="array" aca="1" ref="AD49" ca="1">SUMPRODUCT(AD$55:AD$114,TRANSPOSE(SAP_Speadsheet!$E$40:$BL$40))</f>
        <v>0</v>
      </c>
      <c r="AE49" s="382" cm="1">
        <f t="array" aca="1" ref="AE49" ca="1">SUMPRODUCT(AE$55:AE$114,TRANSPOSE(SAP_Speadsheet!$E$40:$BL$40))</f>
        <v>0</v>
      </c>
      <c r="AF49" s="382" cm="1">
        <f t="array" aca="1" ref="AF49" ca="1">SUMPRODUCT(AF$55:AF$114,TRANSPOSE(SAP_Speadsheet!$E$40:$BL$40))</f>
        <v>0</v>
      </c>
      <c r="AG49" s="382" cm="1">
        <f t="array" aca="1" ref="AG49" ca="1">SUMPRODUCT(AG$55:AG$114,TRANSPOSE(SAP_Speadsheet!$E$40:$BL$40))</f>
        <v>0</v>
      </c>
      <c r="AH49" s="382" cm="1">
        <f t="array" aca="1" ref="AH49" ca="1">SUMPRODUCT(AH$55:AH$114,TRANSPOSE(SAP_Speadsheet!$E$40:$BL$40))</f>
        <v>0</v>
      </c>
      <c r="AI49" s="382" cm="1">
        <f t="array" aca="1" ref="AI49" ca="1">SUMPRODUCT(AI$55:AI$114,TRANSPOSE(SAP_Speadsheet!$E$40:$BL$40))</f>
        <v>0</v>
      </c>
      <c r="AJ49" s="382" cm="1">
        <f t="array" aca="1" ref="AJ49" ca="1">SUMPRODUCT(AJ$55:AJ$114,TRANSPOSE(SAP_Speadsheet!$E$40:$BL$40))</f>
        <v>0</v>
      </c>
      <c r="AK49" s="382" cm="1">
        <f t="array" aca="1" ref="AK49" ca="1">SUMPRODUCT(AK$55:AK$114,TRANSPOSE(SAP_Speadsheet!$E$40:$BL$40))</f>
        <v>0</v>
      </c>
      <c r="AL49" s="382" cm="1">
        <f t="array" aca="1" ref="AL49" ca="1">SUMPRODUCT(AL$55:AL$114,TRANSPOSE(SAP_Speadsheet!$E$40:$BL$40))</f>
        <v>0</v>
      </c>
      <c r="AM49" s="382" cm="1">
        <f t="array" aca="1" ref="AM49" ca="1">SUMPRODUCT(AM$55:AM$114,TRANSPOSE(SAP_Speadsheet!$E$40:$BL$40))</f>
        <v>0</v>
      </c>
      <c r="AN49" s="382" cm="1">
        <f t="array" aca="1" ref="AN49" ca="1">SUMPRODUCT(AN$55:AN$114,TRANSPOSE(SAP_Speadsheet!$E$40:$BL$40))</f>
        <v>0</v>
      </c>
      <c r="AO49" s="382" cm="1">
        <f t="array" aca="1" ref="AO49" ca="1">SUMPRODUCT(AO$55:AO$114,TRANSPOSE(SAP_Speadsheet!$E$40:$BL$40))</f>
        <v>0</v>
      </c>
      <c r="AP49" s="382" cm="1">
        <f t="array" aca="1" ref="AP49" ca="1">SUMPRODUCT(AP$55:AP$114,TRANSPOSE(SAP_Speadsheet!$E$40:$BL$40))</f>
        <v>0</v>
      </c>
      <c r="AQ49" s="382" cm="1">
        <f t="array" aca="1" ref="AQ49" ca="1">SUMPRODUCT(AQ$55:AQ$114,TRANSPOSE(SAP_Speadsheet!$E$40:$BL$40))</f>
        <v>0</v>
      </c>
      <c r="AR49" s="382" cm="1">
        <f t="array" aca="1" ref="AR49" ca="1">SUMPRODUCT(AR$55:AR$114,TRANSPOSE(SAP_Speadsheet!$E$40:$BL$40))</f>
        <v>0</v>
      </c>
      <c r="AS49" s="382" cm="1">
        <f t="array" aca="1" ref="AS49" ca="1">SUMPRODUCT(AS$55:AS$114,TRANSPOSE(SAP_Speadsheet!$E$40:$BL$40))</f>
        <v>0</v>
      </c>
      <c r="AT49" s="382" cm="1">
        <f t="array" aca="1" ref="AT49" ca="1">SUMPRODUCT(AT$55:AT$114,TRANSPOSE(SAP_Speadsheet!$E$40:$BL$40))</f>
        <v>0</v>
      </c>
      <c r="AU49" s="382" cm="1">
        <f t="array" aca="1" ref="AU49" ca="1">SUMPRODUCT(AU$55:AU$114,TRANSPOSE(SAP_Speadsheet!$E$40:$BL$40))</f>
        <v>0</v>
      </c>
      <c r="AV49" s="382" cm="1">
        <f t="array" aca="1" ref="AV49" ca="1">SUMPRODUCT(AV$55:AV$114,TRANSPOSE(SAP_Speadsheet!$E$40:$BL$40))</f>
        <v>0</v>
      </c>
      <c r="AW49" s="382" cm="1">
        <f t="array" aca="1" ref="AW49" ca="1">SUMPRODUCT(AW$55:AW$114,TRANSPOSE(SAP_Speadsheet!$E$40:$BL$40))</f>
        <v>0</v>
      </c>
      <c r="AX49" s="382" cm="1">
        <f t="array" aca="1" ref="AX49" ca="1">SUMPRODUCT(AX$55:AX$114,TRANSPOSE(SAP_Speadsheet!$E$40:$BL$40))</f>
        <v>0</v>
      </c>
      <c r="AY49" s="382" cm="1">
        <f t="array" aca="1" ref="AY49" ca="1">SUMPRODUCT(AY$55:AY$114,TRANSPOSE(SAP_Speadsheet!$E$40:$BL$40))</f>
        <v>0</v>
      </c>
      <c r="AZ49" s="382" cm="1">
        <f t="array" aca="1" ref="AZ49" ca="1">SUMPRODUCT(AZ$55:AZ$114,TRANSPOSE(SAP_Speadsheet!$E$40:$BL$40))</f>
        <v>0</v>
      </c>
      <c r="BA49" s="382" cm="1">
        <f t="array" aca="1" ref="BA49" ca="1">SUMPRODUCT(BA$55:BA$114,TRANSPOSE(SAP_Speadsheet!$E$40:$BL$40))</f>
        <v>0</v>
      </c>
      <c r="BB49" s="382" cm="1">
        <f t="array" aca="1" ref="BB49" ca="1">SUMPRODUCT(BB$55:BB$114,TRANSPOSE(SAP_Speadsheet!$E$40:$BL$40))</f>
        <v>0</v>
      </c>
      <c r="BC49" s="382" cm="1">
        <f t="array" aca="1" ref="BC49" ca="1">SUMPRODUCT(BC$55:BC$114,TRANSPOSE(SAP_Speadsheet!$E$40:$BL$40))</f>
        <v>0</v>
      </c>
      <c r="BD49" s="382" cm="1">
        <f t="array" aca="1" ref="BD49" ca="1">SUMPRODUCT(BD$55:BD$114,TRANSPOSE(SAP_Speadsheet!$E$40:$BL$40))</f>
        <v>0</v>
      </c>
      <c r="BE49" s="382" cm="1">
        <f t="array" aca="1" ref="BE49" ca="1">SUMPRODUCT(BE$55:BE$114,TRANSPOSE(SAP_Speadsheet!$E$40:$BL$40))</f>
        <v>0</v>
      </c>
      <c r="BF49" s="382" cm="1">
        <f t="array" aca="1" ref="BF49" ca="1">SUMPRODUCT(BF$55:BF$114,TRANSPOSE(SAP_Speadsheet!$E$40:$BL$40))</f>
        <v>0</v>
      </c>
      <c r="BG49" s="382" cm="1">
        <f t="array" aca="1" ref="BG49" ca="1">SUMPRODUCT(BG$55:BG$114,TRANSPOSE(SAP_Speadsheet!$E$40:$BL$40))</f>
        <v>0</v>
      </c>
      <c r="BH49" s="382" cm="1">
        <f t="array" aca="1" ref="BH49" ca="1">SUMPRODUCT(BH$55:BH$114,TRANSPOSE(SAP_Speadsheet!$E$40:$BL$40))</f>
        <v>0</v>
      </c>
      <c r="BI49" s="382" cm="1">
        <f t="array" aca="1" ref="BI49" ca="1">SUMPRODUCT(BI$55:BI$114,TRANSPOSE(SAP_Speadsheet!$E$40:$BL$40))</f>
        <v>0</v>
      </c>
    </row>
    <row r="50" spans="1:62" x14ac:dyDescent="0.15">
      <c r="A50" s="371" t="s">
        <v>431</v>
      </c>
      <c r="B50" s="382" cm="1">
        <f t="array" aca="1" ref="B50" ca="1">SUMPRODUCT(B$55:B$114,TRANSPOSE(SAP_Speadsheet!$E$41:$BL$41))</f>
        <v>0</v>
      </c>
      <c r="C50" s="382" cm="1">
        <f t="array" aca="1" ref="C50" ca="1">SUMPRODUCT(C$55:C$114,TRANSPOSE(SAP_Speadsheet!$E$41:$BL$41))</f>
        <v>0</v>
      </c>
      <c r="D50" s="382" cm="1">
        <f t="array" aca="1" ref="D50" ca="1">SUMPRODUCT(D$55:D$114,TRANSPOSE(SAP_Speadsheet!$E$41:$BL$41))</f>
        <v>0</v>
      </c>
      <c r="E50" s="382" cm="1">
        <f t="array" aca="1" ref="E50" ca="1">SUMPRODUCT(E$55:E$114,TRANSPOSE(SAP_Speadsheet!$E$41:$BL$41))</f>
        <v>0</v>
      </c>
      <c r="F50" s="382" cm="1">
        <f t="array" aca="1" ref="F50" ca="1">SUMPRODUCT(F$55:F$114,TRANSPOSE(SAP_Speadsheet!$E$41:$BL$41))</f>
        <v>0</v>
      </c>
      <c r="G50" s="382" cm="1">
        <f t="array" aca="1" ref="G50" ca="1">SUMPRODUCT(G$55:G$114,TRANSPOSE(SAP_Speadsheet!$E$41:$BL$41))</f>
        <v>0</v>
      </c>
      <c r="H50" s="382" cm="1">
        <f t="array" aca="1" ref="H50" ca="1">SUMPRODUCT(H$55:H$114,TRANSPOSE(SAP_Speadsheet!$E$41:$BL$41))</f>
        <v>0</v>
      </c>
      <c r="I50" s="382" cm="1">
        <f t="array" aca="1" ref="I50" ca="1">SUMPRODUCT(I$55:I$114,TRANSPOSE(SAP_Speadsheet!$E$41:$BL$41))</f>
        <v>0</v>
      </c>
      <c r="J50" s="382" cm="1">
        <f t="array" aca="1" ref="J50" ca="1">SUMPRODUCT(J$55:J$114,TRANSPOSE(SAP_Speadsheet!$E$41:$BL$41))</f>
        <v>0</v>
      </c>
      <c r="K50" s="382" cm="1">
        <f t="array" aca="1" ref="K50" ca="1">SUMPRODUCT(K$55:K$114,TRANSPOSE(SAP_Speadsheet!$E$41:$BL$41))</f>
        <v>0</v>
      </c>
      <c r="L50" s="382" cm="1">
        <f t="array" aca="1" ref="L50" ca="1">SUMPRODUCT(L$55:L$114,TRANSPOSE(SAP_Speadsheet!$E$41:$BL$41))</f>
        <v>0</v>
      </c>
      <c r="M50" s="382" cm="1">
        <f t="array" aca="1" ref="M50" ca="1">SUMPRODUCT(M$55:M$114,TRANSPOSE(SAP_Speadsheet!$E$41:$BL$41))</f>
        <v>0</v>
      </c>
      <c r="N50" s="382" cm="1">
        <f t="array" aca="1" ref="N50" ca="1">SUMPRODUCT(N$55:N$114,TRANSPOSE(SAP_Speadsheet!$E$41:$BL$41))</f>
        <v>0</v>
      </c>
      <c r="O50" s="382" cm="1">
        <f t="array" aca="1" ref="O50" ca="1">SUMPRODUCT(O$55:O$114,TRANSPOSE(SAP_Speadsheet!$E$41:$BL$41))</f>
        <v>0</v>
      </c>
      <c r="P50" s="382" cm="1">
        <f t="array" aca="1" ref="P50" ca="1">SUMPRODUCT(P$55:P$114,TRANSPOSE(SAP_Speadsheet!$E$41:$BL$41))</f>
        <v>0</v>
      </c>
      <c r="Q50" s="382" cm="1">
        <f t="array" aca="1" ref="Q50" ca="1">SUMPRODUCT(Q$55:Q$114,TRANSPOSE(SAP_Speadsheet!$E$41:$BL$41))</f>
        <v>0</v>
      </c>
      <c r="R50" s="382" cm="1">
        <f t="array" aca="1" ref="R50" ca="1">SUMPRODUCT(R$55:R$114,TRANSPOSE(SAP_Speadsheet!$E$41:$BL$41))</f>
        <v>0</v>
      </c>
      <c r="S50" s="382" cm="1">
        <f t="array" aca="1" ref="S50" ca="1">SUMPRODUCT(S$55:S$114,TRANSPOSE(SAP_Speadsheet!$E$41:$BL$41))</f>
        <v>0</v>
      </c>
      <c r="T50" s="382" cm="1">
        <f t="array" aca="1" ref="T50" ca="1">SUMPRODUCT(T$55:T$114,TRANSPOSE(SAP_Speadsheet!$E$41:$BL$41))</f>
        <v>0</v>
      </c>
      <c r="U50" s="382" cm="1">
        <f t="array" aca="1" ref="U50" ca="1">SUMPRODUCT(U$55:U$114,TRANSPOSE(SAP_Speadsheet!$E$41:$BL$41))</f>
        <v>2019.0655428141949</v>
      </c>
      <c r="V50" s="382" cm="1">
        <f t="array" aca="1" ref="V50" ca="1">SUMPRODUCT(V$55:V$114,TRANSPOSE(SAP_Speadsheet!$E$41:$BL$41))</f>
        <v>5627.319129124905</v>
      </c>
      <c r="W50" s="382" cm="1">
        <f t="array" aca="1" ref="W50" ca="1">SUMPRODUCT(W$55:W$114,TRANSPOSE(SAP_Speadsheet!$E$41:$BL$41))</f>
        <v>10580.754908584793</v>
      </c>
      <c r="X50" s="382" cm="1">
        <f t="array" aca="1" ref="X50" ca="1">SUMPRODUCT(X$55:X$114,TRANSPOSE(SAP_Speadsheet!$E$41:$BL$41))</f>
        <v>14765.583623504055</v>
      </c>
      <c r="Y50" s="382" cm="1">
        <f t="array" aca="1" ref="Y50" ca="1">SUMPRODUCT(Y$55:Y$114,TRANSPOSE(SAP_Speadsheet!$E$41:$BL$41))</f>
        <v>18360.412946273915</v>
      </c>
      <c r="Z50" s="382" cm="1">
        <f t="array" aca="1" ref="Z50" ca="1">SUMPRODUCT(Z$55:Z$114,TRANSPOSE(SAP_Speadsheet!$E$41:$BL$41))</f>
        <v>21460.536992263565</v>
      </c>
      <c r="AA50" s="382" cm="1">
        <f t="array" aca="1" ref="AA50" ca="1">SUMPRODUCT(AA$55:AA$114,TRANSPOSE(SAP_Speadsheet!$E$41:$BL$41))</f>
        <v>24150.002443661258</v>
      </c>
      <c r="AB50" s="382" cm="1">
        <f t="array" aca="1" ref="AB50" ca="1">SUMPRODUCT(AB$55:AB$114,TRANSPOSE(SAP_Speadsheet!$E$41:$BL$41))</f>
        <v>16622.21731293367</v>
      </c>
      <c r="AC50" s="382" cm="1">
        <f t="array" aca="1" ref="AC50" ca="1">SUMPRODUCT(AC$55:AC$114,TRANSPOSE(SAP_Speadsheet!$E$41:$BL$41))</f>
        <v>8645.5052475799112</v>
      </c>
      <c r="AD50" s="382" cm="1">
        <f t="array" aca="1" ref="AD50" ca="1">SUMPRODUCT(AD$55:AD$114,TRANSPOSE(SAP_Speadsheet!$E$41:$BL$41))</f>
        <v>0</v>
      </c>
      <c r="AE50" s="382" cm="1">
        <f t="array" aca="1" ref="AE50" ca="1">SUMPRODUCT(AE$55:AE$114,TRANSPOSE(SAP_Speadsheet!$E$41:$BL$41))</f>
        <v>0</v>
      </c>
      <c r="AF50" s="382" cm="1">
        <f t="array" aca="1" ref="AF50" ca="1">SUMPRODUCT(AF$55:AF$114,TRANSPOSE(SAP_Speadsheet!$E$41:$BL$41))</f>
        <v>0</v>
      </c>
      <c r="AG50" s="382" cm="1">
        <f t="array" aca="1" ref="AG50" ca="1">SUMPRODUCT(AG$55:AG$114,TRANSPOSE(SAP_Speadsheet!$E$41:$BL$41))</f>
        <v>0</v>
      </c>
      <c r="AH50" s="382" cm="1">
        <f t="array" aca="1" ref="AH50" ca="1">SUMPRODUCT(AH$55:AH$114,TRANSPOSE(SAP_Speadsheet!$E$41:$BL$41))</f>
        <v>0</v>
      </c>
      <c r="AI50" s="382" cm="1">
        <f t="array" aca="1" ref="AI50" ca="1">SUMPRODUCT(AI$55:AI$114,TRANSPOSE(SAP_Speadsheet!$E$41:$BL$41))</f>
        <v>0</v>
      </c>
      <c r="AJ50" s="382" cm="1">
        <f t="array" aca="1" ref="AJ50" ca="1">SUMPRODUCT(AJ$55:AJ$114,TRANSPOSE(SAP_Speadsheet!$E$41:$BL$41))</f>
        <v>0</v>
      </c>
      <c r="AK50" s="382" cm="1">
        <f t="array" aca="1" ref="AK50" ca="1">SUMPRODUCT(AK$55:AK$114,TRANSPOSE(SAP_Speadsheet!$E$41:$BL$41))</f>
        <v>0</v>
      </c>
      <c r="AL50" s="382" cm="1">
        <f t="array" aca="1" ref="AL50" ca="1">SUMPRODUCT(AL$55:AL$114,TRANSPOSE(SAP_Speadsheet!$E$41:$BL$41))</f>
        <v>0</v>
      </c>
      <c r="AM50" s="382" cm="1">
        <f t="array" aca="1" ref="AM50" ca="1">SUMPRODUCT(AM$55:AM$114,TRANSPOSE(SAP_Speadsheet!$E$41:$BL$41))</f>
        <v>0</v>
      </c>
      <c r="AN50" s="382" cm="1">
        <f t="array" aca="1" ref="AN50" ca="1">SUMPRODUCT(AN$55:AN$114,TRANSPOSE(SAP_Speadsheet!$E$41:$BL$41))</f>
        <v>0</v>
      </c>
      <c r="AO50" s="382" cm="1">
        <f t="array" aca="1" ref="AO50" ca="1">SUMPRODUCT(AO$55:AO$114,TRANSPOSE(SAP_Speadsheet!$E$41:$BL$41))</f>
        <v>0</v>
      </c>
      <c r="AP50" s="382" cm="1">
        <f t="array" aca="1" ref="AP50" ca="1">SUMPRODUCT(AP$55:AP$114,TRANSPOSE(SAP_Speadsheet!$E$41:$BL$41))</f>
        <v>0</v>
      </c>
      <c r="AQ50" s="382" cm="1">
        <f t="array" aca="1" ref="AQ50" ca="1">SUMPRODUCT(AQ$55:AQ$114,TRANSPOSE(SAP_Speadsheet!$E$41:$BL$41))</f>
        <v>0</v>
      </c>
      <c r="AR50" s="382" cm="1">
        <f t="array" aca="1" ref="AR50" ca="1">SUMPRODUCT(AR$55:AR$114,TRANSPOSE(SAP_Speadsheet!$E$41:$BL$41))</f>
        <v>0</v>
      </c>
      <c r="AS50" s="382" cm="1">
        <f t="array" aca="1" ref="AS50" ca="1">SUMPRODUCT(AS$55:AS$114,TRANSPOSE(SAP_Speadsheet!$E$41:$BL$41))</f>
        <v>0</v>
      </c>
      <c r="AT50" s="382" cm="1">
        <f t="array" aca="1" ref="AT50" ca="1">SUMPRODUCT(AT$55:AT$114,TRANSPOSE(SAP_Speadsheet!$E$41:$BL$41))</f>
        <v>0</v>
      </c>
      <c r="AU50" s="382" cm="1">
        <f t="array" aca="1" ref="AU50" ca="1">SUMPRODUCT(AU$55:AU$114,TRANSPOSE(SAP_Speadsheet!$E$41:$BL$41))</f>
        <v>0</v>
      </c>
      <c r="AV50" s="382" cm="1">
        <f t="array" aca="1" ref="AV50" ca="1">SUMPRODUCT(AV$55:AV$114,TRANSPOSE(SAP_Speadsheet!$E$41:$BL$41))</f>
        <v>0</v>
      </c>
      <c r="AW50" s="382" cm="1">
        <f t="array" aca="1" ref="AW50" ca="1">SUMPRODUCT(AW$55:AW$114,TRANSPOSE(SAP_Speadsheet!$E$41:$BL$41))</f>
        <v>0</v>
      </c>
      <c r="AX50" s="382" cm="1">
        <f t="array" aca="1" ref="AX50" ca="1">SUMPRODUCT(AX$55:AX$114,TRANSPOSE(SAP_Speadsheet!$E$41:$BL$41))</f>
        <v>0</v>
      </c>
      <c r="AY50" s="382" cm="1">
        <f t="array" aca="1" ref="AY50" ca="1">SUMPRODUCT(AY$55:AY$114,TRANSPOSE(SAP_Speadsheet!$E$41:$BL$41))</f>
        <v>0</v>
      </c>
      <c r="AZ50" s="382" cm="1">
        <f t="array" aca="1" ref="AZ50" ca="1">SUMPRODUCT(AZ$55:AZ$114,TRANSPOSE(SAP_Speadsheet!$E$41:$BL$41))</f>
        <v>0</v>
      </c>
      <c r="BA50" s="382" cm="1">
        <f t="array" aca="1" ref="BA50" ca="1">SUMPRODUCT(BA$55:BA$114,TRANSPOSE(SAP_Speadsheet!$E$41:$BL$41))</f>
        <v>0</v>
      </c>
      <c r="BB50" s="382" cm="1">
        <f t="array" aca="1" ref="BB50" ca="1">SUMPRODUCT(BB$55:BB$114,TRANSPOSE(SAP_Speadsheet!$E$41:$BL$41))</f>
        <v>0</v>
      </c>
      <c r="BC50" s="382" cm="1">
        <f t="array" aca="1" ref="BC50" ca="1">SUMPRODUCT(BC$55:BC$114,TRANSPOSE(SAP_Speadsheet!$E$41:$BL$41))</f>
        <v>0</v>
      </c>
      <c r="BD50" s="382" cm="1">
        <f t="array" aca="1" ref="BD50" ca="1">SUMPRODUCT(BD$55:BD$114,TRANSPOSE(SAP_Speadsheet!$E$41:$BL$41))</f>
        <v>0</v>
      </c>
      <c r="BE50" s="382" cm="1">
        <f t="array" aca="1" ref="BE50" ca="1">SUMPRODUCT(BE$55:BE$114,TRANSPOSE(SAP_Speadsheet!$E$41:$BL$41))</f>
        <v>0</v>
      </c>
      <c r="BF50" s="382" cm="1">
        <f t="array" aca="1" ref="BF50" ca="1">SUMPRODUCT(BF$55:BF$114,TRANSPOSE(SAP_Speadsheet!$E$41:$BL$41))</f>
        <v>0</v>
      </c>
      <c r="BG50" s="382" cm="1">
        <f t="array" aca="1" ref="BG50" ca="1">SUMPRODUCT(BG$55:BG$114,TRANSPOSE(SAP_Speadsheet!$E$41:$BL$41))</f>
        <v>0</v>
      </c>
      <c r="BH50" s="382" cm="1">
        <f t="array" aca="1" ref="BH50" ca="1">SUMPRODUCT(BH$55:BH$114,TRANSPOSE(SAP_Speadsheet!$E$41:$BL$41))</f>
        <v>0</v>
      </c>
      <c r="BI50" s="382" cm="1">
        <f t="array" aca="1" ref="BI50" ca="1">SUMPRODUCT(BI$55:BI$114,TRANSPOSE(SAP_Speadsheet!$E$41:$BL$41))</f>
        <v>0</v>
      </c>
    </row>
    <row r="51" spans="1:62" s="389" customFormat="1" x14ac:dyDescent="0.15">
      <c r="A51" s="384" t="s">
        <v>478</v>
      </c>
      <c r="B51" s="388">
        <f t="shared" ref="B51:BI51" ca="1" si="6">SUM(B36:B50)-B7</f>
        <v>0</v>
      </c>
      <c r="C51" s="388">
        <f t="shared" ca="1" si="6"/>
        <v>0</v>
      </c>
      <c r="D51" s="388">
        <f t="shared" ca="1" si="6"/>
        <v>0</v>
      </c>
      <c r="E51" s="388">
        <f t="shared" ca="1" si="6"/>
        <v>0</v>
      </c>
      <c r="F51" s="388">
        <f t="shared" ca="1" si="6"/>
        <v>0</v>
      </c>
      <c r="G51" s="388">
        <f t="shared" ca="1" si="6"/>
        <v>0</v>
      </c>
      <c r="H51" s="388">
        <f t="shared" ca="1" si="6"/>
        <v>0</v>
      </c>
      <c r="I51" s="388">
        <f t="shared" ca="1" si="6"/>
        <v>0</v>
      </c>
      <c r="J51" s="388">
        <f t="shared" ca="1" si="6"/>
        <v>0</v>
      </c>
      <c r="K51" s="388">
        <f t="shared" ca="1" si="6"/>
        <v>0</v>
      </c>
      <c r="L51" s="388">
        <f t="shared" ca="1" si="6"/>
        <v>0</v>
      </c>
      <c r="M51" s="388">
        <f t="shared" ca="1" si="6"/>
        <v>0</v>
      </c>
      <c r="N51" s="388">
        <f t="shared" ca="1" si="6"/>
        <v>0</v>
      </c>
      <c r="O51" s="388">
        <f t="shared" ca="1" si="6"/>
        <v>0</v>
      </c>
      <c r="P51" s="388">
        <f t="shared" ca="1" si="6"/>
        <v>0</v>
      </c>
      <c r="Q51" s="388">
        <f t="shared" ca="1" si="6"/>
        <v>0</v>
      </c>
      <c r="R51" s="388">
        <f t="shared" ca="1" si="6"/>
        <v>0</v>
      </c>
      <c r="S51" s="388">
        <f t="shared" ca="1" si="6"/>
        <v>0</v>
      </c>
      <c r="T51" s="388">
        <f t="shared" ca="1" si="6"/>
        <v>0</v>
      </c>
      <c r="U51" s="388">
        <f t="shared" ca="1" si="6"/>
        <v>0</v>
      </c>
      <c r="V51" s="388">
        <f t="shared" ca="1" si="6"/>
        <v>0</v>
      </c>
      <c r="W51" s="388">
        <f t="shared" ca="1" si="6"/>
        <v>0</v>
      </c>
      <c r="X51" s="388">
        <f t="shared" ca="1" si="6"/>
        <v>0</v>
      </c>
      <c r="Y51" s="388">
        <f t="shared" ca="1" si="6"/>
        <v>0</v>
      </c>
      <c r="Z51" s="388">
        <f t="shared" ca="1" si="6"/>
        <v>0</v>
      </c>
      <c r="AA51" s="388">
        <f t="shared" ca="1" si="6"/>
        <v>0</v>
      </c>
      <c r="AB51" s="388">
        <f t="shared" ca="1" si="6"/>
        <v>0</v>
      </c>
      <c r="AC51" s="388">
        <f t="shared" ca="1" si="6"/>
        <v>0</v>
      </c>
      <c r="AD51" s="388">
        <f t="shared" ca="1" si="6"/>
        <v>0</v>
      </c>
      <c r="AE51" s="388">
        <f t="shared" ca="1" si="6"/>
        <v>0</v>
      </c>
      <c r="AF51" s="388">
        <f t="shared" ca="1" si="6"/>
        <v>0</v>
      </c>
      <c r="AG51" s="388">
        <f t="shared" ca="1" si="6"/>
        <v>0</v>
      </c>
      <c r="AH51" s="388">
        <f t="shared" ca="1" si="6"/>
        <v>0</v>
      </c>
      <c r="AI51" s="388">
        <f t="shared" ca="1" si="6"/>
        <v>0</v>
      </c>
      <c r="AJ51" s="388">
        <f t="shared" ca="1" si="6"/>
        <v>0</v>
      </c>
      <c r="AK51" s="388">
        <f t="shared" ca="1" si="6"/>
        <v>0</v>
      </c>
      <c r="AL51" s="388">
        <f t="shared" ca="1" si="6"/>
        <v>0</v>
      </c>
      <c r="AM51" s="388">
        <f t="shared" ca="1" si="6"/>
        <v>0</v>
      </c>
      <c r="AN51" s="388">
        <f t="shared" ca="1" si="6"/>
        <v>0</v>
      </c>
      <c r="AO51" s="388">
        <f t="shared" ca="1" si="6"/>
        <v>0</v>
      </c>
      <c r="AP51" s="388">
        <f t="shared" ca="1" si="6"/>
        <v>0</v>
      </c>
      <c r="AQ51" s="388">
        <f t="shared" ca="1" si="6"/>
        <v>0</v>
      </c>
      <c r="AR51" s="388">
        <f t="shared" ca="1" si="6"/>
        <v>0</v>
      </c>
      <c r="AS51" s="388">
        <f t="shared" ca="1" si="6"/>
        <v>0</v>
      </c>
      <c r="AT51" s="388">
        <f t="shared" ca="1" si="6"/>
        <v>0</v>
      </c>
      <c r="AU51" s="388">
        <f t="shared" ca="1" si="6"/>
        <v>0</v>
      </c>
      <c r="AV51" s="388">
        <f t="shared" ca="1" si="6"/>
        <v>0</v>
      </c>
      <c r="AW51" s="388">
        <f t="shared" ca="1" si="6"/>
        <v>0</v>
      </c>
      <c r="AX51" s="388">
        <f t="shared" ca="1" si="6"/>
        <v>0</v>
      </c>
      <c r="AY51" s="388">
        <f t="shared" ca="1" si="6"/>
        <v>0</v>
      </c>
      <c r="AZ51" s="388">
        <f t="shared" ca="1" si="6"/>
        <v>0</v>
      </c>
      <c r="BA51" s="388">
        <f t="shared" ca="1" si="6"/>
        <v>0</v>
      </c>
      <c r="BB51" s="388">
        <f t="shared" ca="1" si="6"/>
        <v>0</v>
      </c>
      <c r="BC51" s="388">
        <f t="shared" ca="1" si="6"/>
        <v>0</v>
      </c>
      <c r="BD51" s="388">
        <f t="shared" ca="1" si="6"/>
        <v>0</v>
      </c>
      <c r="BE51" s="388">
        <f t="shared" ca="1" si="6"/>
        <v>0</v>
      </c>
      <c r="BF51" s="388">
        <f t="shared" ca="1" si="6"/>
        <v>0</v>
      </c>
      <c r="BG51" s="388">
        <f t="shared" ca="1" si="6"/>
        <v>0</v>
      </c>
      <c r="BH51" s="388">
        <f t="shared" ca="1" si="6"/>
        <v>0</v>
      </c>
      <c r="BI51" s="388">
        <f t="shared" ca="1" si="6"/>
        <v>0</v>
      </c>
    </row>
    <row r="52" spans="1:62" x14ac:dyDescent="0.15">
      <c r="A52" s="384"/>
      <c r="B52" s="388"/>
      <c r="C52" s="388"/>
      <c r="D52" s="388"/>
      <c r="E52" s="388"/>
      <c r="F52" s="388"/>
      <c r="G52" s="388"/>
      <c r="H52" s="388"/>
      <c r="I52" s="388"/>
      <c r="J52" s="388"/>
      <c r="K52" s="388"/>
      <c r="L52" s="388"/>
      <c r="M52" s="388"/>
      <c r="N52" s="388"/>
      <c r="O52" s="388"/>
      <c r="P52" s="388"/>
      <c r="Q52" s="388"/>
      <c r="R52" s="388"/>
      <c r="S52" s="388"/>
      <c r="T52" s="388"/>
      <c r="U52" s="388"/>
      <c r="V52" s="388"/>
      <c r="W52" s="388"/>
      <c r="X52" s="388"/>
      <c r="Y52" s="388"/>
      <c r="Z52" s="388"/>
      <c r="AA52" s="388"/>
      <c r="AB52" s="388"/>
      <c r="AC52" s="388"/>
      <c r="AD52" s="388"/>
      <c r="AE52" s="388"/>
      <c r="AF52" s="388"/>
      <c r="AG52" s="388"/>
      <c r="AH52" s="388"/>
      <c r="AI52" s="388"/>
      <c r="AJ52" s="388"/>
      <c r="AK52" s="388"/>
      <c r="AL52" s="388"/>
      <c r="AM52" s="388"/>
      <c r="AN52" s="388"/>
      <c r="AO52" s="388"/>
      <c r="AP52" s="388"/>
      <c r="AQ52" s="388"/>
      <c r="AR52" s="388"/>
      <c r="AS52" s="388"/>
      <c r="AT52" s="388"/>
      <c r="AU52" s="388"/>
      <c r="AV52" s="388"/>
      <c r="AW52" s="388"/>
      <c r="AX52" s="388"/>
      <c r="AY52" s="388"/>
      <c r="AZ52" s="388"/>
      <c r="BA52" s="388"/>
      <c r="BB52" s="388"/>
      <c r="BC52" s="388"/>
      <c r="BD52" s="388"/>
      <c r="BE52" s="388"/>
      <c r="BF52" s="388"/>
      <c r="BG52" s="388"/>
      <c r="BH52" s="388"/>
      <c r="BI52" s="388"/>
    </row>
    <row r="53" spans="1:62" s="389" customFormat="1" x14ac:dyDescent="0.15">
      <c r="A53" s="384"/>
    </row>
    <row r="54" spans="1:62" s="370" customFormat="1" outlineLevel="1" x14ac:dyDescent="0.15">
      <c r="A54" s="390" t="s">
        <v>512</v>
      </c>
      <c r="B54" s="391">
        <f>ROUND('Saleplan&amp;PnL'!D6*1000/Leadsheet!$E$10,0)</f>
        <v>0</v>
      </c>
      <c r="C54" s="391">
        <f>ROUND('Saleplan&amp;PnL'!E6*1000/Leadsheet!$E$10,0)</f>
        <v>0</v>
      </c>
      <c r="D54" s="391">
        <f>ROUND('Saleplan&amp;PnL'!F6*1000/Leadsheet!$E$10,0)</f>
        <v>0</v>
      </c>
      <c r="E54" s="391">
        <f>ROUND('Saleplan&amp;PnL'!G6*1000/Leadsheet!$E$10,0)</f>
        <v>0</v>
      </c>
      <c r="F54" s="391">
        <f>ROUND('Saleplan&amp;PnL'!H6*1000/Leadsheet!$E$10,0)</f>
        <v>0</v>
      </c>
      <c r="G54" s="391">
        <f>ROUND('Saleplan&amp;PnL'!I6*1000/Leadsheet!$E$10,0)</f>
        <v>0</v>
      </c>
      <c r="H54" s="391">
        <f>ROUND('Saleplan&amp;PnL'!J6*1000/Leadsheet!$E$10,0)</f>
        <v>6115</v>
      </c>
      <c r="I54" s="391">
        <f>ROUND('Saleplan&amp;PnL'!K6*1000/Leadsheet!$E$10,0)</f>
        <v>5825</v>
      </c>
      <c r="J54" s="391">
        <f>ROUND('Saleplan&amp;PnL'!L6*1000/Leadsheet!$E$10,0)</f>
        <v>5771</v>
      </c>
      <c r="K54" s="391">
        <f>ROUND('Saleplan&amp;PnL'!M6*1000/Leadsheet!$E$10,0)</f>
        <v>0</v>
      </c>
      <c r="L54" s="391">
        <f>ROUND('Saleplan&amp;PnL'!N6*1000/Leadsheet!$E$10,0)</f>
        <v>0</v>
      </c>
      <c r="M54" s="391">
        <f>ROUND('Saleplan&amp;PnL'!O6*1000/Leadsheet!$E$10,0)</f>
        <v>0</v>
      </c>
      <c r="N54" s="391">
        <f>ROUND('Saleplan&amp;PnL'!P6*1000/Leadsheet!$E$10,0)</f>
        <v>0</v>
      </c>
      <c r="O54" s="391">
        <f>ROUND('Saleplan&amp;PnL'!Q6*1000/Leadsheet!$E$10,0)</f>
        <v>0</v>
      </c>
      <c r="P54" s="391">
        <f>ROUND('Saleplan&amp;PnL'!R6*1000/Leadsheet!$E$10,0)</f>
        <v>0</v>
      </c>
      <c r="Q54" s="391">
        <f>ROUND('Saleplan&amp;PnL'!S6*1000/Leadsheet!$E$10,0)</f>
        <v>0</v>
      </c>
      <c r="R54" s="391">
        <f>ROUND('Saleplan&amp;PnL'!T6*1000/Leadsheet!$E$10,0)</f>
        <v>0</v>
      </c>
      <c r="S54" s="391">
        <f>ROUND('Saleplan&amp;PnL'!U6*1000/Leadsheet!$E$10,0)</f>
        <v>0</v>
      </c>
      <c r="T54" s="391">
        <f>ROUND('Saleplan&amp;PnL'!V6*1000/Leadsheet!$E$10,0)</f>
        <v>0</v>
      </c>
      <c r="U54" s="391">
        <f>ROUND('Saleplan&amp;PnL'!W6*1000/Leadsheet!$E$10,0)</f>
        <v>0</v>
      </c>
      <c r="V54" s="391">
        <f>ROUND('Saleplan&amp;PnL'!X6*1000/Leadsheet!$E$10,0)</f>
        <v>0</v>
      </c>
      <c r="W54" s="391">
        <f>ROUND('Saleplan&amp;PnL'!Y6*1000/Leadsheet!$E$10,0)</f>
        <v>0</v>
      </c>
      <c r="X54" s="391">
        <f>ROUND('Saleplan&amp;PnL'!Z6*1000/Leadsheet!$E$10,0)</f>
        <v>0</v>
      </c>
      <c r="Y54" s="391">
        <f>ROUND('Saleplan&amp;PnL'!AA6*1000/Leadsheet!$E$10,0)</f>
        <v>0</v>
      </c>
      <c r="Z54" s="391">
        <f>ROUND('Saleplan&amp;PnL'!AB6*1000/Leadsheet!$E$10,0)</f>
        <v>0</v>
      </c>
      <c r="AA54" s="391">
        <f>ROUND('Saleplan&amp;PnL'!AC6*1000/Leadsheet!$E$10,0)</f>
        <v>0</v>
      </c>
      <c r="AB54" s="391">
        <f>ROUND('Saleplan&amp;PnL'!AD6*1000/Leadsheet!$E$10,0)</f>
        <v>0</v>
      </c>
      <c r="AC54" s="391">
        <f>ROUND('Saleplan&amp;PnL'!AE6*1000/Leadsheet!$E$10,0)</f>
        <v>0</v>
      </c>
      <c r="AD54" s="391">
        <f>ROUND('Saleplan&amp;PnL'!AF6*1000/Leadsheet!$E$10,0)</f>
        <v>0</v>
      </c>
      <c r="AE54" s="391">
        <f>ROUND('Saleplan&amp;PnL'!AG6*1000/Leadsheet!$E$10,0)</f>
        <v>0</v>
      </c>
      <c r="AF54" s="391">
        <f>ROUND('Saleplan&amp;PnL'!AH6*1000/Leadsheet!$E$10,0)</f>
        <v>0</v>
      </c>
      <c r="AG54" s="391">
        <f>ROUND('Saleplan&amp;PnL'!AI6*1000/Leadsheet!$E$10,0)</f>
        <v>0</v>
      </c>
      <c r="AH54" s="391">
        <f>ROUND('Saleplan&amp;PnL'!AJ6*1000/Leadsheet!$E$10,0)</f>
        <v>0</v>
      </c>
      <c r="AI54" s="391">
        <f>ROUND('Saleplan&amp;PnL'!AK6*1000/Leadsheet!$E$10,0)</f>
        <v>0</v>
      </c>
      <c r="AJ54" s="391">
        <f>ROUND('Saleplan&amp;PnL'!AL6*1000/Leadsheet!$E$10,0)</f>
        <v>0</v>
      </c>
      <c r="AK54" s="391">
        <f>ROUND('Saleplan&amp;PnL'!AM6*1000/Leadsheet!$E$10,0)</f>
        <v>0</v>
      </c>
      <c r="AL54" s="391">
        <f>ROUND('Saleplan&amp;PnL'!AN6*1000/Leadsheet!$E$10,0)</f>
        <v>0</v>
      </c>
      <c r="AM54" s="391">
        <f>ROUND('Saleplan&amp;PnL'!AO6*1000/Leadsheet!$E$10,0)</f>
        <v>0</v>
      </c>
      <c r="AN54" s="391">
        <f>ROUND('Saleplan&amp;PnL'!AP6*1000/Leadsheet!$E$10,0)</f>
        <v>0</v>
      </c>
      <c r="AO54" s="391">
        <f>ROUND('Saleplan&amp;PnL'!AQ6*1000/Leadsheet!$E$10,0)</f>
        <v>0</v>
      </c>
      <c r="AP54" s="391">
        <f>ROUND('Saleplan&amp;PnL'!AR6*1000/Leadsheet!$E$10,0)</f>
        <v>0</v>
      </c>
      <c r="AQ54" s="391">
        <f>ROUND('Saleplan&amp;PnL'!AS6*1000/Leadsheet!$E$10,0)</f>
        <v>0</v>
      </c>
      <c r="AR54" s="391">
        <f>ROUND('Saleplan&amp;PnL'!AT6*1000/Leadsheet!$E$10,0)</f>
        <v>0</v>
      </c>
      <c r="AS54" s="391">
        <f>ROUND('Saleplan&amp;PnL'!AU6*1000/Leadsheet!$E$10,0)</f>
        <v>0</v>
      </c>
      <c r="AT54" s="391">
        <f>ROUND('Saleplan&amp;PnL'!AV6*1000/Leadsheet!$E$10,0)</f>
        <v>0</v>
      </c>
      <c r="AU54" s="391">
        <f>ROUND('Saleplan&amp;PnL'!AW6*1000/Leadsheet!$E$10,0)</f>
        <v>0</v>
      </c>
      <c r="AV54" s="391">
        <f>ROUND('Saleplan&amp;PnL'!AX6*1000/Leadsheet!$E$10,0)</f>
        <v>0</v>
      </c>
      <c r="AW54" s="391">
        <f>ROUND('Saleplan&amp;PnL'!AY6*1000/Leadsheet!$E$10,0)</f>
        <v>0</v>
      </c>
      <c r="AX54" s="391">
        <f>ROUND('Saleplan&amp;PnL'!AZ6*1000/Leadsheet!$E$10,0)</f>
        <v>0</v>
      </c>
      <c r="AY54" s="391">
        <f>ROUND('Saleplan&amp;PnL'!BA6*1000/Leadsheet!$E$10,0)</f>
        <v>0</v>
      </c>
      <c r="AZ54" s="391">
        <f>ROUND('Saleplan&amp;PnL'!BB6*1000/Leadsheet!$E$10,0)</f>
        <v>0</v>
      </c>
      <c r="BA54" s="391">
        <f>ROUND('Saleplan&amp;PnL'!BC6*1000/Leadsheet!$E$10,0)</f>
        <v>0</v>
      </c>
      <c r="BB54" s="391">
        <f>ROUND('Saleplan&amp;PnL'!BD6*1000/Leadsheet!$E$10,0)</f>
        <v>0</v>
      </c>
      <c r="BC54" s="391">
        <f>ROUND('Saleplan&amp;PnL'!BE6*1000/Leadsheet!$E$10,0)</f>
        <v>0</v>
      </c>
      <c r="BD54" s="391">
        <f>ROUND('Saleplan&amp;PnL'!BF6*1000/Leadsheet!$E$10,0)</f>
        <v>0</v>
      </c>
      <c r="BE54" s="391">
        <f>ROUND('Saleplan&amp;PnL'!BG6*1000/Leadsheet!$E$10,0)</f>
        <v>0</v>
      </c>
      <c r="BF54" s="391">
        <f>ROUND('Saleplan&amp;PnL'!BH6*1000/Leadsheet!$E$10,0)</f>
        <v>0</v>
      </c>
      <c r="BG54" s="391">
        <f>ROUND('Saleplan&amp;PnL'!BI6*1000/Leadsheet!$E$10,0)</f>
        <v>0</v>
      </c>
      <c r="BH54" s="391">
        <f>ROUND('Saleplan&amp;PnL'!BJ6*1000/Leadsheet!$E$10,0)</f>
        <v>0</v>
      </c>
      <c r="BI54" s="391">
        <f>ROUND('Saleplan&amp;PnL'!BK6*1000/Leadsheet!$E$10,0)</f>
        <v>0</v>
      </c>
    </row>
    <row r="55" spans="1:62" outlineLevel="1" x14ac:dyDescent="0.15">
      <c r="A55" s="392">
        <v>1</v>
      </c>
      <c r="B55" s="382">
        <f t="shared" ref="B55:Q86" ca="1" si="7">IF($A55&gt;B$5,"",OFFSET(B$54,0,-($A55-1)))</f>
        <v>0</v>
      </c>
      <c r="C55" s="382">
        <f t="shared" ca="1" si="7"/>
        <v>0</v>
      </c>
      <c r="D55" s="382">
        <f t="shared" ca="1" si="7"/>
        <v>0</v>
      </c>
      <c r="E55" s="382">
        <f t="shared" ca="1" si="7"/>
        <v>0</v>
      </c>
      <c r="F55" s="382">
        <f t="shared" ca="1" si="7"/>
        <v>0</v>
      </c>
      <c r="G55" s="382">
        <f t="shared" ca="1" si="7"/>
        <v>0</v>
      </c>
      <c r="H55" s="382">
        <f t="shared" ca="1" si="7"/>
        <v>6115</v>
      </c>
      <c r="I55" s="382">
        <f t="shared" ca="1" si="7"/>
        <v>5825</v>
      </c>
      <c r="J55" s="382">
        <f t="shared" ca="1" si="7"/>
        <v>5771</v>
      </c>
      <c r="K55" s="382">
        <f t="shared" ca="1" si="7"/>
        <v>0</v>
      </c>
      <c r="L55" s="382">
        <f t="shared" ca="1" si="7"/>
        <v>0</v>
      </c>
      <c r="M55" s="382">
        <f t="shared" ca="1" si="7"/>
        <v>0</v>
      </c>
      <c r="N55" s="382">
        <f t="shared" ca="1" si="7"/>
        <v>0</v>
      </c>
      <c r="O55" s="382">
        <f t="shared" ca="1" si="7"/>
        <v>0</v>
      </c>
      <c r="P55" s="382">
        <f t="shared" ca="1" si="7"/>
        <v>0</v>
      </c>
      <c r="Q55" s="382">
        <f t="shared" ca="1" si="7"/>
        <v>0</v>
      </c>
      <c r="R55" s="382">
        <f t="shared" ref="R55:BX60" ca="1" si="8">IF($A55&gt;R$5,"",OFFSET(R$54,0,-($A55-1)))</f>
        <v>0</v>
      </c>
      <c r="S55" s="382">
        <f t="shared" ca="1" si="8"/>
        <v>0</v>
      </c>
      <c r="T55" s="382">
        <f t="shared" ca="1" si="8"/>
        <v>0</v>
      </c>
      <c r="U55" s="382">
        <f t="shared" ca="1" si="8"/>
        <v>0</v>
      </c>
      <c r="V55" s="382">
        <f t="shared" ca="1" si="8"/>
        <v>0</v>
      </c>
      <c r="W55" s="382">
        <f t="shared" ca="1" si="8"/>
        <v>0</v>
      </c>
      <c r="X55" s="382">
        <f t="shared" ca="1" si="8"/>
        <v>0</v>
      </c>
      <c r="Y55" s="382">
        <f t="shared" ca="1" si="8"/>
        <v>0</v>
      </c>
      <c r="Z55" s="382">
        <f t="shared" ca="1" si="8"/>
        <v>0</v>
      </c>
      <c r="AA55" s="382">
        <f t="shared" ca="1" si="8"/>
        <v>0</v>
      </c>
      <c r="AB55" s="382">
        <f t="shared" ca="1" si="8"/>
        <v>0</v>
      </c>
      <c r="AC55" s="382">
        <f t="shared" ca="1" si="8"/>
        <v>0</v>
      </c>
      <c r="AD55" s="382">
        <f t="shared" ca="1" si="8"/>
        <v>0</v>
      </c>
      <c r="AE55" s="382">
        <f t="shared" ca="1" si="8"/>
        <v>0</v>
      </c>
      <c r="AF55" s="382">
        <f t="shared" ca="1" si="8"/>
        <v>0</v>
      </c>
      <c r="AG55" s="382">
        <f t="shared" ca="1" si="8"/>
        <v>0</v>
      </c>
      <c r="AH55" s="382">
        <f t="shared" ca="1" si="8"/>
        <v>0</v>
      </c>
      <c r="AI55" s="382">
        <f t="shared" ca="1" si="8"/>
        <v>0</v>
      </c>
      <c r="AJ55" s="382">
        <f t="shared" ca="1" si="8"/>
        <v>0</v>
      </c>
      <c r="AK55" s="382">
        <f t="shared" ca="1" si="8"/>
        <v>0</v>
      </c>
      <c r="AL55" s="382">
        <f t="shared" ca="1" si="8"/>
        <v>0</v>
      </c>
      <c r="AM55" s="382">
        <f t="shared" ca="1" si="8"/>
        <v>0</v>
      </c>
      <c r="AN55" s="382">
        <f t="shared" ca="1" si="8"/>
        <v>0</v>
      </c>
      <c r="AO55" s="382">
        <f t="shared" ca="1" si="8"/>
        <v>0</v>
      </c>
      <c r="AP55" s="382">
        <f t="shared" ca="1" si="8"/>
        <v>0</v>
      </c>
      <c r="AQ55" s="382">
        <f t="shared" ca="1" si="8"/>
        <v>0</v>
      </c>
      <c r="AR55" s="382">
        <f t="shared" ca="1" si="8"/>
        <v>0</v>
      </c>
      <c r="AS55" s="382">
        <f t="shared" ca="1" si="8"/>
        <v>0</v>
      </c>
      <c r="AT55" s="382">
        <f t="shared" ca="1" si="8"/>
        <v>0</v>
      </c>
      <c r="AU55" s="382">
        <f t="shared" ca="1" si="8"/>
        <v>0</v>
      </c>
      <c r="AV55" s="382">
        <f t="shared" ca="1" si="8"/>
        <v>0</v>
      </c>
      <c r="AW55" s="382">
        <f t="shared" ca="1" si="8"/>
        <v>0</v>
      </c>
      <c r="AX55" s="382">
        <f t="shared" ca="1" si="8"/>
        <v>0</v>
      </c>
      <c r="AY55" s="382">
        <f t="shared" ca="1" si="8"/>
        <v>0</v>
      </c>
      <c r="AZ55" s="382">
        <f t="shared" ca="1" si="8"/>
        <v>0</v>
      </c>
      <c r="BA55" s="382">
        <f t="shared" ca="1" si="8"/>
        <v>0</v>
      </c>
      <c r="BB55" s="382">
        <f t="shared" ca="1" si="8"/>
        <v>0</v>
      </c>
      <c r="BC55" s="382">
        <f t="shared" ca="1" si="8"/>
        <v>0</v>
      </c>
      <c r="BD55" s="382">
        <f t="shared" ca="1" si="8"/>
        <v>0</v>
      </c>
      <c r="BE55" s="382">
        <f t="shared" ca="1" si="8"/>
        <v>0</v>
      </c>
      <c r="BF55" s="382">
        <f t="shared" ca="1" si="8"/>
        <v>0</v>
      </c>
      <c r="BG55" s="382">
        <f t="shared" ca="1" si="8"/>
        <v>0</v>
      </c>
      <c r="BH55" s="382">
        <f t="shared" ca="1" si="8"/>
        <v>0</v>
      </c>
      <c r="BI55" s="382">
        <f t="shared" ca="1" si="8"/>
        <v>0</v>
      </c>
      <c r="BJ55" s="382"/>
    </row>
    <row r="56" spans="1:62" outlineLevel="1" x14ac:dyDescent="0.15">
      <c r="A56" s="392">
        <v>2</v>
      </c>
      <c r="B56" s="382" t="str">
        <f t="shared" ca="1" si="7"/>
        <v/>
      </c>
      <c r="C56" s="382">
        <f t="shared" ca="1" si="7"/>
        <v>0</v>
      </c>
      <c r="D56" s="382">
        <f t="shared" ca="1" si="7"/>
        <v>0</v>
      </c>
      <c r="E56" s="382">
        <f t="shared" ca="1" si="7"/>
        <v>0</v>
      </c>
      <c r="F56" s="382">
        <f t="shared" ca="1" si="7"/>
        <v>0</v>
      </c>
      <c r="G56" s="382">
        <f t="shared" ca="1" si="7"/>
        <v>0</v>
      </c>
      <c r="H56" s="382">
        <f t="shared" ca="1" si="7"/>
        <v>0</v>
      </c>
      <c r="I56" s="382">
        <f t="shared" ca="1" si="7"/>
        <v>6115</v>
      </c>
      <c r="J56" s="382">
        <f t="shared" ca="1" si="7"/>
        <v>5825</v>
      </c>
      <c r="K56" s="382">
        <f t="shared" ca="1" si="7"/>
        <v>5771</v>
      </c>
      <c r="L56" s="382">
        <f t="shared" ca="1" si="7"/>
        <v>0</v>
      </c>
      <c r="M56" s="382">
        <f t="shared" ca="1" si="7"/>
        <v>0</v>
      </c>
      <c r="N56" s="382">
        <f t="shared" ca="1" si="7"/>
        <v>0</v>
      </c>
      <c r="O56" s="382">
        <f t="shared" ca="1" si="7"/>
        <v>0</v>
      </c>
      <c r="P56" s="382">
        <f t="shared" ca="1" si="7"/>
        <v>0</v>
      </c>
      <c r="Q56" s="382">
        <f t="shared" ca="1" si="7"/>
        <v>0</v>
      </c>
      <c r="R56" s="382">
        <f t="shared" ca="1" si="8"/>
        <v>0</v>
      </c>
      <c r="S56" s="382">
        <f t="shared" ca="1" si="8"/>
        <v>0</v>
      </c>
      <c r="T56" s="382">
        <f t="shared" ca="1" si="8"/>
        <v>0</v>
      </c>
      <c r="U56" s="382">
        <f t="shared" ca="1" si="8"/>
        <v>0</v>
      </c>
      <c r="V56" s="382">
        <f t="shared" ca="1" si="8"/>
        <v>0</v>
      </c>
      <c r="W56" s="382">
        <f t="shared" ca="1" si="8"/>
        <v>0</v>
      </c>
      <c r="X56" s="382">
        <f t="shared" ca="1" si="8"/>
        <v>0</v>
      </c>
      <c r="Y56" s="382">
        <f t="shared" ca="1" si="8"/>
        <v>0</v>
      </c>
      <c r="Z56" s="382">
        <f t="shared" ca="1" si="8"/>
        <v>0</v>
      </c>
      <c r="AA56" s="382">
        <f t="shared" ca="1" si="8"/>
        <v>0</v>
      </c>
      <c r="AB56" s="382">
        <f t="shared" ca="1" si="8"/>
        <v>0</v>
      </c>
      <c r="AC56" s="382">
        <f t="shared" ca="1" si="8"/>
        <v>0</v>
      </c>
      <c r="AD56" s="382">
        <f t="shared" ca="1" si="8"/>
        <v>0</v>
      </c>
      <c r="AE56" s="382">
        <f t="shared" ca="1" si="8"/>
        <v>0</v>
      </c>
      <c r="AF56" s="382">
        <f t="shared" ca="1" si="8"/>
        <v>0</v>
      </c>
      <c r="AG56" s="382">
        <f t="shared" ca="1" si="8"/>
        <v>0</v>
      </c>
      <c r="AH56" s="382">
        <f t="shared" ca="1" si="8"/>
        <v>0</v>
      </c>
      <c r="AI56" s="382">
        <f t="shared" ca="1" si="8"/>
        <v>0</v>
      </c>
      <c r="AJ56" s="382">
        <f t="shared" ca="1" si="8"/>
        <v>0</v>
      </c>
      <c r="AK56" s="382">
        <f t="shared" ca="1" si="8"/>
        <v>0</v>
      </c>
      <c r="AL56" s="382">
        <f t="shared" ca="1" si="8"/>
        <v>0</v>
      </c>
      <c r="AM56" s="382">
        <f t="shared" ca="1" si="8"/>
        <v>0</v>
      </c>
      <c r="AN56" s="382">
        <f t="shared" ca="1" si="8"/>
        <v>0</v>
      </c>
      <c r="AO56" s="382">
        <f t="shared" ca="1" si="8"/>
        <v>0</v>
      </c>
      <c r="AP56" s="382">
        <f t="shared" ca="1" si="8"/>
        <v>0</v>
      </c>
      <c r="AQ56" s="382">
        <f t="shared" ca="1" si="8"/>
        <v>0</v>
      </c>
      <c r="AR56" s="382">
        <f t="shared" ca="1" si="8"/>
        <v>0</v>
      </c>
      <c r="AS56" s="382">
        <f t="shared" ca="1" si="8"/>
        <v>0</v>
      </c>
      <c r="AT56" s="382">
        <f t="shared" ca="1" si="8"/>
        <v>0</v>
      </c>
      <c r="AU56" s="382">
        <f t="shared" ca="1" si="8"/>
        <v>0</v>
      </c>
      <c r="AV56" s="382">
        <f t="shared" ca="1" si="8"/>
        <v>0</v>
      </c>
      <c r="AW56" s="382">
        <f t="shared" ca="1" si="8"/>
        <v>0</v>
      </c>
      <c r="AX56" s="382">
        <f t="shared" ca="1" si="8"/>
        <v>0</v>
      </c>
      <c r="AY56" s="382">
        <f t="shared" ca="1" si="8"/>
        <v>0</v>
      </c>
      <c r="AZ56" s="382">
        <f t="shared" ca="1" si="8"/>
        <v>0</v>
      </c>
      <c r="BA56" s="382">
        <f t="shared" ca="1" si="8"/>
        <v>0</v>
      </c>
      <c r="BB56" s="382">
        <f t="shared" ca="1" si="8"/>
        <v>0</v>
      </c>
      <c r="BC56" s="382">
        <f t="shared" ca="1" si="8"/>
        <v>0</v>
      </c>
      <c r="BD56" s="382">
        <f t="shared" ca="1" si="8"/>
        <v>0</v>
      </c>
      <c r="BE56" s="382">
        <f t="shared" ca="1" si="8"/>
        <v>0</v>
      </c>
      <c r="BF56" s="382">
        <f t="shared" ca="1" si="8"/>
        <v>0</v>
      </c>
      <c r="BG56" s="382">
        <f t="shared" ca="1" si="8"/>
        <v>0</v>
      </c>
      <c r="BH56" s="382">
        <f t="shared" ca="1" si="8"/>
        <v>0</v>
      </c>
      <c r="BI56" s="382">
        <f t="shared" ca="1" si="8"/>
        <v>0</v>
      </c>
      <c r="BJ56" s="382"/>
    </row>
    <row r="57" spans="1:62" outlineLevel="1" x14ac:dyDescent="0.15">
      <c r="A57" s="392">
        <v>3</v>
      </c>
      <c r="B57" s="382" t="str">
        <f t="shared" ca="1" si="7"/>
        <v/>
      </c>
      <c r="C57" s="382" t="str">
        <f t="shared" ca="1" si="7"/>
        <v/>
      </c>
      <c r="D57" s="382">
        <f t="shared" ca="1" si="7"/>
        <v>0</v>
      </c>
      <c r="E57" s="382">
        <f t="shared" ca="1" si="7"/>
        <v>0</v>
      </c>
      <c r="F57" s="382">
        <f t="shared" ca="1" si="7"/>
        <v>0</v>
      </c>
      <c r="G57" s="382">
        <f t="shared" ca="1" si="7"/>
        <v>0</v>
      </c>
      <c r="H57" s="382">
        <f t="shared" ca="1" si="7"/>
        <v>0</v>
      </c>
      <c r="I57" s="382">
        <f t="shared" ca="1" si="7"/>
        <v>0</v>
      </c>
      <c r="J57" s="382">
        <f t="shared" ca="1" si="7"/>
        <v>6115</v>
      </c>
      <c r="K57" s="382">
        <f t="shared" ca="1" si="7"/>
        <v>5825</v>
      </c>
      <c r="L57" s="382">
        <f t="shared" ca="1" si="7"/>
        <v>5771</v>
      </c>
      <c r="M57" s="382">
        <f t="shared" ca="1" si="7"/>
        <v>0</v>
      </c>
      <c r="N57" s="382">
        <f t="shared" ca="1" si="7"/>
        <v>0</v>
      </c>
      <c r="O57" s="382">
        <f t="shared" ca="1" si="7"/>
        <v>0</v>
      </c>
      <c r="P57" s="382">
        <f t="shared" ca="1" si="7"/>
        <v>0</v>
      </c>
      <c r="Q57" s="382">
        <f t="shared" ca="1" si="7"/>
        <v>0</v>
      </c>
      <c r="R57" s="382">
        <f t="shared" ca="1" si="8"/>
        <v>0</v>
      </c>
      <c r="S57" s="382">
        <f t="shared" ca="1" si="8"/>
        <v>0</v>
      </c>
      <c r="T57" s="382">
        <f t="shared" ca="1" si="8"/>
        <v>0</v>
      </c>
      <c r="U57" s="382">
        <f t="shared" ca="1" si="8"/>
        <v>0</v>
      </c>
      <c r="V57" s="382">
        <f t="shared" ca="1" si="8"/>
        <v>0</v>
      </c>
      <c r="W57" s="382">
        <f t="shared" ca="1" si="8"/>
        <v>0</v>
      </c>
      <c r="X57" s="382">
        <f t="shared" ca="1" si="8"/>
        <v>0</v>
      </c>
      <c r="Y57" s="382">
        <f t="shared" ca="1" si="8"/>
        <v>0</v>
      </c>
      <c r="Z57" s="382">
        <f t="shared" ca="1" si="8"/>
        <v>0</v>
      </c>
      <c r="AA57" s="382">
        <f t="shared" ca="1" si="8"/>
        <v>0</v>
      </c>
      <c r="AB57" s="382">
        <f t="shared" ca="1" si="8"/>
        <v>0</v>
      </c>
      <c r="AC57" s="382">
        <f t="shared" ca="1" si="8"/>
        <v>0</v>
      </c>
      <c r="AD57" s="382">
        <f t="shared" ca="1" si="8"/>
        <v>0</v>
      </c>
      <c r="AE57" s="382">
        <f t="shared" ca="1" si="8"/>
        <v>0</v>
      </c>
      <c r="AF57" s="382">
        <f t="shared" ca="1" si="8"/>
        <v>0</v>
      </c>
      <c r="AG57" s="382">
        <f t="shared" ca="1" si="8"/>
        <v>0</v>
      </c>
      <c r="AH57" s="382">
        <f t="shared" ca="1" si="8"/>
        <v>0</v>
      </c>
      <c r="AI57" s="382">
        <f t="shared" ca="1" si="8"/>
        <v>0</v>
      </c>
      <c r="AJ57" s="382">
        <f t="shared" ca="1" si="8"/>
        <v>0</v>
      </c>
      <c r="AK57" s="382">
        <f t="shared" ca="1" si="8"/>
        <v>0</v>
      </c>
      <c r="AL57" s="382">
        <f t="shared" ca="1" si="8"/>
        <v>0</v>
      </c>
      <c r="AM57" s="382">
        <f t="shared" ca="1" si="8"/>
        <v>0</v>
      </c>
      <c r="AN57" s="382">
        <f t="shared" ca="1" si="8"/>
        <v>0</v>
      </c>
      <c r="AO57" s="382">
        <f t="shared" ca="1" si="8"/>
        <v>0</v>
      </c>
      <c r="AP57" s="382">
        <f t="shared" ca="1" si="8"/>
        <v>0</v>
      </c>
      <c r="AQ57" s="382">
        <f t="shared" ca="1" si="8"/>
        <v>0</v>
      </c>
      <c r="AR57" s="382">
        <f t="shared" ca="1" si="8"/>
        <v>0</v>
      </c>
      <c r="AS57" s="382">
        <f t="shared" ca="1" si="8"/>
        <v>0</v>
      </c>
      <c r="AT57" s="382">
        <f t="shared" ca="1" si="8"/>
        <v>0</v>
      </c>
      <c r="AU57" s="382">
        <f t="shared" ca="1" si="8"/>
        <v>0</v>
      </c>
      <c r="AV57" s="382">
        <f t="shared" ca="1" si="8"/>
        <v>0</v>
      </c>
      <c r="AW57" s="382">
        <f t="shared" ca="1" si="8"/>
        <v>0</v>
      </c>
      <c r="AX57" s="382">
        <f t="shared" ca="1" si="8"/>
        <v>0</v>
      </c>
      <c r="AY57" s="382">
        <f t="shared" ca="1" si="8"/>
        <v>0</v>
      </c>
      <c r="AZ57" s="382">
        <f t="shared" ca="1" si="8"/>
        <v>0</v>
      </c>
      <c r="BA57" s="382">
        <f t="shared" ca="1" si="8"/>
        <v>0</v>
      </c>
      <c r="BB57" s="382">
        <f t="shared" ca="1" si="8"/>
        <v>0</v>
      </c>
      <c r="BC57" s="382">
        <f t="shared" ca="1" si="8"/>
        <v>0</v>
      </c>
      <c r="BD57" s="382">
        <f t="shared" ca="1" si="8"/>
        <v>0</v>
      </c>
      <c r="BE57" s="382">
        <f t="shared" ca="1" si="8"/>
        <v>0</v>
      </c>
      <c r="BF57" s="382">
        <f t="shared" ca="1" si="8"/>
        <v>0</v>
      </c>
      <c r="BG57" s="382">
        <f t="shared" ca="1" si="8"/>
        <v>0</v>
      </c>
      <c r="BH57" s="382">
        <f t="shared" ca="1" si="8"/>
        <v>0</v>
      </c>
      <c r="BI57" s="382">
        <f t="shared" ca="1" si="8"/>
        <v>0</v>
      </c>
      <c r="BJ57" s="382"/>
    </row>
    <row r="58" spans="1:62" outlineLevel="1" x14ac:dyDescent="0.15">
      <c r="A58" s="392">
        <v>4</v>
      </c>
      <c r="B58" s="382" t="str">
        <f t="shared" ca="1" si="7"/>
        <v/>
      </c>
      <c r="C58" s="382" t="str">
        <f t="shared" ca="1" si="7"/>
        <v/>
      </c>
      <c r="D58" s="382" t="str">
        <f t="shared" ca="1" si="7"/>
        <v/>
      </c>
      <c r="E58" s="382">
        <f t="shared" ca="1" si="7"/>
        <v>0</v>
      </c>
      <c r="F58" s="382">
        <f t="shared" ca="1" si="7"/>
        <v>0</v>
      </c>
      <c r="G58" s="382">
        <f t="shared" ca="1" si="7"/>
        <v>0</v>
      </c>
      <c r="H58" s="382">
        <f t="shared" ca="1" si="7"/>
        <v>0</v>
      </c>
      <c r="I58" s="382">
        <f t="shared" ca="1" si="7"/>
        <v>0</v>
      </c>
      <c r="J58" s="382">
        <f t="shared" ca="1" si="7"/>
        <v>0</v>
      </c>
      <c r="K58" s="382">
        <f t="shared" ca="1" si="7"/>
        <v>6115</v>
      </c>
      <c r="L58" s="382">
        <f t="shared" ca="1" si="7"/>
        <v>5825</v>
      </c>
      <c r="M58" s="382">
        <f t="shared" ca="1" si="7"/>
        <v>5771</v>
      </c>
      <c r="N58" s="382">
        <f t="shared" ca="1" si="7"/>
        <v>0</v>
      </c>
      <c r="O58" s="382">
        <f t="shared" ca="1" si="7"/>
        <v>0</v>
      </c>
      <c r="P58" s="382">
        <f t="shared" ca="1" si="7"/>
        <v>0</v>
      </c>
      <c r="Q58" s="382">
        <f t="shared" ca="1" si="7"/>
        <v>0</v>
      </c>
      <c r="R58" s="382">
        <f t="shared" ca="1" si="8"/>
        <v>0</v>
      </c>
      <c r="S58" s="382">
        <f t="shared" ca="1" si="8"/>
        <v>0</v>
      </c>
      <c r="T58" s="382">
        <f t="shared" ca="1" si="8"/>
        <v>0</v>
      </c>
      <c r="U58" s="382">
        <f t="shared" ca="1" si="8"/>
        <v>0</v>
      </c>
      <c r="V58" s="382">
        <f t="shared" ca="1" si="8"/>
        <v>0</v>
      </c>
      <c r="W58" s="382">
        <f t="shared" ca="1" si="8"/>
        <v>0</v>
      </c>
      <c r="X58" s="382">
        <f t="shared" ca="1" si="8"/>
        <v>0</v>
      </c>
      <c r="Y58" s="382">
        <f t="shared" ca="1" si="8"/>
        <v>0</v>
      </c>
      <c r="Z58" s="382">
        <f t="shared" ca="1" si="8"/>
        <v>0</v>
      </c>
      <c r="AA58" s="382">
        <f t="shared" ca="1" si="8"/>
        <v>0</v>
      </c>
      <c r="AB58" s="382">
        <f t="shared" ca="1" si="8"/>
        <v>0</v>
      </c>
      <c r="AC58" s="382">
        <f t="shared" ca="1" si="8"/>
        <v>0</v>
      </c>
      <c r="AD58" s="382">
        <f t="shared" ca="1" si="8"/>
        <v>0</v>
      </c>
      <c r="AE58" s="382">
        <f t="shared" ca="1" si="8"/>
        <v>0</v>
      </c>
      <c r="AF58" s="382">
        <f t="shared" ca="1" si="8"/>
        <v>0</v>
      </c>
      <c r="AG58" s="382">
        <f t="shared" ca="1" si="8"/>
        <v>0</v>
      </c>
      <c r="AH58" s="382">
        <f t="shared" ca="1" si="8"/>
        <v>0</v>
      </c>
      <c r="AI58" s="382">
        <f t="shared" ca="1" si="8"/>
        <v>0</v>
      </c>
      <c r="AJ58" s="382">
        <f t="shared" ca="1" si="8"/>
        <v>0</v>
      </c>
      <c r="AK58" s="382">
        <f t="shared" ca="1" si="8"/>
        <v>0</v>
      </c>
      <c r="AL58" s="382">
        <f t="shared" ca="1" si="8"/>
        <v>0</v>
      </c>
      <c r="AM58" s="382">
        <f t="shared" ca="1" si="8"/>
        <v>0</v>
      </c>
      <c r="AN58" s="382">
        <f t="shared" ca="1" si="8"/>
        <v>0</v>
      </c>
      <c r="AO58" s="382">
        <f t="shared" ca="1" si="8"/>
        <v>0</v>
      </c>
      <c r="AP58" s="382">
        <f t="shared" ca="1" si="8"/>
        <v>0</v>
      </c>
      <c r="AQ58" s="382">
        <f t="shared" ca="1" si="8"/>
        <v>0</v>
      </c>
      <c r="AR58" s="382">
        <f t="shared" ca="1" si="8"/>
        <v>0</v>
      </c>
      <c r="AS58" s="382">
        <f t="shared" ca="1" si="8"/>
        <v>0</v>
      </c>
      <c r="AT58" s="382">
        <f t="shared" ca="1" si="8"/>
        <v>0</v>
      </c>
      <c r="AU58" s="382">
        <f t="shared" ca="1" si="8"/>
        <v>0</v>
      </c>
      <c r="AV58" s="382">
        <f t="shared" ca="1" si="8"/>
        <v>0</v>
      </c>
      <c r="AW58" s="382">
        <f t="shared" ca="1" si="8"/>
        <v>0</v>
      </c>
      <c r="AX58" s="382">
        <f t="shared" ca="1" si="8"/>
        <v>0</v>
      </c>
      <c r="AY58" s="382">
        <f t="shared" ca="1" si="8"/>
        <v>0</v>
      </c>
      <c r="AZ58" s="382">
        <f t="shared" ca="1" si="8"/>
        <v>0</v>
      </c>
      <c r="BA58" s="382">
        <f t="shared" ca="1" si="8"/>
        <v>0</v>
      </c>
      <c r="BB58" s="382">
        <f t="shared" ca="1" si="8"/>
        <v>0</v>
      </c>
      <c r="BC58" s="382">
        <f t="shared" ca="1" si="8"/>
        <v>0</v>
      </c>
      <c r="BD58" s="382">
        <f t="shared" ca="1" si="8"/>
        <v>0</v>
      </c>
      <c r="BE58" s="382">
        <f t="shared" ca="1" si="8"/>
        <v>0</v>
      </c>
      <c r="BF58" s="382">
        <f t="shared" ca="1" si="8"/>
        <v>0</v>
      </c>
      <c r="BG58" s="382">
        <f t="shared" ca="1" si="8"/>
        <v>0</v>
      </c>
      <c r="BH58" s="382">
        <f t="shared" ca="1" si="8"/>
        <v>0</v>
      </c>
      <c r="BI58" s="382">
        <f t="shared" ca="1" si="8"/>
        <v>0</v>
      </c>
      <c r="BJ58" s="382"/>
    </row>
    <row r="59" spans="1:62" outlineLevel="1" x14ac:dyDescent="0.15">
      <c r="A59" s="392">
        <v>5</v>
      </c>
      <c r="B59" s="382" t="str">
        <f t="shared" ca="1" si="7"/>
        <v/>
      </c>
      <c r="C59" s="382" t="str">
        <f t="shared" ca="1" si="7"/>
        <v/>
      </c>
      <c r="D59" s="382" t="str">
        <f t="shared" ca="1" si="7"/>
        <v/>
      </c>
      <c r="E59" s="382" t="str">
        <f t="shared" ca="1" si="7"/>
        <v/>
      </c>
      <c r="F59" s="382">
        <f t="shared" ca="1" si="7"/>
        <v>0</v>
      </c>
      <c r="G59" s="382">
        <f t="shared" ca="1" si="7"/>
        <v>0</v>
      </c>
      <c r="H59" s="382">
        <f t="shared" ca="1" si="7"/>
        <v>0</v>
      </c>
      <c r="I59" s="382">
        <f t="shared" ca="1" si="7"/>
        <v>0</v>
      </c>
      <c r="J59" s="382">
        <f t="shared" ca="1" si="7"/>
        <v>0</v>
      </c>
      <c r="K59" s="382">
        <f t="shared" ca="1" si="7"/>
        <v>0</v>
      </c>
      <c r="L59" s="382">
        <f t="shared" ca="1" si="7"/>
        <v>6115</v>
      </c>
      <c r="M59" s="382">
        <f t="shared" ca="1" si="7"/>
        <v>5825</v>
      </c>
      <c r="N59" s="382">
        <f t="shared" ca="1" si="7"/>
        <v>5771</v>
      </c>
      <c r="O59" s="382">
        <f t="shared" ca="1" si="7"/>
        <v>0</v>
      </c>
      <c r="P59" s="382">
        <f t="shared" ca="1" si="7"/>
        <v>0</v>
      </c>
      <c r="Q59" s="382">
        <f t="shared" ca="1" si="7"/>
        <v>0</v>
      </c>
      <c r="R59" s="382">
        <f t="shared" ca="1" si="8"/>
        <v>0</v>
      </c>
      <c r="S59" s="382">
        <f t="shared" ca="1" si="8"/>
        <v>0</v>
      </c>
      <c r="T59" s="382">
        <f t="shared" ca="1" si="8"/>
        <v>0</v>
      </c>
      <c r="U59" s="382">
        <f t="shared" ca="1" si="8"/>
        <v>0</v>
      </c>
      <c r="V59" s="382">
        <f t="shared" ca="1" si="8"/>
        <v>0</v>
      </c>
      <c r="W59" s="382">
        <f t="shared" ca="1" si="8"/>
        <v>0</v>
      </c>
      <c r="X59" s="382">
        <f t="shared" ca="1" si="8"/>
        <v>0</v>
      </c>
      <c r="Y59" s="382">
        <f t="shared" ca="1" si="8"/>
        <v>0</v>
      </c>
      <c r="Z59" s="382">
        <f t="shared" ca="1" si="8"/>
        <v>0</v>
      </c>
      <c r="AA59" s="382">
        <f t="shared" ca="1" si="8"/>
        <v>0</v>
      </c>
      <c r="AB59" s="382">
        <f t="shared" ca="1" si="8"/>
        <v>0</v>
      </c>
      <c r="AC59" s="382">
        <f t="shared" ca="1" si="8"/>
        <v>0</v>
      </c>
      <c r="AD59" s="382">
        <f t="shared" ca="1" si="8"/>
        <v>0</v>
      </c>
      <c r="AE59" s="382">
        <f t="shared" ca="1" si="8"/>
        <v>0</v>
      </c>
      <c r="AF59" s="382">
        <f t="shared" ca="1" si="8"/>
        <v>0</v>
      </c>
      <c r="AG59" s="382">
        <f t="shared" ca="1" si="8"/>
        <v>0</v>
      </c>
      <c r="AH59" s="382">
        <f t="shared" ca="1" si="8"/>
        <v>0</v>
      </c>
      <c r="AI59" s="382">
        <f t="shared" ca="1" si="8"/>
        <v>0</v>
      </c>
      <c r="AJ59" s="382">
        <f t="shared" ca="1" si="8"/>
        <v>0</v>
      </c>
      <c r="AK59" s="382">
        <f t="shared" ca="1" si="8"/>
        <v>0</v>
      </c>
      <c r="AL59" s="382">
        <f t="shared" ca="1" si="8"/>
        <v>0</v>
      </c>
      <c r="AM59" s="382">
        <f t="shared" ca="1" si="8"/>
        <v>0</v>
      </c>
      <c r="AN59" s="382">
        <f t="shared" ca="1" si="8"/>
        <v>0</v>
      </c>
      <c r="AO59" s="382">
        <f t="shared" ca="1" si="8"/>
        <v>0</v>
      </c>
      <c r="AP59" s="382">
        <f t="shared" ca="1" si="8"/>
        <v>0</v>
      </c>
      <c r="AQ59" s="382">
        <f t="shared" ca="1" si="8"/>
        <v>0</v>
      </c>
      <c r="AR59" s="382">
        <f t="shared" ca="1" si="8"/>
        <v>0</v>
      </c>
      <c r="AS59" s="382">
        <f t="shared" ca="1" si="8"/>
        <v>0</v>
      </c>
      <c r="AT59" s="382">
        <f t="shared" ca="1" si="8"/>
        <v>0</v>
      </c>
      <c r="AU59" s="382">
        <f t="shared" ca="1" si="8"/>
        <v>0</v>
      </c>
      <c r="AV59" s="382">
        <f t="shared" ca="1" si="8"/>
        <v>0</v>
      </c>
      <c r="AW59" s="382">
        <f t="shared" ca="1" si="8"/>
        <v>0</v>
      </c>
      <c r="AX59" s="382">
        <f t="shared" ca="1" si="8"/>
        <v>0</v>
      </c>
      <c r="AY59" s="382">
        <f t="shared" ca="1" si="8"/>
        <v>0</v>
      </c>
      <c r="AZ59" s="382">
        <f t="shared" ca="1" si="8"/>
        <v>0</v>
      </c>
      <c r="BA59" s="382">
        <f t="shared" ca="1" si="8"/>
        <v>0</v>
      </c>
      <c r="BB59" s="382">
        <f t="shared" ca="1" si="8"/>
        <v>0</v>
      </c>
      <c r="BC59" s="382">
        <f t="shared" ca="1" si="8"/>
        <v>0</v>
      </c>
      <c r="BD59" s="382">
        <f t="shared" ca="1" si="8"/>
        <v>0</v>
      </c>
      <c r="BE59" s="382">
        <f t="shared" ca="1" si="8"/>
        <v>0</v>
      </c>
      <c r="BF59" s="382">
        <f t="shared" ca="1" si="8"/>
        <v>0</v>
      </c>
      <c r="BG59" s="382">
        <f t="shared" ca="1" si="8"/>
        <v>0</v>
      </c>
      <c r="BH59" s="382">
        <f t="shared" ca="1" si="8"/>
        <v>0</v>
      </c>
      <c r="BI59" s="382">
        <f t="shared" ca="1" si="8"/>
        <v>0</v>
      </c>
      <c r="BJ59" s="382"/>
    </row>
    <row r="60" spans="1:62" outlineLevel="1" x14ac:dyDescent="0.15">
      <c r="A60" s="392">
        <v>6</v>
      </c>
      <c r="B60" s="382" t="str">
        <f t="shared" ca="1" si="7"/>
        <v/>
      </c>
      <c r="C60" s="382" t="str">
        <f t="shared" ca="1" si="7"/>
        <v/>
      </c>
      <c r="D60" s="382" t="str">
        <f t="shared" ca="1" si="7"/>
        <v/>
      </c>
      <c r="E60" s="382" t="str">
        <f t="shared" ca="1" si="7"/>
        <v/>
      </c>
      <c r="F60" s="382" t="str">
        <f t="shared" ca="1" si="7"/>
        <v/>
      </c>
      <c r="G60" s="382">
        <f t="shared" ca="1" si="7"/>
        <v>0</v>
      </c>
      <c r="H60" s="382">
        <f t="shared" ca="1" si="7"/>
        <v>0</v>
      </c>
      <c r="I60" s="382">
        <f t="shared" ca="1" si="7"/>
        <v>0</v>
      </c>
      <c r="J60" s="382">
        <f t="shared" ca="1" si="7"/>
        <v>0</v>
      </c>
      <c r="K60" s="382">
        <f t="shared" ca="1" si="7"/>
        <v>0</v>
      </c>
      <c r="L60" s="382">
        <f t="shared" ca="1" si="7"/>
        <v>0</v>
      </c>
      <c r="M60" s="382">
        <f t="shared" ca="1" si="7"/>
        <v>6115</v>
      </c>
      <c r="N60" s="382">
        <f t="shared" ca="1" si="7"/>
        <v>5825</v>
      </c>
      <c r="O60" s="382">
        <f t="shared" ca="1" si="7"/>
        <v>5771</v>
      </c>
      <c r="P60" s="382">
        <f t="shared" ca="1" si="7"/>
        <v>0</v>
      </c>
      <c r="Q60" s="382">
        <f t="shared" ca="1" si="7"/>
        <v>0</v>
      </c>
      <c r="R60" s="382">
        <f t="shared" ca="1" si="8"/>
        <v>0</v>
      </c>
      <c r="S60" s="382">
        <f t="shared" ca="1" si="8"/>
        <v>0</v>
      </c>
      <c r="T60" s="382">
        <f t="shared" ca="1" si="8"/>
        <v>0</v>
      </c>
      <c r="U60" s="382">
        <f t="shared" ca="1" si="8"/>
        <v>0</v>
      </c>
      <c r="V60" s="382">
        <f t="shared" ca="1" si="8"/>
        <v>0</v>
      </c>
      <c r="W60" s="382">
        <f t="shared" ca="1" si="8"/>
        <v>0</v>
      </c>
      <c r="X60" s="382">
        <f t="shared" ca="1" si="8"/>
        <v>0</v>
      </c>
      <c r="Y60" s="382">
        <f t="shared" ca="1" si="8"/>
        <v>0</v>
      </c>
      <c r="Z60" s="382">
        <f t="shared" ca="1" si="8"/>
        <v>0</v>
      </c>
      <c r="AA60" s="382">
        <f t="shared" ca="1" si="8"/>
        <v>0</v>
      </c>
      <c r="AB60" s="382">
        <f t="shared" ca="1" si="8"/>
        <v>0</v>
      </c>
      <c r="AC60" s="382">
        <f t="shared" ca="1" si="8"/>
        <v>0</v>
      </c>
      <c r="AD60" s="382">
        <f t="shared" ca="1" si="8"/>
        <v>0</v>
      </c>
      <c r="AE60" s="382">
        <f t="shared" ca="1" si="8"/>
        <v>0</v>
      </c>
      <c r="AF60" s="382">
        <f t="shared" ca="1" si="8"/>
        <v>0</v>
      </c>
      <c r="AG60" s="382">
        <f t="shared" ca="1" si="8"/>
        <v>0</v>
      </c>
      <c r="AH60" s="382">
        <f t="shared" ca="1" si="8"/>
        <v>0</v>
      </c>
      <c r="AI60" s="382">
        <f t="shared" ca="1" si="8"/>
        <v>0</v>
      </c>
      <c r="AJ60" s="382">
        <f t="shared" ca="1" si="8"/>
        <v>0</v>
      </c>
      <c r="AK60" s="382">
        <f t="shared" ca="1" si="8"/>
        <v>0</v>
      </c>
      <c r="AL60" s="382">
        <f t="shared" ca="1" si="8"/>
        <v>0</v>
      </c>
      <c r="AM60" s="382">
        <f t="shared" ca="1" si="8"/>
        <v>0</v>
      </c>
      <c r="AN60" s="382">
        <f t="shared" ca="1" si="8"/>
        <v>0</v>
      </c>
      <c r="AO60" s="382">
        <f t="shared" ca="1" si="8"/>
        <v>0</v>
      </c>
      <c r="AP60" s="382">
        <f t="shared" ca="1" si="8"/>
        <v>0</v>
      </c>
      <c r="AQ60" s="382">
        <f t="shared" ca="1" si="8"/>
        <v>0</v>
      </c>
      <c r="AR60" s="382">
        <f t="shared" ca="1" si="8"/>
        <v>0</v>
      </c>
      <c r="AS60" s="382">
        <f t="shared" ca="1" si="8"/>
        <v>0</v>
      </c>
      <c r="AT60" s="382">
        <f t="shared" ca="1" si="8"/>
        <v>0</v>
      </c>
      <c r="AU60" s="382">
        <f t="shared" ca="1" si="8"/>
        <v>0</v>
      </c>
      <c r="AV60" s="382">
        <f t="shared" ca="1" si="8"/>
        <v>0</v>
      </c>
      <c r="AW60" s="382">
        <f t="shared" ca="1" si="8"/>
        <v>0</v>
      </c>
      <c r="AX60" s="382">
        <f t="shared" ca="1" si="8"/>
        <v>0</v>
      </c>
      <c r="AY60" s="382">
        <f t="shared" ca="1" si="8"/>
        <v>0</v>
      </c>
      <c r="AZ60" s="382">
        <f t="shared" ca="1" si="8"/>
        <v>0</v>
      </c>
      <c r="BA60" s="382">
        <f t="shared" ref="BA60:DG64" ca="1" si="9">IF($A60&gt;BA$5,"",OFFSET(BA$54,0,-($A60-1)))</f>
        <v>0</v>
      </c>
      <c r="BB60" s="382">
        <f t="shared" ca="1" si="9"/>
        <v>0</v>
      </c>
      <c r="BC60" s="382">
        <f t="shared" ca="1" si="9"/>
        <v>0</v>
      </c>
      <c r="BD60" s="382">
        <f t="shared" ca="1" si="9"/>
        <v>0</v>
      </c>
      <c r="BE60" s="382">
        <f t="shared" ca="1" si="9"/>
        <v>0</v>
      </c>
      <c r="BF60" s="382">
        <f t="shared" ca="1" si="9"/>
        <v>0</v>
      </c>
      <c r="BG60" s="382">
        <f t="shared" ca="1" si="9"/>
        <v>0</v>
      </c>
      <c r="BH60" s="382">
        <f t="shared" ca="1" si="9"/>
        <v>0</v>
      </c>
      <c r="BI60" s="382">
        <f t="shared" ca="1" si="9"/>
        <v>0</v>
      </c>
      <c r="BJ60" s="382"/>
    </row>
    <row r="61" spans="1:62" outlineLevel="1" x14ac:dyDescent="0.15">
      <c r="A61" s="392">
        <v>7</v>
      </c>
      <c r="B61" s="382" t="str">
        <f t="shared" ca="1" si="7"/>
        <v/>
      </c>
      <c r="C61" s="382" t="str">
        <f t="shared" ca="1" si="7"/>
        <v/>
      </c>
      <c r="D61" s="382" t="str">
        <f t="shared" ca="1" si="7"/>
        <v/>
      </c>
      <c r="E61" s="382" t="str">
        <f t="shared" ca="1" si="7"/>
        <v/>
      </c>
      <c r="F61" s="382" t="str">
        <f t="shared" ca="1" si="7"/>
        <v/>
      </c>
      <c r="G61" s="382" t="str">
        <f t="shared" ca="1" si="7"/>
        <v/>
      </c>
      <c r="H61" s="382">
        <f t="shared" ca="1" si="7"/>
        <v>0</v>
      </c>
      <c r="I61" s="382">
        <f t="shared" ca="1" si="7"/>
        <v>0</v>
      </c>
      <c r="J61" s="382">
        <f t="shared" ca="1" si="7"/>
        <v>0</v>
      </c>
      <c r="K61" s="382">
        <f t="shared" ca="1" si="7"/>
        <v>0</v>
      </c>
      <c r="L61" s="382">
        <f t="shared" ca="1" si="7"/>
        <v>0</v>
      </c>
      <c r="M61" s="382">
        <f t="shared" ca="1" si="7"/>
        <v>0</v>
      </c>
      <c r="N61" s="382">
        <f t="shared" ca="1" si="7"/>
        <v>6115</v>
      </c>
      <c r="O61" s="382">
        <f t="shared" ca="1" si="7"/>
        <v>5825</v>
      </c>
      <c r="P61" s="382">
        <f t="shared" ca="1" si="7"/>
        <v>5771</v>
      </c>
      <c r="Q61" s="382">
        <f t="shared" ca="1" si="7"/>
        <v>0</v>
      </c>
      <c r="R61" s="382">
        <f t="shared" ref="R61:BX66" ca="1" si="10">IF($A61&gt;R$5,"",OFFSET(R$54,0,-($A61-1)))</f>
        <v>0</v>
      </c>
      <c r="S61" s="382">
        <f t="shared" ca="1" si="10"/>
        <v>0</v>
      </c>
      <c r="T61" s="382">
        <f t="shared" ca="1" si="10"/>
        <v>0</v>
      </c>
      <c r="U61" s="382">
        <f t="shared" ca="1" si="10"/>
        <v>0</v>
      </c>
      <c r="V61" s="382">
        <f t="shared" ca="1" si="10"/>
        <v>0</v>
      </c>
      <c r="W61" s="382">
        <f t="shared" ca="1" si="10"/>
        <v>0</v>
      </c>
      <c r="X61" s="382">
        <f t="shared" ca="1" si="10"/>
        <v>0</v>
      </c>
      <c r="Y61" s="382">
        <f t="shared" ca="1" si="10"/>
        <v>0</v>
      </c>
      <c r="Z61" s="382">
        <f t="shared" ca="1" si="10"/>
        <v>0</v>
      </c>
      <c r="AA61" s="382">
        <f t="shared" ca="1" si="10"/>
        <v>0</v>
      </c>
      <c r="AB61" s="382">
        <f t="shared" ca="1" si="10"/>
        <v>0</v>
      </c>
      <c r="AC61" s="382">
        <f t="shared" ca="1" si="10"/>
        <v>0</v>
      </c>
      <c r="AD61" s="382">
        <f t="shared" ca="1" si="10"/>
        <v>0</v>
      </c>
      <c r="AE61" s="382">
        <f t="shared" ca="1" si="10"/>
        <v>0</v>
      </c>
      <c r="AF61" s="382">
        <f t="shared" ca="1" si="10"/>
        <v>0</v>
      </c>
      <c r="AG61" s="382">
        <f t="shared" ca="1" si="10"/>
        <v>0</v>
      </c>
      <c r="AH61" s="382">
        <f t="shared" ca="1" si="10"/>
        <v>0</v>
      </c>
      <c r="AI61" s="382">
        <f t="shared" ca="1" si="10"/>
        <v>0</v>
      </c>
      <c r="AJ61" s="382">
        <f t="shared" ca="1" si="10"/>
        <v>0</v>
      </c>
      <c r="AK61" s="382">
        <f t="shared" ca="1" si="10"/>
        <v>0</v>
      </c>
      <c r="AL61" s="382">
        <f t="shared" ca="1" si="10"/>
        <v>0</v>
      </c>
      <c r="AM61" s="382">
        <f t="shared" ca="1" si="10"/>
        <v>0</v>
      </c>
      <c r="AN61" s="382">
        <f t="shared" ca="1" si="10"/>
        <v>0</v>
      </c>
      <c r="AO61" s="382">
        <f t="shared" ca="1" si="10"/>
        <v>0</v>
      </c>
      <c r="AP61" s="382">
        <f t="shared" ca="1" si="10"/>
        <v>0</v>
      </c>
      <c r="AQ61" s="382">
        <f t="shared" ca="1" si="10"/>
        <v>0</v>
      </c>
      <c r="AR61" s="382">
        <f t="shared" ca="1" si="10"/>
        <v>0</v>
      </c>
      <c r="AS61" s="382">
        <f t="shared" ca="1" si="10"/>
        <v>0</v>
      </c>
      <c r="AT61" s="382">
        <f t="shared" ca="1" si="10"/>
        <v>0</v>
      </c>
      <c r="AU61" s="382">
        <f t="shared" ca="1" si="10"/>
        <v>0</v>
      </c>
      <c r="AV61" s="382">
        <f t="shared" ca="1" si="10"/>
        <v>0</v>
      </c>
      <c r="AW61" s="382">
        <f t="shared" ca="1" si="10"/>
        <v>0</v>
      </c>
      <c r="AX61" s="382">
        <f t="shared" ca="1" si="10"/>
        <v>0</v>
      </c>
      <c r="AY61" s="382">
        <f t="shared" ca="1" si="10"/>
        <v>0</v>
      </c>
      <c r="AZ61" s="382">
        <f t="shared" ca="1" si="10"/>
        <v>0</v>
      </c>
      <c r="BA61" s="382">
        <f t="shared" ca="1" si="10"/>
        <v>0</v>
      </c>
      <c r="BB61" s="382">
        <f t="shared" ca="1" si="10"/>
        <v>0</v>
      </c>
      <c r="BC61" s="382">
        <f t="shared" ca="1" si="10"/>
        <v>0</v>
      </c>
      <c r="BD61" s="382">
        <f t="shared" ca="1" si="10"/>
        <v>0</v>
      </c>
      <c r="BE61" s="382">
        <f t="shared" ca="1" si="10"/>
        <v>0</v>
      </c>
      <c r="BF61" s="382">
        <f t="shared" ca="1" si="10"/>
        <v>0</v>
      </c>
      <c r="BG61" s="382">
        <f t="shared" ca="1" si="10"/>
        <v>0</v>
      </c>
      <c r="BH61" s="382">
        <f t="shared" ca="1" si="10"/>
        <v>0</v>
      </c>
      <c r="BI61" s="382">
        <f t="shared" ca="1" si="10"/>
        <v>0</v>
      </c>
      <c r="BJ61" s="382"/>
    </row>
    <row r="62" spans="1:62" outlineLevel="1" x14ac:dyDescent="0.15">
      <c r="A62" s="392">
        <v>8</v>
      </c>
      <c r="B62" s="382" t="str">
        <f t="shared" ca="1" si="7"/>
        <v/>
      </c>
      <c r="C62" s="382" t="str">
        <f t="shared" ca="1" si="7"/>
        <v/>
      </c>
      <c r="D62" s="382" t="str">
        <f t="shared" ca="1" si="7"/>
        <v/>
      </c>
      <c r="E62" s="382" t="str">
        <f t="shared" ca="1" si="7"/>
        <v/>
      </c>
      <c r="F62" s="382" t="str">
        <f t="shared" ca="1" si="7"/>
        <v/>
      </c>
      <c r="G62" s="382" t="str">
        <f t="shared" ca="1" si="7"/>
        <v/>
      </c>
      <c r="H62" s="382" t="str">
        <f t="shared" ca="1" si="7"/>
        <v/>
      </c>
      <c r="I62" s="382">
        <f t="shared" ca="1" si="7"/>
        <v>0</v>
      </c>
      <c r="J62" s="382">
        <f t="shared" ca="1" si="7"/>
        <v>0</v>
      </c>
      <c r="K62" s="382">
        <f t="shared" ca="1" si="7"/>
        <v>0</v>
      </c>
      <c r="L62" s="382">
        <f t="shared" ca="1" si="7"/>
        <v>0</v>
      </c>
      <c r="M62" s="382">
        <f t="shared" ca="1" si="7"/>
        <v>0</v>
      </c>
      <c r="N62" s="382">
        <f t="shared" ca="1" si="7"/>
        <v>0</v>
      </c>
      <c r="O62" s="382">
        <f t="shared" ca="1" si="7"/>
        <v>6115</v>
      </c>
      <c r="P62" s="382">
        <f t="shared" ca="1" si="7"/>
        <v>5825</v>
      </c>
      <c r="Q62" s="382">
        <f t="shared" ca="1" si="7"/>
        <v>5771</v>
      </c>
      <c r="R62" s="382">
        <f t="shared" ca="1" si="10"/>
        <v>0</v>
      </c>
      <c r="S62" s="382">
        <f t="shared" ca="1" si="10"/>
        <v>0</v>
      </c>
      <c r="T62" s="382">
        <f t="shared" ca="1" si="10"/>
        <v>0</v>
      </c>
      <c r="U62" s="382">
        <f t="shared" ca="1" si="10"/>
        <v>0</v>
      </c>
      <c r="V62" s="382">
        <f t="shared" ca="1" si="10"/>
        <v>0</v>
      </c>
      <c r="W62" s="382">
        <f t="shared" ca="1" si="10"/>
        <v>0</v>
      </c>
      <c r="X62" s="382">
        <f t="shared" ca="1" si="10"/>
        <v>0</v>
      </c>
      <c r="Y62" s="382">
        <f t="shared" ca="1" si="10"/>
        <v>0</v>
      </c>
      <c r="Z62" s="382">
        <f t="shared" ca="1" si="10"/>
        <v>0</v>
      </c>
      <c r="AA62" s="382">
        <f t="shared" ca="1" si="10"/>
        <v>0</v>
      </c>
      <c r="AB62" s="382">
        <f t="shared" ca="1" si="10"/>
        <v>0</v>
      </c>
      <c r="AC62" s="382">
        <f t="shared" ca="1" si="10"/>
        <v>0</v>
      </c>
      <c r="AD62" s="382">
        <f t="shared" ca="1" si="10"/>
        <v>0</v>
      </c>
      <c r="AE62" s="382">
        <f t="shared" ca="1" si="10"/>
        <v>0</v>
      </c>
      <c r="AF62" s="382">
        <f t="shared" ca="1" si="10"/>
        <v>0</v>
      </c>
      <c r="AG62" s="382">
        <f t="shared" ca="1" si="10"/>
        <v>0</v>
      </c>
      <c r="AH62" s="382">
        <f t="shared" ca="1" si="10"/>
        <v>0</v>
      </c>
      <c r="AI62" s="382">
        <f t="shared" ca="1" si="10"/>
        <v>0</v>
      </c>
      <c r="AJ62" s="382">
        <f t="shared" ca="1" si="10"/>
        <v>0</v>
      </c>
      <c r="AK62" s="382">
        <f t="shared" ca="1" si="10"/>
        <v>0</v>
      </c>
      <c r="AL62" s="382">
        <f t="shared" ca="1" si="10"/>
        <v>0</v>
      </c>
      <c r="AM62" s="382">
        <f t="shared" ca="1" si="10"/>
        <v>0</v>
      </c>
      <c r="AN62" s="382">
        <f t="shared" ca="1" si="10"/>
        <v>0</v>
      </c>
      <c r="AO62" s="382">
        <f t="shared" ca="1" si="10"/>
        <v>0</v>
      </c>
      <c r="AP62" s="382">
        <f t="shared" ca="1" si="10"/>
        <v>0</v>
      </c>
      <c r="AQ62" s="382">
        <f t="shared" ca="1" si="10"/>
        <v>0</v>
      </c>
      <c r="AR62" s="382">
        <f t="shared" ca="1" si="10"/>
        <v>0</v>
      </c>
      <c r="AS62" s="382">
        <f t="shared" ca="1" si="10"/>
        <v>0</v>
      </c>
      <c r="AT62" s="382">
        <f t="shared" ca="1" si="10"/>
        <v>0</v>
      </c>
      <c r="AU62" s="382">
        <f t="shared" ca="1" si="10"/>
        <v>0</v>
      </c>
      <c r="AV62" s="382">
        <f t="shared" ca="1" si="10"/>
        <v>0</v>
      </c>
      <c r="AW62" s="382">
        <f t="shared" ca="1" si="10"/>
        <v>0</v>
      </c>
      <c r="AX62" s="382">
        <f t="shared" ca="1" si="10"/>
        <v>0</v>
      </c>
      <c r="AY62" s="382">
        <f t="shared" ca="1" si="10"/>
        <v>0</v>
      </c>
      <c r="AZ62" s="382">
        <f t="shared" ca="1" si="10"/>
        <v>0</v>
      </c>
      <c r="BA62" s="382">
        <f t="shared" ca="1" si="10"/>
        <v>0</v>
      </c>
      <c r="BB62" s="382">
        <f t="shared" ca="1" si="10"/>
        <v>0</v>
      </c>
      <c r="BC62" s="382">
        <f t="shared" ca="1" si="10"/>
        <v>0</v>
      </c>
      <c r="BD62" s="382">
        <f t="shared" ca="1" si="10"/>
        <v>0</v>
      </c>
      <c r="BE62" s="382">
        <f t="shared" ca="1" si="10"/>
        <v>0</v>
      </c>
      <c r="BF62" s="382">
        <f t="shared" ca="1" si="10"/>
        <v>0</v>
      </c>
      <c r="BG62" s="382">
        <f t="shared" ca="1" si="10"/>
        <v>0</v>
      </c>
      <c r="BH62" s="382">
        <f t="shared" ca="1" si="10"/>
        <v>0</v>
      </c>
      <c r="BI62" s="382">
        <f t="shared" ca="1" si="10"/>
        <v>0</v>
      </c>
      <c r="BJ62" s="382"/>
    </row>
    <row r="63" spans="1:62" outlineLevel="1" x14ac:dyDescent="0.15">
      <c r="A63" s="392">
        <v>9</v>
      </c>
      <c r="B63" s="382" t="str">
        <f t="shared" ca="1" si="7"/>
        <v/>
      </c>
      <c r="C63" s="382" t="str">
        <f t="shared" ca="1" si="7"/>
        <v/>
      </c>
      <c r="D63" s="382" t="str">
        <f t="shared" ca="1" si="7"/>
        <v/>
      </c>
      <c r="E63" s="382" t="str">
        <f t="shared" ca="1" si="7"/>
        <v/>
      </c>
      <c r="F63" s="382" t="str">
        <f t="shared" ca="1" si="7"/>
        <v/>
      </c>
      <c r="G63" s="382" t="str">
        <f t="shared" ca="1" si="7"/>
        <v/>
      </c>
      <c r="H63" s="382" t="str">
        <f t="shared" ca="1" si="7"/>
        <v/>
      </c>
      <c r="I63" s="382" t="str">
        <f t="shared" ca="1" si="7"/>
        <v/>
      </c>
      <c r="J63" s="382">
        <f t="shared" ca="1" si="7"/>
        <v>0</v>
      </c>
      <c r="K63" s="382">
        <f t="shared" ca="1" si="7"/>
        <v>0</v>
      </c>
      <c r="L63" s="382">
        <f t="shared" ca="1" si="7"/>
        <v>0</v>
      </c>
      <c r="M63" s="382">
        <f t="shared" ca="1" si="7"/>
        <v>0</v>
      </c>
      <c r="N63" s="382">
        <f t="shared" ca="1" si="7"/>
        <v>0</v>
      </c>
      <c r="O63" s="382">
        <f t="shared" ca="1" si="7"/>
        <v>0</v>
      </c>
      <c r="P63" s="382">
        <f t="shared" ca="1" si="7"/>
        <v>6115</v>
      </c>
      <c r="Q63" s="382">
        <f t="shared" ca="1" si="7"/>
        <v>5825</v>
      </c>
      <c r="R63" s="382">
        <f t="shared" ca="1" si="10"/>
        <v>5771</v>
      </c>
      <c r="S63" s="382">
        <f t="shared" ca="1" si="10"/>
        <v>0</v>
      </c>
      <c r="T63" s="382">
        <f t="shared" ca="1" si="10"/>
        <v>0</v>
      </c>
      <c r="U63" s="382">
        <f t="shared" ca="1" si="10"/>
        <v>0</v>
      </c>
      <c r="V63" s="382">
        <f t="shared" ca="1" si="10"/>
        <v>0</v>
      </c>
      <c r="W63" s="382">
        <f t="shared" ca="1" si="10"/>
        <v>0</v>
      </c>
      <c r="X63" s="382">
        <f t="shared" ca="1" si="10"/>
        <v>0</v>
      </c>
      <c r="Y63" s="382">
        <f t="shared" ca="1" si="10"/>
        <v>0</v>
      </c>
      <c r="Z63" s="382">
        <f t="shared" ca="1" si="10"/>
        <v>0</v>
      </c>
      <c r="AA63" s="382">
        <f t="shared" ca="1" si="10"/>
        <v>0</v>
      </c>
      <c r="AB63" s="382">
        <f t="shared" ca="1" si="10"/>
        <v>0</v>
      </c>
      <c r="AC63" s="382">
        <f t="shared" ca="1" si="10"/>
        <v>0</v>
      </c>
      <c r="AD63" s="382">
        <f t="shared" ca="1" si="10"/>
        <v>0</v>
      </c>
      <c r="AE63" s="382">
        <f t="shared" ca="1" si="10"/>
        <v>0</v>
      </c>
      <c r="AF63" s="382">
        <f t="shared" ca="1" si="10"/>
        <v>0</v>
      </c>
      <c r="AG63" s="382">
        <f t="shared" ca="1" si="10"/>
        <v>0</v>
      </c>
      <c r="AH63" s="382">
        <f t="shared" ca="1" si="10"/>
        <v>0</v>
      </c>
      <c r="AI63" s="382">
        <f t="shared" ca="1" si="10"/>
        <v>0</v>
      </c>
      <c r="AJ63" s="382">
        <f t="shared" ca="1" si="10"/>
        <v>0</v>
      </c>
      <c r="AK63" s="382">
        <f t="shared" ca="1" si="10"/>
        <v>0</v>
      </c>
      <c r="AL63" s="382">
        <f t="shared" ca="1" si="10"/>
        <v>0</v>
      </c>
      <c r="AM63" s="382">
        <f t="shared" ca="1" si="10"/>
        <v>0</v>
      </c>
      <c r="AN63" s="382">
        <f t="shared" ca="1" si="10"/>
        <v>0</v>
      </c>
      <c r="AO63" s="382">
        <f t="shared" ca="1" si="10"/>
        <v>0</v>
      </c>
      <c r="AP63" s="382">
        <f t="shared" ca="1" si="10"/>
        <v>0</v>
      </c>
      <c r="AQ63" s="382">
        <f t="shared" ca="1" si="10"/>
        <v>0</v>
      </c>
      <c r="AR63" s="382">
        <f t="shared" ca="1" si="10"/>
        <v>0</v>
      </c>
      <c r="AS63" s="382">
        <f t="shared" ca="1" si="10"/>
        <v>0</v>
      </c>
      <c r="AT63" s="382">
        <f t="shared" ca="1" si="10"/>
        <v>0</v>
      </c>
      <c r="AU63" s="382">
        <f t="shared" ca="1" si="10"/>
        <v>0</v>
      </c>
      <c r="AV63" s="382">
        <f t="shared" ca="1" si="10"/>
        <v>0</v>
      </c>
      <c r="AW63" s="382">
        <f t="shared" ca="1" si="10"/>
        <v>0</v>
      </c>
      <c r="AX63" s="382">
        <f t="shared" ca="1" si="10"/>
        <v>0</v>
      </c>
      <c r="AY63" s="382">
        <f t="shared" ca="1" si="10"/>
        <v>0</v>
      </c>
      <c r="AZ63" s="382">
        <f t="shared" ca="1" si="10"/>
        <v>0</v>
      </c>
      <c r="BA63" s="382">
        <f t="shared" ca="1" si="10"/>
        <v>0</v>
      </c>
      <c r="BB63" s="382">
        <f t="shared" ca="1" si="10"/>
        <v>0</v>
      </c>
      <c r="BC63" s="382">
        <f t="shared" ca="1" si="10"/>
        <v>0</v>
      </c>
      <c r="BD63" s="382">
        <f t="shared" ca="1" si="10"/>
        <v>0</v>
      </c>
      <c r="BE63" s="382">
        <f t="shared" ca="1" si="10"/>
        <v>0</v>
      </c>
      <c r="BF63" s="382">
        <f t="shared" ca="1" si="10"/>
        <v>0</v>
      </c>
      <c r="BG63" s="382">
        <f t="shared" ca="1" si="10"/>
        <v>0</v>
      </c>
      <c r="BH63" s="382">
        <f t="shared" ca="1" si="10"/>
        <v>0</v>
      </c>
      <c r="BI63" s="382">
        <f t="shared" ca="1" si="10"/>
        <v>0</v>
      </c>
      <c r="BJ63" s="382"/>
    </row>
    <row r="64" spans="1:62" outlineLevel="1" x14ac:dyDescent="0.15">
      <c r="A64" s="392">
        <v>10</v>
      </c>
      <c r="B64" s="382" t="str">
        <f t="shared" ca="1" si="7"/>
        <v/>
      </c>
      <c r="C64" s="382" t="str">
        <f t="shared" ca="1" si="7"/>
        <v/>
      </c>
      <c r="D64" s="382" t="str">
        <f t="shared" ca="1" si="7"/>
        <v/>
      </c>
      <c r="E64" s="382" t="str">
        <f t="shared" ca="1" si="7"/>
        <v/>
      </c>
      <c r="F64" s="382" t="str">
        <f t="shared" ca="1" si="7"/>
        <v/>
      </c>
      <c r="G64" s="382" t="str">
        <f t="shared" ca="1" si="7"/>
        <v/>
      </c>
      <c r="H64" s="382" t="str">
        <f t="shared" ca="1" si="7"/>
        <v/>
      </c>
      <c r="I64" s="382" t="str">
        <f t="shared" ca="1" si="7"/>
        <v/>
      </c>
      <c r="J64" s="382" t="str">
        <f t="shared" ca="1" si="7"/>
        <v/>
      </c>
      <c r="K64" s="382">
        <f t="shared" ca="1" si="7"/>
        <v>0</v>
      </c>
      <c r="L64" s="382">
        <f t="shared" ca="1" si="7"/>
        <v>0</v>
      </c>
      <c r="M64" s="382">
        <f t="shared" ca="1" si="7"/>
        <v>0</v>
      </c>
      <c r="N64" s="382">
        <f t="shared" ca="1" si="7"/>
        <v>0</v>
      </c>
      <c r="O64" s="382">
        <f t="shared" ca="1" si="7"/>
        <v>0</v>
      </c>
      <c r="P64" s="382">
        <f t="shared" ca="1" si="7"/>
        <v>0</v>
      </c>
      <c r="Q64" s="382">
        <f t="shared" ca="1" si="7"/>
        <v>6115</v>
      </c>
      <c r="R64" s="382">
        <f t="shared" ca="1" si="10"/>
        <v>5825</v>
      </c>
      <c r="S64" s="382">
        <f t="shared" ca="1" si="10"/>
        <v>5771</v>
      </c>
      <c r="T64" s="382">
        <f t="shared" ca="1" si="10"/>
        <v>0</v>
      </c>
      <c r="U64" s="382">
        <f t="shared" ca="1" si="10"/>
        <v>0</v>
      </c>
      <c r="V64" s="382">
        <f t="shared" ca="1" si="10"/>
        <v>0</v>
      </c>
      <c r="W64" s="382">
        <f t="shared" ca="1" si="10"/>
        <v>0</v>
      </c>
      <c r="X64" s="382">
        <f t="shared" ca="1" si="10"/>
        <v>0</v>
      </c>
      <c r="Y64" s="382">
        <f t="shared" ca="1" si="10"/>
        <v>0</v>
      </c>
      <c r="Z64" s="382">
        <f t="shared" ca="1" si="10"/>
        <v>0</v>
      </c>
      <c r="AA64" s="382">
        <f t="shared" ca="1" si="10"/>
        <v>0</v>
      </c>
      <c r="AB64" s="382">
        <f t="shared" ca="1" si="10"/>
        <v>0</v>
      </c>
      <c r="AC64" s="382">
        <f t="shared" ca="1" si="10"/>
        <v>0</v>
      </c>
      <c r="AD64" s="382">
        <f t="shared" ca="1" si="10"/>
        <v>0</v>
      </c>
      <c r="AE64" s="382">
        <f t="shared" ca="1" si="10"/>
        <v>0</v>
      </c>
      <c r="AF64" s="382">
        <f t="shared" ca="1" si="10"/>
        <v>0</v>
      </c>
      <c r="AG64" s="382">
        <f t="shared" ca="1" si="10"/>
        <v>0</v>
      </c>
      <c r="AH64" s="382">
        <f t="shared" ca="1" si="10"/>
        <v>0</v>
      </c>
      <c r="AI64" s="382">
        <f t="shared" ca="1" si="10"/>
        <v>0</v>
      </c>
      <c r="AJ64" s="382">
        <f t="shared" ca="1" si="10"/>
        <v>0</v>
      </c>
      <c r="AK64" s="382">
        <f t="shared" ca="1" si="10"/>
        <v>0</v>
      </c>
      <c r="AL64" s="382">
        <f t="shared" ca="1" si="10"/>
        <v>0</v>
      </c>
      <c r="AM64" s="382">
        <f t="shared" ca="1" si="10"/>
        <v>0</v>
      </c>
      <c r="AN64" s="382">
        <f t="shared" ca="1" si="10"/>
        <v>0</v>
      </c>
      <c r="AO64" s="382">
        <f t="shared" ca="1" si="10"/>
        <v>0</v>
      </c>
      <c r="AP64" s="382">
        <f t="shared" ca="1" si="10"/>
        <v>0</v>
      </c>
      <c r="AQ64" s="382">
        <f t="shared" ca="1" si="10"/>
        <v>0</v>
      </c>
      <c r="AR64" s="382">
        <f t="shared" ca="1" si="10"/>
        <v>0</v>
      </c>
      <c r="AS64" s="382">
        <f t="shared" ca="1" si="10"/>
        <v>0</v>
      </c>
      <c r="AT64" s="382">
        <f t="shared" ca="1" si="10"/>
        <v>0</v>
      </c>
      <c r="AU64" s="382">
        <f t="shared" ca="1" si="10"/>
        <v>0</v>
      </c>
      <c r="AV64" s="382">
        <f t="shared" ca="1" si="10"/>
        <v>0</v>
      </c>
      <c r="AW64" s="382">
        <f t="shared" ca="1" si="10"/>
        <v>0</v>
      </c>
      <c r="AX64" s="382">
        <f t="shared" ca="1" si="10"/>
        <v>0</v>
      </c>
      <c r="AY64" s="382">
        <f t="shared" ca="1" si="10"/>
        <v>0</v>
      </c>
      <c r="AZ64" s="382">
        <f t="shared" ca="1" si="10"/>
        <v>0</v>
      </c>
      <c r="BA64" s="382">
        <f t="shared" ca="1" si="10"/>
        <v>0</v>
      </c>
      <c r="BB64" s="382">
        <f t="shared" ca="1" si="10"/>
        <v>0</v>
      </c>
      <c r="BC64" s="382">
        <f t="shared" ca="1" si="10"/>
        <v>0</v>
      </c>
      <c r="BD64" s="382">
        <f t="shared" ca="1" si="10"/>
        <v>0</v>
      </c>
      <c r="BE64" s="382">
        <f t="shared" ca="1" si="10"/>
        <v>0</v>
      </c>
      <c r="BF64" s="382">
        <f t="shared" ca="1" si="10"/>
        <v>0</v>
      </c>
      <c r="BG64" s="382">
        <f t="shared" ca="1" si="10"/>
        <v>0</v>
      </c>
      <c r="BH64" s="382">
        <f t="shared" ca="1" si="10"/>
        <v>0</v>
      </c>
      <c r="BI64" s="382">
        <f t="shared" ca="1" si="10"/>
        <v>0</v>
      </c>
    </row>
    <row r="65" spans="1:61" outlineLevel="1" x14ac:dyDescent="0.15">
      <c r="A65" s="392">
        <v>11</v>
      </c>
      <c r="B65" s="382" t="str">
        <f t="shared" ca="1" si="7"/>
        <v/>
      </c>
      <c r="C65" s="382" t="str">
        <f t="shared" ca="1" si="7"/>
        <v/>
      </c>
      <c r="D65" s="382" t="str">
        <f t="shared" ca="1" si="7"/>
        <v/>
      </c>
      <c r="E65" s="382" t="str">
        <f t="shared" ca="1" si="7"/>
        <v/>
      </c>
      <c r="F65" s="382" t="str">
        <f t="shared" ca="1" si="7"/>
        <v/>
      </c>
      <c r="G65" s="382" t="str">
        <f t="shared" ca="1" si="7"/>
        <v/>
      </c>
      <c r="H65" s="382" t="str">
        <f t="shared" ca="1" si="7"/>
        <v/>
      </c>
      <c r="I65" s="382" t="str">
        <f t="shared" ca="1" si="7"/>
        <v/>
      </c>
      <c r="J65" s="382" t="str">
        <f t="shared" ca="1" si="7"/>
        <v/>
      </c>
      <c r="K65" s="382" t="str">
        <f t="shared" ca="1" si="7"/>
        <v/>
      </c>
      <c r="L65" s="382">
        <f t="shared" ca="1" si="7"/>
        <v>0</v>
      </c>
      <c r="M65" s="382">
        <f t="shared" ca="1" si="7"/>
        <v>0</v>
      </c>
      <c r="N65" s="382">
        <f t="shared" ca="1" si="7"/>
        <v>0</v>
      </c>
      <c r="O65" s="382">
        <f t="shared" ca="1" si="7"/>
        <v>0</v>
      </c>
      <c r="P65" s="382">
        <f t="shared" ca="1" si="7"/>
        <v>0</v>
      </c>
      <c r="Q65" s="382">
        <f t="shared" ca="1" si="7"/>
        <v>0</v>
      </c>
      <c r="R65" s="382">
        <f t="shared" ca="1" si="10"/>
        <v>6115</v>
      </c>
      <c r="S65" s="382">
        <f t="shared" ca="1" si="10"/>
        <v>5825</v>
      </c>
      <c r="T65" s="382">
        <f t="shared" ca="1" si="10"/>
        <v>5771</v>
      </c>
      <c r="U65" s="382">
        <f t="shared" ca="1" si="10"/>
        <v>0</v>
      </c>
      <c r="V65" s="382">
        <f t="shared" ca="1" si="10"/>
        <v>0</v>
      </c>
      <c r="W65" s="382">
        <f t="shared" ca="1" si="10"/>
        <v>0</v>
      </c>
      <c r="X65" s="382">
        <f t="shared" ca="1" si="10"/>
        <v>0</v>
      </c>
      <c r="Y65" s="382">
        <f t="shared" ca="1" si="10"/>
        <v>0</v>
      </c>
      <c r="Z65" s="382">
        <f t="shared" ca="1" si="10"/>
        <v>0</v>
      </c>
      <c r="AA65" s="382">
        <f t="shared" ca="1" si="10"/>
        <v>0</v>
      </c>
      <c r="AB65" s="382">
        <f t="shared" ca="1" si="10"/>
        <v>0</v>
      </c>
      <c r="AC65" s="382">
        <f t="shared" ca="1" si="10"/>
        <v>0</v>
      </c>
      <c r="AD65" s="382">
        <f t="shared" ca="1" si="10"/>
        <v>0</v>
      </c>
      <c r="AE65" s="382">
        <f t="shared" ca="1" si="10"/>
        <v>0</v>
      </c>
      <c r="AF65" s="382">
        <f t="shared" ca="1" si="10"/>
        <v>0</v>
      </c>
      <c r="AG65" s="382">
        <f t="shared" ca="1" si="10"/>
        <v>0</v>
      </c>
      <c r="AH65" s="382">
        <f t="shared" ca="1" si="10"/>
        <v>0</v>
      </c>
      <c r="AI65" s="382">
        <f t="shared" ca="1" si="10"/>
        <v>0</v>
      </c>
      <c r="AJ65" s="382">
        <f t="shared" ca="1" si="10"/>
        <v>0</v>
      </c>
      <c r="AK65" s="382">
        <f t="shared" ca="1" si="10"/>
        <v>0</v>
      </c>
      <c r="AL65" s="382">
        <f t="shared" ca="1" si="10"/>
        <v>0</v>
      </c>
      <c r="AM65" s="382">
        <f t="shared" ca="1" si="10"/>
        <v>0</v>
      </c>
      <c r="AN65" s="382">
        <f t="shared" ca="1" si="10"/>
        <v>0</v>
      </c>
      <c r="AO65" s="382">
        <f t="shared" ca="1" si="10"/>
        <v>0</v>
      </c>
      <c r="AP65" s="382">
        <f t="shared" ca="1" si="10"/>
        <v>0</v>
      </c>
      <c r="AQ65" s="382">
        <f t="shared" ca="1" si="10"/>
        <v>0</v>
      </c>
      <c r="AR65" s="382">
        <f t="shared" ca="1" si="10"/>
        <v>0</v>
      </c>
      <c r="AS65" s="382">
        <f t="shared" ca="1" si="10"/>
        <v>0</v>
      </c>
      <c r="AT65" s="382">
        <f t="shared" ca="1" si="10"/>
        <v>0</v>
      </c>
      <c r="AU65" s="382">
        <f t="shared" ca="1" si="10"/>
        <v>0</v>
      </c>
      <c r="AV65" s="382">
        <f t="shared" ca="1" si="10"/>
        <v>0</v>
      </c>
      <c r="AW65" s="382">
        <f t="shared" ca="1" si="10"/>
        <v>0</v>
      </c>
      <c r="AX65" s="382">
        <f t="shared" ca="1" si="10"/>
        <v>0</v>
      </c>
      <c r="AY65" s="382">
        <f t="shared" ca="1" si="10"/>
        <v>0</v>
      </c>
      <c r="AZ65" s="382">
        <f t="shared" ca="1" si="10"/>
        <v>0</v>
      </c>
      <c r="BA65" s="382">
        <f t="shared" ca="1" si="10"/>
        <v>0</v>
      </c>
      <c r="BB65" s="382">
        <f t="shared" ca="1" si="10"/>
        <v>0</v>
      </c>
      <c r="BC65" s="382">
        <f t="shared" ca="1" si="10"/>
        <v>0</v>
      </c>
      <c r="BD65" s="382">
        <f t="shared" ca="1" si="10"/>
        <v>0</v>
      </c>
      <c r="BE65" s="382">
        <f t="shared" ca="1" si="10"/>
        <v>0</v>
      </c>
      <c r="BF65" s="382">
        <f t="shared" ca="1" si="10"/>
        <v>0</v>
      </c>
      <c r="BG65" s="382">
        <f t="shared" ca="1" si="10"/>
        <v>0</v>
      </c>
      <c r="BH65" s="382">
        <f t="shared" ca="1" si="10"/>
        <v>0</v>
      </c>
      <c r="BI65" s="382">
        <f t="shared" ca="1" si="10"/>
        <v>0</v>
      </c>
    </row>
    <row r="66" spans="1:61" outlineLevel="1" x14ac:dyDescent="0.15">
      <c r="A66" s="392">
        <v>12</v>
      </c>
      <c r="B66" s="382" t="str">
        <f t="shared" ca="1" si="7"/>
        <v/>
      </c>
      <c r="C66" s="382" t="str">
        <f t="shared" ca="1" si="7"/>
        <v/>
      </c>
      <c r="D66" s="382" t="str">
        <f t="shared" ca="1" si="7"/>
        <v/>
      </c>
      <c r="E66" s="382" t="str">
        <f t="shared" ca="1" si="7"/>
        <v/>
      </c>
      <c r="F66" s="382" t="str">
        <f t="shared" ca="1" si="7"/>
        <v/>
      </c>
      <c r="G66" s="382" t="str">
        <f t="shared" ca="1" si="7"/>
        <v/>
      </c>
      <c r="H66" s="382" t="str">
        <f t="shared" ca="1" si="7"/>
        <v/>
      </c>
      <c r="I66" s="382" t="str">
        <f t="shared" ca="1" si="7"/>
        <v/>
      </c>
      <c r="J66" s="382" t="str">
        <f t="shared" ca="1" si="7"/>
        <v/>
      </c>
      <c r="K66" s="382" t="str">
        <f t="shared" ca="1" si="7"/>
        <v/>
      </c>
      <c r="L66" s="382" t="str">
        <f t="shared" ca="1" si="7"/>
        <v/>
      </c>
      <c r="M66" s="382">
        <f t="shared" ca="1" si="7"/>
        <v>0</v>
      </c>
      <c r="N66" s="382">
        <f t="shared" ca="1" si="7"/>
        <v>0</v>
      </c>
      <c r="O66" s="382">
        <f t="shared" ca="1" si="7"/>
        <v>0</v>
      </c>
      <c r="P66" s="382">
        <f t="shared" ca="1" si="7"/>
        <v>0</v>
      </c>
      <c r="Q66" s="382">
        <f t="shared" ca="1" si="7"/>
        <v>0</v>
      </c>
      <c r="R66" s="382">
        <f t="shared" ca="1" si="10"/>
        <v>0</v>
      </c>
      <c r="S66" s="382">
        <f t="shared" ca="1" si="10"/>
        <v>6115</v>
      </c>
      <c r="T66" s="382">
        <f t="shared" ca="1" si="10"/>
        <v>5825</v>
      </c>
      <c r="U66" s="382">
        <f t="shared" ca="1" si="10"/>
        <v>5771</v>
      </c>
      <c r="V66" s="382">
        <f t="shared" ca="1" si="10"/>
        <v>0</v>
      </c>
      <c r="W66" s="382">
        <f t="shared" ca="1" si="10"/>
        <v>0</v>
      </c>
      <c r="X66" s="382">
        <f t="shared" ca="1" si="10"/>
        <v>0</v>
      </c>
      <c r="Y66" s="382">
        <f t="shared" ca="1" si="10"/>
        <v>0</v>
      </c>
      <c r="Z66" s="382">
        <f t="shared" ca="1" si="10"/>
        <v>0</v>
      </c>
      <c r="AA66" s="382">
        <f t="shared" ca="1" si="10"/>
        <v>0</v>
      </c>
      <c r="AB66" s="382">
        <f t="shared" ca="1" si="10"/>
        <v>0</v>
      </c>
      <c r="AC66" s="382">
        <f t="shared" ca="1" si="10"/>
        <v>0</v>
      </c>
      <c r="AD66" s="382">
        <f t="shared" ca="1" si="10"/>
        <v>0</v>
      </c>
      <c r="AE66" s="382">
        <f t="shared" ca="1" si="10"/>
        <v>0</v>
      </c>
      <c r="AF66" s="382">
        <f t="shared" ca="1" si="10"/>
        <v>0</v>
      </c>
      <c r="AG66" s="382">
        <f t="shared" ca="1" si="10"/>
        <v>0</v>
      </c>
      <c r="AH66" s="382">
        <f t="shared" ca="1" si="10"/>
        <v>0</v>
      </c>
      <c r="AI66" s="382">
        <f t="shared" ca="1" si="10"/>
        <v>0</v>
      </c>
      <c r="AJ66" s="382">
        <f t="shared" ca="1" si="10"/>
        <v>0</v>
      </c>
      <c r="AK66" s="382">
        <f t="shared" ca="1" si="10"/>
        <v>0</v>
      </c>
      <c r="AL66" s="382">
        <f t="shared" ca="1" si="10"/>
        <v>0</v>
      </c>
      <c r="AM66" s="382">
        <f t="shared" ca="1" si="10"/>
        <v>0</v>
      </c>
      <c r="AN66" s="382">
        <f t="shared" ca="1" si="10"/>
        <v>0</v>
      </c>
      <c r="AO66" s="382">
        <f t="shared" ca="1" si="10"/>
        <v>0</v>
      </c>
      <c r="AP66" s="382">
        <f t="shared" ca="1" si="10"/>
        <v>0</v>
      </c>
      <c r="AQ66" s="382">
        <f t="shared" ca="1" si="10"/>
        <v>0</v>
      </c>
      <c r="AR66" s="382">
        <f t="shared" ca="1" si="10"/>
        <v>0</v>
      </c>
      <c r="AS66" s="382">
        <f t="shared" ca="1" si="10"/>
        <v>0</v>
      </c>
      <c r="AT66" s="382">
        <f t="shared" ca="1" si="10"/>
        <v>0</v>
      </c>
      <c r="AU66" s="382">
        <f t="shared" ca="1" si="10"/>
        <v>0</v>
      </c>
      <c r="AV66" s="382">
        <f t="shared" ca="1" si="10"/>
        <v>0</v>
      </c>
      <c r="AW66" s="382">
        <f t="shared" ca="1" si="10"/>
        <v>0</v>
      </c>
      <c r="AX66" s="382">
        <f t="shared" ca="1" si="10"/>
        <v>0</v>
      </c>
      <c r="AY66" s="382">
        <f t="shared" ca="1" si="10"/>
        <v>0</v>
      </c>
      <c r="AZ66" s="382">
        <f t="shared" ca="1" si="10"/>
        <v>0</v>
      </c>
      <c r="BA66" s="382">
        <f t="shared" ref="BA66:DG71" ca="1" si="11">IF($A66&gt;BA$5,"",OFFSET(BA$54,0,-($A66-1)))</f>
        <v>0</v>
      </c>
      <c r="BB66" s="382">
        <f t="shared" ca="1" si="11"/>
        <v>0</v>
      </c>
      <c r="BC66" s="382">
        <f t="shared" ca="1" si="11"/>
        <v>0</v>
      </c>
      <c r="BD66" s="382">
        <f t="shared" ca="1" si="11"/>
        <v>0</v>
      </c>
      <c r="BE66" s="382">
        <f t="shared" ca="1" si="11"/>
        <v>0</v>
      </c>
      <c r="BF66" s="382">
        <f t="shared" ca="1" si="11"/>
        <v>0</v>
      </c>
      <c r="BG66" s="382">
        <f t="shared" ca="1" si="11"/>
        <v>0</v>
      </c>
      <c r="BH66" s="382">
        <f t="shared" ca="1" si="11"/>
        <v>0</v>
      </c>
      <c r="BI66" s="382">
        <f t="shared" ca="1" si="11"/>
        <v>0</v>
      </c>
    </row>
    <row r="67" spans="1:61" outlineLevel="1" x14ac:dyDescent="0.15">
      <c r="A67" s="392">
        <v>13</v>
      </c>
      <c r="B67" s="382" t="str">
        <f t="shared" ca="1" si="7"/>
        <v/>
      </c>
      <c r="C67" s="382" t="str">
        <f t="shared" ca="1" si="7"/>
        <v/>
      </c>
      <c r="D67" s="382" t="str">
        <f t="shared" ca="1" si="7"/>
        <v/>
      </c>
      <c r="E67" s="382" t="str">
        <f t="shared" ca="1" si="7"/>
        <v/>
      </c>
      <c r="F67" s="382" t="str">
        <f t="shared" ca="1" si="7"/>
        <v/>
      </c>
      <c r="G67" s="382" t="str">
        <f t="shared" ca="1" si="7"/>
        <v/>
      </c>
      <c r="H67" s="382" t="str">
        <f t="shared" ca="1" si="7"/>
        <v/>
      </c>
      <c r="I67" s="382" t="str">
        <f t="shared" ca="1" si="7"/>
        <v/>
      </c>
      <c r="J67" s="382" t="str">
        <f t="shared" ca="1" si="7"/>
        <v/>
      </c>
      <c r="K67" s="382" t="str">
        <f t="shared" ca="1" si="7"/>
        <v/>
      </c>
      <c r="L67" s="382" t="str">
        <f t="shared" ca="1" si="7"/>
        <v/>
      </c>
      <c r="M67" s="382" t="str">
        <f t="shared" ca="1" si="7"/>
        <v/>
      </c>
      <c r="N67" s="382">
        <f t="shared" ca="1" si="7"/>
        <v>0</v>
      </c>
      <c r="O67" s="382">
        <f t="shared" ca="1" si="7"/>
        <v>0</v>
      </c>
      <c r="P67" s="382">
        <f t="shared" ca="1" si="7"/>
        <v>0</v>
      </c>
      <c r="Q67" s="382">
        <f t="shared" ca="1" si="7"/>
        <v>0</v>
      </c>
      <c r="R67" s="382">
        <f t="shared" ref="R67:BX72" ca="1" si="12">IF($A67&gt;R$5,"",OFFSET(R$54,0,-($A67-1)))</f>
        <v>0</v>
      </c>
      <c r="S67" s="382">
        <f t="shared" ca="1" si="12"/>
        <v>0</v>
      </c>
      <c r="T67" s="382">
        <f t="shared" ca="1" si="12"/>
        <v>6115</v>
      </c>
      <c r="U67" s="382">
        <f t="shared" ca="1" si="12"/>
        <v>5825</v>
      </c>
      <c r="V67" s="382">
        <f t="shared" ca="1" si="12"/>
        <v>5771</v>
      </c>
      <c r="W67" s="382">
        <f t="shared" ca="1" si="12"/>
        <v>0</v>
      </c>
      <c r="X67" s="382">
        <f t="shared" ca="1" si="12"/>
        <v>0</v>
      </c>
      <c r="Y67" s="382">
        <f t="shared" ca="1" si="12"/>
        <v>0</v>
      </c>
      <c r="Z67" s="382">
        <f t="shared" ca="1" si="12"/>
        <v>0</v>
      </c>
      <c r="AA67" s="382">
        <f t="shared" ca="1" si="12"/>
        <v>0</v>
      </c>
      <c r="AB67" s="382">
        <f t="shared" ca="1" si="12"/>
        <v>0</v>
      </c>
      <c r="AC67" s="382">
        <f t="shared" ca="1" si="12"/>
        <v>0</v>
      </c>
      <c r="AD67" s="382">
        <f t="shared" ca="1" si="12"/>
        <v>0</v>
      </c>
      <c r="AE67" s="382">
        <f t="shared" ca="1" si="12"/>
        <v>0</v>
      </c>
      <c r="AF67" s="382">
        <f t="shared" ca="1" si="12"/>
        <v>0</v>
      </c>
      <c r="AG67" s="382">
        <f t="shared" ca="1" si="12"/>
        <v>0</v>
      </c>
      <c r="AH67" s="382">
        <f t="shared" ca="1" si="12"/>
        <v>0</v>
      </c>
      <c r="AI67" s="382">
        <f t="shared" ca="1" si="12"/>
        <v>0</v>
      </c>
      <c r="AJ67" s="382">
        <f t="shared" ca="1" si="12"/>
        <v>0</v>
      </c>
      <c r="AK67" s="382">
        <f t="shared" ca="1" si="12"/>
        <v>0</v>
      </c>
      <c r="AL67" s="382">
        <f t="shared" ca="1" si="12"/>
        <v>0</v>
      </c>
      <c r="AM67" s="382">
        <f t="shared" ca="1" si="12"/>
        <v>0</v>
      </c>
      <c r="AN67" s="382">
        <f t="shared" ca="1" si="12"/>
        <v>0</v>
      </c>
      <c r="AO67" s="382">
        <f t="shared" ca="1" si="12"/>
        <v>0</v>
      </c>
      <c r="AP67" s="382">
        <f t="shared" ca="1" si="12"/>
        <v>0</v>
      </c>
      <c r="AQ67" s="382">
        <f t="shared" ca="1" si="12"/>
        <v>0</v>
      </c>
      <c r="AR67" s="382">
        <f t="shared" ca="1" si="12"/>
        <v>0</v>
      </c>
      <c r="AS67" s="382">
        <f t="shared" ca="1" si="12"/>
        <v>0</v>
      </c>
      <c r="AT67" s="382">
        <f t="shared" ca="1" si="12"/>
        <v>0</v>
      </c>
      <c r="AU67" s="382">
        <f t="shared" ca="1" si="12"/>
        <v>0</v>
      </c>
      <c r="AV67" s="382">
        <f t="shared" ca="1" si="12"/>
        <v>0</v>
      </c>
      <c r="AW67" s="382">
        <f t="shared" ca="1" si="12"/>
        <v>0</v>
      </c>
      <c r="AX67" s="382">
        <f t="shared" ca="1" si="12"/>
        <v>0</v>
      </c>
      <c r="AY67" s="382">
        <f t="shared" ca="1" si="12"/>
        <v>0</v>
      </c>
      <c r="AZ67" s="382">
        <f t="shared" ca="1" si="12"/>
        <v>0</v>
      </c>
      <c r="BA67" s="382">
        <f t="shared" ca="1" si="12"/>
        <v>0</v>
      </c>
      <c r="BB67" s="382">
        <f t="shared" ca="1" si="12"/>
        <v>0</v>
      </c>
      <c r="BC67" s="382">
        <f t="shared" ca="1" si="12"/>
        <v>0</v>
      </c>
      <c r="BD67" s="382">
        <f t="shared" ca="1" si="12"/>
        <v>0</v>
      </c>
      <c r="BE67" s="382">
        <f t="shared" ca="1" si="12"/>
        <v>0</v>
      </c>
      <c r="BF67" s="382">
        <f t="shared" ca="1" si="12"/>
        <v>0</v>
      </c>
      <c r="BG67" s="382">
        <f t="shared" ca="1" si="12"/>
        <v>0</v>
      </c>
      <c r="BH67" s="382">
        <f t="shared" ca="1" si="12"/>
        <v>0</v>
      </c>
      <c r="BI67" s="382">
        <f t="shared" ca="1" si="12"/>
        <v>0</v>
      </c>
    </row>
    <row r="68" spans="1:61" outlineLevel="1" x14ac:dyDescent="0.15">
      <c r="A68" s="392">
        <v>14</v>
      </c>
      <c r="B68" s="382" t="str">
        <f t="shared" ca="1" si="7"/>
        <v/>
      </c>
      <c r="C68" s="382" t="str">
        <f t="shared" ca="1" si="7"/>
        <v/>
      </c>
      <c r="D68" s="382" t="str">
        <f t="shared" ca="1" si="7"/>
        <v/>
      </c>
      <c r="E68" s="382" t="str">
        <f t="shared" ca="1" si="7"/>
        <v/>
      </c>
      <c r="F68" s="382" t="str">
        <f t="shared" ca="1" si="7"/>
        <v/>
      </c>
      <c r="G68" s="382" t="str">
        <f t="shared" ca="1" si="7"/>
        <v/>
      </c>
      <c r="H68" s="382" t="str">
        <f t="shared" ca="1" si="7"/>
        <v/>
      </c>
      <c r="I68" s="382" t="str">
        <f t="shared" ca="1" si="7"/>
        <v/>
      </c>
      <c r="J68" s="382" t="str">
        <f t="shared" ca="1" si="7"/>
        <v/>
      </c>
      <c r="K68" s="382" t="str">
        <f t="shared" ca="1" si="7"/>
        <v/>
      </c>
      <c r="L68" s="382" t="str">
        <f t="shared" ca="1" si="7"/>
        <v/>
      </c>
      <c r="M68" s="382" t="str">
        <f t="shared" ca="1" si="7"/>
        <v/>
      </c>
      <c r="N68" s="382" t="str">
        <f t="shared" ca="1" si="7"/>
        <v/>
      </c>
      <c r="O68" s="382">
        <f t="shared" ca="1" si="7"/>
        <v>0</v>
      </c>
      <c r="P68" s="382">
        <f t="shared" ca="1" si="7"/>
        <v>0</v>
      </c>
      <c r="Q68" s="382">
        <f t="shared" ca="1" si="7"/>
        <v>0</v>
      </c>
      <c r="R68" s="382">
        <f t="shared" ca="1" si="12"/>
        <v>0</v>
      </c>
      <c r="S68" s="382">
        <f t="shared" ca="1" si="12"/>
        <v>0</v>
      </c>
      <c r="T68" s="382">
        <f t="shared" ca="1" si="12"/>
        <v>0</v>
      </c>
      <c r="U68" s="382">
        <f t="shared" ca="1" si="12"/>
        <v>6115</v>
      </c>
      <c r="V68" s="382">
        <f t="shared" ca="1" si="12"/>
        <v>5825</v>
      </c>
      <c r="W68" s="382">
        <f t="shared" ca="1" si="12"/>
        <v>5771</v>
      </c>
      <c r="X68" s="382">
        <f t="shared" ca="1" si="12"/>
        <v>0</v>
      </c>
      <c r="Y68" s="382">
        <f t="shared" ca="1" si="12"/>
        <v>0</v>
      </c>
      <c r="Z68" s="382">
        <f t="shared" ca="1" si="12"/>
        <v>0</v>
      </c>
      <c r="AA68" s="382">
        <f t="shared" ca="1" si="12"/>
        <v>0</v>
      </c>
      <c r="AB68" s="382">
        <f t="shared" ca="1" si="12"/>
        <v>0</v>
      </c>
      <c r="AC68" s="382">
        <f t="shared" ca="1" si="12"/>
        <v>0</v>
      </c>
      <c r="AD68" s="382">
        <f t="shared" ca="1" si="12"/>
        <v>0</v>
      </c>
      <c r="AE68" s="382">
        <f t="shared" ca="1" si="12"/>
        <v>0</v>
      </c>
      <c r="AF68" s="382">
        <f t="shared" ca="1" si="12"/>
        <v>0</v>
      </c>
      <c r="AG68" s="382">
        <f t="shared" ca="1" si="12"/>
        <v>0</v>
      </c>
      <c r="AH68" s="382">
        <f t="shared" ca="1" si="12"/>
        <v>0</v>
      </c>
      <c r="AI68" s="382">
        <f t="shared" ca="1" si="12"/>
        <v>0</v>
      </c>
      <c r="AJ68" s="382">
        <f t="shared" ca="1" si="12"/>
        <v>0</v>
      </c>
      <c r="AK68" s="382">
        <f t="shared" ca="1" si="12"/>
        <v>0</v>
      </c>
      <c r="AL68" s="382">
        <f t="shared" ca="1" si="12"/>
        <v>0</v>
      </c>
      <c r="AM68" s="382">
        <f t="shared" ca="1" si="12"/>
        <v>0</v>
      </c>
      <c r="AN68" s="382">
        <f t="shared" ca="1" si="12"/>
        <v>0</v>
      </c>
      <c r="AO68" s="382">
        <f t="shared" ca="1" si="12"/>
        <v>0</v>
      </c>
      <c r="AP68" s="382">
        <f t="shared" ca="1" si="12"/>
        <v>0</v>
      </c>
      <c r="AQ68" s="382">
        <f t="shared" ca="1" si="12"/>
        <v>0</v>
      </c>
      <c r="AR68" s="382">
        <f t="shared" ca="1" si="12"/>
        <v>0</v>
      </c>
      <c r="AS68" s="382">
        <f t="shared" ca="1" si="12"/>
        <v>0</v>
      </c>
      <c r="AT68" s="382">
        <f t="shared" ca="1" si="12"/>
        <v>0</v>
      </c>
      <c r="AU68" s="382">
        <f t="shared" ca="1" si="12"/>
        <v>0</v>
      </c>
      <c r="AV68" s="382">
        <f t="shared" ca="1" si="12"/>
        <v>0</v>
      </c>
      <c r="AW68" s="382">
        <f t="shared" ca="1" si="12"/>
        <v>0</v>
      </c>
      <c r="AX68" s="382">
        <f t="shared" ca="1" si="12"/>
        <v>0</v>
      </c>
      <c r="AY68" s="382">
        <f t="shared" ca="1" si="12"/>
        <v>0</v>
      </c>
      <c r="AZ68" s="382">
        <f t="shared" ca="1" si="12"/>
        <v>0</v>
      </c>
      <c r="BA68" s="382">
        <f t="shared" ca="1" si="12"/>
        <v>0</v>
      </c>
      <c r="BB68" s="382">
        <f t="shared" ca="1" si="12"/>
        <v>0</v>
      </c>
      <c r="BC68" s="382">
        <f t="shared" ca="1" si="12"/>
        <v>0</v>
      </c>
      <c r="BD68" s="382">
        <f t="shared" ca="1" si="12"/>
        <v>0</v>
      </c>
      <c r="BE68" s="382">
        <f t="shared" ca="1" si="12"/>
        <v>0</v>
      </c>
      <c r="BF68" s="382">
        <f t="shared" ca="1" si="12"/>
        <v>0</v>
      </c>
      <c r="BG68" s="382">
        <f t="shared" ca="1" si="12"/>
        <v>0</v>
      </c>
      <c r="BH68" s="382">
        <f t="shared" ca="1" si="12"/>
        <v>0</v>
      </c>
      <c r="BI68" s="382">
        <f t="shared" ca="1" si="12"/>
        <v>0</v>
      </c>
    </row>
    <row r="69" spans="1:61" outlineLevel="1" x14ac:dyDescent="0.15">
      <c r="A69" s="392">
        <v>15</v>
      </c>
      <c r="B69" s="382" t="str">
        <f t="shared" ca="1" si="7"/>
        <v/>
      </c>
      <c r="C69" s="382" t="str">
        <f t="shared" ca="1" si="7"/>
        <v/>
      </c>
      <c r="D69" s="382" t="str">
        <f t="shared" ca="1" si="7"/>
        <v/>
      </c>
      <c r="E69" s="382" t="str">
        <f t="shared" ca="1" si="7"/>
        <v/>
      </c>
      <c r="F69" s="382" t="str">
        <f t="shared" ca="1" si="7"/>
        <v/>
      </c>
      <c r="G69" s="382" t="str">
        <f t="shared" ca="1" si="7"/>
        <v/>
      </c>
      <c r="H69" s="382" t="str">
        <f t="shared" ca="1" si="7"/>
        <v/>
      </c>
      <c r="I69" s="382" t="str">
        <f t="shared" ca="1" si="7"/>
        <v/>
      </c>
      <c r="J69" s="382" t="str">
        <f t="shared" ca="1" si="7"/>
        <v/>
      </c>
      <c r="K69" s="382" t="str">
        <f t="shared" ca="1" si="7"/>
        <v/>
      </c>
      <c r="L69" s="382" t="str">
        <f t="shared" ca="1" si="7"/>
        <v/>
      </c>
      <c r="M69" s="382" t="str">
        <f t="shared" ca="1" si="7"/>
        <v/>
      </c>
      <c r="N69" s="382" t="str">
        <f t="shared" ca="1" si="7"/>
        <v/>
      </c>
      <c r="O69" s="382" t="str">
        <f t="shared" ca="1" si="7"/>
        <v/>
      </c>
      <c r="P69" s="382">
        <f t="shared" ca="1" si="7"/>
        <v>0</v>
      </c>
      <c r="Q69" s="382">
        <f t="shared" ca="1" si="7"/>
        <v>0</v>
      </c>
      <c r="R69" s="382">
        <f t="shared" ca="1" si="12"/>
        <v>0</v>
      </c>
      <c r="S69" s="382">
        <f t="shared" ca="1" si="12"/>
        <v>0</v>
      </c>
      <c r="T69" s="382">
        <f t="shared" ca="1" si="12"/>
        <v>0</v>
      </c>
      <c r="U69" s="382">
        <f t="shared" ca="1" si="12"/>
        <v>0</v>
      </c>
      <c r="V69" s="382">
        <f t="shared" ca="1" si="12"/>
        <v>6115</v>
      </c>
      <c r="W69" s="382">
        <f t="shared" ca="1" si="12"/>
        <v>5825</v>
      </c>
      <c r="X69" s="382">
        <f t="shared" ca="1" si="12"/>
        <v>5771</v>
      </c>
      <c r="Y69" s="382">
        <f t="shared" ca="1" si="12"/>
        <v>0</v>
      </c>
      <c r="Z69" s="382">
        <f t="shared" ca="1" si="12"/>
        <v>0</v>
      </c>
      <c r="AA69" s="382">
        <f t="shared" ca="1" si="12"/>
        <v>0</v>
      </c>
      <c r="AB69" s="382">
        <f t="shared" ca="1" si="12"/>
        <v>0</v>
      </c>
      <c r="AC69" s="382">
        <f t="shared" ca="1" si="12"/>
        <v>0</v>
      </c>
      <c r="AD69" s="382">
        <f t="shared" ca="1" si="12"/>
        <v>0</v>
      </c>
      <c r="AE69" s="382">
        <f t="shared" ca="1" si="12"/>
        <v>0</v>
      </c>
      <c r="AF69" s="382">
        <f t="shared" ca="1" si="12"/>
        <v>0</v>
      </c>
      <c r="AG69" s="382">
        <f t="shared" ca="1" si="12"/>
        <v>0</v>
      </c>
      <c r="AH69" s="382">
        <f t="shared" ca="1" si="12"/>
        <v>0</v>
      </c>
      <c r="AI69" s="382">
        <f t="shared" ca="1" si="12"/>
        <v>0</v>
      </c>
      <c r="AJ69" s="382">
        <f t="shared" ca="1" si="12"/>
        <v>0</v>
      </c>
      <c r="AK69" s="382">
        <f t="shared" ca="1" si="12"/>
        <v>0</v>
      </c>
      <c r="AL69" s="382">
        <f t="shared" ca="1" si="12"/>
        <v>0</v>
      </c>
      <c r="AM69" s="382">
        <f t="shared" ca="1" si="12"/>
        <v>0</v>
      </c>
      <c r="AN69" s="382">
        <f t="shared" ca="1" si="12"/>
        <v>0</v>
      </c>
      <c r="AO69" s="382">
        <f t="shared" ca="1" si="12"/>
        <v>0</v>
      </c>
      <c r="AP69" s="382">
        <f t="shared" ca="1" si="12"/>
        <v>0</v>
      </c>
      <c r="AQ69" s="382">
        <f t="shared" ca="1" si="12"/>
        <v>0</v>
      </c>
      <c r="AR69" s="382">
        <f t="shared" ca="1" si="12"/>
        <v>0</v>
      </c>
      <c r="AS69" s="382">
        <f t="shared" ca="1" si="12"/>
        <v>0</v>
      </c>
      <c r="AT69" s="382">
        <f t="shared" ca="1" si="12"/>
        <v>0</v>
      </c>
      <c r="AU69" s="382">
        <f t="shared" ca="1" si="12"/>
        <v>0</v>
      </c>
      <c r="AV69" s="382">
        <f t="shared" ca="1" si="12"/>
        <v>0</v>
      </c>
      <c r="AW69" s="382">
        <f t="shared" ca="1" si="12"/>
        <v>0</v>
      </c>
      <c r="AX69" s="382">
        <f t="shared" ca="1" si="12"/>
        <v>0</v>
      </c>
      <c r="AY69" s="382">
        <f t="shared" ca="1" si="12"/>
        <v>0</v>
      </c>
      <c r="AZ69" s="382">
        <f t="shared" ca="1" si="12"/>
        <v>0</v>
      </c>
      <c r="BA69" s="382">
        <f t="shared" ca="1" si="12"/>
        <v>0</v>
      </c>
      <c r="BB69" s="382">
        <f t="shared" ca="1" si="12"/>
        <v>0</v>
      </c>
      <c r="BC69" s="382">
        <f t="shared" ca="1" si="12"/>
        <v>0</v>
      </c>
      <c r="BD69" s="382">
        <f t="shared" ca="1" si="12"/>
        <v>0</v>
      </c>
      <c r="BE69" s="382">
        <f t="shared" ca="1" si="12"/>
        <v>0</v>
      </c>
      <c r="BF69" s="382">
        <f t="shared" ca="1" si="12"/>
        <v>0</v>
      </c>
      <c r="BG69" s="382">
        <f t="shared" ca="1" si="12"/>
        <v>0</v>
      </c>
      <c r="BH69" s="382">
        <f t="shared" ca="1" si="12"/>
        <v>0</v>
      </c>
      <c r="BI69" s="382">
        <f t="shared" ca="1" si="12"/>
        <v>0</v>
      </c>
    </row>
    <row r="70" spans="1:61" outlineLevel="1" x14ac:dyDescent="0.15">
      <c r="A70" s="392">
        <v>16</v>
      </c>
      <c r="B70" s="382" t="str">
        <f t="shared" ca="1" si="7"/>
        <v/>
      </c>
      <c r="C70" s="382" t="str">
        <f t="shared" ca="1" si="7"/>
        <v/>
      </c>
      <c r="D70" s="382" t="str">
        <f t="shared" ca="1" si="7"/>
        <v/>
      </c>
      <c r="E70" s="382" t="str">
        <f t="shared" ca="1" si="7"/>
        <v/>
      </c>
      <c r="F70" s="382" t="str">
        <f t="shared" ca="1" si="7"/>
        <v/>
      </c>
      <c r="G70" s="382" t="str">
        <f t="shared" ca="1" si="7"/>
        <v/>
      </c>
      <c r="H70" s="382" t="str">
        <f t="shared" ca="1" si="7"/>
        <v/>
      </c>
      <c r="I70" s="382" t="str">
        <f t="shared" ca="1" si="7"/>
        <v/>
      </c>
      <c r="J70" s="382" t="str">
        <f t="shared" ca="1" si="7"/>
        <v/>
      </c>
      <c r="K70" s="382" t="str">
        <f t="shared" ca="1" si="7"/>
        <v/>
      </c>
      <c r="L70" s="382" t="str">
        <f t="shared" ca="1" si="7"/>
        <v/>
      </c>
      <c r="M70" s="382" t="str">
        <f t="shared" ca="1" si="7"/>
        <v/>
      </c>
      <c r="N70" s="382" t="str">
        <f t="shared" ca="1" si="7"/>
        <v/>
      </c>
      <c r="O70" s="382" t="str">
        <f t="shared" ca="1" si="7"/>
        <v/>
      </c>
      <c r="P70" s="382" t="str">
        <f t="shared" ca="1" si="7"/>
        <v/>
      </c>
      <c r="Q70" s="382">
        <f t="shared" ref="Q70:BW75" ca="1" si="13">IF($A70&gt;Q$5,"",OFFSET(Q$54,0,-($A70-1)))</f>
        <v>0</v>
      </c>
      <c r="R70" s="382">
        <f t="shared" ca="1" si="13"/>
        <v>0</v>
      </c>
      <c r="S70" s="382">
        <f t="shared" ca="1" si="13"/>
        <v>0</v>
      </c>
      <c r="T70" s="382">
        <f t="shared" ca="1" si="13"/>
        <v>0</v>
      </c>
      <c r="U70" s="382">
        <f t="shared" ca="1" si="13"/>
        <v>0</v>
      </c>
      <c r="V70" s="382">
        <f t="shared" ca="1" si="13"/>
        <v>0</v>
      </c>
      <c r="W70" s="382">
        <f t="shared" ca="1" si="13"/>
        <v>6115</v>
      </c>
      <c r="X70" s="382">
        <f t="shared" ca="1" si="13"/>
        <v>5825</v>
      </c>
      <c r="Y70" s="382">
        <f t="shared" ca="1" si="13"/>
        <v>5771</v>
      </c>
      <c r="Z70" s="382">
        <f t="shared" ca="1" si="13"/>
        <v>0</v>
      </c>
      <c r="AA70" s="382">
        <f t="shared" ca="1" si="13"/>
        <v>0</v>
      </c>
      <c r="AB70" s="382">
        <f t="shared" ca="1" si="13"/>
        <v>0</v>
      </c>
      <c r="AC70" s="382">
        <f t="shared" ca="1" si="13"/>
        <v>0</v>
      </c>
      <c r="AD70" s="382">
        <f t="shared" ca="1" si="13"/>
        <v>0</v>
      </c>
      <c r="AE70" s="382">
        <f t="shared" ca="1" si="13"/>
        <v>0</v>
      </c>
      <c r="AF70" s="382">
        <f t="shared" ca="1" si="13"/>
        <v>0</v>
      </c>
      <c r="AG70" s="382">
        <f t="shared" ca="1" si="13"/>
        <v>0</v>
      </c>
      <c r="AH70" s="382">
        <f t="shared" ca="1" si="13"/>
        <v>0</v>
      </c>
      <c r="AI70" s="382">
        <f t="shared" ca="1" si="13"/>
        <v>0</v>
      </c>
      <c r="AJ70" s="382">
        <f t="shared" ca="1" si="13"/>
        <v>0</v>
      </c>
      <c r="AK70" s="382">
        <f t="shared" ca="1" si="13"/>
        <v>0</v>
      </c>
      <c r="AL70" s="382">
        <f t="shared" ca="1" si="13"/>
        <v>0</v>
      </c>
      <c r="AM70" s="382">
        <f t="shared" ca="1" si="13"/>
        <v>0</v>
      </c>
      <c r="AN70" s="382">
        <f t="shared" ca="1" si="13"/>
        <v>0</v>
      </c>
      <c r="AO70" s="382">
        <f t="shared" ca="1" si="13"/>
        <v>0</v>
      </c>
      <c r="AP70" s="382">
        <f t="shared" ca="1" si="13"/>
        <v>0</v>
      </c>
      <c r="AQ70" s="382">
        <f t="shared" ca="1" si="13"/>
        <v>0</v>
      </c>
      <c r="AR70" s="382">
        <f t="shared" ca="1" si="13"/>
        <v>0</v>
      </c>
      <c r="AS70" s="382">
        <f t="shared" ca="1" si="13"/>
        <v>0</v>
      </c>
      <c r="AT70" s="382">
        <f t="shared" ca="1" si="13"/>
        <v>0</v>
      </c>
      <c r="AU70" s="382">
        <f t="shared" ca="1" si="13"/>
        <v>0</v>
      </c>
      <c r="AV70" s="382">
        <f t="shared" ca="1" si="13"/>
        <v>0</v>
      </c>
      <c r="AW70" s="382">
        <f t="shared" ca="1" si="13"/>
        <v>0</v>
      </c>
      <c r="AX70" s="382">
        <f t="shared" ca="1" si="13"/>
        <v>0</v>
      </c>
      <c r="AY70" s="382">
        <f t="shared" ca="1" si="13"/>
        <v>0</v>
      </c>
      <c r="AZ70" s="382">
        <f t="shared" ca="1" si="13"/>
        <v>0</v>
      </c>
      <c r="BA70" s="382">
        <f t="shared" ca="1" si="13"/>
        <v>0</v>
      </c>
      <c r="BB70" s="382">
        <f t="shared" ca="1" si="13"/>
        <v>0</v>
      </c>
      <c r="BC70" s="382">
        <f t="shared" ca="1" si="13"/>
        <v>0</v>
      </c>
      <c r="BD70" s="382">
        <f t="shared" ca="1" si="13"/>
        <v>0</v>
      </c>
      <c r="BE70" s="382">
        <f t="shared" ca="1" si="13"/>
        <v>0</v>
      </c>
      <c r="BF70" s="382">
        <f t="shared" ca="1" si="13"/>
        <v>0</v>
      </c>
      <c r="BG70" s="382">
        <f t="shared" ca="1" si="13"/>
        <v>0</v>
      </c>
      <c r="BH70" s="382">
        <f t="shared" ca="1" si="13"/>
        <v>0</v>
      </c>
      <c r="BI70" s="382">
        <f t="shared" ca="1" si="13"/>
        <v>0</v>
      </c>
    </row>
    <row r="71" spans="1:61" outlineLevel="1" x14ac:dyDescent="0.15">
      <c r="A71" s="392">
        <v>17</v>
      </c>
      <c r="B71" s="382" t="str">
        <f t="shared" ref="B71:Q102" ca="1" si="14">IF($A71&gt;B$5,"",OFFSET(B$54,0,-($A71-1)))</f>
        <v/>
      </c>
      <c r="C71" s="382" t="str">
        <f t="shared" ca="1" si="14"/>
        <v/>
      </c>
      <c r="D71" s="382" t="str">
        <f t="shared" ca="1" si="14"/>
        <v/>
      </c>
      <c r="E71" s="382" t="str">
        <f t="shared" ca="1" si="14"/>
        <v/>
      </c>
      <c r="F71" s="382" t="str">
        <f t="shared" ca="1" si="14"/>
        <v/>
      </c>
      <c r="G71" s="382" t="str">
        <f t="shared" ca="1" si="14"/>
        <v/>
      </c>
      <c r="H71" s="382" t="str">
        <f t="shared" ca="1" si="14"/>
        <v/>
      </c>
      <c r="I71" s="382" t="str">
        <f t="shared" ca="1" si="14"/>
        <v/>
      </c>
      <c r="J71" s="382" t="str">
        <f t="shared" ca="1" si="14"/>
        <v/>
      </c>
      <c r="K71" s="382" t="str">
        <f t="shared" ca="1" si="14"/>
        <v/>
      </c>
      <c r="L71" s="382" t="str">
        <f t="shared" ca="1" si="14"/>
        <v/>
      </c>
      <c r="M71" s="382" t="str">
        <f t="shared" ca="1" si="14"/>
        <v/>
      </c>
      <c r="N71" s="382" t="str">
        <f t="shared" ca="1" si="14"/>
        <v/>
      </c>
      <c r="O71" s="382" t="str">
        <f t="shared" ca="1" si="14"/>
        <v/>
      </c>
      <c r="P71" s="382" t="str">
        <f t="shared" ca="1" si="14"/>
        <v/>
      </c>
      <c r="Q71" s="382" t="str">
        <f t="shared" ca="1" si="14"/>
        <v/>
      </c>
      <c r="R71" s="382">
        <f t="shared" ca="1" si="13"/>
        <v>0</v>
      </c>
      <c r="S71" s="382">
        <f t="shared" ca="1" si="13"/>
        <v>0</v>
      </c>
      <c r="T71" s="382">
        <f t="shared" ca="1" si="13"/>
        <v>0</v>
      </c>
      <c r="U71" s="382">
        <f t="shared" ca="1" si="13"/>
        <v>0</v>
      </c>
      <c r="V71" s="382">
        <f t="shared" ca="1" si="13"/>
        <v>0</v>
      </c>
      <c r="W71" s="382">
        <f t="shared" ca="1" si="13"/>
        <v>0</v>
      </c>
      <c r="X71" s="382">
        <f t="shared" ca="1" si="13"/>
        <v>6115</v>
      </c>
      <c r="Y71" s="382">
        <f t="shared" ca="1" si="13"/>
        <v>5825</v>
      </c>
      <c r="Z71" s="382">
        <f t="shared" ca="1" si="13"/>
        <v>5771</v>
      </c>
      <c r="AA71" s="382">
        <f t="shared" ca="1" si="13"/>
        <v>0</v>
      </c>
      <c r="AB71" s="382">
        <f t="shared" ca="1" si="13"/>
        <v>0</v>
      </c>
      <c r="AC71" s="382">
        <f t="shared" ca="1" si="13"/>
        <v>0</v>
      </c>
      <c r="AD71" s="382">
        <f t="shared" ca="1" si="13"/>
        <v>0</v>
      </c>
      <c r="AE71" s="382">
        <f t="shared" ca="1" si="13"/>
        <v>0</v>
      </c>
      <c r="AF71" s="382">
        <f t="shared" ca="1" si="13"/>
        <v>0</v>
      </c>
      <c r="AG71" s="382">
        <f t="shared" ca="1" si="13"/>
        <v>0</v>
      </c>
      <c r="AH71" s="382">
        <f t="shared" ca="1" si="13"/>
        <v>0</v>
      </c>
      <c r="AI71" s="382">
        <f t="shared" ca="1" si="13"/>
        <v>0</v>
      </c>
      <c r="AJ71" s="382">
        <f t="shared" ca="1" si="13"/>
        <v>0</v>
      </c>
      <c r="AK71" s="382">
        <f t="shared" ca="1" si="13"/>
        <v>0</v>
      </c>
      <c r="AL71" s="382">
        <f t="shared" ca="1" si="13"/>
        <v>0</v>
      </c>
      <c r="AM71" s="382">
        <f t="shared" ca="1" si="13"/>
        <v>0</v>
      </c>
      <c r="AN71" s="382">
        <f t="shared" ca="1" si="13"/>
        <v>0</v>
      </c>
      <c r="AO71" s="382">
        <f t="shared" ca="1" si="13"/>
        <v>0</v>
      </c>
      <c r="AP71" s="382">
        <f t="shared" ca="1" si="13"/>
        <v>0</v>
      </c>
      <c r="AQ71" s="382">
        <f t="shared" ca="1" si="13"/>
        <v>0</v>
      </c>
      <c r="AR71" s="382">
        <f t="shared" ca="1" si="13"/>
        <v>0</v>
      </c>
      <c r="AS71" s="382">
        <f t="shared" ca="1" si="13"/>
        <v>0</v>
      </c>
      <c r="AT71" s="382">
        <f t="shared" ca="1" si="13"/>
        <v>0</v>
      </c>
      <c r="AU71" s="382">
        <f t="shared" ca="1" si="13"/>
        <v>0</v>
      </c>
      <c r="AV71" s="382">
        <f t="shared" ca="1" si="13"/>
        <v>0</v>
      </c>
      <c r="AW71" s="382">
        <f t="shared" ca="1" si="13"/>
        <v>0</v>
      </c>
      <c r="AX71" s="382">
        <f t="shared" ca="1" si="13"/>
        <v>0</v>
      </c>
      <c r="AY71" s="382">
        <f t="shared" ca="1" si="13"/>
        <v>0</v>
      </c>
      <c r="AZ71" s="382">
        <f t="shared" ca="1" si="13"/>
        <v>0</v>
      </c>
      <c r="BA71" s="382">
        <f t="shared" ca="1" si="13"/>
        <v>0</v>
      </c>
      <c r="BB71" s="382">
        <f t="shared" ca="1" si="13"/>
        <v>0</v>
      </c>
      <c r="BC71" s="382">
        <f t="shared" ca="1" si="13"/>
        <v>0</v>
      </c>
      <c r="BD71" s="382">
        <f t="shared" ca="1" si="13"/>
        <v>0</v>
      </c>
      <c r="BE71" s="382">
        <f t="shared" ca="1" si="13"/>
        <v>0</v>
      </c>
      <c r="BF71" s="382">
        <f t="shared" ca="1" si="13"/>
        <v>0</v>
      </c>
      <c r="BG71" s="382">
        <f t="shared" ca="1" si="13"/>
        <v>0</v>
      </c>
      <c r="BH71" s="382">
        <f t="shared" ca="1" si="13"/>
        <v>0</v>
      </c>
      <c r="BI71" s="382">
        <f t="shared" ca="1" si="13"/>
        <v>0</v>
      </c>
    </row>
    <row r="72" spans="1:61" outlineLevel="1" x14ac:dyDescent="0.15">
      <c r="A72" s="392">
        <v>18</v>
      </c>
      <c r="B72" s="382" t="str">
        <f t="shared" ca="1" si="14"/>
        <v/>
      </c>
      <c r="C72" s="382" t="str">
        <f t="shared" ca="1" si="14"/>
        <v/>
      </c>
      <c r="D72" s="382" t="str">
        <f t="shared" ca="1" si="14"/>
        <v/>
      </c>
      <c r="E72" s="382" t="str">
        <f t="shared" ca="1" si="14"/>
        <v/>
      </c>
      <c r="F72" s="382" t="str">
        <f t="shared" ca="1" si="14"/>
        <v/>
      </c>
      <c r="G72" s="382" t="str">
        <f t="shared" ca="1" si="14"/>
        <v/>
      </c>
      <c r="H72" s="382" t="str">
        <f t="shared" ca="1" si="14"/>
        <v/>
      </c>
      <c r="I72" s="382" t="str">
        <f t="shared" ca="1" si="14"/>
        <v/>
      </c>
      <c r="J72" s="382" t="str">
        <f t="shared" ca="1" si="14"/>
        <v/>
      </c>
      <c r="K72" s="382" t="str">
        <f t="shared" ca="1" si="14"/>
        <v/>
      </c>
      <c r="L72" s="382" t="str">
        <f t="shared" ca="1" si="14"/>
        <v/>
      </c>
      <c r="M72" s="382" t="str">
        <f t="shared" ca="1" si="14"/>
        <v/>
      </c>
      <c r="N72" s="382" t="str">
        <f t="shared" ca="1" si="14"/>
        <v/>
      </c>
      <c r="O72" s="382" t="str">
        <f t="shared" ca="1" si="14"/>
        <v/>
      </c>
      <c r="P72" s="382" t="str">
        <f t="shared" ca="1" si="14"/>
        <v/>
      </c>
      <c r="Q72" s="382" t="str">
        <f t="shared" ca="1" si="14"/>
        <v/>
      </c>
      <c r="R72" s="382" t="str">
        <f t="shared" ca="1" si="13"/>
        <v/>
      </c>
      <c r="S72" s="382">
        <f t="shared" ca="1" si="13"/>
        <v>0</v>
      </c>
      <c r="T72" s="382">
        <f t="shared" ca="1" si="13"/>
        <v>0</v>
      </c>
      <c r="U72" s="382">
        <f t="shared" ca="1" si="13"/>
        <v>0</v>
      </c>
      <c r="V72" s="382">
        <f t="shared" ca="1" si="13"/>
        <v>0</v>
      </c>
      <c r="W72" s="382">
        <f t="shared" ca="1" si="13"/>
        <v>0</v>
      </c>
      <c r="X72" s="382">
        <f t="shared" ca="1" si="13"/>
        <v>0</v>
      </c>
      <c r="Y72" s="382">
        <f t="shared" ca="1" si="13"/>
        <v>6115</v>
      </c>
      <c r="Z72" s="382">
        <f t="shared" ca="1" si="13"/>
        <v>5825</v>
      </c>
      <c r="AA72" s="382">
        <f t="shared" ca="1" si="13"/>
        <v>5771</v>
      </c>
      <c r="AB72" s="382">
        <f t="shared" ca="1" si="13"/>
        <v>0</v>
      </c>
      <c r="AC72" s="382">
        <f t="shared" ca="1" si="13"/>
        <v>0</v>
      </c>
      <c r="AD72" s="382">
        <f t="shared" ca="1" si="13"/>
        <v>0</v>
      </c>
      <c r="AE72" s="382">
        <f t="shared" ca="1" si="13"/>
        <v>0</v>
      </c>
      <c r="AF72" s="382">
        <f t="shared" ca="1" si="13"/>
        <v>0</v>
      </c>
      <c r="AG72" s="382">
        <f t="shared" ca="1" si="13"/>
        <v>0</v>
      </c>
      <c r="AH72" s="382">
        <f t="shared" ca="1" si="13"/>
        <v>0</v>
      </c>
      <c r="AI72" s="382">
        <f t="shared" ca="1" si="13"/>
        <v>0</v>
      </c>
      <c r="AJ72" s="382">
        <f t="shared" ca="1" si="13"/>
        <v>0</v>
      </c>
      <c r="AK72" s="382">
        <f t="shared" ca="1" si="13"/>
        <v>0</v>
      </c>
      <c r="AL72" s="382">
        <f t="shared" ca="1" si="13"/>
        <v>0</v>
      </c>
      <c r="AM72" s="382">
        <f t="shared" ca="1" si="13"/>
        <v>0</v>
      </c>
      <c r="AN72" s="382">
        <f t="shared" ca="1" si="13"/>
        <v>0</v>
      </c>
      <c r="AO72" s="382">
        <f t="shared" ca="1" si="13"/>
        <v>0</v>
      </c>
      <c r="AP72" s="382">
        <f t="shared" ca="1" si="13"/>
        <v>0</v>
      </c>
      <c r="AQ72" s="382">
        <f t="shared" ca="1" si="13"/>
        <v>0</v>
      </c>
      <c r="AR72" s="382">
        <f t="shared" ca="1" si="13"/>
        <v>0</v>
      </c>
      <c r="AS72" s="382">
        <f t="shared" ca="1" si="13"/>
        <v>0</v>
      </c>
      <c r="AT72" s="382">
        <f t="shared" ca="1" si="13"/>
        <v>0</v>
      </c>
      <c r="AU72" s="382">
        <f t="shared" ca="1" si="13"/>
        <v>0</v>
      </c>
      <c r="AV72" s="382">
        <f t="shared" ca="1" si="13"/>
        <v>0</v>
      </c>
      <c r="AW72" s="382">
        <f t="shared" ca="1" si="13"/>
        <v>0</v>
      </c>
      <c r="AX72" s="382">
        <f t="shared" ca="1" si="13"/>
        <v>0</v>
      </c>
      <c r="AY72" s="382">
        <f t="shared" ca="1" si="13"/>
        <v>0</v>
      </c>
      <c r="AZ72" s="382">
        <f t="shared" ca="1" si="13"/>
        <v>0</v>
      </c>
      <c r="BA72" s="382">
        <f t="shared" ca="1" si="13"/>
        <v>0</v>
      </c>
      <c r="BB72" s="382">
        <f t="shared" ca="1" si="13"/>
        <v>0</v>
      </c>
      <c r="BC72" s="382">
        <f t="shared" ca="1" si="13"/>
        <v>0</v>
      </c>
      <c r="BD72" s="382">
        <f t="shared" ca="1" si="13"/>
        <v>0</v>
      </c>
      <c r="BE72" s="382">
        <f t="shared" ca="1" si="13"/>
        <v>0</v>
      </c>
      <c r="BF72" s="382">
        <f t="shared" ca="1" si="13"/>
        <v>0</v>
      </c>
      <c r="BG72" s="382">
        <f t="shared" ca="1" si="13"/>
        <v>0</v>
      </c>
      <c r="BH72" s="382">
        <f t="shared" ca="1" si="13"/>
        <v>0</v>
      </c>
      <c r="BI72" s="382">
        <f t="shared" ca="1" si="13"/>
        <v>0</v>
      </c>
    </row>
    <row r="73" spans="1:61" outlineLevel="1" x14ac:dyDescent="0.15">
      <c r="A73" s="392">
        <v>19</v>
      </c>
      <c r="B73" s="382" t="str">
        <f t="shared" ca="1" si="14"/>
        <v/>
      </c>
      <c r="C73" s="382" t="str">
        <f t="shared" ca="1" si="14"/>
        <v/>
      </c>
      <c r="D73" s="382" t="str">
        <f t="shared" ca="1" si="14"/>
        <v/>
      </c>
      <c r="E73" s="382" t="str">
        <f t="shared" ca="1" si="14"/>
        <v/>
      </c>
      <c r="F73" s="382" t="str">
        <f t="shared" ca="1" si="14"/>
        <v/>
      </c>
      <c r="G73" s="382" t="str">
        <f t="shared" ca="1" si="14"/>
        <v/>
      </c>
      <c r="H73" s="382" t="str">
        <f t="shared" ca="1" si="14"/>
        <v/>
      </c>
      <c r="I73" s="382" t="str">
        <f t="shared" ca="1" si="14"/>
        <v/>
      </c>
      <c r="J73" s="382" t="str">
        <f t="shared" ca="1" si="14"/>
        <v/>
      </c>
      <c r="K73" s="382" t="str">
        <f t="shared" ca="1" si="14"/>
        <v/>
      </c>
      <c r="L73" s="382" t="str">
        <f t="shared" ca="1" si="14"/>
        <v/>
      </c>
      <c r="M73" s="382" t="str">
        <f t="shared" ca="1" si="14"/>
        <v/>
      </c>
      <c r="N73" s="382" t="str">
        <f t="shared" ca="1" si="14"/>
        <v/>
      </c>
      <c r="O73" s="382" t="str">
        <f t="shared" ca="1" si="14"/>
        <v/>
      </c>
      <c r="P73" s="382" t="str">
        <f t="shared" ca="1" si="14"/>
        <v/>
      </c>
      <c r="Q73" s="382" t="str">
        <f t="shared" ca="1" si="14"/>
        <v/>
      </c>
      <c r="R73" s="382" t="str">
        <f t="shared" ca="1" si="13"/>
        <v/>
      </c>
      <c r="S73" s="382" t="str">
        <f t="shared" ca="1" si="13"/>
        <v/>
      </c>
      <c r="T73" s="382">
        <f t="shared" ca="1" si="13"/>
        <v>0</v>
      </c>
      <c r="U73" s="382">
        <f t="shared" ca="1" si="13"/>
        <v>0</v>
      </c>
      <c r="V73" s="382">
        <f t="shared" ca="1" si="13"/>
        <v>0</v>
      </c>
      <c r="W73" s="382">
        <f t="shared" ca="1" si="13"/>
        <v>0</v>
      </c>
      <c r="X73" s="382">
        <f t="shared" ca="1" si="13"/>
        <v>0</v>
      </c>
      <c r="Y73" s="382">
        <f t="shared" ca="1" si="13"/>
        <v>0</v>
      </c>
      <c r="Z73" s="382">
        <f t="shared" ca="1" si="13"/>
        <v>6115</v>
      </c>
      <c r="AA73" s="382">
        <f t="shared" ca="1" si="13"/>
        <v>5825</v>
      </c>
      <c r="AB73" s="382">
        <f t="shared" ca="1" si="13"/>
        <v>5771</v>
      </c>
      <c r="AC73" s="382">
        <f t="shared" ca="1" si="13"/>
        <v>0</v>
      </c>
      <c r="AD73" s="382">
        <f t="shared" ca="1" si="13"/>
        <v>0</v>
      </c>
      <c r="AE73" s="382">
        <f t="shared" ca="1" si="13"/>
        <v>0</v>
      </c>
      <c r="AF73" s="382">
        <f t="shared" ca="1" si="13"/>
        <v>0</v>
      </c>
      <c r="AG73" s="382">
        <f t="shared" ca="1" si="13"/>
        <v>0</v>
      </c>
      <c r="AH73" s="382">
        <f t="shared" ca="1" si="13"/>
        <v>0</v>
      </c>
      <c r="AI73" s="382">
        <f t="shared" ca="1" si="13"/>
        <v>0</v>
      </c>
      <c r="AJ73" s="382">
        <f t="shared" ca="1" si="13"/>
        <v>0</v>
      </c>
      <c r="AK73" s="382">
        <f t="shared" ca="1" si="13"/>
        <v>0</v>
      </c>
      <c r="AL73" s="382">
        <f t="shared" ca="1" si="13"/>
        <v>0</v>
      </c>
      <c r="AM73" s="382">
        <f t="shared" ca="1" si="13"/>
        <v>0</v>
      </c>
      <c r="AN73" s="382">
        <f t="shared" ca="1" si="13"/>
        <v>0</v>
      </c>
      <c r="AO73" s="382">
        <f t="shared" ca="1" si="13"/>
        <v>0</v>
      </c>
      <c r="AP73" s="382">
        <f t="shared" ca="1" si="13"/>
        <v>0</v>
      </c>
      <c r="AQ73" s="382">
        <f t="shared" ca="1" si="13"/>
        <v>0</v>
      </c>
      <c r="AR73" s="382">
        <f t="shared" ca="1" si="13"/>
        <v>0</v>
      </c>
      <c r="AS73" s="382">
        <f t="shared" ca="1" si="13"/>
        <v>0</v>
      </c>
      <c r="AT73" s="382">
        <f t="shared" ca="1" si="13"/>
        <v>0</v>
      </c>
      <c r="AU73" s="382">
        <f t="shared" ca="1" si="13"/>
        <v>0</v>
      </c>
      <c r="AV73" s="382">
        <f t="shared" ca="1" si="13"/>
        <v>0</v>
      </c>
      <c r="AW73" s="382">
        <f t="shared" ca="1" si="13"/>
        <v>0</v>
      </c>
      <c r="AX73" s="382">
        <f t="shared" ca="1" si="13"/>
        <v>0</v>
      </c>
      <c r="AY73" s="382">
        <f t="shared" ca="1" si="13"/>
        <v>0</v>
      </c>
      <c r="AZ73" s="382">
        <f t="shared" ca="1" si="13"/>
        <v>0</v>
      </c>
      <c r="BA73" s="382">
        <f t="shared" ca="1" si="13"/>
        <v>0</v>
      </c>
      <c r="BB73" s="382">
        <f t="shared" ca="1" si="13"/>
        <v>0</v>
      </c>
      <c r="BC73" s="382">
        <f t="shared" ca="1" si="13"/>
        <v>0</v>
      </c>
      <c r="BD73" s="382">
        <f t="shared" ca="1" si="13"/>
        <v>0</v>
      </c>
      <c r="BE73" s="382">
        <f t="shared" ca="1" si="13"/>
        <v>0</v>
      </c>
      <c r="BF73" s="382">
        <f t="shared" ca="1" si="13"/>
        <v>0</v>
      </c>
      <c r="BG73" s="382">
        <f t="shared" ca="1" si="13"/>
        <v>0</v>
      </c>
      <c r="BH73" s="382">
        <f t="shared" ca="1" si="13"/>
        <v>0</v>
      </c>
      <c r="BI73" s="382">
        <f t="shared" ca="1" si="13"/>
        <v>0</v>
      </c>
    </row>
    <row r="74" spans="1:61" outlineLevel="1" x14ac:dyDescent="0.15">
      <c r="A74" s="392">
        <v>20</v>
      </c>
      <c r="B74" s="382" t="str">
        <f t="shared" ca="1" si="14"/>
        <v/>
      </c>
      <c r="C74" s="382" t="str">
        <f t="shared" ca="1" si="14"/>
        <v/>
      </c>
      <c r="D74" s="382" t="str">
        <f t="shared" ca="1" si="14"/>
        <v/>
      </c>
      <c r="E74" s="382" t="str">
        <f t="shared" ca="1" si="14"/>
        <v/>
      </c>
      <c r="F74" s="382" t="str">
        <f t="shared" ca="1" si="14"/>
        <v/>
      </c>
      <c r="G74" s="382" t="str">
        <f t="shared" ca="1" si="14"/>
        <v/>
      </c>
      <c r="H74" s="382" t="str">
        <f t="shared" ca="1" si="14"/>
        <v/>
      </c>
      <c r="I74" s="382" t="str">
        <f t="shared" ca="1" si="14"/>
        <v/>
      </c>
      <c r="J74" s="382" t="str">
        <f t="shared" ca="1" si="14"/>
        <v/>
      </c>
      <c r="K74" s="382" t="str">
        <f t="shared" ca="1" si="14"/>
        <v/>
      </c>
      <c r="L74" s="382" t="str">
        <f t="shared" ca="1" si="14"/>
        <v/>
      </c>
      <c r="M74" s="382" t="str">
        <f t="shared" ca="1" si="14"/>
        <v/>
      </c>
      <c r="N74" s="382" t="str">
        <f t="shared" ca="1" si="14"/>
        <v/>
      </c>
      <c r="O74" s="382" t="str">
        <f t="shared" ca="1" si="14"/>
        <v/>
      </c>
      <c r="P74" s="382" t="str">
        <f t="shared" ca="1" si="14"/>
        <v/>
      </c>
      <c r="Q74" s="382" t="str">
        <f t="shared" ca="1" si="14"/>
        <v/>
      </c>
      <c r="R74" s="382" t="str">
        <f t="shared" ca="1" si="13"/>
        <v/>
      </c>
      <c r="S74" s="382" t="str">
        <f t="shared" ca="1" si="13"/>
        <v/>
      </c>
      <c r="T74" s="382" t="str">
        <f t="shared" ca="1" si="13"/>
        <v/>
      </c>
      <c r="U74" s="382">
        <f t="shared" ca="1" si="13"/>
        <v>0</v>
      </c>
      <c r="V74" s="382">
        <f t="shared" ca="1" si="13"/>
        <v>0</v>
      </c>
      <c r="W74" s="382">
        <f t="shared" ca="1" si="13"/>
        <v>0</v>
      </c>
      <c r="X74" s="382">
        <f t="shared" ca="1" si="13"/>
        <v>0</v>
      </c>
      <c r="Y74" s="382">
        <f t="shared" ca="1" si="13"/>
        <v>0</v>
      </c>
      <c r="Z74" s="382">
        <f t="shared" ca="1" si="13"/>
        <v>0</v>
      </c>
      <c r="AA74" s="382">
        <f t="shared" ca="1" si="13"/>
        <v>6115</v>
      </c>
      <c r="AB74" s="382">
        <f t="shared" ca="1" si="13"/>
        <v>5825</v>
      </c>
      <c r="AC74" s="382">
        <f t="shared" ca="1" si="13"/>
        <v>5771</v>
      </c>
      <c r="AD74" s="382">
        <f t="shared" ca="1" si="13"/>
        <v>0</v>
      </c>
      <c r="AE74" s="382">
        <f t="shared" ca="1" si="13"/>
        <v>0</v>
      </c>
      <c r="AF74" s="382">
        <f t="shared" ca="1" si="13"/>
        <v>0</v>
      </c>
      <c r="AG74" s="382">
        <f t="shared" ca="1" si="13"/>
        <v>0</v>
      </c>
      <c r="AH74" s="382">
        <f t="shared" ca="1" si="13"/>
        <v>0</v>
      </c>
      <c r="AI74" s="382">
        <f t="shared" ca="1" si="13"/>
        <v>0</v>
      </c>
      <c r="AJ74" s="382">
        <f t="shared" ca="1" si="13"/>
        <v>0</v>
      </c>
      <c r="AK74" s="382">
        <f t="shared" ca="1" si="13"/>
        <v>0</v>
      </c>
      <c r="AL74" s="382">
        <f t="shared" ca="1" si="13"/>
        <v>0</v>
      </c>
      <c r="AM74" s="382">
        <f t="shared" ca="1" si="13"/>
        <v>0</v>
      </c>
      <c r="AN74" s="382">
        <f t="shared" ca="1" si="13"/>
        <v>0</v>
      </c>
      <c r="AO74" s="382">
        <f t="shared" ca="1" si="13"/>
        <v>0</v>
      </c>
      <c r="AP74" s="382">
        <f t="shared" ca="1" si="13"/>
        <v>0</v>
      </c>
      <c r="AQ74" s="382">
        <f t="shared" ca="1" si="13"/>
        <v>0</v>
      </c>
      <c r="AR74" s="382">
        <f t="shared" ca="1" si="13"/>
        <v>0</v>
      </c>
      <c r="AS74" s="382">
        <f t="shared" ca="1" si="13"/>
        <v>0</v>
      </c>
      <c r="AT74" s="382">
        <f t="shared" ca="1" si="13"/>
        <v>0</v>
      </c>
      <c r="AU74" s="382">
        <f t="shared" ca="1" si="13"/>
        <v>0</v>
      </c>
      <c r="AV74" s="382">
        <f t="shared" ca="1" si="13"/>
        <v>0</v>
      </c>
      <c r="AW74" s="382">
        <f t="shared" ca="1" si="13"/>
        <v>0</v>
      </c>
      <c r="AX74" s="382">
        <f t="shared" ca="1" si="13"/>
        <v>0</v>
      </c>
      <c r="AY74" s="382">
        <f t="shared" ca="1" si="13"/>
        <v>0</v>
      </c>
      <c r="AZ74" s="382">
        <f t="shared" ca="1" si="13"/>
        <v>0</v>
      </c>
      <c r="BA74" s="382">
        <f t="shared" ca="1" si="13"/>
        <v>0</v>
      </c>
      <c r="BB74" s="382">
        <f t="shared" ca="1" si="13"/>
        <v>0</v>
      </c>
      <c r="BC74" s="382">
        <f t="shared" ca="1" si="13"/>
        <v>0</v>
      </c>
      <c r="BD74" s="382">
        <f t="shared" ca="1" si="13"/>
        <v>0</v>
      </c>
      <c r="BE74" s="382">
        <f t="shared" ca="1" si="13"/>
        <v>0</v>
      </c>
      <c r="BF74" s="382">
        <f t="shared" ca="1" si="13"/>
        <v>0</v>
      </c>
      <c r="BG74" s="382">
        <f t="shared" ca="1" si="13"/>
        <v>0</v>
      </c>
      <c r="BH74" s="382">
        <f t="shared" ca="1" si="13"/>
        <v>0</v>
      </c>
      <c r="BI74" s="382">
        <f t="shared" ca="1" si="13"/>
        <v>0</v>
      </c>
    </row>
    <row r="75" spans="1:61" outlineLevel="1" x14ac:dyDescent="0.15">
      <c r="A75" s="392">
        <v>21</v>
      </c>
      <c r="B75" s="382" t="str">
        <f t="shared" ca="1" si="14"/>
        <v/>
      </c>
      <c r="C75" s="382" t="str">
        <f t="shared" ca="1" si="14"/>
        <v/>
      </c>
      <c r="D75" s="382" t="str">
        <f t="shared" ca="1" si="14"/>
        <v/>
      </c>
      <c r="E75" s="382" t="str">
        <f t="shared" ca="1" si="14"/>
        <v/>
      </c>
      <c r="F75" s="382" t="str">
        <f t="shared" ca="1" si="14"/>
        <v/>
      </c>
      <c r="G75" s="382" t="str">
        <f t="shared" ca="1" si="14"/>
        <v/>
      </c>
      <c r="H75" s="382" t="str">
        <f t="shared" ca="1" si="14"/>
        <v/>
      </c>
      <c r="I75" s="382" t="str">
        <f t="shared" ca="1" si="14"/>
        <v/>
      </c>
      <c r="J75" s="382" t="str">
        <f t="shared" ca="1" si="14"/>
        <v/>
      </c>
      <c r="K75" s="382" t="str">
        <f t="shared" ca="1" si="14"/>
        <v/>
      </c>
      <c r="L75" s="382" t="str">
        <f t="shared" ca="1" si="14"/>
        <v/>
      </c>
      <c r="M75" s="382" t="str">
        <f t="shared" ca="1" si="14"/>
        <v/>
      </c>
      <c r="N75" s="382" t="str">
        <f t="shared" ca="1" si="14"/>
        <v/>
      </c>
      <c r="O75" s="382" t="str">
        <f t="shared" ca="1" si="14"/>
        <v/>
      </c>
      <c r="P75" s="382" t="str">
        <f t="shared" ca="1" si="14"/>
        <v/>
      </c>
      <c r="Q75" s="382" t="str">
        <f t="shared" ca="1" si="14"/>
        <v/>
      </c>
      <c r="R75" s="382" t="str">
        <f t="shared" ca="1" si="13"/>
        <v/>
      </c>
      <c r="S75" s="382" t="str">
        <f t="shared" ca="1" si="13"/>
        <v/>
      </c>
      <c r="T75" s="382" t="str">
        <f t="shared" ca="1" si="13"/>
        <v/>
      </c>
      <c r="U75" s="382" t="str">
        <f t="shared" ca="1" si="13"/>
        <v/>
      </c>
      <c r="V75" s="382">
        <f t="shared" ca="1" si="13"/>
        <v>0</v>
      </c>
      <c r="W75" s="382">
        <f t="shared" ca="1" si="13"/>
        <v>0</v>
      </c>
      <c r="X75" s="382">
        <f t="shared" ca="1" si="13"/>
        <v>0</v>
      </c>
      <c r="Y75" s="382">
        <f t="shared" ca="1" si="13"/>
        <v>0</v>
      </c>
      <c r="Z75" s="382">
        <f t="shared" ca="1" si="13"/>
        <v>0</v>
      </c>
      <c r="AA75" s="382">
        <f t="shared" ca="1" si="13"/>
        <v>0</v>
      </c>
      <c r="AB75" s="382">
        <f t="shared" ca="1" si="13"/>
        <v>6115</v>
      </c>
      <c r="AC75" s="382">
        <f t="shared" ca="1" si="13"/>
        <v>5825</v>
      </c>
      <c r="AD75" s="382">
        <f t="shared" ca="1" si="13"/>
        <v>5771</v>
      </c>
      <c r="AE75" s="382">
        <f t="shared" ca="1" si="13"/>
        <v>0</v>
      </c>
      <c r="AF75" s="382">
        <f t="shared" ca="1" si="13"/>
        <v>0</v>
      </c>
      <c r="AG75" s="382">
        <f t="shared" ca="1" si="13"/>
        <v>0</v>
      </c>
      <c r="AH75" s="382">
        <f t="shared" ca="1" si="13"/>
        <v>0</v>
      </c>
      <c r="AI75" s="382">
        <f t="shared" ca="1" si="13"/>
        <v>0</v>
      </c>
      <c r="AJ75" s="382">
        <f t="shared" ca="1" si="13"/>
        <v>0</v>
      </c>
      <c r="AK75" s="382">
        <f t="shared" ca="1" si="13"/>
        <v>0</v>
      </c>
      <c r="AL75" s="382">
        <f t="shared" ca="1" si="13"/>
        <v>0</v>
      </c>
      <c r="AM75" s="382">
        <f t="shared" ca="1" si="13"/>
        <v>0</v>
      </c>
      <c r="AN75" s="382">
        <f t="shared" ca="1" si="13"/>
        <v>0</v>
      </c>
      <c r="AO75" s="382">
        <f t="shared" ca="1" si="13"/>
        <v>0</v>
      </c>
      <c r="AP75" s="382">
        <f t="shared" ca="1" si="13"/>
        <v>0</v>
      </c>
      <c r="AQ75" s="382">
        <f t="shared" ca="1" si="13"/>
        <v>0</v>
      </c>
      <c r="AR75" s="382">
        <f t="shared" ca="1" si="13"/>
        <v>0</v>
      </c>
      <c r="AS75" s="382">
        <f t="shared" ca="1" si="13"/>
        <v>0</v>
      </c>
      <c r="AT75" s="382">
        <f t="shared" ca="1" si="13"/>
        <v>0</v>
      </c>
      <c r="AU75" s="382">
        <f t="shared" ca="1" si="13"/>
        <v>0</v>
      </c>
      <c r="AV75" s="382">
        <f t="shared" ca="1" si="13"/>
        <v>0</v>
      </c>
      <c r="AW75" s="382">
        <f t="shared" ca="1" si="13"/>
        <v>0</v>
      </c>
      <c r="AX75" s="382">
        <f t="shared" ca="1" si="13"/>
        <v>0</v>
      </c>
      <c r="AY75" s="382">
        <f t="shared" ca="1" si="13"/>
        <v>0</v>
      </c>
      <c r="AZ75" s="382">
        <f t="shared" ref="AZ75:DF79" ca="1" si="15">IF($A75&gt;AZ$5,"",OFFSET(AZ$54,0,-($A75-1)))</f>
        <v>0</v>
      </c>
      <c r="BA75" s="382">
        <f t="shared" ca="1" si="15"/>
        <v>0</v>
      </c>
      <c r="BB75" s="382">
        <f t="shared" ca="1" si="15"/>
        <v>0</v>
      </c>
      <c r="BC75" s="382">
        <f t="shared" ca="1" si="15"/>
        <v>0</v>
      </c>
      <c r="BD75" s="382">
        <f t="shared" ca="1" si="15"/>
        <v>0</v>
      </c>
      <c r="BE75" s="382">
        <f t="shared" ca="1" si="15"/>
        <v>0</v>
      </c>
      <c r="BF75" s="382">
        <f t="shared" ca="1" si="15"/>
        <v>0</v>
      </c>
      <c r="BG75" s="382">
        <f t="shared" ca="1" si="15"/>
        <v>0</v>
      </c>
      <c r="BH75" s="382">
        <f t="shared" ca="1" si="15"/>
        <v>0</v>
      </c>
      <c r="BI75" s="382">
        <f t="shared" ca="1" si="15"/>
        <v>0</v>
      </c>
    </row>
    <row r="76" spans="1:61" outlineLevel="1" x14ac:dyDescent="0.15">
      <c r="A76" s="392">
        <v>22</v>
      </c>
      <c r="B76" s="382" t="str">
        <f t="shared" ca="1" si="14"/>
        <v/>
      </c>
      <c r="C76" s="382" t="str">
        <f t="shared" ca="1" si="14"/>
        <v/>
      </c>
      <c r="D76" s="382" t="str">
        <f t="shared" ca="1" si="14"/>
        <v/>
      </c>
      <c r="E76" s="382" t="str">
        <f t="shared" ca="1" si="14"/>
        <v/>
      </c>
      <c r="F76" s="382" t="str">
        <f t="shared" ca="1" si="14"/>
        <v/>
      </c>
      <c r="G76" s="382" t="str">
        <f t="shared" ca="1" si="14"/>
        <v/>
      </c>
      <c r="H76" s="382" t="str">
        <f t="shared" ca="1" si="14"/>
        <v/>
      </c>
      <c r="I76" s="382" t="str">
        <f t="shared" ca="1" si="14"/>
        <v/>
      </c>
      <c r="J76" s="382" t="str">
        <f t="shared" ca="1" si="14"/>
        <v/>
      </c>
      <c r="K76" s="382" t="str">
        <f t="shared" ca="1" si="14"/>
        <v/>
      </c>
      <c r="L76" s="382" t="str">
        <f t="shared" ca="1" si="14"/>
        <v/>
      </c>
      <c r="M76" s="382" t="str">
        <f t="shared" ca="1" si="14"/>
        <v/>
      </c>
      <c r="N76" s="382" t="str">
        <f t="shared" ca="1" si="14"/>
        <v/>
      </c>
      <c r="O76" s="382" t="str">
        <f t="shared" ca="1" si="14"/>
        <v/>
      </c>
      <c r="P76" s="382" t="str">
        <f t="shared" ca="1" si="14"/>
        <v/>
      </c>
      <c r="Q76" s="382" t="str">
        <f t="shared" ca="1" si="14"/>
        <v/>
      </c>
      <c r="R76" s="382" t="str">
        <f t="shared" ref="R76:BX81" ca="1" si="16">IF($A76&gt;R$5,"",OFFSET(R$54,0,-($A76-1)))</f>
        <v/>
      </c>
      <c r="S76" s="382" t="str">
        <f t="shared" ca="1" si="16"/>
        <v/>
      </c>
      <c r="T76" s="382" t="str">
        <f t="shared" ca="1" si="16"/>
        <v/>
      </c>
      <c r="U76" s="382" t="str">
        <f t="shared" ca="1" si="16"/>
        <v/>
      </c>
      <c r="V76" s="382" t="str">
        <f t="shared" ca="1" si="16"/>
        <v/>
      </c>
      <c r="W76" s="382">
        <f t="shared" ca="1" si="16"/>
        <v>0</v>
      </c>
      <c r="X76" s="382">
        <f t="shared" ca="1" si="16"/>
        <v>0</v>
      </c>
      <c r="Y76" s="382">
        <f t="shared" ca="1" si="16"/>
        <v>0</v>
      </c>
      <c r="Z76" s="382">
        <f t="shared" ca="1" si="16"/>
        <v>0</v>
      </c>
      <c r="AA76" s="382">
        <f t="shared" ca="1" si="16"/>
        <v>0</v>
      </c>
      <c r="AB76" s="382">
        <f t="shared" ca="1" si="16"/>
        <v>0</v>
      </c>
      <c r="AC76" s="382">
        <f t="shared" ca="1" si="16"/>
        <v>6115</v>
      </c>
      <c r="AD76" s="382">
        <f t="shared" ca="1" si="16"/>
        <v>5825</v>
      </c>
      <c r="AE76" s="382">
        <f t="shared" ca="1" si="16"/>
        <v>5771</v>
      </c>
      <c r="AF76" s="382">
        <f t="shared" ca="1" si="16"/>
        <v>0</v>
      </c>
      <c r="AG76" s="382">
        <f t="shared" ca="1" si="16"/>
        <v>0</v>
      </c>
      <c r="AH76" s="382">
        <f t="shared" ca="1" si="16"/>
        <v>0</v>
      </c>
      <c r="AI76" s="382">
        <f t="shared" ca="1" si="16"/>
        <v>0</v>
      </c>
      <c r="AJ76" s="382">
        <f t="shared" ca="1" si="16"/>
        <v>0</v>
      </c>
      <c r="AK76" s="382">
        <f t="shared" ca="1" si="16"/>
        <v>0</v>
      </c>
      <c r="AL76" s="382">
        <f t="shared" ca="1" si="16"/>
        <v>0</v>
      </c>
      <c r="AM76" s="382">
        <f t="shared" ca="1" si="16"/>
        <v>0</v>
      </c>
      <c r="AN76" s="382">
        <f t="shared" ca="1" si="16"/>
        <v>0</v>
      </c>
      <c r="AO76" s="382">
        <f t="shared" ca="1" si="16"/>
        <v>0</v>
      </c>
      <c r="AP76" s="382">
        <f t="shared" ca="1" si="16"/>
        <v>0</v>
      </c>
      <c r="AQ76" s="382">
        <f t="shared" ca="1" si="16"/>
        <v>0</v>
      </c>
      <c r="AR76" s="382">
        <f t="shared" ca="1" si="16"/>
        <v>0</v>
      </c>
      <c r="AS76" s="382">
        <f t="shared" ca="1" si="16"/>
        <v>0</v>
      </c>
      <c r="AT76" s="382">
        <f t="shared" ca="1" si="16"/>
        <v>0</v>
      </c>
      <c r="AU76" s="382">
        <f t="shared" ca="1" si="16"/>
        <v>0</v>
      </c>
      <c r="AV76" s="382">
        <f t="shared" ca="1" si="16"/>
        <v>0</v>
      </c>
      <c r="AW76" s="382">
        <f t="shared" ca="1" si="16"/>
        <v>0</v>
      </c>
      <c r="AX76" s="382">
        <f t="shared" ca="1" si="16"/>
        <v>0</v>
      </c>
      <c r="AY76" s="382">
        <f t="shared" ca="1" si="16"/>
        <v>0</v>
      </c>
      <c r="AZ76" s="382">
        <f t="shared" ca="1" si="16"/>
        <v>0</v>
      </c>
      <c r="BA76" s="382">
        <f t="shared" ca="1" si="16"/>
        <v>0</v>
      </c>
      <c r="BB76" s="382">
        <f t="shared" ca="1" si="15"/>
        <v>0</v>
      </c>
      <c r="BC76" s="382">
        <f t="shared" ca="1" si="15"/>
        <v>0</v>
      </c>
      <c r="BD76" s="382">
        <f t="shared" ca="1" si="15"/>
        <v>0</v>
      </c>
      <c r="BE76" s="382">
        <f t="shared" ca="1" si="15"/>
        <v>0</v>
      </c>
      <c r="BF76" s="382">
        <f t="shared" ca="1" si="15"/>
        <v>0</v>
      </c>
      <c r="BG76" s="382">
        <f t="shared" ca="1" si="15"/>
        <v>0</v>
      </c>
      <c r="BH76" s="382">
        <f t="shared" ca="1" si="15"/>
        <v>0</v>
      </c>
      <c r="BI76" s="382">
        <f t="shared" ca="1" si="15"/>
        <v>0</v>
      </c>
    </row>
    <row r="77" spans="1:61" outlineLevel="1" x14ac:dyDescent="0.15">
      <c r="A77" s="392">
        <v>23</v>
      </c>
      <c r="B77" s="382" t="str">
        <f t="shared" ca="1" si="14"/>
        <v/>
      </c>
      <c r="C77" s="382" t="str">
        <f t="shared" ca="1" si="14"/>
        <v/>
      </c>
      <c r="D77" s="382" t="str">
        <f t="shared" ca="1" si="14"/>
        <v/>
      </c>
      <c r="E77" s="382" t="str">
        <f t="shared" ca="1" si="14"/>
        <v/>
      </c>
      <c r="F77" s="382" t="str">
        <f t="shared" ca="1" si="14"/>
        <v/>
      </c>
      <c r="G77" s="382" t="str">
        <f t="shared" ca="1" si="14"/>
        <v/>
      </c>
      <c r="H77" s="382" t="str">
        <f t="shared" ca="1" si="14"/>
        <v/>
      </c>
      <c r="I77" s="382" t="str">
        <f t="shared" ca="1" si="14"/>
        <v/>
      </c>
      <c r="J77" s="382" t="str">
        <f t="shared" ca="1" si="14"/>
        <v/>
      </c>
      <c r="K77" s="382" t="str">
        <f t="shared" ca="1" si="14"/>
        <v/>
      </c>
      <c r="L77" s="382" t="str">
        <f t="shared" ca="1" si="14"/>
        <v/>
      </c>
      <c r="M77" s="382" t="str">
        <f t="shared" ca="1" si="14"/>
        <v/>
      </c>
      <c r="N77" s="382" t="str">
        <f t="shared" ca="1" si="14"/>
        <v/>
      </c>
      <c r="O77" s="382" t="str">
        <f t="shared" ca="1" si="14"/>
        <v/>
      </c>
      <c r="P77" s="382" t="str">
        <f t="shared" ca="1" si="14"/>
        <v/>
      </c>
      <c r="Q77" s="382" t="str">
        <f t="shared" ca="1" si="14"/>
        <v/>
      </c>
      <c r="R77" s="382" t="str">
        <f t="shared" ca="1" si="16"/>
        <v/>
      </c>
      <c r="S77" s="382" t="str">
        <f t="shared" ca="1" si="16"/>
        <v/>
      </c>
      <c r="T77" s="382" t="str">
        <f t="shared" ca="1" si="16"/>
        <v/>
      </c>
      <c r="U77" s="382" t="str">
        <f t="shared" ca="1" si="16"/>
        <v/>
      </c>
      <c r="V77" s="382" t="str">
        <f t="shared" ca="1" si="16"/>
        <v/>
      </c>
      <c r="W77" s="382" t="str">
        <f t="shared" ca="1" si="16"/>
        <v/>
      </c>
      <c r="X77" s="382">
        <f t="shared" ca="1" si="16"/>
        <v>0</v>
      </c>
      <c r="Y77" s="382">
        <f t="shared" ca="1" si="16"/>
        <v>0</v>
      </c>
      <c r="Z77" s="382">
        <f t="shared" ca="1" si="16"/>
        <v>0</v>
      </c>
      <c r="AA77" s="382">
        <f t="shared" ca="1" si="16"/>
        <v>0</v>
      </c>
      <c r="AB77" s="382">
        <f t="shared" ca="1" si="16"/>
        <v>0</v>
      </c>
      <c r="AC77" s="382">
        <f t="shared" ca="1" si="16"/>
        <v>0</v>
      </c>
      <c r="AD77" s="382">
        <f t="shared" ca="1" si="16"/>
        <v>6115</v>
      </c>
      <c r="AE77" s="382">
        <f t="shared" ca="1" si="16"/>
        <v>5825</v>
      </c>
      <c r="AF77" s="382">
        <f t="shared" ca="1" si="16"/>
        <v>5771</v>
      </c>
      <c r="AG77" s="382">
        <f t="shared" ca="1" si="16"/>
        <v>0</v>
      </c>
      <c r="AH77" s="382">
        <f t="shared" ca="1" si="16"/>
        <v>0</v>
      </c>
      <c r="AI77" s="382">
        <f t="shared" ca="1" si="16"/>
        <v>0</v>
      </c>
      <c r="AJ77" s="382">
        <f t="shared" ca="1" si="16"/>
        <v>0</v>
      </c>
      <c r="AK77" s="382">
        <f t="shared" ca="1" si="16"/>
        <v>0</v>
      </c>
      <c r="AL77" s="382">
        <f t="shared" ca="1" si="16"/>
        <v>0</v>
      </c>
      <c r="AM77" s="382">
        <f t="shared" ca="1" si="16"/>
        <v>0</v>
      </c>
      <c r="AN77" s="382">
        <f t="shared" ca="1" si="16"/>
        <v>0</v>
      </c>
      <c r="AO77" s="382">
        <f t="shared" ca="1" si="16"/>
        <v>0</v>
      </c>
      <c r="AP77" s="382">
        <f t="shared" ca="1" si="16"/>
        <v>0</v>
      </c>
      <c r="AQ77" s="382">
        <f t="shared" ca="1" si="16"/>
        <v>0</v>
      </c>
      <c r="AR77" s="382">
        <f t="shared" ca="1" si="16"/>
        <v>0</v>
      </c>
      <c r="AS77" s="382">
        <f t="shared" ca="1" si="16"/>
        <v>0</v>
      </c>
      <c r="AT77" s="382">
        <f t="shared" ca="1" si="16"/>
        <v>0</v>
      </c>
      <c r="AU77" s="382">
        <f t="shared" ca="1" si="16"/>
        <v>0</v>
      </c>
      <c r="AV77" s="382">
        <f t="shared" ca="1" si="16"/>
        <v>0</v>
      </c>
      <c r="AW77" s="382">
        <f t="shared" ca="1" si="16"/>
        <v>0</v>
      </c>
      <c r="AX77" s="382">
        <f t="shared" ca="1" si="16"/>
        <v>0</v>
      </c>
      <c r="AY77" s="382">
        <f t="shared" ca="1" si="16"/>
        <v>0</v>
      </c>
      <c r="AZ77" s="382">
        <f t="shared" ca="1" si="16"/>
        <v>0</v>
      </c>
      <c r="BA77" s="382">
        <f t="shared" ca="1" si="16"/>
        <v>0</v>
      </c>
      <c r="BB77" s="382">
        <f t="shared" ca="1" si="16"/>
        <v>0</v>
      </c>
      <c r="BC77" s="382">
        <f t="shared" ca="1" si="16"/>
        <v>0</v>
      </c>
      <c r="BD77" s="382">
        <f t="shared" ca="1" si="16"/>
        <v>0</v>
      </c>
      <c r="BE77" s="382">
        <f t="shared" ca="1" si="16"/>
        <v>0</v>
      </c>
      <c r="BF77" s="382">
        <f t="shared" ca="1" si="16"/>
        <v>0</v>
      </c>
      <c r="BG77" s="382">
        <f t="shared" ca="1" si="16"/>
        <v>0</v>
      </c>
      <c r="BH77" s="382">
        <f t="shared" ca="1" si="16"/>
        <v>0</v>
      </c>
      <c r="BI77" s="382">
        <f t="shared" ca="1" si="16"/>
        <v>0</v>
      </c>
    </row>
    <row r="78" spans="1:61" outlineLevel="1" x14ac:dyDescent="0.15">
      <c r="A78" s="392">
        <v>24</v>
      </c>
      <c r="B78" s="382" t="str">
        <f t="shared" ca="1" si="14"/>
        <v/>
      </c>
      <c r="C78" s="382" t="str">
        <f t="shared" ca="1" si="14"/>
        <v/>
      </c>
      <c r="D78" s="382" t="str">
        <f t="shared" ca="1" si="14"/>
        <v/>
      </c>
      <c r="E78" s="382" t="str">
        <f t="shared" ca="1" si="14"/>
        <v/>
      </c>
      <c r="F78" s="382" t="str">
        <f t="shared" ca="1" si="14"/>
        <v/>
      </c>
      <c r="G78" s="382" t="str">
        <f t="shared" ca="1" si="14"/>
        <v/>
      </c>
      <c r="H78" s="382" t="str">
        <f t="shared" ca="1" si="14"/>
        <v/>
      </c>
      <c r="I78" s="382" t="str">
        <f t="shared" ca="1" si="14"/>
        <v/>
      </c>
      <c r="J78" s="382" t="str">
        <f t="shared" ca="1" si="14"/>
        <v/>
      </c>
      <c r="K78" s="382" t="str">
        <f t="shared" ca="1" si="14"/>
        <v/>
      </c>
      <c r="L78" s="382" t="str">
        <f t="shared" ca="1" si="14"/>
        <v/>
      </c>
      <c r="M78" s="382" t="str">
        <f t="shared" ca="1" si="14"/>
        <v/>
      </c>
      <c r="N78" s="382" t="str">
        <f t="shared" ca="1" si="14"/>
        <v/>
      </c>
      <c r="O78" s="382" t="str">
        <f t="shared" ca="1" si="14"/>
        <v/>
      </c>
      <c r="P78" s="382" t="str">
        <f t="shared" ca="1" si="14"/>
        <v/>
      </c>
      <c r="Q78" s="382" t="str">
        <f t="shared" ca="1" si="14"/>
        <v/>
      </c>
      <c r="R78" s="382" t="str">
        <f t="shared" ca="1" si="16"/>
        <v/>
      </c>
      <c r="S78" s="382" t="str">
        <f t="shared" ca="1" si="16"/>
        <v/>
      </c>
      <c r="T78" s="382" t="str">
        <f t="shared" ca="1" si="16"/>
        <v/>
      </c>
      <c r="U78" s="382" t="str">
        <f t="shared" ca="1" si="16"/>
        <v/>
      </c>
      <c r="V78" s="382" t="str">
        <f t="shared" ca="1" si="16"/>
        <v/>
      </c>
      <c r="W78" s="382" t="str">
        <f t="shared" ca="1" si="16"/>
        <v/>
      </c>
      <c r="X78" s="382" t="str">
        <f t="shared" ca="1" si="16"/>
        <v/>
      </c>
      <c r="Y78" s="382">
        <f t="shared" ca="1" si="16"/>
        <v>0</v>
      </c>
      <c r="Z78" s="382">
        <f t="shared" ca="1" si="16"/>
        <v>0</v>
      </c>
      <c r="AA78" s="382">
        <f t="shared" ca="1" si="16"/>
        <v>0</v>
      </c>
      <c r="AB78" s="382">
        <f t="shared" ca="1" si="16"/>
        <v>0</v>
      </c>
      <c r="AC78" s="382">
        <f t="shared" ca="1" si="16"/>
        <v>0</v>
      </c>
      <c r="AD78" s="382">
        <f t="shared" ca="1" si="16"/>
        <v>0</v>
      </c>
      <c r="AE78" s="382">
        <f t="shared" ca="1" si="16"/>
        <v>6115</v>
      </c>
      <c r="AF78" s="382">
        <f t="shared" ca="1" si="16"/>
        <v>5825</v>
      </c>
      <c r="AG78" s="382">
        <f t="shared" ca="1" si="16"/>
        <v>5771</v>
      </c>
      <c r="AH78" s="382">
        <f t="shared" ca="1" si="16"/>
        <v>0</v>
      </c>
      <c r="AI78" s="382">
        <f t="shared" ca="1" si="16"/>
        <v>0</v>
      </c>
      <c r="AJ78" s="382">
        <f t="shared" ca="1" si="16"/>
        <v>0</v>
      </c>
      <c r="AK78" s="382">
        <f t="shared" ca="1" si="16"/>
        <v>0</v>
      </c>
      <c r="AL78" s="382">
        <f t="shared" ca="1" si="16"/>
        <v>0</v>
      </c>
      <c r="AM78" s="382">
        <f t="shared" ca="1" si="16"/>
        <v>0</v>
      </c>
      <c r="AN78" s="382">
        <f t="shared" ca="1" si="16"/>
        <v>0</v>
      </c>
      <c r="AO78" s="382">
        <f t="shared" ca="1" si="16"/>
        <v>0</v>
      </c>
      <c r="AP78" s="382">
        <f t="shared" ca="1" si="16"/>
        <v>0</v>
      </c>
      <c r="AQ78" s="382">
        <f t="shared" ca="1" si="16"/>
        <v>0</v>
      </c>
      <c r="AR78" s="382">
        <f t="shared" ca="1" si="16"/>
        <v>0</v>
      </c>
      <c r="AS78" s="382">
        <f t="shared" ca="1" si="16"/>
        <v>0</v>
      </c>
      <c r="AT78" s="382">
        <f t="shared" ca="1" si="16"/>
        <v>0</v>
      </c>
      <c r="AU78" s="382">
        <f t="shared" ca="1" si="16"/>
        <v>0</v>
      </c>
      <c r="AV78" s="382">
        <f t="shared" ca="1" si="16"/>
        <v>0</v>
      </c>
      <c r="AW78" s="382">
        <f t="shared" ca="1" si="16"/>
        <v>0</v>
      </c>
      <c r="AX78" s="382">
        <f t="shared" ca="1" si="16"/>
        <v>0</v>
      </c>
      <c r="AY78" s="382">
        <f t="shared" ca="1" si="16"/>
        <v>0</v>
      </c>
      <c r="AZ78" s="382">
        <f t="shared" ca="1" si="16"/>
        <v>0</v>
      </c>
      <c r="BA78" s="382">
        <f t="shared" ca="1" si="16"/>
        <v>0</v>
      </c>
      <c r="BB78" s="382">
        <f t="shared" ca="1" si="16"/>
        <v>0</v>
      </c>
      <c r="BC78" s="382">
        <f t="shared" ca="1" si="16"/>
        <v>0</v>
      </c>
      <c r="BD78" s="382">
        <f t="shared" ca="1" si="16"/>
        <v>0</v>
      </c>
      <c r="BE78" s="382">
        <f t="shared" ca="1" si="16"/>
        <v>0</v>
      </c>
      <c r="BF78" s="382">
        <f t="shared" ca="1" si="16"/>
        <v>0</v>
      </c>
      <c r="BG78" s="382">
        <f t="shared" ca="1" si="16"/>
        <v>0</v>
      </c>
      <c r="BH78" s="382">
        <f t="shared" ca="1" si="16"/>
        <v>0</v>
      </c>
      <c r="BI78" s="382">
        <f t="shared" ca="1" si="16"/>
        <v>0</v>
      </c>
    </row>
    <row r="79" spans="1:61" outlineLevel="1" x14ac:dyDescent="0.15">
      <c r="A79" s="392">
        <v>25</v>
      </c>
      <c r="B79" s="382" t="str">
        <f t="shared" ca="1" si="14"/>
        <v/>
      </c>
      <c r="C79" s="382" t="str">
        <f t="shared" ca="1" si="14"/>
        <v/>
      </c>
      <c r="D79" s="382" t="str">
        <f t="shared" ca="1" si="14"/>
        <v/>
      </c>
      <c r="E79" s="382" t="str">
        <f t="shared" ca="1" si="14"/>
        <v/>
      </c>
      <c r="F79" s="382" t="str">
        <f t="shared" ca="1" si="14"/>
        <v/>
      </c>
      <c r="G79" s="382" t="str">
        <f t="shared" ca="1" si="14"/>
        <v/>
      </c>
      <c r="H79" s="382" t="str">
        <f t="shared" ca="1" si="14"/>
        <v/>
      </c>
      <c r="I79" s="382" t="str">
        <f t="shared" ca="1" si="14"/>
        <v/>
      </c>
      <c r="J79" s="382" t="str">
        <f t="shared" ca="1" si="14"/>
        <v/>
      </c>
      <c r="K79" s="382" t="str">
        <f t="shared" ca="1" si="14"/>
        <v/>
      </c>
      <c r="L79" s="382" t="str">
        <f t="shared" ca="1" si="14"/>
        <v/>
      </c>
      <c r="M79" s="382" t="str">
        <f t="shared" ca="1" si="14"/>
        <v/>
      </c>
      <c r="N79" s="382" t="str">
        <f t="shared" ca="1" si="14"/>
        <v/>
      </c>
      <c r="O79" s="382" t="str">
        <f t="shared" ca="1" si="14"/>
        <v/>
      </c>
      <c r="P79" s="382" t="str">
        <f t="shared" ca="1" si="14"/>
        <v/>
      </c>
      <c r="Q79" s="382" t="str">
        <f t="shared" ca="1" si="14"/>
        <v/>
      </c>
      <c r="R79" s="382" t="str">
        <f t="shared" ca="1" si="16"/>
        <v/>
      </c>
      <c r="S79" s="382" t="str">
        <f t="shared" ca="1" si="16"/>
        <v/>
      </c>
      <c r="T79" s="382" t="str">
        <f t="shared" ca="1" si="16"/>
        <v/>
      </c>
      <c r="U79" s="382" t="str">
        <f t="shared" ca="1" si="16"/>
        <v/>
      </c>
      <c r="V79" s="382" t="str">
        <f t="shared" ca="1" si="16"/>
        <v/>
      </c>
      <c r="W79" s="382" t="str">
        <f t="shared" ca="1" si="16"/>
        <v/>
      </c>
      <c r="X79" s="382" t="str">
        <f t="shared" ca="1" si="16"/>
        <v/>
      </c>
      <c r="Y79" s="382" t="str">
        <f t="shared" ca="1" si="16"/>
        <v/>
      </c>
      <c r="Z79" s="382">
        <f t="shared" ca="1" si="16"/>
        <v>0</v>
      </c>
      <c r="AA79" s="382">
        <f t="shared" ca="1" si="16"/>
        <v>0</v>
      </c>
      <c r="AB79" s="382">
        <f t="shared" ca="1" si="16"/>
        <v>0</v>
      </c>
      <c r="AC79" s="382">
        <f t="shared" ca="1" si="16"/>
        <v>0</v>
      </c>
      <c r="AD79" s="382">
        <f t="shared" ca="1" si="16"/>
        <v>0</v>
      </c>
      <c r="AE79" s="382">
        <f t="shared" ca="1" si="16"/>
        <v>0</v>
      </c>
      <c r="AF79" s="382">
        <f t="shared" ca="1" si="16"/>
        <v>6115</v>
      </c>
      <c r="AG79" s="382">
        <f t="shared" ca="1" si="16"/>
        <v>5825</v>
      </c>
      <c r="AH79" s="382">
        <f t="shared" ca="1" si="16"/>
        <v>5771</v>
      </c>
      <c r="AI79" s="382">
        <f t="shared" ca="1" si="16"/>
        <v>0</v>
      </c>
      <c r="AJ79" s="382">
        <f t="shared" ca="1" si="16"/>
        <v>0</v>
      </c>
      <c r="AK79" s="382">
        <f t="shared" ca="1" si="16"/>
        <v>0</v>
      </c>
      <c r="AL79" s="382">
        <f t="shared" ca="1" si="16"/>
        <v>0</v>
      </c>
      <c r="AM79" s="382">
        <f t="shared" ca="1" si="16"/>
        <v>0</v>
      </c>
      <c r="AN79" s="382">
        <f t="shared" ca="1" si="16"/>
        <v>0</v>
      </c>
      <c r="AO79" s="382">
        <f t="shared" ca="1" si="16"/>
        <v>0</v>
      </c>
      <c r="AP79" s="382">
        <f t="shared" ca="1" si="16"/>
        <v>0</v>
      </c>
      <c r="AQ79" s="382">
        <f t="shared" ca="1" si="16"/>
        <v>0</v>
      </c>
      <c r="AR79" s="382">
        <f t="shared" ca="1" si="16"/>
        <v>0</v>
      </c>
      <c r="AS79" s="382">
        <f t="shared" ca="1" si="16"/>
        <v>0</v>
      </c>
      <c r="AT79" s="382">
        <f t="shared" ca="1" si="16"/>
        <v>0</v>
      </c>
      <c r="AU79" s="382">
        <f t="shared" ca="1" si="16"/>
        <v>0</v>
      </c>
      <c r="AV79" s="382">
        <f t="shared" ca="1" si="16"/>
        <v>0</v>
      </c>
      <c r="AW79" s="382">
        <f t="shared" ca="1" si="16"/>
        <v>0</v>
      </c>
      <c r="AX79" s="382">
        <f t="shared" ca="1" si="16"/>
        <v>0</v>
      </c>
      <c r="AY79" s="382">
        <f t="shared" ca="1" si="16"/>
        <v>0</v>
      </c>
      <c r="AZ79" s="382">
        <f t="shared" ca="1" si="16"/>
        <v>0</v>
      </c>
      <c r="BA79" s="382">
        <f t="shared" ca="1" si="16"/>
        <v>0</v>
      </c>
      <c r="BB79" s="382">
        <f t="shared" ca="1" si="16"/>
        <v>0</v>
      </c>
      <c r="BC79" s="382">
        <f t="shared" ca="1" si="16"/>
        <v>0</v>
      </c>
      <c r="BD79" s="382">
        <f t="shared" ca="1" si="16"/>
        <v>0</v>
      </c>
      <c r="BE79" s="382">
        <f t="shared" ca="1" si="16"/>
        <v>0</v>
      </c>
      <c r="BF79" s="382">
        <f t="shared" ca="1" si="16"/>
        <v>0</v>
      </c>
      <c r="BG79" s="382">
        <f t="shared" ca="1" si="16"/>
        <v>0</v>
      </c>
      <c r="BH79" s="382">
        <f t="shared" ca="1" si="16"/>
        <v>0</v>
      </c>
      <c r="BI79" s="382">
        <f t="shared" ca="1" si="16"/>
        <v>0</v>
      </c>
    </row>
    <row r="80" spans="1:61" outlineLevel="1" x14ac:dyDescent="0.15">
      <c r="A80" s="392">
        <v>26</v>
      </c>
      <c r="B80" s="382" t="str">
        <f t="shared" ca="1" si="14"/>
        <v/>
      </c>
      <c r="C80" s="382" t="str">
        <f t="shared" ca="1" si="14"/>
        <v/>
      </c>
      <c r="D80" s="382" t="str">
        <f t="shared" ca="1" si="14"/>
        <v/>
      </c>
      <c r="E80" s="382" t="str">
        <f t="shared" ca="1" si="14"/>
        <v/>
      </c>
      <c r="F80" s="382" t="str">
        <f t="shared" ca="1" si="14"/>
        <v/>
      </c>
      <c r="G80" s="382" t="str">
        <f t="shared" ca="1" si="14"/>
        <v/>
      </c>
      <c r="H80" s="382" t="str">
        <f t="shared" ca="1" si="14"/>
        <v/>
      </c>
      <c r="I80" s="382" t="str">
        <f t="shared" ca="1" si="14"/>
        <v/>
      </c>
      <c r="J80" s="382" t="str">
        <f t="shared" ca="1" si="14"/>
        <v/>
      </c>
      <c r="K80" s="382" t="str">
        <f t="shared" ca="1" si="14"/>
        <v/>
      </c>
      <c r="L80" s="382" t="str">
        <f t="shared" ca="1" si="14"/>
        <v/>
      </c>
      <c r="M80" s="382" t="str">
        <f t="shared" ca="1" si="14"/>
        <v/>
      </c>
      <c r="N80" s="382" t="str">
        <f t="shared" ca="1" si="14"/>
        <v/>
      </c>
      <c r="O80" s="382" t="str">
        <f t="shared" ca="1" si="14"/>
        <v/>
      </c>
      <c r="P80" s="382" t="str">
        <f t="shared" ca="1" si="14"/>
        <v/>
      </c>
      <c r="Q80" s="382" t="str">
        <f t="shared" ca="1" si="14"/>
        <v/>
      </c>
      <c r="R80" s="382" t="str">
        <f t="shared" ca="1" si="16"/>
        <v/>
      </c>
      <c r="S80" s="382" t="str">
        <f t="shared" ca="1" si="16"/>
        <v/>
      </c>
      <c r="T80" s="382" t="str">
        <f t="shared" ca="1" si="16"/>
        <v/>
      </c>
      <c r="U80" s="382" t="str">
        <f t="shared" ca="1" si="16"/>
        <v/>
      </c>
      <c r="V80" s="382" t="str">
        <f t="shared" ca="1" si="16"/>
        <v/>
      </c>
      <c r="W80" s="382" t="str">
        <f t="shared" ca="1" si="16"/>
        <v/>
      </c>
      <c r="X80" s="382" t="str">
        <f t="shared" ca="1" si="16"/>
        <v/>
      </c>
      <c r="Y80" s="382" t="str">
        <f t="shared" ca="1" si="16"/>
        <v/>
      </c>
      <c r="Z80" s="382" t="str">
        <f t="shared" ca="1" si="16"/>
        <v/>
      </c>
      <c r="AA80" s="382">
        <f t="shared" ca="1" si="16"/>
        <v>0</v>
      </c>
      <c r="AB80" s="382">
        <f t="shared" ca="1" si="16"/>
        <v>0</v>
      </c>
      <c r="AC80" s="382">
        <f t="shared" ca="1" si="16"/>
        <v>0</v>
      </c>
      <c r="AD80" s="382">
        <f t="shared" ca="1" si="16"/>
        <v>0</v>
      </c>
      <c r="AE80" s="382">
        <f t="shared" ca="1" si="16"/>
        <v>0</v>
      </c>
      <c r="AF80" s="382">
        <f t="shared" ca="1" si="16"/>
        <v>0</v>
      </c>
      <c r="AG80" s="382">
        <f t="shared" ca="1" si="16"/>
        <v>6115</v>
      </c>
      <c r="AH80" s="382">
        <f t="shared" ca="1" si="16"/>
        <v>5825</v>
      </c>
      <c r="AI80" s="382">
        <f t="shared" ca="1" si="16"/>
        <v>5771</v>
      </c>
      <c r="AJ80" s="382">
        <f t="shared" ca="1" si="16"/>
        <v>0</v>
      </c>
      <c r="AK80" s="382">
        <f t="shared" ca="1" si="16"/>
        <v>0</v>
      </c>
      <c r="AL80" s="382">
        <f t="shared" ca="1" si="16"/>
        <v>0</v>
      </c>
      <c r="AM80" s="382">
        <f t="shared" ca="1" si="16"/>
        <v>0</v>
      </c>
      <c r="AN80" s="382">
        <f t="shared" ca="1" si="16"/>
        <v>0</v>
      </c>
      <c r="AO80" s="382">
        <f t="shared" ca="1" si="16"/>
        <v>0</v>
      </c>
      <c r="AP80" s="382">
        <f t="shared" ca="1" si="16"/>
        <v>0</v>
      </c>
      <c r="AQ80" s="382">
        <f t="shared" ca="1" si="16"/>
        <v>0</v>
      </c>
      <c r="AR80" s="382">
        <f t="shared" ca="1" si="16"/>
        <v>0</v>
      </c>
      <c r="AS80" s="382">
        <f t="shared" ca="1" si="16"/>
        <v>0</v>
      </c>
      <c r="AT80" s="382">
        <f t="shared" ca="1" si="16"/>
        <v>0</v>
      </c>
      <c r="AU80" s="382">
        <f t="shared" ca="1" si="16"/>
        <v>0</v>
      </c>
      <c r="AV80" s="382">
        <f t="shared" ca="1" si="16"/>
        <v>0</v>
      </c>
      <c r="AW80" s="382">
        <f t="shared" ca="1" si="16"/>
        <v>0</v>
      </c>
      <c r="AX80" s="382">
        <f t="shared" ca="1" si="16"/>
        <v>0</v>
      </c>
      <c r="AY80" s="382">
        <f t="shared" ca="1" si="16"/>
        <v>0</v>
      </c>
      <c r="AZ80" s="382">
        <f t="shared" ca="1" si="16"/>
        <v>0</v>
      </c>
      <c r="BA80" s="382">
        <f t="shared" ca="1" si="16"/>
        <v>0</v>
      </c>
      <c r="BB80" s="382">
        <f t="shared" ca="1" si="16"/>
        <v>0</v>
      </c>
      <c r="BC80" s="382">
        <f t="shared" ca="1" si="16"/>
        <v>0</v>
      </c>
      <c r="BD80" s="382">
        <f t="shared" ca="1" si="16"/>
        <v>0</v>
      </c>
      <c r="BE80" s="382">
        <f t="shared" ca="1" si="16"/>
        <v>0</v>
      </c>
      <c r="BF80" s="382">
        <f t="shared" ca="1" si="16"/>
        <v>0</v>
      </c>
      <c r="BG80" s="382">
        <f t="shared" ca="1" si="16"/>
        <v>0</v>
      </c>
      <c r="BH80" s="382">
        <f t="shared" ca="1" si="16"/>
        <v>0</v>
      </c>
      <c r="BI80" s="382">
        <f t="shared" ca="1" si="16"/>
        <v>0</v>
      </c>
    </row>
    <row r="81" spans="1:61" outlineLevel="1" x14ac:dyDescent="0.15">
      <c r="A81" s="392">
        <v>27</v>
      </c>
      <c r="B81" s="382" t="str">
        <f t="shared" ca="1" si="14"/>
        <v/>
      </c>
      <c r="C81" s="382" t="str">
        <f t="shared" ca="1" si="14"/>
        <v/>
      </c>
      <c r="D81" s="382" t="str">
        <f t="shared" ca="1" si="14"/>
        <v/>
      </c>
      <c r="E81" s="382" t="str">
        <f t="shared" ca="1" si="14"/>
        <v/>
      </c>
      <c r="F81" s="382" t="str">
        <f t="shared" ca="1" si="14"/>
        <v/>
      </c>
      <c r="G81" s="382" t="str">
        <f t="shared" ca="1" si="14"/>
        <v/>
      </c>
      <c r="H81" s="382" t="str">
        <f t="shared" ca="1" si="14"/>
        <v/>
      </c>
      <c r="I81" s="382" t="str">
        <f t="shared" ca="1" si="14"/>
        <v/>
      </c>
      <c r="J81" s="382" t="str">
        <f t="shared" ca="1" si="14"/>
        <v/>
      </c>
      <c r="K81" s="382" t="str">
        <f t="shared" ca="1" si="14"/>
        <v/>
      </c>
      <c r="L81" s="382" t="str">
        <f t="shared" ca="1" si="14"/>
        <v/>
      </c>
      <c r="M81" s="382" t="str">
        <f t="shared" ca="1" si="14"/>
        <v/>
      </c>
      <c r="N81" s="382" t="str">
        <f t="shared" ca="1" si="14"/>
        <v/>
      </c>
      <c r="O81" s="382" t="str">
        <f t="shared" ca="1" si="14"/>
        <v/>
      </c>
      <c r="P81" s="382" t="str">
        <f t="shared" ca="1" si="14"/>
        <v/>
      </c>
      <c r="Q81" s="382" t="str">
        <f t="shared" ca="1" si="14"/>
        <v/>
      </c>
      <c r="R81" s="382" t="str">
        <f t="shared" ca="1" si="16"/>
        <v/>
      </c>
      <c r="S81" s="382" t="str">
        <f t="shared" ca="1" si="16"/>
        <v/>
      </c>
      <c r="T81" s="382" t="str">
        <f t="shared" ca="1" si="16"/>
        <v/>
      </c>
      <c r="U81" s="382" t="str">
        <f t="shared" ca="1" si="16"/>
        <v/>
      </c>
      <c r="V81" s="382" t="str">
        <f t="shared" ca="1" si="16"/>
        <v/>
      </c>
      <c r="W81" s="382" t="str">
        <f t="shared" ca="1" si="16"/>
        <v/>
      </c>
      <c r="X81" s="382" t="str">
        <f t="shared" ca="1" si="16"/>
        <v/>
      </c>
      <c r="Y81" s="382" t="str">
        <f t="shared" ca="1" si="16"/>
        <v/>
      </c>
      <c r="Z81" s="382" t="str">
        <f t="shared" ca="1" si="16"/>
        <v/>
      </c>
      <c r="AA81" s="382" t="str">
        <f t="shared" ca="1" si="16"/>
        <v/>
      </c>
      <c r="AB81" s="382">
        <f t="shared" ca="1" si="16"/>
        <v>0</v>
      </c>
      <c r="AC81" s="382">
        <f t="shared" ca="1" si="16"/>
        <v>0</v>
      </c>
      <c r="AD81" s="382">
        <f t="shared" ca="1" si="16"/>
        <v>0</v>
      </c>
      <c r="AE81" s="382">
        <f t="shared" ca="1" si="16"/>
        <v>0</v>
      </c>
      <c r="AF81" s="382">
        <f t="shared" ca="1" si="16"/>
        <v>0</v>
      </c>
      <c r="AG81" s="382">
        <f t="shared" ca="1" si="16"/>
        <v>0</v>
      </c>
      <c r="AH81" s="382">
        <f t="shared" ca="1" si="16"/>
        <v>6115</v>
      </c>
      <c r="AI81" s="382">
        <f t="shared" ca="1" si="16"/>
        <v>5825</v>
      </c>
      <c r="AJ81" s="382">
        <f t="shared" ca="1" si="16"/>
        <v>5771</v>
      </c>
      <c r="AK81" s="382">
        <f t="shared" ca="1" si="16"/>
        <v>0</v>
      </c>
      <c r="AL81" s="382">
        <f t="shared" ca="1" si="16"/>
        <v>0</v>
      </c>
      <c r="AM81" s="382">
        <f t="shared" ca="1" si="16"/>
        <v>0</v>
      </c>
      <c r="AN81" s="382">
        <f t="shared" ca="1" si="16"/>
        <v>0</v>
      </c>
      <c r="AO81" s="382">
        <f t="shared" ca="1" si="16"/>
        <v>0</v>
      </c>
      <c r="AP81" s="382">
        <f t="shared" ca="1" si="16"/>
        <v>0</v>
      </c>
      <c r="AQ81" s="382">
        <f t="shared" ca="1" si="16"/>
        <v>0</v>
      </c>
      <c r="AR81" s="382">
        <f t="shared" ca="1" si="16"/>
        <v>0</v>
      </c>
      <c r="AS81" s="382">
        <f t="shared" ca="1" si="16"/>
        <v>0</v>
      </c>
      <c r="AT81" s="382">
        <f t="shared" ca="1" si="16"/>
        <v>0</v>
      </c>
      <c r="AU81" s="382">
        <f t="shared" ca="1" si="16"/>
        <v>0</v>
      </c>
      <c r="AV81" s="382">
        <f t="shared" ca="1" si="16"/>
        <v>0</v>
      </c>
      <c r="AW81" s="382">
        <f t="shared" ca="1" si="16"/>
        <v>0</v>
      </c>
      <c r="AX81" s="382">
        <f t="shared" ca="1" si="16"/>
        <v>0</v>
      </c>
      <c r="AY81" s="382">
        <f t="shared" ca="1" si="16"/>
        <v>0</v>
      </c>
      <c r="AZ81" s="382">
        <f t="shared" ca="1" si="16"/>
        <v>0</v>
      </c>
      <c r="BA81" s="382">
        <f t="shared" ca="1" si="16"/>
        <v>0</v>
      </c>
      <c r="BB81" s="382">
        <f t="shared" ca="1" si="16"/>
        <v>0</v>
      </c>
      <c r="BC81" s="382">
        <f t="shared" ca="1" si="16"/>
        <v>0</v>
      </c>
      <c r="BD81" s="382">
        <f t="shared" ca="1" si="16"/>
        <v>0</v>
      </c>
      <c r="BE81" s="382">
        <f t="shared" ca="1" si="16"/>
        <v>0</v>
      </c>
      <c r="BF81" s="382">
        <f t="shared" ca="1" si="16"/>
        <v>0</v>
      </c>
      <c r="BG81" s="382">
        <f t="shared" ca="1" si="16"/>
        <v>0</v>
      </c>
      <c r="BH81" s="382">
        <f t="shared" ca="1" si="16"/>
        <v>0</v>
      </c>
      <c r="BI81" s="382">
        <f t="shared" ref="BI81:DO85" ca="1" si="17">IF($A81&gt;BI$5,"",OFFSET(BI$54,0,-($A81-1)))</f>
        <v>0</v>
      </c>
    </row>
    <row r="82" spans="1:61" outlineLevel="1" x14ac:dyDescent="0.15">
      <c r="A82" s="392">
        <v>28</v>
      </c>
      <c r="B82" s="382" t="str">
        <f t="shared" ca="1" si="14"/>
        <v/>
      </c>
      <c r="C82" s="382" t="str">
        <f t="shared" ca="1" si="14"/>
        <v/>
      </c>
      <c r="D82" s="382" t="str">
        <f t="shared" ca="1" si="14"/>
        <v/>
      </c>
      <c r="E82" s="382" t="str">
        <f t="shared" ca="1" si="14"/>
        <v/>
      </c>
      <c r="F82" s="382" t="str">
        <f t="shared" ca="1" si="14"/>
        <v/>
      </c>
      <c r="G82" s="382" t="str">
        <f t="shared" ca="1" si="14"/>
        <v/>
      </c>
      <c r="H82" s="382" t="str">
        <f t="shared" ca="1" si="14"/>
        <v/>
      </c>
      <c r="I82" s="382" t="str">
        <f t="shared" ca="1" si="14"/>
        <v/>
      </c>
      <c r="J82" s="382" t="str">
        <f t="shared" ca="1" si="14"/>
        <v/>
      </c>
      <c r="K82" s="382" t="str">
        <f t="shared" ca="1" si="14"/>
        <v/>
      </c>
      <c r="L82" s="382" t="str">
        <f t="shared" ca="1" si="14"/>
        <v/>
      </c>
      <c r="M82" s="382" t="str">
        <f t="shared" ca="1" si="14"/>
        <v/>
      </c>
      <c r="N82" s="382" t="str">
        <f t="shared" ca="1" si="14"/>
        <v/>
      </c>
      <c r="O82" s="382" t="str">
        <f t="shared" ca="1" si="14"/>
        <v/>
      </c>
      <c r="P82" s="382" t="str">
        <f t="shared" ca="1" si="14"/>
        <v/>
      </c>
      <c r="Q82" s="382" t="str">
        <f t="shared" ca="1" si="14"/>
        <v/>
      </c>
      <c r="R82" s="382" t="str">
        <f t="shared" ref="R82:BX86" ca="1" si="18">IF($A82&gt;R$5,"",OFFSET(R$54,0,-($A82-1)))</f>
        <v/>
      </c>
      <c r="S82" s="382" t="str">
        <f t="shared" ca="1" si="18"/>
        <v/>
      </c>
      <c r="T82" s="382" t="str">
        <f t="shared" ca="1" si="18"/>
        <v/>
      </c>
      <c r="U82" s="382" t="str">
        <f t="shared" ca="1" si="18"/>
        <v/>
      </c>
      <c r="V82" s="382" t="str">
        <f t="shared" ca="1" si="18"/>
        <v/>
      </c>
      <c r="W82" s="382" t="str">
        <f t="shared" ca="1" si="18"/>
        <v/>
      </c>
      <c r="X82" s="382" t="str">
        <f t="shared" ca="1" si="18"/>
        <v/>
      </c>
      <c r="Y82" s="382" t="str">
        <f t="shared" ca="1" si="18"/>
        <v/>
      </c>
      <c r="Z82" s="382" t="str">
        <f t="shared" ca="1" si="18"/>
        <v/>
      </c>
      <c r="AA82" s="382" t="str">
        <f t="shared" ca="1" si="18"/>
        <v/>
      </c>
      <c r="AB82" s="382" t="str">
        <f t="shared" ca="1" si="18"/>
        <v/>
      </c>
      <c r="AC82" s="382">
        <f t="shared" ca="1" si="18"/>
        <v>0</v>
      </c>
      <c r="AD82" s="382">
        <f t="shared" ca="1" si="18"/>
        <v>0</v>
      </c>
      <c r="AE82" s="382">
        <f t="shared" ca="1" si="18"/>
        <v>0</v>
      </c>
      <c r="AF82" s="382">
        <f t="shared" ca="1" si="18"/>
        <v>0</v>
      </c>
      <c r="AG82" s="382">
        <f t="shared" ca="1" si="18"/>
        <v>0</v>
      </c>
      <c r="AH82" s="382">
        <f t="shared" ca="1" si="18"/>
        <v>0</v>
      </c>
      <c r="AI82" s="382">
        <f t="shared" ca="1" si="18"/>
        <v>6115</v>
      </c>
      <c r="AJ82" s="382">
        <f t="shared" ca="1" si="18"/>
        <v>5825</v>
      </c>
      <c r="AK82" s="382">
        <f t="shared" ca="1" si="18"/>
        <v>5771</v>
      </c>
      <c r="AL82" s="382">
        <f t="shared" ca="1" si="18"/>
        <v>0</v>
      </c>
      <c r="AM82" s="382">
        <f t="shared" ca="1" si="18"/>
        <v>0</v>
      </c>
      <c r="AN82" s="382">
        <f t="shared" ca="1" si="18"/>
        <v>0</v>
      </c>
      <c r="AO82" s="382">
        <f t="shared" ca="1" si="18"/>
        <v>0</v>
      </c>
      <c r="AP82" s="382">
        <f t="shared" ca="1" si="18"/>
        <v>0</v>
      </c>
      <c r="AQ82" s="382">
        <f t="shared" ca="1" si="18"/>
        <v>0</v>
      </c>
      <c r="AR82" s="382">
        <f t="shared" ca="1" si="18"/>
        <v>0</v>
      </c>
      <c r="AS82" s="382">
        <f t="shared" ca="1" si="18"/>
        <v>0</v>
      </c>
      <c r="AT82" s="382">
        <f t="shared" ca="1" si="18"/>
        <v>0</v>
      </c>
      <c r="AU82" s="382">
        <f t="shared" ca="1" si="18"/>
        <v>0</v>
      </c>
      <c r="AV82" s="382">
        <f t="shared" ca="1" si="18"/>
        <v>0</v>
      </c>
      <c r="AW82" s="382">
        <f t="shared" ca="1" si="18"/>
        <v>0</v>
      </c>
      <c r="AX82" s="382">
        <f t="shared" ca="1" si="18"/>
        <v>0</v>
      </c>
      <c r="AY82" s="382">
        <f t="shared" ca="1" si="18"/>
        <v>0</v>
      </c>
      <c r="AZ82" s="382">
        <f t="shared" ca="1" si="18"/>
        <v>0</v>
      </c>
      <c r="BA82" s="382">
        <f t="shared" ca="1" si="18"/>
        <v>0</v>
      </c>
      <c r="BB82" s="382">
        <f t="shared" ca="1" si="18"/>
        <v>0</v>
      </c>
      <c r="BC82" s="382">
        <f t="shared" ca="1" si="18"/>
        <v>0</v>
      </c>
      <c r="BD82" s="382">
        <f t="shared" ca="1" si="18"/>
        <v>0</v>
      </c>
      <c r="BE82" s="382">
        <f t="shared" ca="1" si="18"/>
        <v>0</v>
      </c>
      <c r="BF82" s="382">
        <f t="shared" ca="1" si="18"/>
        <v>0</v>
      </c>
      <c r="BG82" s="382">
        <f t="shared" ca="1" si="18"/>
        <v>0</v>
      </c>
      <c r="BH82" s="382">
        <f t="shared" ca="1" si="18"/>
        <v>0</v>
      </c>
      <c r="BI82" s="382">
        <f t="shared" ca="1" si="18"/>
        <v>0</v>
      </c>
    </row>
    <row r="83" spans="1:61" outlineLevel="1" x14ac:dyDescent="0.15">
      <c r="A83" s="392">
        <v>29</v>
      </c>
      <c r="B83" s="382" t="str">
        <f t="shared" ca="1" si="14"/>
        <v/>
      </c>
      <c r="C83" s="382" t="str">
        <f t="shared" ca="1" si="14"/>
        <v/>
      </c>
      <c r="D83" s="382" t="str">
        <f t="shared" ca="1" si="14"/>
        <v/>
      </c>
      <c r="E83" s="382" t="str">
        <f t="shared" ca="1" si="14"/>
        <v/>
      </c>
      <c r="F83" s="382" t="str">
        <f t="shared" ca="1" si="14"/>
        <v/>
      </c>
      <c r="G83" s="382" t="str">
        <f t="shared" ca="1" si="14"/>
        <v/>
      </c>
      <c r="H83" s="382" t="str">
        <f t="shared" ca="1" si="14"/>
        <v/>
      </c>
      <c r="I83" s="382" t="str">
        <f t="shared" ca="1" si="14"/>
        <v/>
      </c>
      <c r="J83" s="382" t="str">
        <f t="shared" ca="1" si="14"/>
        <v/>
      </c>
      <c r="K83" s="382" t="str">
        <f t="shared" ca="1" si="14"/>
        <v/>
      </c>
      <c r="L83" s="382" t="str">
        <f t="shared" ca="1" si="14"/>
        <v/>
      </c>
      <c r="M83" s="382" t="str">
        <f t="shared" ca="1" si="14"/>
        <v/>
      </c>
      <c r="N83" s="382" t="str">
        <f t="shared" ca="1" si="14"/>
        <v/>
      </c>
      <c r="O83" s="382" t="str">
        <f t="shared" ca="1" si="14"/>
        <v/>
      </c>
      <c r="P83" s="382" t="str">
        <f t="shared" ca="1" si="14"/>
        <v/>
      </c>
      <c r="Q83" s="382" t="str">
        <f t="shared" ca="1" si="14"/>
        <v/>
      </c>
      <c r="R83" s="382" t="str">
        <f t="shared" ca="1" si="18"/>
        <v/>
      </c>
      <c r="S83" s="382" t="str">
        <f t="shared" ca="1" si="18"/>
        <v/>
      </c>
      <c r="T83" s="382" t="str">
        <f t="shared" ca="1" si="18"/>
        <v/>
      </c>
      <c r="U83" s="382" t="str">
        <f t="shared" ca="1" si="18"/>
        <v/>
      </c>
      <c r="V83" s="382" t="str">
        <f t="shared" ca="1" si="18"/>
        <v/>
      </c>
      <c r="W83" s="382" t="str">
        <f t="shared" ca="1" si="18"/>
        <v/>
      </c>
      <c r="X83" s="382" t="str">
        <f t="shared" ca="1" si="18"/>
        <v/>
      </c>
      <c r="Y83" s="382" t="str">
        <f t="shared" ca="1" si="18"/>
        <v/>
      </c>
      <c r="Z83" s="382" t="str">
        <f t="shared" ca="1" si="18"/>
        <v/>
      </c>
      <c r="AA83" s="382" t="str">
        <f t="shared" ca="1" si="18"/>
        <v/>
      </c>
      <c r="AB83" s="382" t="str">
        <f t="shared" ca="1" si="18"/>
        <v/>
      </c>
      <c r="AC83" s="382" t="str">
        <f t="shared" ca="1" si="18"/>
        <v/>
      </c>
      <c r="AD83" s="382">
        <f t="shared" ca="1" si="18"/>
        <v>0</v>
      </c>
      <c r="AE83" s="382">
        <f t="shared" ca="1" si="18"/>
        <v>0</v>
      </c>
      <c r="AF83" s="382">
        <f t="shared" ca="1" si="18"/>
        <v>0</v>
      </c>
      <c r="AG83" s="382">
        <f t="shared" ca="1" si="18"/>
        <v>0</v>
      </c>
      <c r="AH83" s="382">
        <f t="shared" ca="1" si="18"/>
        <v>0</v>
      </c>
      <c r="AI83" s="382">
        <f t="shared" ca="1" si="18"/>
        <v>0</v>
      </c>
      <c r="AJ83" s="382">
        <f t="shared" ca="1" si="18"/>
        <v>6115</v>
      </c>
      <c r="AK83" s="382">
        <f t="shared" ca="1" si="18"/>
        <v>5825</v>
      </c>
      <c r="AL83" s="382">
        <f t="shared" ca="1" si="18"/>
        <v>5771</v>
      </c>
      <c r="AM83" s="382">
        <f t="shared" ca="1" si="18"/>
        <v>0</v>
      </c>
      <c r="AN83" s="382">
        <f t="shared" ca="1" si="18"/>
        <v>0</v>
      </c>
      <c r="AO83" s="382">
        <f t="shared" ca="1" si="18"/>
        <v>0</v>
      </c>
      <c r="AP83" s="382">
        <f t="shared" ca="1" si="18"/>
        <v>0</v>
      </c>
      <c r="AQ83" s="382">
        <f t="shared" ca="1" si="18"/>
        <v>0</v>
      </c>
      <c r="AR83" s="382">
        <f t="shared" ca="1" si="18"/>
        <v>0</v>
      </c>
      <c r="AS83" s="382">
        <f t="shared" ca="1" si="18"/>
        <v>0</v>
      </c>
      <c r="AT83" s="382">
        <f t="shared" ca="1" si="18"/>
        <v>0</v>
      </c>
      <c r="AU83" s="382">
        <f t="shared" ca="1" si="18"/>
        <v>0</v>
      </c>
      <c r="AV83" s="382">
        <f t="shared" ca="1" si="18"/>
        <v>0</v>
      </c>
      <c r="AW83" s="382">
        <f t="shared" ca="1" si="18"/>
        <v>0</v>
      </c>
      <c r="AX83" s="382">
        <f t="shared" ca="1" si="18"/>
        <v>0</v>
      </c>
      <c r="AY83" s="382">
        <f t="shared" ca="1" si="18"/>
        <v>0</v>
      </c>
      <c r="AZ83" s="382">
        <f t="shared" ca="1" si="18"/>
        <v>0</v>
      </c>
      <c r="BA83" s="382">
        <f t="shared" ca="1" si="18"/>
        <v>0</v>
      </c>
      <c r="BB83" s="382">
        <f t="shared" ca="1" si="18"/>
        <v>0</v>
      </c>
      <c r="BC83" s="382">
        <f t="shared" ca="1" si="18"/>
        <v>0</v>
      </c>
      <c r="BD83" s="382">
        <f t="shared" ca="1" si="18"/>
        <v>0</v>
      </c>
      <c r="BE83" s="382">
        <f t="shared" ca="1" si="18"/>
        <v>0</v>
      </c>
      <c r="BF83" s="382">
        <f t="shared" ca="1" si="18"/>
        <v>0</v>
      </c>
      <c r="BG83" s="382">
        <f t="shared" ca="1" si="18"/>
        <v>0</v>
      </c>
      <c r="BH83" s="382">
        <f t="shared" ca="1" si="18"/>
        <v>0</v>
      </c>
      <c r="BI83" s="382">
        <f t="shared" ca="1" si="18"/>
        <v>0</v>
      </c>
    </row>
    <row r="84" spans="1:61" outlineLevel="1" x14ac:dyDescent="0.15">
      <c r="A84" s="392">
        <v>30</v>
      </c>
      <c r="B84" s="382" t="str">
        <f t="shared" ca="1" si="14"/>
        <v/>
      </c>
      <c r="C84" s="382" t="str">
        <f t="shared" ca="1" si="14"/>
        <v/>
      </c>
      <c r="D84" s="382" t="str">
        <f t="shared" ca="1" si="14"/>
        <v/>
      </c>
      <c r="E84" s="382" t="str">
        <f t="shared" ca="1" si="14"/>
        <v/>
      </c>
      <c r="F84" s="382" t="str">
        <f t="shared" ca="1" si="14"/>
        <v/>
      </c>
      <c r="G84" s="382" t="str">
        <f t="shared" ca="1" si="14"/>
        <v/>
      </c>
      <c r="H84" s="382" t="str">
        <f t="shared" ca="1" si="14"/>
        <v/>
      </c>
      <c r="I84" s="382" t="str">
        <f t="shared" ca="1" si="14"/>
        <v/>
      </c>
      <c r="J84" s="382" t="str">
        <f t="shared" ca="1" si="14"/>
        <v/>
      </c>
      <c r="K84" s="382" t="str">
        <f t="shared" ca="1" si="14"/>
        <v/>
      </c>
      <c r="L84" s="382" t="str">
        <f t="shared" ca="1" si="14"/>
        <v/>
      </c>
      <c r="M84" s="382" t="str">
        <f t="shared" ca="1" si="14"/>
        <v/>
      </c>
      <c r="N84" s="382" t="str">
        <f t="shared" ca="1" si="14"/>
        <v/>
      </c>
      <c r="O84" s="382" t="str">
        <f t="shared" ca="1" si="14"/>
        <v/>
      </c>
      <c r="P84" s="382" t="str">
        <f t="shared" ca="1" si="14"/>
        <v/>
      </c>
      <c r="Q84" s="382" t="str">
        <f t="shared" ca="1" si="14"/>
        <v/>
      </c>
      <c r="R84" s="382" t="str">
        <f t="shared" ca="1" si="18"/>
        <v/>
      </c>
      <c r="S84" s="382" t="str">
        <f t="shared" ca="1" si="18"/>
        <v/>
      </c>
      <c r="T84" s="382" t="str">
        <f t="shared" ca="1" si="18"/>
        <v/>
      </c>
      <c r="U84" s="382" t="str">
        <f t="shared" ca="1" si="18"/>
        <v/>
      </c>
      <c r="V84" s="382" t="str">
        <f t="shared" ca="1" si="18"/>
        <v/>
      </c>
      <c r="W84" s="382" t="str">
        <f t="shared" ca="1" si="18"/>
        <v/>
      </c>
      <c r="X84" s="382" t="str">
        <f t="shared" ca="1" si="18"/>
        <v/>
      </c>
      <c r="Y84" s="382" t="str">
        <f t="shared" ca="1" si="18"/>
        <v/>
      </c>
      <c r="Z84" s="382" t="str">
        <f t="shared" ca="1" si="18"/>
        <v/>
      </c>
      <c r="AA84" s="382" t="str">
        <f t="shared" ca="1" si="18"/>
        <v/>
      </c>
      <c r="AB84" s="382" t="str">
        <f t="shared" ca="1" si="18"/>
        <v/>
      </c>
      <c r="AC84" s="382" t="str">
        <f t="shared" ca="1" si="18"/>
        <v/>
      </c>
      <c r="AD84" s="382" t="str">
        <f t="shared" ca="1" si="18"/>
        <v/>
      </c>
      <c r="AE84" s="382">
        <f t="shared" ca="1" si="18"/>
        <v>0</v>
      </c>
      <c r="AF84" s="382">
        <f t="shared" ca="1" si="18"/>
        <v>0</v>
      </c>
      <c r="AG84" s="382">
        <f t="shared" ca="1" si="18"/>
        <v>0</v>
      </c>
      <c r="AH84" s="382">
        <f t="shared" ca="1" si="18"/>
        <v>0</v>
      </c>
      <c r="AI84" s="382">
        <f t="shared" ca="1" si="18"/>
        <v>0</v>
      </c>
      <c r="AJ84" s="382">
        <f t="shared" ca="1" si="18"/>
        <v>0</v>
      </c>
      <c r="AK84" s="382">
        <f t="shared" ca="1" si="18"/>
        <v>6115</v>
      </c>
      <c r="AL84" s="382">
        <f t="shared" ca="1" si="18"/>
        <v>5825</v>
      </c>
      <c r="AM84" s="382">
        <f t="shared" ca="1" si="18"/>
        <v>5771</v>
      </c>
      <c r="AN84" s="382">
        <f t="shared" ca="1" si="18"/>
        <v>0</v>
      </c>
      <c r="AO84" s="382">
        <f t="shared" ca="1" si="18"/>
        <v>0</v>
      </c>
      <c r="AP84" s="382">
        <f t="shared" ca="1" si="18"/>
        <v>0</v>
      </c>
      <c r="AQ84" s="382">
        <f t="shared" ca="1" si="18"/>
        <v>0</v>
      </c>
      <c r="AR84" s="382">
        <f t="shared" ca="1" si="18"/>
        <v>0</v>
      </c>
      <c r="AS84" s="382">
        <f t="shared" ca="1" si="18"/>
        <v>0</v>
      </c>
      <c r="AT84" s="382">
        <f t="shared" ca="1" si="18"/>
        <v>0</v>
      </c>
      <c r="AU84" s="382">
        <f t="shared" ca="1" si="18"/>
        <v>0</v>
      </c>
      <c r="AV84" s="382">
        <f t="shared" ca="1" si="18"/>
        <v>0</v>
      </c>
      <c r="AW84" s="382">
        <f t="shared" ca="1" si="18"/>
        <v>0</v>
      </c>
      <c r="AX84" s="382">
        <f t="shared" ca="1" si="18"/>
        <v>0</v>
      </c>
      <c r="AY84" s="382">
        <f t="shared" ca="1" si="18"/>
        <v>0</v>
      </c>
      <c r="AZ84" s="382">
        <f t="shared" ca="1" si="18"/>
        <v>0</v>
      </c>
      <c r="BA84" s="382">
        <f t="shared" ca="1" si="18"/>
        <v>0</v>
      </c>
      <c r="BB84" s="382">
        <f t="shared" ca="1" si="18"/>
        <v>0</v>
      </c>
      <c r="BC84" s="382">
        <f t="shared" ca="1" si="18"/>
        <v>0</v>
      </c>
      <c r="BD84" s="382">
        <f t="shared" ca="1" si="18"/>
        <v>0</v>
      </c>
      <c r="BE84" s="382">
        <f t="shared" ca="1" si="18"/>
        <v>0</v>
      </c>
      <c r="BF84" s="382">
        <f t="shared" ca="1" si="18"/>
        <v>0</v>
      </c>
      <c r="BG84" s="382">
        <f t="shared" ca="1" si="18"/>
        <v>0</v>
      </c>
      <c r="BH84" s="382">
        <f t="shared" ca="1" si="18"/>
        <v>0</v>
      </c>
      <c r="BI84" s="382">
        <f t="shared" ca="1" si="18"/>
        <v>0</v>
      </c>
    </row>
    <row r="85" spans="1:61" outlineLevel="1" x14ac:dyDescent="0.15">
      <c r="A85" s="392">
        <v>31</v>
      </c>
      <c r="B85" s="382" t="str">
        <f t="shared" ca="1" si="14"/>
        <v/>
      </c>
      <c r="C85" s="382" t="str">
        <f t="shared" ca="1" si="14"/>
        <v/>
      </c>
      <c r="D85" s="382" t="str">
        <f t="shared" ca="1" si="14"/>
        <v/>
      </c>
      <c r="E85" s="382" t="str">
        <f t="shared" ca="1" si="14"/>
        <v/>
      </c>
      <c r="F85" s="382" t="str">
        <f t="shared" ca="1" si="14"/>
        <v/>
      </c>
      <c r="G85" s="382" t="str">
        <f t="shared" ca="1" si="14"/>
        <v/>
      </c>
      <c r="H85" s="382" t="str">
        <f t="shared" ca="1" si="14"/>
        <v/>
      </c>
      <c r="I85" s="382" t="str">
        <f t="shared" ca="1" si="14"/>
        <v/>
      </c>
      <c r="J85" s="382" t="str">
        <f t="shared" ca="1" si="14"/>
        <v/>
      </c>
      <c r="K85" s="382" t="str">
        <f t="shared" ca="1" si="14"/>
        <v/>
      </c>
      <c r="L85" s="382" t="str">
        <f t="shared" ca="1" si="14"/>
        <v/>
      </c>
      <c r="M85" s="382" t="str">
        <f t="shared" ca="1" si="14"/>
        <v/>
      </c>
      <c r="N85" s="382" t="str">
        <f t="shared" ca="1" si="14"/>
        <v/>
      </c>
      <c r="O85" s="382" t="str">
        <f t="shared" ca="1" si="14"/>
        <v/>
      </c>
      <c r="P85" s="382" t="str">
        <f t="shared" ca="1" si="14"/>
        <v/>
      </c>
      <c r="Q85" s="382" t="str">
        <f t="shared" ca="1" si="14"/>
        <v/>
      </c>
      <c r="R85" s="382" t="str">
        <f t="shared" ca="1" si="18"/>
        <v/>
      </c>
      <c r="S85" s="382" t="str">
        <f t="shared" ca="1" si="18"/>
        <v/>
      </c>
      <c r="T85" s="382" t="str">
        <f t="shared" ca="1" si="18"/>
        <v/>
      </c>
      <c r="U85" s="382" t="str">
        <f t="shared" ca="1" si="18"/>
        <v/>
      </c>
      <c r="V85" s="382" t="str">
        <f t="shared" ca="1" si="18"/>
        <v/>
      </c>
      <c r="W85" s="382" t="str">
        <f t="shared" ca="1" si="18"/>
        <v/>
      </c>
      <c r="X85" s="382" t="str">
        <f t="shared" ca="1" si="18"/>
        <v/>
      </c>
      <c r="Y85" s="382" t="str">
        <f t="shared" ca="1" si="18"/>
        <v/>
      </c>
      <c r="Z85" s="382" t="str">
        <f t="shared" ca="1" si="18"/>
        <v/>
      </c>
      <c r="AA85" s="382" t="str">
        <f t="shared" ca="1" si="18"/>
        <v/>
      </c>
      <c r="AB85" s="382" t="str">
        <f t="shared" ca="1" si="18"/>
        <v/>
      </c>
      <c r="AC85" s="382" t="str">
        <f t="shared" ca="1" si="18"/>
        <v/>
      </c>
      <c r="AD85" s="382" t="str">
        <f t="shared" ca="1" si="18"/>
        <v/>
      </c>
      <c r="AE85" s="382" t="str">
        <f t="shared" ca="1" si="18"/>
        <v/>
      </c>
      <c r="AF85" s="382">
        <f t="shared" ca="1" si="18"/>
        <v>0</v>
      </c>
      <c r="AG85" s="382">
        <f t="shared" ca="1" si="18"/>
        <v>0</v>
      </c>
      <c r="AH85" s="382">
        <f t="shared" ca="1" si="18"/>
        <v>0</v>
      </c>
      <c r="AI85" s="382">
        <f t="shared" ca="1" si="18"/>
        <v>0</v>
      </c>
      <c r="AJ85" s="382">
        <f t="shared" ca="1" si="18"/>
        <v>0</v>
      </c>
      <c r="AK85" s="382">
        <f t="shared" ca="1" si="18"/>
        <v>0</v>
      </c>
      <c r="AL85" s="382">
        <f t="shared" ca="1" si="18"/>
        <v>6115</v>
      </c>
      <c r="AM85" s="382">
        <f t="shared" ca="1" si="18"/>
        <v>5825</v>
      </c>
      <c r="AN85" s="382">
        <f t="shared" ca="1" si="18"/>
        <v>5771</v>
      </c>
      <c r="AO85" s="382">
        <f t="shared" ca="1" si="18"/>
        <v>0</v>
      </c>
      <c r="AP85" s="382">
        <f t="shared" ca="1" si="18"/>
        <v>0</v>
      </c>
      <c r="AQ85" s="382">
        <f t="shared" ca="1" si="18"/>
        <v>0</v>
      </c>
      <c r="AR85" s="382">
        <f t="shared" ca="1" si="18"/>
        <v>0</v>
      </c>
      <c r="AS85" s="382">
        <f t="shared" ca="1" si="18"/>
        <v>0</v>
      </c>
      <c r="AT85" s="382">
        <f t="shared" ca="1" si="18"/>
        <v>0</v>
      </c>
      <c r="AU85" s="382">
        <f t="shared" ca="1" si="18"/>
        <v>0</v>
      </c>
      <c r="AV85" s="382">
        <f t="shared" ca="1" si="18"/>
        <v>0</v>
      </c>
      <c r="AW85" s="382">
        <f t="shared" ca="1" si="18"/>
        <v>0</v>
      </c>
      <c r="AX85" s="382">
        <f t="shared" ca="1" si="18"/>
        <v>0</v>
      </c>
      <c r="AY85" s="382">
        <f t="shared" ca="1" si="18"/>
        <v>0</v>
      </c>
      <c r="AZ85" s="382">
        <f t="shared" ca="1" si="18"/>
        <v>0</v>
      </c>
      <c r="BA85" s="382">
        <f t="shared" ca="1" si="18"/>
        <v>0</v>
      </c>
      <c r="BB85" s="382">
        <f t="shared" ca="1" si="18"/>
        <v>0</v>
      </c>
      <c r="BC85" s="382">
        <f t="shared" ca="1" si="18"/>
        <v>0</v>
      </c>
      <c r="BD85" s="382">
        <f t="shared" ca="1" si="18"/>
        <v>0</v>
      </c>
      <c r="BE85" s="382">
        <f t="shared" ca="1" si="18"/>
        <v>0</v>
      </c>
      <c r="BF85" s="382">
        <f t="shared" ca="1" si="18"/>
        <v>0</v>
      </c>
      <c r="BG85" s="382">
        <f t="shared" ca="1" si="18"/>
        <v>0</v>
      </c>
      <c r="BH85" s="382">
        <f t="shared" ca="1" si="18"/>
        <v>0</v>
      </c>
      <c r="BI85" s="382">
        <f t="shared" ca="1" si="18"/>
        <v>0</v>
      </c>
    </row>
    <row r="86" spans="1:61" outlineLevel="1" x14ac:dyDescent="0.15">
      <c r="A86" s="392">
        <v>32</v>
      </c>
      <c r="B86" s="382" t="str">
        <f t="shared" ca="1" si="14"/>
        <v/>
      </c>
      <c r="C86" s="382" t="str">
        <f t="shared" ca="1" si="14"/>
        <v/>
      </c>
      <c r="D86" s="382" t="str">
        <f t="shared" ca="1" si="14"/>
        <v/>
      </c>
      <c r="E86" s="382" t="str">
        <f t="shared" ca="1" si="14"/>
        <v/>
      </c>
      <c r="F86" s="382" t="str">
        <f t="shared" ca="1" si="14"/>
        <v/>
      </c>
      <c r="G86" s="382" t="str">
        <f t="shared" ca="1" si="14"/>
        <v/>
      </c>
      <c r="H86" s="382" t="str">
        <f t="shared" ca="1" si="14"/>
        <v/>
      </c>
      <c r="I86" s="382" t="str">
        <f t="shared" ca="1" si="14"/>
        <v/>
      </c>
      <c r="J86" s="382" t="str">
        <f t="shared" ca="1" si="14"/>
        <v/>
      </c>
      <c r="K86" s="382" t="str">
        <f t="shared" ca="1" si="14"/>
        <v/>
      </c>
      <c r="L86" s="382" t="str">
        <f t="shared" ca="1" si="14"/>
        <v/>
      </c>
      <c r="M86" s="382" t="str">
        <f t="shared" ca="1" si="14"/>
        <v/>
      </c>
      <c r="N86" s="382" t="str">
        <f t="shared" ca="1" si="14"/>
        <v/>
      </c>
      <c r="O86" s="382" t="str">
        <f t="shared" ca="1" si="14"/>
        <v/>
      </c>
      <c r="P86" s="382" t="str">
        <f t="shared" ca="1" si="14"/>
        <v/>
      </c>
      <c r="Q86" s="382" t="str">
        <f t="shared" ref="Q86:BW91" ca="1" si="19">IF($A86&gt;Q$5,"",OFFSET(Q$54,0,-($A86-1)))</f>
        <v/>
      </c>
      <c r="R86" s="382" t="str">
        <f t="shared" ca="1" si="19"/>
        <v/>
      </c>
      <c r="S86" s="382" t="str">
        <f t="shared" ca="1" si="19"/>
        <v/>
      </c>
      <c r="T86" s="382" t="str">
        <f t="shared" ca="1" si="19"/>
        <v/>
      </c>
      <c r="U86" s="382" t="str">
        <f t="shared" ca="1" si="19"/>
        <v/>
      </c>
      <c r="V86" s="382" t="str">
        <f t="shared" ca="1" si="19"/>
        <v/>
      </c>
      <c r="W86" s="382" t="str">
        <f t="shared" ca="1" si="19"/>
        <v/>
      </c>
      <c r="X86" s="382" t="str">
        <f t="shared" ca="1" si="19"/>
        <v/>
      </c>
      <c r="Y86" s="382" t="str">
        <f t="shared" ca="1" si="19"/>
        <v/>
      </c>
      <c r="Z86" s="382" t="str">
        <f t="shared" ca="1" si="19"/>
        <v/>
      </c>
      <c r="AA86" s="382" t="str">
        <f t="shared" ca="1" si="19"/>
        <v/>
      </c>
      <c r="AB86" s="382" t="str">
        <f t="shared" ca="1" si="19"/>
        <v/>
      </c>
      <c r="AC86" s="382" t="str">
        <f t="shared" ca="1" si="19"/>
        <v/>
      </c>
      <c r="AD86" s="382" t="str">
        <f t="shared" ca="1" si="19"/>
        <v/>
      </c>
      <c r="AE86" s="382" t="str">
        <f t="shared" ca="1" si="19"/>
        <v/>
      </c>
      <c r="AF86" s="382" t="str">
        <f t="shared" ca="1" si="19"/>
        <v/>
      </c>
      <c r="AG86" s="382">
        <f t="shared" ca="1" si="19"/>
        <v>0</v>
      </c>
      <c r="AH86" s="382">
        <f t="shared" ca="1" si="19"/>
        <v>0</v>
      </c>
      <c r="AI86" s="382">
        <f t="shared" ca="1" si="19"/>
        <v>0</v>
      </c>
      <c r="AJ86" s="382">
        <f t="shared" ca="1" si="19"/>
        <v>0</v>
      </c>
      <c r="AK86" s="382">
        <f t="shared" ca="1" si="19"/>
        <v>0</v>
      </c>
      <c r="AL86" s="382">
        <f t="shared" ca="1" si="19"/>
        <v>0</v>
      </c>
      <c r="AM86" s="382">
        <f t="shared" ca="1" si="19"/>
        <v>6115</v>
      </c>
      <c r="AN86" s="382">
        <f t="shared" ca="1" si="19"/>
        <v>5825</v>
      </c>
      <c r="AO86" s="382">
        <f t="shared" ca="1" si="19"/>
        <v>5771</v>
      </c>
      <c r="AP86" s="382">
        <f t="shared" ca="1" si="19"/>
        <v>0</v>
      </c>
      <c r="AQ86" s="382">
        <f t="shared" ca="1" si="19"/>
        <v>0</v>
      </c>
      <c r="AR86" s="382">
        <f t="shared" ca="1" si="19"/>
        <v>0</v>
      </c>
      <c r="AS86" s="382">
        <f t="shared" ca="1" si="19"/>
        <v>0</v>
      </c>
      <c r="AT86" s="382">
        <f t="shared" ca="1" si="19"/>
        <v>0</v>
      </c>
      <c r="AU86" s="382">
        <f t="shared" ca="1" si="19"/>
        <v>0</v>
      </c>
      <c r="AV86" s="382">
        <f t="shared" ca="1" si="19"/>
        <v>0</v>
      </c>
      <c r="AW86" s="382">
        <f t="shared" ca="1" si="19"/>
        <v>0</v>
      </c>
      <c r="AX86" s="382">
        <f t="shared" ca="1" si="19"/>
        <v>0</v>
      </c>
      <c r="AY86" s="382">
        <f t="shared" ca="1" si="19"/>
        <v>0</v>
      </c>
      <c r="AZ86" s="382">
        <f t="shared" ca="1" si="19"/>
        <v>0</v>
      </c>
      <c r="BA86" s="382">
        <f t="shared" ca="1" si="19"/>
        <v>0</v>
      </c>
      <c r="BB86" s="382">
        <f t="shared" ca="1" si="19"/>
        <v>0</v>
      </c>
      <c r="BC86" s="382">
        <f t="shared" ca="1" si="19"/>
        <v>0</v>
      </c>
      <c r="BD86" s="382">
        <f t="shared" ca="1" si="19"/>
        <v>0</v>
      </c>
      <c r="BE86" s="382">
        <f t="shared" ca="1" si="19"/>
        <v>0</v>
      </c>
      <c r="BF86" s="382">
        <f t="shared" ca="1" si="19"/>
        <v>0</v>
      </c>
      <c r="BG86" s="382">
        <f t="shared" ca="1" si="19"/>
        <v>0</v>
      </c>
      <c r="BH86" s="382">
        <f t="shared" ca="1" si="19"/>
        <v>0</v>
      </c>
      <c r="BI86" s="382">
        <f t="shared" ca="1" si="19"/>
        <v>0</v>
      </c>
    </row>
    <row r="87" spans="1:61" outlineLevel="1" x14ac:dyDescent="0.15">
      <c r="A87" s="392">
        <v>33</v>
      </c>
      <c r="B87" s="382" t="str">
        <f t="shared" ref="B87:Q114" ca="1" si="20">IF($A87&gt;B$5,"",OFFSET(B$54,0,-($A87-1)))</f>
        <v/>
      </c>
      <c r="C87" s="382" t="str">
        <f t="shared" ca="1" si="20"/>
        <v/>
      </c>
      <c r="D87" s="382" t="str">
        <f t="shared" ca="1" si="20"/>
        <v/>
      </c>
      <c r="E87" s="382" t="str">
        <f t="shared" ca="1" si="20"/>
        <v/>
      </c>
      <c r="F87" s="382" t="str">
        <f t="shared" ca="1" si="20"/>
        <v/>
      </c>
      <c r="G87" s="382" t="str">
        <f t="shared" ca="1" si="20"/>
        <v/>
      </c>
      <c r="H87" s="382" t="str">
        <f t="shared" ca="1" si="20"/>
        <v/>
      </c>
      <c r="I87" s="382" t="str">
        <f t="shared" ca="1" si="20"/>
        <v/>
      </c>
      <c r="J87" s="382" t="str">
        <f t="shared" ca="1" si="20"/>
        <v/>
      </c>
      <c r="K87" s="382" t="str">
        <f t="shared" ca="1" si="20"/>
        <v/>
      </c>
      <c r="L87" s="382" t="str">
        <f t="shared" ca="1" si="20"/>
        <v/>
      </c>
      <c r="M87" s="382" t="str">
        <f t="shared" ca="1" si="20"/>
        <v/>
      </c>
      <c r="N87" s="382" t="str">
        <f t="shared" ca="1" si="20"/>
        <v/>
      </c>
      <c r="O87" s="382" t="str">
        <f t="shared" ca="1" si="20"/>
        <v/>
      </c>
      <c r="P87" s="382" t="str">
        <f t="shared" ca="1" si="20"/>
        <v/>
      </c>
      <c r="Q87" s="382" t="str">
        <f t="shared" ca="1" si="20"/>
        <v/>
      </c>
      <c r="R87" s="382" t="str">
        <f t="shared" ca="1" si="19"/>
        <v/>
      </c>
      <c r="S87" s="382" t="str">
        <f t="shared" ca="1" si="19"/>
        <v/>
      </c>
      <c r="T87" s="382" t="str">
        <f t="shared" ca="1" si="19"/>
        <v/>
      </c>
      <c r="U87" s="382" t="str">
        <f t="shared" ca="1" si="19"/>
        <v/>
      </c>
      <c r="V87" s="382" t="str">
        <f t="shared" ca="1" si="19"/>
        <v/>
      </c>
      <c r="W87" s="382" t="str">
        <f t="shared" ca="1" si="19"/>
        <v/>
      </c>
      <c r="X87" s="382" t="str">
        <f t="shared" ca="1" si="19"/>
        <v/>
      </c>
      <c r="Y87" s="382" t="str">
        <f t="shared" ca="1" si="19"/>
        <v/>
      </c>
      <c r="Z87" s="382" t="str">
        <f t="shared" ca="1" si="19"/>
        <v/>
      </c>
      <c r="AA87" s="382" t="str">
        <f t="shared" ca="1" si="19"/>
        <v/>
      </c>
      <c r="AB87" s="382" t="str">
        <f t="shared" ca="1" si="19"/>
        <v/>
      </c>
      <c r="AC87" s="382" t="str">
        <f t="shared" ca="1" si="19"/>
        <v/>
      </c>
      <c r="AD87" s="382" t="str">
        <f t="shared" ca="1" si="19"/>
        <v/>
      </c>
      <c r="AE87" s="382" t="str">
        <f t="shared" ca="1" si="19"/>
        <v/>
      </c>
      <c r="AF87" s="382" t="str">
        <f t="shared" ca="1" si="19"/>
        <v/>
      </c>
      <c r="AG87" s="382" t="str">
        <f t="shared" ca="1" si="19"/>
        <v/>
      </c>
      <c r="AH87" s="382">
        <f t="shared" ca="1" si="19"/>
        <v>0</v>
      </c>
      <c r="AI87" s="382">
        <f t="shared" ca="1" si="19"/>
        <v>0</v>
      </c>
      <c r="AJ87" s="382">
        <f t="shared" ca="1" si="19"/>
        <v>0</v>
      </c>
      <c r="AK87" s="382">
        <f t="shared" ca="1" si="19"/>
        <v>0</v>
      </c>
      <c r="AL87" s="382">
        <f t="shared" ca="1" si="19"/>
        <v>0</v>
      </c>
      <c r="AM87" s="382">
        <f t="shared" ca="1" si="19"/>
        <v>0</v>
      </c>
      <c r="AN87" s="382">
        <f t="shared" ca="1" si="19"/>
        <v>6115</v>
      </c>
      <c r="AO87" s="382">
        <f t="shared" ca="1" si="19"/>
        <v>5825</v>
      </c>
      <c r="AP87" s="382">
        <f t="shared" ca="1" si="19"/>
        <v>5771</v>
      </c>
      <c r="AQ87" s="382">
        <f t="shared" ca="1" si="19"/>
        <v>0</v>
      </c>
      <c r="AR87" s="382">
        <f t="shared" ca="1" si="19"/>
        <v>0</v>
      </c>
      <c r="AS87" s="382">
        <f t="shared" ca="1" si="19"/>
        <v>0</v>
      </c>
      <c r="AT87" s="382">
        <f t="shared" ca="1" si="19"/>
        <v>0</v>
      </c>
      <c r="AU87" s="382">
        <f t="shared" ca="1" si="19"/>
        <v>0</v>
      </c>
      <c r="AV87" s="382">
        <f t="shared" ca="1" si="19"/>
        <v>0</v>
      </c>
      <c r="AW87" s="382">
        <f t="shared" ca="1" si="19"/>
        <v>0</v>
      </c>
      <c r="AX87" s="382">
        <f t="shared" ca="1" si="19"/>
        <v>0</v>
      </c>
      <c r="AY87" s="382">
        <f t="shared" ca="1" si="19"/>
        <v>0</v>
      </c>
      <c r="AZ87" s="382">
        <f t="shared" ca="1" si="19"/>
        <v>0</v>
      </c>
      <c r="BA87" s="382">
        <f t="shared" ca="1" si="19"/>
        <v>0</v>
      </c>
      <c r="BB87" s="382">
        <f t="shared" ca="1" si="19"/>
        <v>0</v>
      </c>
      <c r="BC87" s="382">
        <f t="shared" ca="1" si="19"/>
        <v>0</v>
      </c>
      <c r="BD87" s="382">
        <f t="shared" ca="1" si="19"/>
        <v>0</v>
      </c>
      <c r="BE87" s="382">
        <f t="shared" ca="1" si="19"/>
        <v>0</v>
      </c>
      <c r="BF87" s="382">
        <f t="shared" ca="1" si="19"/>
        <v>0</v>
      </c>
      <c r="BG87" s="382">
        <f t="shared" ca="1" si="19"/>
        <v>0</v>
      </c>
      <c r="BH87" s="382">
        <f t="shared" ca="1" si="19"/>
        <v>0</v>
      </c>
      <c r="BI87" s="382">
        <f t="shared" ca="1" si="19"/>
        <v>0</v>
      </c>
    </row>
    <row r="88" spans="1:61" outlineLevel="1" x14ac:dyDescent="0.15">
      <c r="A88" s="392">
        <v>34</v>
      </c>
      <c r="B88" s="382" t="str">
        <f t="shared" ca="1" si="20"/>
        <v/>
      </c>
      <c r="C88" s="382" t="str">
        <f t="shared" ca="1" si="20"/>
        <v/>
      </c>
      <c r="D88" s="382" t="str">
        <f t="shared" ca="1" si="20"/>
        <v/>
      </c>
      <c r="E88" s="382" t="str">
        <f t="shared" ca="1" si="20"/>
        <v/>
      </c>
      <c r="F88" s="382" t="str">
        <f t="shared" ca="1" si="20"/>
        <v/>
      </c>
      <c r="G88" s="382" t="str">
        <f t="shared" ca="1" si="20"/>
        <v/>
      </c>
      <c r="H88" s="382" t="str">
        <f t="shared" ca="1" si="20"/>
        <v/>
      </c>
      <c r="I88" s="382" t="str">
        <f t="shared" ca="1" si="20"/>
        <v/>
      </c>
      <c r="J88" s="382" t="str">
        <f t="shared" ca="1" si="20"/>
        <v/>
      </c>
      <c r="K88" s="382" t="str">
        <f t="shared" ca="1" si="20"/>
        <v/>
      </c>
      <c r="L88" s="382" t="str">
        <f t="shared" ca="1" si="20"/>
        <v/>
      </c>
      <c r="M88" s="382" t="str">
        <f t="shared" ca="1" si="20"/>
        <v/>
      </c>
      <c r="N88" s="382" t="str">
        <f t="shared" ca="1" si="20"/>
        <v/>
      </c>
      <c r="O88" s="382" t="str">
        <f t="shared" ca="1" si="20"/>
        <v/>
      </c>
      <c r="P88" s="382" t="str">
        <f t="shared" ca="1" si="20"/>
        <v/>
      </c>
      <c r="Q88" s="382" t="str">
        <f t="shared" ca="1" si="20"/>
        <v/>
      </c>
      <c r="R88" s="382" t="str">
        <f t="shared" ca="1" si="19"/>
        <v/>
      </c>
      <c r="S88" s="382" t="str">
        <f t="shared" ca="1" si="19"/>
        <v/>
      </c>
      <c r="T88" s="382" t="str">
        <f t="shared" ca="1" si="19"/>
        <v/>
      </c>
      <c r="U88" s="382" t="str">
        <f t="shared" ca="1" si="19"/>
        <v/>
      </c>
      <c r="V88" s="382" t="str">
        <f t="shared" ca="1" si="19"/>
        <v/>
      </c>
      <c r="W88" s="382" t="str">
        <f t="shared" ca="1" si="19"/>
        <v/>
      </c>
      <c r="X88" s="382" t="str">
        <f t="shared" ca="1" si="19"/>
        <v/>
      </c>
      <c r="Y88" s="382" t="str">
        <f t="shared" ca="1" si="19"/>
        <v/>
      </c>
      <c r="Z88" s="382" t="str">
        <f t="shared" ca="1" si="19"/>
        <v/>
      </c>
      <c r="AA88" s="382" t="str">
        <f t="shared" ca="1" si="19"/>
        <v/>
      </c>
      <c r="AB88" s="382" t="str">
        <f t="shared" ca="1" si="19"/>
        <v/>
      </c>
      <c r="AC88" s="382" t="str">
        <f t="shared" ca="1" si="19"/>
        <v/>
      </c>
      <c r="AD88" s="382" t="str">
        <f t="shared" ca="1" si="19"/>
        <v/>
      </c>
      <c r="AE88" s="382" t="str">
        <f t="shared" ca="1" si="19"/>
        <v/>
      </c>
      <c r="AF88" s="382" t="str">
        <f t="shared" ca="1" si="19"/>
        <v/>
      </c>
      <c r="AG88" s="382" t="str">
        <f t="shared" ca="1" si="19"/>
        <v/>
      </c>
      <c r="AH88" s="382" t="str">
        <f t="shared" ca="1" si="19"/>
        <v/>
      </c>
      <c r="AI88" s="382">
        <f t="shared" ca="1" si="19"/>
        <v>0</v>
      </c>
      <c r="AJ88" s="382">
        <f t="shared" ca="1" si="19"/>
        <v>0</v>
      </c>
      <c r="AK88" s="382">
        <f t="shared" ca="1" si="19"/>
        <v>0</v>
      </c>
      <c r="AL88" s="382">
        <f t="shared" ca="1" si="19"/>
        <v>0</v>
      </c>
      <c r="AM88" s="382">
        <f t="shared" ca="1" si="19"/>
        <v>0</v>
      </c>
      <c r="AN88" s="382">
        <f t="shared" ca="1" si="19"/>
        <v>0</v>
      </c>
      <c r="AO88" s="382">
        <f t="shared" ca="1" si="19"/>
        <v>6115</v>
      </c>
      <c r="AP88" s="382">
        <f t="shared" ca="1" si="19"/>
        <v>5825</v>
      </c>
      <c r="AQ88" s="382">
        <f t="shared" ca="1" si="19"/>
        <v>5771</v>
      </c>
      <c r="AR88" s="382">
        <f t="shared" ca="1" si="19"/>
        <v>0</v>
      </c>
      <c r="AS88" s="382">
        <f t="shared" ca="1" si="19"/>
        <v>0</v>
      </c>
      <c r="AT88" s="382">
        <f t="shared" ca="1" si="19"/>
        <v>0</v>
      </c>
      <c r="AU88" s="382">
        <f t="shared" ca="1" si="19"/>
        <v>0</v>
      </c>
      <c r="AV88" s="382">
        <f t="shared" ca="1" si="19"/>
        <v>0</v>
      </c>
      <c r="AW88" s="382">
        <f t="shared" ca="1" si="19"/>
        <v>0</v>
      </c>
      <c r="AX88" s="382">
        <f t="shared" ca="1" si="19"/>
        <v>0</v>
      </c>
      <c r="AY88" s="382">
        <f t="shared" ca="1" si="19"/>
        <v>0</v>
      </c>
      <c r="AZ88" s="382">
        <f t="shared" ca="1" si="19"/>
        <v>0</v>
      </c>
      <c r="BA88" s="382">
        <f t="shared" ca="1" si="19"/>
        <v>0</v>
      </c>
      <c r="BB88" s="382">
        <f t="shared" ca="1" si="19"/>
        <v>0</v>
      </c>
      <c r="BC88" s="382">
        <f t="shared" ca="1" si="19"/>
        <v>0</v>
      </c>
      <c r="BD88" s="382">
        <f t="shared" ca="1" si="19"/>
        <v>0</v>
      </c>
      <c r="BE88" s="382">
        <f t="shared" ca="1" si="19"/>
        <v>0</v>
      </c>
      <c r="BF88" s="382">
        <f t="shared" ca="1" si="19"/>
        <v>0</v>
      </c>
      <c r="BG88" s="382">
        <f t="shared" ca="1" si="19"/>
        <v>0</v>
      </c>
      <c r="BH88" s="382">
        <f t="shared" ca="1" si="19"/>
        <v>0</v>
      </c>
      <c r="BI88" s="382">
        <f t="shared" ca="1" si="19"/>
        <v>0</v>
      </c>
    </row>
    <row r="89" spans="1:61" outlineLevel="1" x14ac:dyDescent="0.15">
      <c r="A89" s="392">
        <v>35</v>
      </c>
      <c r="B89" s="382" t="str">
        <f t="shared" ca="1" si="20"/>
        <v/>
      </c>
      <c r="C89" s="382" t="str">
        <f t="shared" ca="1" si="20"/>
        <v/>
      </c>
      <c r="D89" s="382" t="str">
        <f t="shared" ca="1" si="20"/>
        <v/>
      </c>
      <c r="E89" s="382" t="str">
        <f t="shared" ca="1" si="20"/>
        <v/>
      </c>
      <c r="F89" s="382" t="str">
        <f t="shared" ca="1" si="20"/>
        <v/>
      </c>
      <c r="G89" s="382" t="str">
        <f t="shared" ca="1" si="20"/>
        <v/>
      </c>
      <c r="H89" s="382" t="str">
        <f t="shared" ca="1" si="20"/>
        <v/>
      </c>
      <c r="I89" s="382" t="str">
        <f t="shared" ca="1" si="20"/>
        <v/>
      </c>
      <c r="J89" s="382" t="str">
        <f t="shared" ca="1" si="20"/>
        <v/>
      </c>
      <c r="K89" s="382" t="str">
        <f t="shared" ca="1" si="20"/>
        <v/>
      </c>
      <c r="L89" s="382" t="str">
        <f t="shared" ca="1" si="20"/>
        <v/>
      </c>
      <c r="M89" s="382" t="str">
        <f t="shared" ca="1" si="20"/>
        <v/>
      </c>
      <c r="N89" s="382" t="str">
        <f t="shared" ca="1" si="20"/>
        <v/>
      </c>
      <c r="O89" s="382" t="str">
        <f t="shared" ca="1" si="20"/>
        <v/>
      </c>
      <c r="P89" s="382" t="str">
        <f t="shared" ca="1" si="20"/>
        <v/>
      </c>
      <c r="Q89" s="382" t="str">
        <f t="shared" ca="1" si="20"/>
        <v/>
      </c>
      <c r="R89" s="382" t="str">
        <f t="shared" ca="1" si="19"/>
        <v/>
      </c>
      <c r="S89" s="382" t="str">
        <f t="shared" ca="1" si="19"/>
        <v/>
      </c>
      <c r="T89" s="382" t="str">
        <f t="shared" ca="1" si="19"/>
        <v/>
      </c>
      <c r="U89" s="382" t="str">
        <f t="shared" ca="1" si="19"/>
        <v/>
      </c>
      <c r="V89" s="382" t="str">
        <f t="shared" ca="1" si="19"/>
        <v/>
      </c>
      <c r="W89" s="382" t="str">
        <f t="shared" ca="1" si="19"/>
        <v/>
      </c>
      <c r="X89" s="382" t="str">
        <f t="shared" ca="1" si="19"/>
        <v/>
      </c>
      <c r="Y89" s="382" t="str">
        <f t="shared" ca="1" si="19"/>
        <v/>
      </c>
      <c r="Z89" s="382" t="str">
        <f t="shared" ca="1" si="19"/>
        <v/>
      </c>
      <c r="AA89" s="382" t="str">
        <f t="shared" ca="1" si="19"/>
        <v/>
      </c>
      <c r="AB89" s="382" t="str">
        <f t="shared" ca="1" si="19"/>
        <v/>
      </c>
      <c r="AC89" s="382" t="str">
        <f t="shared" ca="1" si="19"/>
        <v/>
      </c>
      <c r="AD89" s="382" t="str">
        <f t="shared" ca="1" si="19"/>
        <v/>
      </c>
      <c r="AE89" s="382" t="str">
        <f t="shared" ca="1" si="19"/>
        <v/>
      </c>
      <c r="AF89" s="382" t="str">
        <f t="shared" ca="1" si="19"/>
        <v/>
      </c>
      <c r="AG89" s="382" t="str">
        <f t="shared" ca="1" si="19"/>
        <v/>
      </c>
      <c r="AH89" s="382" t="str">
        <f t="shared" ca="1" si="19"/>
        <v/>
      </c>
      <c r="AI89" s="382" t="str">
        <f t="shared" ca="1" si="19"/>
        <v/>
      </c>
      <c r="AJ89" s="382">
        <f t="shared" ca="1" si="19"/>
        <v>0</v>
      </c>
      <c r="AK89" s="382">
        <f t="shared" ca="1" si="19"/>
        <v>0</v>
      </c>
      <c r="AL89" s="382">
        <f t="shared" ca="1" si="19"/>
        <v>0</v>
      </c>
      <c r="AM89" s="382">
        <f t="shared" ca="1" si="19"/>
        <v>0</v>
      </c>
      <c r="AN89" s="382">
        <f t="shared" ca="1" si="19"/>
        <v>0</v>
      </c>
      <c r="AO89" s="382">
        <f t="shared" ca="1" si="19"/>
        <v>0</v>
      </c>
      <c r="AP89" s="382">
        <f t="shared" ca="1" si="19"/>
        <v>6115</v>
      </c>
      <c r="AQ89" s="382">
        <f t="shared" ca="1" si="19"/>
        <v>5825</v>
      </c>
      <c r="AR89" s="382">
        <f t="shared" ca="1" si="19"/>
        <v>5771</v>
      </c>
      <c r="AS89" s="382">
        <f t="shared" ca="1" si="19"/>
        <v>0</v>
      </c>
      <c r="AT89" s="382">
        <f t="shared" ca="1" si="19"/>
        <v>0</v>
      </c>
      <c r="AU89" s="382">
        <f t="shared" ca="1" si="19"/>
        <v>0</v>
      </c>
      <c r="AV89" s="382">
        <f t="shared" ca="1" si="19"/>
        <v>0</v>
      </c>
      <c r="AW89" s="382">
        <f t="shared" ca="1" si="19"/>
        <v>0</v>
      </c>
      <c r="AX89" s="382">
        <f t="shared" ca="1" si="19"/>
        <v>0</v>
      </c>
      <c r="AY89" s="382">
        <f t="shared" ca="1" si="19"/>
        <v>0</v>
      </c>
      <c r="AZ89" s="382">
        <f t="shared" ca="1" si="19"/>
        <v>0</v>
      </c>
      <c r="BA89" s="382">
        <f t="shared" ca="1" si="19"/>
        <v>0</v>
      </c>
      <c r="BB89" s="382">
        <f t="shared" ca="1" si="19"/>
        <v>0</v>
      </c>
      <c r="BC89" s="382">
        <f t="shared" ca="1" si="19"/>
        <v>0</v>
      </c>
      <c r="BD89" s="382">
        <f t="shared" ca="1" si="19"/>
        <v>0</v>
      </c>
      <c r="BE89" s="382">
        <f t="shared" ca="1" si="19"/>
        <v>0</v>
      </c>
      <c r="BF89" s="382">
        <f t="shared" ca="1" si="19"/>
        <v>0</v>
      </c>
      <c r="BG89" s="382">
        <f t="shared" ca="1" si="19"/>
        <v>0</v>
      </c>
      <c r="BH89" s="382">
        <f t="shared" ca="1" si="19"/>
        <v>0</v>
      </c>
      <c r="BI89" s="382">
        <f t="shared" ca="1" si="19"/>
        <v>0</v>
      </c>
    </row>
    <row r="90" spans="1:61" outlineLevel="1" x14ac:dyDescent="0.15">
      <c r="A90" s="392">
        <v>36</v>
      </c>
      <c r="B90" s="382" t="str">
        <f t="shared" ca="1" si="20"/>
        <v/>
      </c>
      <c r="C90" s="382" t="str">
        <f t="shared" ca="1" si="20"/>
        <v/>
      </c>
      <c r="D90" s="382" t="str">
        <f t="shared" ca="1" si="20"/>
        <v/>
      </c>
      <c r="E90" s="382" t="str">
        <f t="shared" ca="1" si="20"/>
        <v/>
      </c>
      <c r="F90" s="382" t="str">
        <f t="shared" ca="1" si="20"/>
        <v/>
      </c>
      <c r="G90" s="382" t="str">
        <f t="shared" ca="1" si="20"/>
        <v/>
      </c>
      <c r="H90" s="382" t="str">
        <f t="shared" ca="1" si="20"/>
        <v/>
      </c>
      <c r="I90" s="382" t="str">
        <f t="shared" ca="1" si="20"/>
        <v/>
      </c>
      <c r="J90" s="382" t="str">
        <f t="shared" ca="1" si="20"/>
        <v/>
      </c>
      <c r="K90" s="382" t="str">
        <f t="shared" ca="1" si="20"/>
        <v/>
      </c>
      <c r="L90" s="382" t="str">
        <f t="shared" ca="1" si="20"/>
        <v/>
      </c>
      <c r="M90" s="382" t="str">
        <f t="shared" ca="1" si="20"/>
        <v/>
      </c>
      <c r="N90" s="382" t="str">
        <f t="shared" ca="1" si="20"/>
        <v/>
      </c>
      <c r="O90" s="382" t="str">
        <f t="shared" ca="1" si="20"/>
        <v/>
      </c>
      <c r="P90" s="382" t="str">
        <f t="shared" ca="1" si="20"/>
        <v/>
      </c>
      <c r="Q90" s="382" t="str">
        <f t="shared" ca="1" si="20"/>
        <v/>
      </c>
      <c r="R90" s="382" t="str">
        <f t="shared" ca="1" si="19"/>
        <v/>
      </c>
      <c r="S90" s="382" t="str">
        <f t="shared" ca="1" si="19"/>
        <v/>
      </c>
      <c r="T90" s="382" t="str">
        <f t="shared" ca="1" si="19"/>
        <v/>
      </c>
      <c r="U90" s="382" t="str">
        <f t="shared" ca="1" si="19"/>
        <v/>
      </c>
      <c r="V90" s="382" t="str">
        <f t="shared" ca="1" si="19"/>
        <v/>
      </c>
      <c r="W90" s="382" t="str">
        <f t="shared" ca="1" si="19"/>
        <v/>
      </c>
      <c r="X90" s="382" t="str">
        <f t="shared" ca="1" si="19"/>
        <v/>
      </c>
      <c r="Y90" s="382" t="str">
        <f t="shared" ca="1" si="19"/>
        <v/>
      </c>
      <c r="Z90" s="382" t="str">
        <f t="shared" ca="1" si="19"/>
        <v/>
      </c>
      <c r="AA90" s="382" t="str">
        <f t="shared" ca="1" si="19"/>
        <v/>
      </c>
      <c r="AB90" s="382" t="str">
        <f t="shared" ca="1" si="19"/>
        <v/>
      </c>
      <c r="AC90" s="382" t="str">
        <f t="shared" ca="1" si="19"/>
        <v/>
      </c>
      <c r="AD90" s="382" t="str">
        <f t="shared" ca="1" si="19"/>
        <v/>
      </c>
      <c r="AE90" s="382" t="str">
        <f t="shared" ca="1" si="19"/>
        <v/>
      </c>
      <c r="AF90" s="382" t="str">
        <f t="shared" ca="1" si="19"/>
        <v/>
      </c>
      <c r="AG90" s="382" t="str">
        <f t="shared" ca="1" si="19"/>
        <v/>
      </c>
      <c r="AH90" s="382" t="str">
        <f t="shared" ca="1" si="19"/>
        <v/>
      </c>
      <c r="AI90" s="382" t="str">
        <f t="shared" ca="1" si="19"/>
        <v/>
      </c>
      <c r="AJ90" s="382" t="str">
        <f t="shared" ca="1" si="19"/>
        <v/>
      </c>
      <c r="AK90" s="382">
        <f t="shared" ca="1" si="19"/>
        <v>0</v>
      </c>
      <c r="AL90" s="382">
        <f t="shared" ca="1" si="19"/>
        <v>0</v>
      </c>
      <c r="AM90" s="382">
        <f t="shared" ca="1" si="19"/>
        <v>0</v>
      </c>
      <c r="AN90" s="382">
        <f t="shared" ca="1" si="19"/>
        <v>0</v>
      </c>
      <c r="AO90" s="382">
        <f t="shared" ca="1" si="19"/>
        <v>0</v>
      </c>
      <c r="AP90" s="382">
        <f t="shared" ca="1" si="19"/>
        <v>0</v>
      </c>
      <c r="AQ90" s="382">
        <f t="shared" ca="1" si="19"/>
        <v>6115</v>
      </c>
      <c r="AR90" s="382">
        <f t="shared" ca="1" si="19"/>
        <v>5825</v>
      </c>
      <c r="AS90" s="382">
        <f t="shared" ca="1" si="19"/>
        <v>5771</v>
      </c>
      <c r="AT90" s="382">
        <f t="shared" ca="1" si="19"/>
        <v>0</v>
      </c>
      <c r="AU90" s="382">
        <f t="shared" ca="1" si="19"/>
        <v>0</v>
      </c>
      <c r="AV90" s="382">
        <f t="shared" ca="1" si="19"/>
        <v>0</v>
      </c>
      <c r="AW90" s="382">
        <f t="shared" ca="1" si="19"/>
        <v>0</v>
      </c>
      <c r="AX90" s="382">
        <f t="shared" ca="1" si="19"/>
        <v>0</v>
      </c>
      <c r="AY90" s="382">
        <f t="shared" ca="1" si="19"/>
        <v>0</v>
      </c>
      <c r="AZ90" s="382">
        <f t="shared" ca="1" si="19"/>
        <v>0</v>
      </c>
      <c r="BA90" s="382">
        <f t="shared" ca="1" si="19"/>
        <v>0</v>
      </c>
      <c r="BB90" s="382">
        <f t="shared" ca="1" si="19"/>
        <v>0</v>
      </c>
      <c r="BC90" s="382">
        <f t="shared" ca="1" si="19"/>
        <v>0</v>
      </c>
      <c r="BD90" s="382">
        <f t="shared" ca="1" si="19"/>
        <v>0</v>
      </c>
      <c r="BE90" s="382">
        <f t="shared" ca="1" si="19"/>
        <v>0</v>
      </c>
      <c r="BF90" s="382">
        <f t="shared" ca="1" si="19"/>
        <v>0</v>
      </c>
      <c r="BG90" s="382">
        <f t="shared" ca="1" si="19"/>
        <v>0</v>
      </c>
      <c r="BH90" s="382">
        <f t="shared" ca="1" si="19"/>
        <v>0</v>
      </c>
      <c r="BI90" s="382">
        <f t="shared" ca="1" si="19"/>
        <v>0</v>
      </c>
    </row>
    <row r="91" spans="1:61" outlineLevel="1" x14ac:dyDescent="0.15">
      <c r="A91" s="392">
        <v>37</v>
      </c>
      <c r="B91" s="382" t="str">
        <f t="shared" ca="1" si="20"/>
        <v/>
      </c>
      <c r="C91" s="382" t="str">
        <f t="shared" ca="1" si="20"/>
        <v/>
      </c>
      <c r="D91" s="382" t="str">
        <f t="shared" ca="1" si="20"/>
        <v/>
      </c>
      <c r="E91" s="382" t="str">
        <f t="shared" ca="1" si="20"/>
        <v/>
      </c>
      <c r="F91" s="382" t="str">
        <f t="shared" ca="1" si="20"/>
        <v/>
      </c>
      <c r="G91" s="382" t="str">
        <f t="shared" ca="1" si="20"/>
        <v/>
      </c>
      <c r="H91" s="382" t="str">
        <f t="shared" ca="1" si="20"/>
        <v/>
      </c>
      <c r="I91" s="382" t="str">
        <f t="shared" ca="1" si="20"/>
        <v/>
      </c>
      <c r="J91" s="382" t="str">
        <f t="shared" ca="1" si="20"/>
        <v/>
      </c>
      <c r="K91" s="382" t="str">
        <f t="shared" ca="1" si="20"/>
        <v/>
      </c>
      <c r="L91" s="382" t="str">
        <f t="shared" ca="1" si="20"/>
        <v/>
      </c>
      <c r="M91" s="382" t="str">
        <f t="shared" ca="1" si="20"/>
        <v/>
      </c>
      <c r="N91" s="382" t="str">
        <f t="shared" ca="1" si="20"/>
        <v/>
      </c>
      <c r="O91" s="382" t="str">
        <f t="shared" ca="1" si="20"/>
        <v/>
      </c>
      <c r="P91" s="382" t="str">
        <f t="shared" ca="1" si="20"/>
        <v/>
      </c>
      <c r="Q91" s="382" t="str">
        <f t="shared" ca="1" si="20"/>
        <v/>
      </c>
      <c r="R91" s="382" t="str">
        <f t="shared" ca="1" si="19"/>
        <v/>
      </c>
      <c r="S91" s="382" t="str">
        <f t="shared" ca="1" si="19"/>
        <v/>
      </c>
      <c r="T91" s="382" t="str">
        <f t="shared" ca="1" si="19"/>
        <v/>
      </c>
      <c r="U91" s="382" t="str">
        <f t="shared" ca="1" si="19"/>
        <v/>
      </c>
      <c r="V91" s="382" t="str">
        <f t="shared" ca="1" si="19"/>
        <v/>
      </c>
      <c r="W91" s="382" t="str">
        <f t="shared" ca="1" si="19"/>
        <v/>
      </c>
      <c r="X91" s="382" t="str">
        <f t="shared" ca="1" si="19"/>
        <v/>
      </c>
      <c r="Y91" s="382" t="str">
        <f t="shared" ca="1" si="19"/>
        <v/>
      </c>
      <c r="Z91" s="382" t="str">
        <f t="shared" ca="1" si="19"/>
        <v/>
      </c>
      <c r="AA91" s="382" t="str">
        <f t="shared" ca="1" si="19"/>
        <v/>
      </c>
      <c r="AB91" s="382" t="str">
        <f t="shared" ca="1" si="19"/>
        <v/>
      </c>
      <c r="AC91" s="382" t="str">
        <f t="shared" ca="1" si="19"/>
        <v/>
      </c>
      <c r="AD91" s="382" t="str">
        <f t="shared" ca="1" si="19"/>
        <v/>
      </c>
      <c r="AE91" s="382" t="str">
        <f t="shared" ca="1" si="19"/>
        <v/>
      </c>
      <c r="AF91" s="382" t="str">
        <f t="shared" ca="1" si="19"/>
        <v/>
      </c>
      <c r="AG91" s="382" t="str">
        <f t="shared" ca="1" si="19"/>
        <v/>
      </c>
      <c r="AH91" s="382" t="str">
        <f t="shared" ca="1" si="19"/>
        <v/>
      </c>
      <c r="AI91" s="382" t="str">
        <f t="shared" ca="1" si="19"/>
        <v/>
      </c>
      <c r="AJ91" s="382" t="str">
        <f t="shared" ca="1" si="19"/>
        <v/>
      </c>
      <c r="AK91" s="382" t="str">
        <f t="shared" ca="1" si="19"/>
        <v/>
      </c>
      <c r="AL91" s="382">
        <f t="shared" ca="1" si="19"/>
        <v>0</v>
      </c>
      <c r="AM91" s="382">
        <f t="shared" ca="1" si="19"/>
        <v>0</v>
      </c>
      <c r="AN91" s="382">
        <f t="shared" ca="1" si="19"/>
        <v>0</v>
      </c>
      <c r="AO91" s="382">
        <f t="shared" ca="1" si="19"/>
        <v>0</v>
      </c>
      <c r="AP91" s="382">
        <f t="shared" ca="1" si="19"/>
        <v>0</v>
      </c>
      <c r="AQ91" s="382">
        <f t="shared" ca="1" si="19"/>
        <v>0</v>
      </c>
      <c r="AR91" s="382">
        <f t="shared" ca="1" si="19"/>
        <v>6115</v>
      </c>
      <c r="AS91" s="382">
        <f t="shared" ca="1" si="19"/>
        <v>5825</v>
      </c>
      <c r="AT91" s="382">
        <f t="shared" ca="1" si="19"/>
        <v>5771</v>
      </c>
      <c r="AU91" s="382">
        <f t="shared" ca="1" si="19"/>
        <v>0</v>
      </c>
      <c r="AV91" s="382">
        <f t="shared" ca="1" si="19"/>
        <v>0</v>
      </c>
      <c r="AW91" s="382">
        <f t="shared" ca="1" si="19"/>
        <v>0</v>
      </c>
      <c r="AX91" s="382">
        <f t="shared" ca="1" si="19"/>
        <v>0</v>
      </c>
      <c r="AY91" s="382">
        <f t="shared" ca="1" si="19"/>
        <v>0</v>
      </c>
      <c r="AZ91" s="382">
        <f t="shared" ref="AZ91:DF96" ca="1" si="21">IF($A91&gt;AZ$5,"",OFFSET(AZ$54,0,-($A91-1)))</f>
        <v>0</v>
      </c>
      <c r="BA91" s="382">
        <f t="shared" ca="1" si="21"/>
        <v>0</v>
      </c>
      <c r="BB91" s="382">
        <f t="shared" ca="1" si="21"/>
        <v>0</v>
      </c>
      <c r="BC91" s="382">
        <f t="shared" ca="1" si="21"/>
        <v>0</v>
      </c>
      <c r="BD91" s="382">
        <f t="shared" ca="1" si="21"/>
        <v>0</v>
      </c>
      <c r="BE91" s="382">
        <f t="shared" ca="1" si="21"/>
        <v>0</v>
      </c>
      <c r="BF91" s="382">
        <f t="shared" ca="1" si="21"/>
        <v>0</v>
      </c>
      <c r="BG91" s="382">
        <f t="shared" ca="1" si="21"/>
        <v>0</v>
      </c>
      <c r="BH91" s="382">
        <f t="shared" ca="1" si="21"/>
        <v>0</v>
      </c>
      <c r="BI91" s="382">
        <f t="shared" ca="1" si="21"/>
        <v>0</v>
      </c>
    </row>
    <row r="92" spans="1:61" outlineLevel="1" x14ac:dyDescent="0.15">
      <c r="A92" s="392">
        <v>38</v>
      </c>
      <c r="B92" s="382" t="str">
        <f t="shared" ca="1" si="20"/>
        <v/>
      </c>
      <c r="C92" s="382" t="str">
        <f t="shared" ca="1" si="20"/>
        <v/>
      </c>
      <c r="D92" s="382" t="str">
        <f t="shared" ca="1" si="20"/>
        <v/>
      </c>
      <c r="E92" s="382" t="str">
        <f t="shared" ca="1" si="20"/>
        <v/>
      </c>
      <c r="F92" s="382" t="str">
        <f t="shared" ca="1" si="20"/>
        <v/>
      </c>
      <c r="G92" s="382" t="str">
        <f t="shared" ca="1" si="20"/>
        <v/>
      </c>
      <c r="H92" s="382" t="str">
        <f t="shared" ca="1" si="20"/>
        <v/>
      </c>
      <c r="I92" s="382" t="str">
        <f t="shared" ca="1" si="20"/>
        <v/>
      </c>
      <c r="J92" s="382" t="str">
        <f t="shared" ca="1" si="20"/>
        <v/>
      </c>
      <c r="K92" s="382" t="str">
        <f t="shared" ca="1" si="20"/>
        <v/>
      </c>
      <c r="L92" s="382" t="str">
        <f t="shared" ca="1" si="20"/>
        <v/>
      </c>
      <c r="M92" s="382" t="str">
        <f t="shared" ca="1" si="20"/>
        <v/>
      </c>
      <c r="N92" s="382" t="str">
        <f t="shared" ca="1" si="20"/>
        <v/>
      </c>
      <c r="O92" s="382" t="str">
        <f t="shared" ca="1" si="20"/>
        <v/>
      </c>
      <c r="P92" s="382" t="str">
        <f t="shared" ca="1" si="20"/>
        <v/>
      </c>
      <c r="Q92" s="382" t="str">
        <f t="shared" ca="1" si="20"/>
        <v/>
      </c>
      <c r="R92" s="382" t="str">
        <f t="shared" ref="R92:BX97" ca="1" si="22">IF($A92&gt;R$5,"",OFFSET(R$54,0,-($A92-1)))</f>
        <v/>
      </c>
      <c r="S92" s="382" t="str">
        <f t="shared" ca="1" si="22"/>
        <v/>
      </c>
      <c r="T92" s="382" t="str">
        <f t="shared" ca="1" si="22"/>
        <v/>
      </c>
      <c r="U92" s="382" t="str">
        <f t="shared" ca="1" si="22"/>
        <v/>
      </c>
      <c r="V92" s="382" t="str">
        <f t="shared" ca="1" si="22"/>
        <v/>
      </c>
      <c r="W92" s="382" t="str">
        <f t="shared" ca="1" si="22"/>
        <v/>
      </c>
      <c r="X92" s="382" t="str">
        <f t="shared" ca="1" si="22"/>
        <v/>
      </c>
      <c r="Y92" s="382" t="str">
        <f t="shared" ca="1" si="22"/>
        <v/>
      </c>
      <c r="Z92" s="382" t="str">
        <f t="shared" ca="1" si="22"/>
        <v/>
      </c>
      <c r="AA92" s="382" t="str">
        <f t="shared" ca="1" si="22"/>
        <v/>
      </c>
      <c r="AB92" s="382" t="str">
        <f t="shared" ca="1" si="22"/>
        <v/>
      </c>
      <c r="AC92" s="382" t="str">
        <f t="shared" ca="1" si="22"/>
        <v/>
      </c>
      <c r="AD92" s="382" t="str">
        <f t="shared" ca="1" si="22"/>
        <v/>
      </c>
      <c r="AE92" s="382" t="str">
        <f t="shared" ca="1" si="22"/>
        <v/>
      </c>
      <c r="AF92" s="382" t="str">
        <f t="shared" ca="1" si="22"/>
        <v/>
      </c>
      <c r="AG92" s="382" t="str">
        <f t="shared" ca="1" si="22"/>
        <v/>
      </c>
      <c r="AH92" s="382" t="str">
        <f t="shared" ca="1" si="22"/>
        <v/>
      </c>
      <c r="AI92" s="382" t="str">
        <f t="shared" ca="1" si="22"/>
        <v/>
      </c>
      <c r="AJ92" s="382" t="str">
        <f t="shared" ca="1" si="22"/>
        <v/>
      </c>
      <c r="AK92" s="382" t="str">
        <f t="shared" ca="1" si="22"/>
        <v/>
      </c>
      <c r="AL92" s="382" t="str">
        <f t="shared" ca="1" si="22"/>
        <v/>
      </c>
      <c r="AM92" s="382">
        <f t="shared" ca="1" si="22"/>
        <v>0</v>
      </c>
      <c r="AN92" s="382">
        <f t="shared" ca="1" si="22"/>
        <v>0</v>
      </c>
      <c r="AO92" s="382">
        <f t="shared" ca="1" si="22"/>
        <v>0</v>
      </c>
      <c r="AP92" s="382">
        <f t="shared" ca="1" si="22"/>
        <v>0</v>
      </c>
      <c r="AQ92" s="382">
        <f t="shared" ca="1" si="22"/>
        <v>0</v>
      </c>
      <c r="AR92" s="382">
        <f t="shared" ca="1" si="22"/>
        <v>0</v>
      </c>
      <c r="AS92" s="382">
        <f t="shared" ca="1" si="22"/>
        <v>6115</v>
      </c>
      <c r="AT92" s="382">
        <f t="shared" ca="1" si="22"/>
        <v>5825</v>
      </c>
      <c r="AU92" s="382">
        <f t="shared" ca="1" si="22"/>
        <v>5771</v>
      </c>
      <c r="AV92" s="382">
        <f t="shared" ca="1" si="22"/>
        <v>0</v>
      </c>
      <c r="AW92" s="382">
        <f t="shared" ca="1" si="22"/>
        <v>0</v>
      </c>
      <c r="AX92" s="382">
        <f t="shared" ca="1" si="22"/>
        <v>0</v>
      </c>
      <c r="AY92" s="382">
        <f t="shared" ca="1" si="22"/>
        <v>0</v>
      </c>
      <c r="AZ92" s="382">
        <f t="shared" ca="1" si="22"/>
        <v>0</v>
      </c>
      <c r="BA92" s="382">
        <f t="shared" ca="1" si="22"/>
        <v>0</v>
      </c>
      <c r="BB92" s="382">
        <f t="shared" ca="1" si="22"/>
        <v>0</v>
      </c>
      <c r="BC92" s="382">
        <f t="shared" ca="1" si="22"/>
        <v>0</v>
      </c>
      <c r="BD92" s="382">
        <f t="shared" ca="1" si="22"/>
        <v>0</v>
      </c>
      <c r="BE92" s="382">
        <f t="shared" ca="1" si="22"/>
        <v>0</v>
      </c>
      <c r="BF92" s="382">
        <f t="shared" ca="1" si="22"/>
        <v>0</v>
      </c>
      <c r="BG92" s="382">
        <f t="shared" ca="1" si="22"/>
        <v>0</v>
      </c>
      <c r="BH92" s="382">
        <f t="shared" ca="1" si="22"/>
        <v>0</v>
      </c>
      <c r="BI92" s="382">
        <f t="shared" ca="1" si="22"/>
        <v>0</v>
      </c>
    </row>
    <row r="93" spans="1:61" outlineLevel="1" x14ac:dyDescent="0.15">
      <c r="A93" s="392">
        <v>39</v>
      </c>
      <c r="B93" s="382" t="str">
        <f t="shared" ca="1" si="20"/>
        <v/>
      </c>
      <c r="C93" s="382" t="str">
        <f t="shared" ca="1" si="20"/>
        <v/>
      </c>
      <c r="D93" s="382" t="str">
        <f t="shared" ca="1" si="20"/>
        <v/>
      </c>
      <c r="E93" s="382" t="str">
        <f t="shared" ca="1" si="20"/>
        <v/>
      </c>
      <c r="F93" s="382" t="str">
        <f t="shared" ca="1" si="20"/>
        <v/>
      </c>
      <c r="G93" s="382" t="str">
        <f t="shared" ca="1" si="20"/>
        <v/>
      </c>
      <c r="H93" s="382" t="str">
        <f t="shared" ca="1" si="20"/>
        <v/>
      </c>
      <c r="I93" s="382" t="str">
        <f t="shared" ca="1" si="20"/>
        <v/>
      </c>
      <c r="J93" s="382" t="str">
        <f t="shared" ca="1" si="20"/>
        <v/>
      </c>
      <c r="K93" s="382" t="str">
        <f t="shared" ca="1" si="20"/>
        <v/>
      </c>
      <c r="L93" s="382" t="str">
        <f t="shared" ca="1" si="20"/>
        <v/>
      </c>
      <c r="M93" s="382" t="str">
        <f t="shared" ca="1" si="20"/>
        <v/>
      </c>
      <c r="N93" s="382" t="str">
        <f t="shared" ca="1" si="20"/>
        <v/>
      </c>
      <c r="O93" s="382" t="str">
        <f t="shared" ca="1" si="20"/>
        <v/>
      </c>
      <c r="P93" s="382" t="str">
        <f t="shared" ca="1" si="20"/>
        <v/>
      </c>
      <c r="Q93" s="382" t="str">
        <f t="shared" ca="1" si="20"/>
        <v/>
      </c>
      <c r="R93" s="382" t="str">
        <f t="shared" ca="1" si="22"/>
        <v/>
      </c>
      <c r="S93" s="382" t="str">
        <f t="shared" ca="1" si="22"/>
        <v/>
      </c>
      <c r="T93" s="382" t="str">
        <f t="shared" ca="1" si="22"/>
        <v/>
      </c>
      <c r="U93" s="382" t="str">
        <f t="shared" ca="1" si="22"/>
        <v/>
      </c>
      <c r="V93" s="382" t="str">
        <f t="shared" ca="1" si="22"/>
        <v/>
      </c>
      <c r="W93" s="382" t="str">
        <f t="shared" ca="1" si="22"/>
        <v/>
      </c>
      <c r="X93" s="382" t="str">
        <f t="shared" ca="1" si="22"/>
        <v/>
      </c>
      <c r="Y93" s="382" t="str">
        <f t="shared" ca="1" si="22"/>
        <v/>
      </c>
      <c r="Z93" s="382" t="str">
        <f t="shared" ca="1" si="22"/>
        <v/>
      </c>
      <c r="AA93" s="382" t="str">
        <f t="shared" ca="1" si="22"/>
        <v/>
      </c>
      <c r="AB93" s="382" t="str">
        <f t="shared" ca="1" si="22"/>
        <v/>
      </c>
      <c r="AC93" s="382" t="str">
        <f t="shared" ca="1" si="22"/>
        <v/>
      </c>
      <c r="AD93" s="382" t="str">
        <f t="shared" ca="1" si="22"/>
        <v/>
      </c>
      <c r="AE93" s="382" t="str">
        <f t="shared" ca="1" si="22"/>
        <v/>
      </c>
      <c r="AF93" s="382" t="str">
        <f t="shared" ca="1" si="22"/>
        <v/>
      </c>
      <c r="AG93" s="382" t="str">
        <f t="shared" ca="1" si="22"/>
        <v/>
      </c>
      <c r="AH93" s="382" t="str">
        <f t="shared" ca="1" si="22"/>
        <v/>
      </c>
      <c r="AI93" s="382" t="str">
        <f t="shared" ca="1" si="22"/>
        <v/>
      </c>
      <c r="AJ93" s="382" t="str">
        <f t="shared" ca="1" si="22"/>
        <v/>
      </c>
      <c r="AK93" s="382" t="str">
        <f t="shared" ca="1" si="22"/>
        <v/>
      </c>
      <c r="AL93" s="382" t="str">
        <f t="shared" ca="1" si="22"/>
        <v/>
      </c>
      <c r="AM93" s="382" t="str">
        <f t="shared" ca="1" si="22"/>
        <v/>
      </c>
      <c r="AN93" s="382">
        <f t="shared" ca="1" si="22"/>
        <v>0</v>
      </c>
      <c r="AO93" s="382">
        <f t="shared" ca="1" si="22"/>
        <v>0</v>
      </c>
      <c r="AP93" s="382">
        <f t="shared" ca="1" si="22"/>
        <v>0</v>
      </c>
      <c r="AQ93" s="382">
        <f t="shared" ca="1" si="22"/>
        <v>0</v>
      </c>
      <c r="AR93" s="382">
        <f t="shared" ca="1" si="22"/>
        <v>0</v>
      </c>
      <c r="AS93" s="382">
        <f t="shared" ca="1" si="22"/>
        <v>0</v>
      </c>
      <c r="AT93" s="382">
        <f t="shared" ca="1" si="22"/>
        <v>6115</v>
      </c>
      <c r="AU93" s="382">
        <f t="shared" ca="1" si="22"/>
        <v>5825</v>
      </c>
      <c r="AV93" s="382">
        <f t="shared" ca="1" si="22"/>
        <v>5771</v>
      </c>
      <c r="AW93" s="382">
        <f t="shared" ca="1" si="22"/>
        <v>0</v>
      </c>
      <c r="AX93" s="382">
        <f t="shared" ca="1" si="22"/>
        <v>0</v>
      </c>
      <c r="AY93" s="382">
        <f t="shared" ca="1" si="22"/>
        <v>0</v>
      </c>
      <c r="AZ93" s="382">
        <f t="shared" ca="1" si="22"/>
        <v>0</v>
      </c>
      <c r="BA93" s="382">
        <f t="shared" ca="1" si="22"/>
        <v>0</v>
      </c>
      <c r="BB93" s="382">
        <f t="shared" ca="1" si="22"/>
        <v>0</v>
      </c>
      <c r="BC93" s="382">
        <f t="shared" ca="1" si="22"/>
        <v>0</v>
      </c>
      <c r="BD93" s="382">
        <f t="shared" ca="1" si="22"/>
        <v>0</v>
      </c>
      <c r="BE93" s="382">
        <f t="shared" ca="1" si="22"/>
        <v>0</v>
      </c>
      <c r="BF93" s="382">
        <f t="shared" ca="1" si="22"/>
        <v>0</v>
      </c>
      <c r="BG93" s="382">
        <f t="shared" ca="1" si="22"/>
        <v>0</v>
      </c>
      <c r="BH93" s="382">
        <f t="shared" ca="1" si="22"/>
        <v>0</v>
      </c>
      <c r="BI93" s="382">
        <f t="shared" ca="1" si="22"/>
        <v>0</v>
      </c>
    </row>
    <row r="94" spans="1:61" outlineLevel="1" x14ac:dyDescent="0.15">
      <c r="A94" s="392">
        <v>40</v>
      </c>
      <c r="B94" s="382" t="str">
        <f t="shared" ca="1" si="20"/>
        <v/>
      </c>
      <c r="C94" s="382" t="str">
        <f t="shared" ca="1" si="20"/>
        <v/>
      </c>
      <c r="D94" s="382" t="str">
        <f t="shared" ca="1" si="20"/>
        <v/>
      </c>
      <c r="E94" s="382" t="str">
        <f t="shared" ca="1" si="20"/>
        <v/>
      </c>
      <c r="F94" s="382" t="str">
        <f t="shared" ca="1" si="20"/>
        <v/>
      </c>
      <c r="G94" s="382" t="str">
        <f t="shared" ca="1" si="20"/>
        <v/>
      </c>
      <c r="H94" s="382" t="str">
        <f t="shared" ca="1" si="20"/>
        <v/>
      </c>
      <c r="I94" s="382" t="str">
        <f t="shared" ca="1" si="20"/>
        <v/>
      </c>
      <c r="J94" s="382" t="str">
        <f t="shared" ca="1" si="20"/>
        <v/>
      </c>
      <c r="K94" s="382" t="str">
        <f t="shared" ca="1" si="20"/>
        <v/>
      </c>
      <c r="L94" s="382" t="str">
        <f t="shared" ca="1" si="20"/>
        <v/>
      </c>
      <c r="M94" s="382" t="str">
        <f t="shared" ca="1" si="20"/>
        <v/>
      </c>
      <c r="N94" s="382" t="str">
        <f t="shared" ca="1" si="20"/>
        <v/>
      </c>
      <c r="O94" s="382" t="str">
        <f t="shared" ca="1" si="20"/>
        <v/>
      </c>
      <c r="P94" s="382" t="str">
        <f t="shared" ca="1" si="20"/>
        <v/>
      </c>
      <c r="Q94" s="382" t="str">
        <f t="shared" ca="1" si="20"/>
        <v/>
      </c>
      <c r="R94" s="382" t="str">
        <f t="shared" ca="1" si="22"/>
        <v/>
      </c>
      <c r="S94" s="382" t="str">
        <f t="shared" ca="1" si="22"/>
        <v/>
      </c>
      <c r="T94" s="382" t="str">
        <f t="shared" ca="1" si="22"/>
        <v/>
      </c>
      <c r="U94" s="382" t="str">
        <f t="shared" ca="1" si="22"/>
        <v/>
      </c>
      <c r="V94" s="382" t="str">
        <f t="shared" ca="1" si="22"/>
        <v/>
      </c>
      <c r="W94" s="382" t="str">
        <f t="shared" ca="1" si="22"/>
        <v/>
      </c>
      <c r="X94" s="382" t="str">
        <f t="shared" ca="1" si="22"/>
        <v/>
      </c>
      <c r="Y94" s="382" t="str">
        <f t="shared" ca="1" si="22"/>
        <v/>
      </c>
      <c r="Z94" s="382" t="str">
        <f t="shared" ca="1" si="22"/>
        <v/>
      </c>
      <c r="AA94" s="382" t="str">
        <f t="shared" ca="1" si="22"/>
        <v/>
      </c>
      <c r="AB94" s="382" t="str">
        <f t="shared" ca="1" si="22"/>
        <v/>
      </c>
      <c r="AC94" s="382" t="str">
        <f t="shared" ca="1" si="22"/>
        <v/>
      </c>
      <c r="AD94" s="382" t="str">
        <f t="shared" ca="1" si="22"/>
        <v/>
      </c>
      <c r="AE94" s="382" t="str">
        <f t="shared" ca="1" si="22"/>
        <v/>
      </c>
      <c r="AF94" s="382" t="str">
        <f t="shared" ca="1" si="22"/>
        <v/>
      </c>
      <c r="AG94" s="382" t="str">
        <f t="shared" ca="1" si="22"/>
        <v/>
      </c>
      <c r="AH94" s="382" t="str">
        <f t="shared" ca="1" si="22"/>
        <v/>
      </c>
      <c r="AI94" s="382" t="str">
        <f t="shared" ca="1" si="22"/>
        <v/>
      </c>
      <c r="AJ94" s="382" t="str">
        <f t="shared" ca="1" si="22"/>
        <v/>
      </c>
      <c r="AK94" s="382" t="str">
        <f t="shared" ca="1" si="22"/>
        <v/>
      </c>
      <c r="AL94" s="382" t="str">
        <f t="shared" ca="1" si="22"/>
        <v/>
      </c>
      <c r="AM94" s="382" t="str">
        <f t="shared" ca="1" si="22"/>
        <v/>
      </c>
      <c r="AN94" s="382" t="str">
        <f t="shared" ca="1" si="22"/>
        <v/>
      </c>
      <c r="AO94" s="382">
        <f t="shared" ca="1" si="22"/>
        <v>0</v>
      </c>
      <c r="AP94" s="382">
        <f t="shared" ca="1" si="22"/>
        <v>0</v>
      </c>
      <c r="AQ94" s="382">
        <f t="shared" ca="1" si="22"/>
        <v>0</v>
      </c>
      <c r="AR94" s="382">
        <f t="shared" ca="1" si="22"/>
        <v>0</v>
      </c>
      <c r="AS94" s="382">
        <f t="shared" ca="1" si="22"/>
        <v>0</v>
      </c>
      <c r="AT94" s="382">
        <f t="shared" ca="1" si="22"/>
        <v>0</v>
      </c>
      <c r="AU94" s="382">
        <f t="shared" ca="1" si="22"/>
        <v>6115</v>
      </c>
      <c r="AV94" s="382">
        <f t="shared" ca="1" si="22"/>
        <v>5825</v>
      </c>
      <c r="AW94" s="382">
        <f t="shared" ca="1" si="22"/>
        <v>5771</v>
      </c>
      <c r="AX94" s="382">
        <f t="shared" ca="1" si="22"/>
        <v>0</v>
      </c>
      <c r="AY94" s="382">
        <f t="shared" ca="1" si="22"/>
        <v>0</v>
      </c>
      <c r="AZ94" s="382">
        <f t="shared" ca="1" si="22"/>
        <v>0</v>
      </c>
      <c r="BA94" s="382">
        <f t="shared" ca="1" si="22"/>
        <v>0</v>
      </c>
      <c r="BB94" s="382">
        <f t="shared" ca="1" si="22"/>
        <v>0</v>
      </c>
      <c r="BC94" s="382">
        <f t="shared" ca="1" si="22"/>
        <v>0</v>
      </c>
      <c r="BD94" s="382">
        <f t="shared" ca="1" si="22"/>
        <v>0</v>
      </c>
      <c r="BE94" s="382">
        <f t="shared" ca="1" si="22"/>
        <v>0</v>
      </c>
      <c r="BF94" s="382">
        <f t="shared" ca="1" si="22"/>
        <v>0</v>
      </c>
      <c r="BG94" s="382">
        <f t="shared" ca="1" si="22"/>
        <v>0</v>
      </c>
      <c r="BH94" s="382">
        <f t="shared" ca="1" si="22"/>
        <v>0</v>
      </c>
      <c r="BI94" s="382">
        <f t="shared" ca="1" si="22"/>
        <v>0</v>
      </c>
    </row>
    <row r="95" spans="1:61" outlineLevel="1" x14ac:dyDescent="0.15">
      <c r="A95" s="392">
        <v>41</v>
      </c>
      <c r="B95" s="382" t="str">
        <f t="shared" ca="1" si="20"/>
        <v/>
      </c>
      <c r="C95" s="382" t="str">
        <f t="shared" ca="1" si="20"/>
        <v/>
      </c>
      <c r="D95" s="382" t="str">
        <f t="shared" ca="1" si="20"/>
        <v/>
      </c>
      <c r="E95" s="382" t="str">
        <f t="shared" ca="1" si="20"/>
        <v/>
      </c>
      <c r="F95" s="382" t="str">
        <f t="shared" ca="1" si="20"/>
        <v/>
      </c>
      <c r="G95" s="382" t="str">
        <f t="shared" ca="1" si="20"/>
        <v/>
      </c>
      <c r="H95" s="382" t="str">
        <f t="shared" ca="1" si="20"/>
        <v/>
      </c>
      <c r="I95" s="382" t="str">
        <f t="shared" ca="1" si="20"/>
        <v/>
      </c>
      <c r="J95" s="382" t="str">
        <f t="shared" ca="1" si="20"/>
        <v/>
      </c>
      <c r="K95" s="382" t="str">
        <f t="shared" ca="1" si="20"/>
        <v/>
      </c>
      <c r="L95" s="382" t="str">
        <f t="shared" ca="1" si="20"/>
        <v/>
      </c>
      <c r="M95" s="382" t="str">
        <f t="shared" ca="1" si="20"/>
        <v/>
      </c>
      <c r="N95" s="382" t="str">
        <f t="shared" ca="1" si="20"/>
        <v/>
      </c>
      <c r="O95" s="382" t="str">
        <f t="shared" ca="1" si="20"/>
        <v/>
      </c>
      <c r="P95" s="382" t="str">
        <f t="shared" ca="1" si="20"/>
        <v/>
      </c>
      <c r="Q95" s="382" t="str">
        <f t="shared" ca="1" si="20"/>
        <v/>
      </c>
      <c r="R95" s="382" t="str">
        <f t="shared" ca="1" si="22"/>
        <v/>
      </c>
      <c r="S95" s="382" t="str">
        <f t="shared" ca="1" si="22"/>
        <v/>
      </c>
      <c r="T95" s="382" t="str">
        <f t="shared" ca="1" si="22"/>
        <v/>
      </c>
      <c r="U95" s="382" t="str">
        <f t="shared" ca="1" si="22"/>
        <v/>
      </c>
      <c r="V95" s="382" t="str">
        <f t="shared" ca="1" si="22"/>
        <v/>
      </c>
      <c r="W95" s="382" t="str">
        <f t="shared" ca="1" si="22"/>
        <v/>
      </c>
      <c r="X95" s="382" t="str">
        <f t="shared" ca="1" si="22"/>
        <v/>
      </c>
      <c r="Y95" s="382" t="str">
        <f t="shared" ca="1" si="22"/>
        <v/>
      </c>
      <c r="Z95" s="382" t="str">
        <f t="shared" ca="1" si="22"/>
        <v/>
      </c>
      <c r="AA95" s="382" t="str">
        <f t="shared" ca="1" si="22"/>
        <v/>
      </c>
      <c r="AB95" s="382" t="str">
        <f t="shared" ca="1" si="22"/>
        <v/>
      </c>
      <c r="AC95" s="382" t="str">
        <f t="shared" ca="1" si="22"/>
        <v/>
      </c>
      <c r="AD95" s="382" t="str">
        <f t="shared" ca="1" si="22"/>
        <v/>
      </c>
      <c r="AE95" s="382" t="str">
        <f t="shared" ca="1" si="22"/>
        <v/>
      </c>
      <c r="AF95" s="382" t="str">
        <f t="shared" ca="1" si="22"/>
        <v/>
      </c>
      <c r="AG95" s="382" t="str">
        <f t="shared" ca="1" si="22"/>
        <v/>
      </c>
      <c r="AH95" s="382" t="str">
        <f t="shared" ca="1" si="22"/>
        <v/>
      </c>
      <c r="AI95" s="382" t="str">
        <f t="shared" ca="1" si="22"/>
        <v/>
      </c>
      <c r="AJ95" s="382" t="str">
        <f t="shared" ca="1" si="22"/>
        <v/>
      </c>
      <c r="AK95" s="382" t="str">
        <f t="shared" ca="1" si="22"/>
        <v/>
      </c>
      <c r="AL95" s="382" t="str">
        <f t="shared" ca="1" si="22"/>
        <v/>
      </c>
      <c r="AM95" s="382" t="str">
        <f t="shared" ca="1" si="22"/>
        <v/>
      </c>
      <c r="AN95" s="382" t="str">
        <f t="shared" ca="1" si="22"/>
        <v/>
      </c>
      <c r="AO95" s="382" t="str">
        <f t="shared" ca="1" si="22"/>
        <v/>
      </c>
      <c r="AP95" s="382">
        <f t="shared" ca="1" si="22"/>
        <v>0</v>
      </c>
      <c r="AQ95" s="382">
        <f t="shared" ca="1" si="22"/>
        <v>0</v>
      </c>
      <c r="AR95" s="382">
        <f t="shared" ca="1" si="22"/>
        <v>0</v>
      </c>
      <c r="AS95" s="382">
        <f t="shared" ca="1" si="22"/>
        <v>0</v>
      </c>
      <c r="AT95" s="382">
        <f t="shared" ca="1" si="22"/>
        <v>0</v>
      </c>
      <c r="AU95" s="382">
        <f t="shared" ca="1" si="22"/>
        <v>0</v>
      </c>
      <c r="AV95" s="382">
        <f t="shared" ca="1" si="22"/>
        <v>6115</v>
      </c>
      <c r="AW95" s="382">
        <f t="shared" ca="1" si="22"/>
        <v>5825</v>
      </c>
      <c r="AX95" s="382">
        <f t="shared" ca="1" si="22"/>
        <v>5771</v>
      </c>
      <c r="AY95" s="382">
        <f t="shared" ca="1" si="22"/>
        <v>0</v>
      </c>
      <c r="AZ95" s="382">
        <f t="shared" ca="1" si="22"/>
        <v>0</v>
      </c>
      <c r="BA95" s="382">
        <f t="shared" ca="1" si="22"/>
        <v>0</v>
      </c>
      <c r="BB95" s="382">
        <f t="shared" ca="1" si="22"/>
        <v>0</v>
      </c>
      <c r="BC95" s="382">
        <f t="shared" ca="1" si="22"/>
        <v>0</v>
      </c>
      <c r="BD95" s="382">
        <f t="shared" ca="1" si="22"/>
        <v>0</v>
      </c>
      <c r="BE95" s="382">
        <f t="shared" ca="1" si="22"/>
        <v>0</v>
      </c>
      <c r="BF95" s="382">
        <f t="shared" ca="1" si="22"/>
        <v>0</v>
      </c>
      <c r="BG95" s="382">
        <f t="shared" ca="1" si="22"/>
        <v>0</v>
      </c>
      <c r="BH95" s="382">
        <f t="shared" ca="1" si="22"/>
        <v>0</v>
      </c>
      <c r="BI95" s="382">
        <f t="shared" ca="1" si="22"/>
        <v>0</v>
      </c>
    </row>
    <row r="96" spans="1:61" outlineLevel="1" x14ac:dyDescent="0.15">
      <c r="A96" s="392">
        <v>42</v>
      </c>
      <c r="B96" s="382" t="str">
        <f t="shared" ca="1" si="20"/>
        <v/>
      </c>
      <c r="C96" s="382" t="str">
        <f t="shared" ca="1" si="20"/>
        <v/>
      </c>
      <c r="D96" s="382" t="str">
        <f t="shared" ca="1" si="20"/>
        <v/>
      </c>
      <c r="E96" s="382" t="str">
        <f t="shared" ca="1" si="20"/>
        <v/>
      </c>
      <c r="F96" s="382" t="str">
        <f t="shared" ca="1" si="20"/>
        <v/>
      </c>
      <c r="G96" s="382" t="str">
        <f t="shared" ca="1" si="20"/>
        <v/>
      </c>
      <c r="H96" s="382" t="str">
        <f t="shared" ca="1" si="20"/>
        <v/>
      </c>
      <c r="I96" s="382" t="str">
        <f t="shared" ca="1" si="20"/>
        <v/>
      </c>
      <c r="J96" s="382" t="str">
        <f t="shared" ca="1" si="20"/>
        <v/>
      </c>
      <c r="K96" s="382" t="str">
        <f t="shared" ca="1" si="20"/>
        <v/>
      </c>
      <c r="L96" s="382" t="str">
        <f t="shared" ca="1" si="20"/>
        <v/>
      </c>
      <c r="M96" s="382" t="str">
        <f t="shared" ca="1" si="20"/>
        <v/>
      </c>
      <c r="N96" s="382" t="str">
        <f t="shared" ca="1" si="20"/>
        <v/>
      </c>
      <c r="O96" s="382" t="str">
        <f t="shared" ca="1" si="20"/>
        <v/>
      </c>
      <c r="P96" s="382" t="str">
        <f t="shared" ca="1" si="20"/>
        <v/>
      </c>
      <c r="Q96" s="382" t="str">
        <f t="shared" ca="1" si="20"/>
        <v/>
      </c>
      <c r="R96" s="382" t="str">
        <f t="shared" ca="1" si="22"/>
        <v/>
      </c>
      <c r="S96" s="382" t="str">
        <f t="shared" ca="1" si="22"/>
        <v/>
      </c>
      <c r="T96" s="382" t="str">
        <f t="shared" ca="1" si="22"/>
        <v/>
      </c>
      <c r="U96" s="382" t="str">
        <f t="shared" ca="1" si="22"/>
        <v/>
      </c>
      <c r="V96" s="382" t="str">
        <f t="shared" ca="1" si="22"/>
        <v/>
      </c>
      <c r="W96" s="382" t="str">
        <f t="shared" ca="1" si="22"/>
        <v/>
      </c>
      <c r="X96" s="382" t="str">
        <f t="shared" ca="1" si="22"/>
        <v/>
      </c>
      <c r="Y96" s="382" t="str">
        <f t="shared" ca="1" si="22"/>
        <v/>
      </c>
      <c r="Z96" s="382" t="str">
        <f t="shared" ca="1" si="22"/>
        <v/>
      </c>
      <c r="AA96" s="382" t="str">
        <f t="shared" ca="1" si="22"/>
        <v/>
      </c>
      <c r="AB96" s="382" t="str">
        <f t="shared" ca="1" si="22"/>
        <v/>
      </c>
      <c r="AC96" s="382" t="str">
        <f t="shared" ca="1" si="22"/>
        <v/>
      </c>
      <c r="AD96" s="382" t="str">
        <f t="shared" ca="1" si="22"/>
        <v/>
      </c>
      <c r="AE96" s="382" t="str">
        <f t="shared" ca="1" si="22"/>
        <v/>
      </c>
      <c r="AF96" s="382" t="str">
        <f t="shared" ca="1" si="22"/>
        <v/>
      </c>
      <c r="AG96" s="382" t="str">
        <f t="shared" ca="1" si="22"/>
        <v/>
      </c>
      <c r="AH96" s="382" t="str">
        <f t="shared" ca="1" si="22"/>
        <v/>
      </c>
      <c r="AI96" s="382" t="str">
        <f t="shared" ca="1" si="22"/>
        <v/>
      </c>
      <c r="AJ96" s="382" t="str">
        <f t="shared" ca="1" si="22"/>
        <v/>
      </c>
      <c r="AK96" s="382" t="str">
        <f t="shared" ca="1" si="22"/>
        <v/>
      </c>
      <c r="AL96" s="382" t="str">
        <f t="shared" ca="1" si="22"/>
        <v/>
      </c>
      <c r="AM96" s="382" t="str">
        <f t="shared" ca="1" si="22"/>
        <v/>
      </c>
      <c r="AN96" s="382" t="str">
        <f t="shared" ca="1" si="22"/>
        <v/>
      </c>
      <c r="AO96" s="382" t="str">
        <f t="shared" ca="1" si="22"/>
        <v/>
      </c>
      <c r="AP96" s="382" t="str">
        <f t="shared" ca="1" si="22"/>
        <v/>
      </c>
      <c r="AQ96" s="382">
        <f t="shared" ca="1" si="22"/>
        <v>0</v>
      </c>
      <c r="AR96" s="382">
        <f t="shared" ca="1" si="22"/>
        <v>0</v>
      </c>
      <c r="AS96" s="382">
        <f t="shared" ca="1" si="22"/>
        <v>0</v>
      </c>
      <c r="AT96" s="382">
        <f t="shared" ca="1" si="22"/>
        <v>0</v>
      </c>
      <c r="AU96" s="382">
        <f t="shared" ca="1" si="22"/>
        <v>0</v>
      </c>
      <c r="AV96" s="382">
        <f t="shared" ca="1" si="22"/>
        <v>0</v>
      </c>
      <c r="AW96" s="382">
        <f t="shared" ca="1" si="22"/>
        <v>6115</v>
      </c>
      <c r="AX96" s="382">
        <f t="shared" ca="1" si="22"/>
        <v>5825</v>
      </c>
      <c r="AY96" s="382">
        <f t="shared" ca="1" si="22"/>
        <v>5771</v>
      </c>
      <c r="AZ96" s="382">
        <f t="shared" ca="1" si="22"/>
        <v>0</v>
      </c>
      <c r="BA96" s="382">
        <f t="shared" ca="1" si="22"/>
        <v>0</v>
      </c>
      <c r="BB96" s="382">
        <f t="shared" ca="1" si="22"/>
        <v>0</v>
      </c>
      <c r="BC96" s="382">
        <f t="shared" ca="1" si="22"/>
        <v>0</v>
      </c>
      <c r="BD96" s="382">
        <f t="shared" ca="1" si="22"/>
        <v>0</v>
      </c>
      <c r="BE96" s="382">
        <f t="shared" ca="1" si="22"/>
        <v>0</v>
      </c>
      <c r="BF96" s="382">
        <f t="shared" ca="1" si="22"/>
        <v>0</v>
      </c>
      <c r="BG96" s="382">
        <f t="shared" ca="1" si="22"/>
        <v>0</v>
      </c>
      <c r="BH96" s="382">
        <f t="shared" ca="1" si="22"/>
        <v>0</v>
      </c>
      <c r="BI96" s="382">
        <f t="shared" ca="1" si="22"/>
        <v>0</v>
      </c>
    </row>
    <row r="97" spans="1:61" outlineLevel="1" x14ac:dyDescent="0.15">
      <c r="A97" s="392">
        <v>43</v>
      </c>
      <c r="B97" s="382" t="str">
        <f t="shared" ca="1" si="20"/>
        <v/>
      </c>
      <c r="C97" s="382" t="str">
        <f t="shared" ca="1" si="20"/>
        <v/>
      </c>
      <c r="D97" s="382" t="str">
        <f t="shared" ca="1" si="20"/>
        <v/>
      </c>
      <c r="E97" s="382" t="str">
        <f t="shared" ca="1" si="20"/>
        <v/>
      </c>
      <c r="F97" s="382" t="str">
        <f t="shared" ca="1" si="20"/>
        <v/>
      </c>
      <c r="G97" s="382" t="str">
        <f t="shared" ca="1" si="20"/>
        <v/>
      </c>
      <c r="H97" s="382" t="str">
        <f t="shared" ca="1" si="20"/>
        <v/>
      </c>
      <c r="I97" s="382" t="str">
        <f t="shared" ca="1" si="20"/>
        <v/>
      </c>
      <c r="J97" s="382" t="str">
        <f t="shared" ca="1" si="20"/>
        <v/>
      </c>
      <c r="K97" s="382" t="str">
        <f t="shared" ca="1" si="20"/>
        <v/>
      </c>
      <c r="L97" s="382" t="str">
        <f t="shared" ca="1" si="20"/>
        <v/>
      </c>
      <c r="M97" s="382" t="str">
        <f t="shared" ca="1" si="20"/>
        <v/>
      </c>
      <c r="N97" s="382" t="str">
        <f t="shared" ca="1" si="20"/>
        <v/>
      </c>
      <c r="O97" s="382" t="str">
        <f t="shared" ca="1" si="20"/>
        <v/>
      </c>
      <c r="P97" s="382" t="str">
        <f t="shared" ca="1" si="20"/>
        <v/>
      </c>
      <c r="Q97" s="382" t="str">
        <f t="shared" ca="1" si="20"/>
        <v/>
      </c>
      <c r="R97" s="382" t="str">
        <f t="shared" ca="1" si="22"/>
        <v/>
      </c>
      <c r="S97" s="382" t="str">
        <f t="shared" ca="1" si="22"/>
        <v/>
      </c>
      <c r="T97" s="382" t="str">
        <f t="shared" ca="1" si="22"/>
        <v/>
      </c>
      <c r="U97" s="382" t="str">
        <f t="shared" ca="1" si="22"/>
        <v/>
      </c>
      <c r="V97" s="382" t="str">
        <f t="shared" ca="1" si="22"/>
        <v/>
      </c>
      <c r="W97" s="382" t="str">
        <f t="shared" ca="1" si="22"/>
        <v/>
      </c>
      <c r="X97" s="382" t="str">
        <f t="shared" ca="1" si="22"/>
        <v/>
      </c>
      <c r="Y97" s="382" t="str">
        <f t="shared" ca="1" si="22"/>
        <v/>
      </c>
      <c r="Z97" s="382" t="str">
        <f t="shared" ca="1" si="22"/>
        <v/>
      </c>
      <c r="AA97" s="382" t="str">
        <f t="shared" ca="1" si="22"/>
        <v/>
      </c>
      <c r="AB97" s="382" t="str">
        <f t="shared" ca="1" si="22"/>
        <v/>
      </c>
      <c r="AC97" s="382" t="str">
        <f t="shared" ca="1" si="22"/>
        <v/>
      </c>
      <c r="AD97" s="382" t="str">
        <f t="shared" ca="1" si="22"/>
        <v/>
      </c>
      <c r="AE97" s="382" t="str">
        <f t="shared" ca="1" si="22"/>
        <v/>
      </c>
      <c r="AF97" s="382" t="str">
        <f t="shared" ca="1" si="22"/>
        <v/>
      </c>
      <c r="AG97" s="382" t="str">
        <f t="shared" ca="1" si="22"/>
        <v/>
      </c>
      <c r="AH97" s="382" t="str">
        <f t="shared" ca="1" si="22"/>
        <v/>
      </c>
      <c r="AI97" s="382" t="str">
        <f t="shared" ca="1" si="22"/>
        <v/>
      </c>
      <c r="AJ97" s="382" t="str">
        <f t="shared" ca="1" si="22"/>
        <v/>
      </c>
      <c r="AK97" s="382" t="str">
        <f t="shared" ca="1" si="22"/>
        <v/>
      </c>
      <c r="AL97" s="382" t="str">
        <f t="shared" ca="1" si="22"/>
        <v/>
      </c>
      <c r="AM97" s="382" t="str">
        <f t="shared" ca="1" si="22"/>
        <v/>
      </c>
      <c r="AN97" s="382" t="str">
        <f t="shared" ca="1" si="22"/>
        <v/>
      </c>
      <c r="AO97" s="382" t="str">
        <f t="shared" ca="1" si="22"/>
        <v/>
      </c>
      <c r="AP97" s="382" t="str">
        <f t="shared" ca="1" si="22"/>
        <v/>
      </c>
      <c r="AQ97" s="382" t="str">
        <f t="shared" ca="1" si="22"/>
        <v/>
      </c>
      <c r="AR97" s="382">
        <f t="shared" ca="1" si="22"/>
        <v>0</v>
      </c>
      <c r="AS97" s="382">
        <f t="shared" ca="1" si="22"/>
        <v>0</v>
      </c>
      <c r="AT97" s="382">
        <f t="shared" ca="1" si="22"/>
        <v>0</v>
      </c>
      <c r="AU97" s="382">
        <f t="shared" ca="1" si="22"/>
        <v>0</v>
      </c>
      <c r="AV97" s="382">
        <f t="shared" ca="1" si="22"/>
        <v>0</v>
      </c>
      <c r="AW97" s="382">
        <f t="shared" ca="1" si="22"/>
        <v>0</v>
      </c>
      <c r="AX97" s="382">
        <f t="shared" ca="1" si="22"/>
        <v>6115</v>
      </c>
      <c r="AY97" s="382">
        <f t="shared" ca="1" si="22"/>
        <v>5825</v>
      </c>
      <c r="AZ97" s="382">
        <f t="shared" ca="1" si="22"/>
        <v>5771</v>
      </c>
      <c r="BA97" s="382">
        <f t="shared" ref="BA97:DG101" ca="1" si="23">IF($A97&gt;BA$5,"",OFFSET(BA$54,0,-($A97-1)))</f>
        <v>0</v>
      </c>
      <c r="BB97" s="382">
        <f t="shared" ca="1" si="23"/>
        <v>0</v>
      </c>
      <c r="BC97" s="382">
        <f t="shared" ca="1" si="23"/>
        <v>0</v>
      </c>
      <c r="BD97" s="382">
        <f t="shared" ca="1" si="23"/>
        <v>0</v>
      </c>
      <c r="BE97" s="382">
        <f t="shared" ca="1" si="23"/>
        <v>0</v>
      </c>
      <c r="BF97" s="382">
        <f t="shared" ca="1" si="23"/>
        <v>0</v>
      </c>
      <c r="BG97" s="382">
        <f t="shared" ca="1" si="23"/>
        <v>0</v>
      </c>
      <c r="BH97" s="382">
        <f t="shared" ca="1" si="23"/>
        <v>0</v>
      </c>
      <c r="BI97" s="382">
        <f t="shared" ca="1" si="23"/>
        <v>0</v>
      </c>
    </row>
    <row r="98" spans="1:61" outlineLevel="1" x14ac:dyDescent="0.15">
      <c r="A98" s="392">
        <v>44</v>
      </c>
      <c r="B98" s="382" t="str">
        <f t="shared" ca="1" si="20"/>
        <v/>
      </c>
      <c r="C98" s="382" t="str">
        <f t="shared" ca="1" si="20"/>
        <v/>
      </c>
      <c r="D98" s="382" t="str">
        <f t="shared" ca="1" si="20"/>
        <v/>
      </c>
      <c r="E98" s="382" t="str">
        <f t="shared" ca="1" si="20"/>
        <v/>
      </c>
      <c r="F98" s="382" t="str">
        <f t="shared" ca="1" si="20"/>
        <v/>
      </c>
      <c r="G98" s="382" t="str">
        <f t="shared" ca="1" si="20"/>
        <v/>
      </c>
      <c r="H98" s="382" t="str">
        <f t="shared" ca="1" si="20"/>
        <v/>
      </c>
      <c r="I98" s="382" t="str">
        <f t="shared" ca="1" si="20"/>
        <v/>
      </c>
      <c r="J98" s="382" t="str">
        <f t="shared" ca="1" si="20"/>
        <v/>
      </c>
      <c r="K98" s="382" t="str">
        <f t="shared" ca="1" si="20"/>
        <v/>
      </c>
      <c r="L98" s="382" t="str">
        <f t="shared" ca="1" si="20"/>
        <v/>
      </c>
      <c r="M98" s="382" t="str">
        <f t="shared" ca="1" si="20"/>
        <v/>
      </c>
      <c r="N98" s="382" t="str">
        <f t="shared" ca="1" si="20"/>
        <v/>
      </c>
      <c r="O98" s="382" t="str">
        <f t="shared" ca="1" si="20"/>
        <v/>
      </c>
      <c r="P98" s="382" t="str">
        <f t="shared" ca="1" si="20"/>
        <v/>
      </c>
      <c r="Q98" s="382" t="str">
        <f t="shared" ca="1" si="20"/>
        <v/>
      </c>
      <c r="R98" s="382" t="str">
        <f t="shared" ref="R98:BX102" ca="1" si="24">IF($A98&gt;R$5,"",OFFSET(R$54,0,-($A98-1)))</f>
        <v/>
      </c>
      <c r="S98" s="382" t="str">
        <f t="shared" ca="1" si="24"/>
        <v/>
      </c>
      <c r="T98" s="382" t="str">
        <f t="shared" ca="1" si="24"/>
        <v/>
      </c>
      <c r="U98" s="382" t="str">
        <f t="shared" ca="1" si="24"/>
        <v/>
      </c>
      <c r="V98" s="382" t="str">
        <f t="shared" ca="1" si="24"/>
        <v/>
      </c>
      <c r="W98" s="382" t="str">
        <f t="shared" ca="1" si="24"/>
        <v/>
      </c>
      <c r="X98" s="382" t="str">
        <f t="shared" ca="1" si="24"/>
        <v/>
      </c>
      <c r="Y98" s="382" t="str">
        <f t="shared" ca="1" si="24"/>
        <v/>
      </c>
      <c r="Z98" s="382" t="str">
        <f t="shared" ca="1" si="24"/>
        <v/>
      </c>
      <c r="AA98" s="382" t="str">
        <f t="shared" ca="1" si="24"/>
        <v/>
      </c>
      <c r="AB98" s="382" t="str">
        <f t="shared" ca="1" si="24"/>
        <v/>
      </c>
      <c r="AC98" s="382" t="str">
        <f t="shared" ca="1" si="24"/>
        <v/>
      </c>
      <c r="AD98" s="382" t="str">
        <f t="shared" ca="1" si="24"/>
        <v/>
      </c>
      <c r="AE98" s="382" t="str">
        <f t="shared" ca="1" si="24"/>
        <v/>
      </c>
      <c r="AF98" s="382" t="str">
        <f t="shared" ca="1" si="24"/>
        <v/>
      </c>
      <c r="AG98" s="382" t="str">
        <f t="shared" ca="1" si="24"/>
        <v/>
      </c>
      <c r="AH98" s="382" t="str">
        <f t="shared" ca="1" si="24"/>
        <v/>
      </c>
      <c r="AI98" s="382" t="str">
        <f t="shared" ca="1" si="24"/>
        <v/>
      </c>
      <c r="AJ98" s="382" t="str">
        <f t="shared" ca="1" si="24"/>
        <v/>
      </c>
      <c r="AK98" s="382" t="str">
        <f t="shared" ca="1" si="24"/>
        <v/>
      </c>
      <c r="AL98" s="382" t="str">
        <f t="shared" ca="1" si="24"/>
        <v/>
      </c>
      <c r="AM98" s="382" t="str">
        <f t="shared" ca="1" si="24"/>
        <v/>
      </c>
      <c r="AN98" s="382" t="str">
        <f t="shared" ca="1" si="24"/>
        <v/>
      </c>
      <c r="AO98" s="382" t="str">
        <f t="shared" ca="1" si="24"/>
        <v/>
      </c>
      <c r="AP98" s="382" t="str">
        <f t="shared" ca="1" si="24"/>
        <v/>
      </c>
      <c r="AQ98" s="382" t="str">
        <f t="shared" ca="1" si="24"/>
        <v/>
      </c>
      <c r="AR98" s="382" t="str">
        <f t="shared" ca="1" si="24"/>
        <v/>
      </c>
      <c r="AS98" s="382">
        <f t="shared" ca="1" si="24"/>
        <v>0</v>
      </c>
      <c r="AT98" s="382">
        <f t="shared" ca="1" si="24"/>
        <v>0</v>
      </c>
      <c r="AU98" s="382">
        <f t="shared" ca="1" si="24"/>
        <v>0</v>
      </c>
      <c r="AV98" s="382">
        <f t="shared" ca="1" si="24"/>
        <v>0</v>
      </c>
      <c r="AW98" s="382">
        <f t="shared" ca="1" si="24"/>
        <v>0</v>
      </c>
      <c r="AX98" s="382">
        <f t="shared" ca="1" si="24"/>
        <v>0</v>
      </c>
      <c r="AY98" s="382">
        <f t="shared" ca="1" si="24"/>
        <v>6115</v>
      </c>
      <c r="AZ98" s="382">
        <f t="shared" ca="1" si="24"/>
        <v>5825</v>
      </c>
      <c r="BA98" s="382">
        <f t="shared" ca="1" si="24"/>
        <v>5771</v>
      </c>
      <c r="BB98" s="382">
        <f t="shared" ca="1" si="24"/>
        <v>0</v>
      </c>
      <c r="BC98" s="382">
        <f t="shared" ca="1" si="24"/>
        <v>0</v>
      </c>
      <c r="BD98" s="382">
        <f t="shared" ca="1" si="24"/>
        <v>0</v>
      </c>
      <c r="BE98" s="382">
        <f t="shared" ca="1" si="24"/>
        <v>0</v>
      </c>
      <c r="BF98" s="382">
        <f t="shared" ca="1" si="24"/>
        <v>0</v>
      </c>
      <c r="BG98" s="382">
        <f t="shared" ca="1" si="24"/>
        <v>0</v>
      </c>
      <c r="BH98" s="382">
        <f t="shared" ca="1" si="24"/>
        <v>0</v>
      </c>
      <c r="BI98" s="382">
        <f t="shared" ca="1" si="24"/>
        <v>0</v>
      </c>
    </row>
    <row r="99" spans="1:61" outlineLevel="1" x14ac:dyDescent="0.15">
      <c r="A99" s="392">
        <v>45</v>
      </c>
      <c r="B99" s="382" t="str">
        <f t="shared" ca="1" si="20"/>
        <v/>
      </c>
      <c r="C99" s="382" t="str">
        <f t="shared" ca="1" si="20"/>
        <v/>
      </c>
      <c r="D99" s="382" t="str">
        <f t="shared" ca="1" si="20"/>
        <v/>
      </c>
      <c r="E99" s="382" t="str">
        <f t="shared" ca="1" si="20"/>
        <v/>
      </c>
      <c r="F99" s="382" t="str">
        <f t="shared" ca="1" si="20"/>
        <v/>
      </c>
      <c r="G99" s="382" t="str">
        <f t="shared" ca="1" si="20"/>
        <v/>
      </c>
      <c r="H99" s="382" t="str">
        <f t="shared" ca="1" si="20"/>
        <v/>
      </c>
      <c r="I99" s="382" t="str">
        <f t="shared" ca="1" si="20"/>
        <v/>
      </c>
      <c r="J99" s="382" t="str">
        <f t="shared" ca="1" si="20"/>
        <v/>
      </c>
      <c r="K99" s="382" t="str">
        <f t="shared" ca="1" si="20"/>
        <v/>
      </c>
      <c r="L99" s="382" t="str">
        <f t="shared" ca="1" si="20"/>
        <v/>
      </c>
      <c r="M99" s="382" t="str">
        <f t="shared" ca="1" si="20"/>
        <v/>
      </c>
      <c r="N99" s="382" t="str">
        <f t="shared" ca="1" si="20"/>
        <v/>
      </c>
      <c r="O99" s="382" t="str">
        <f t="shared" ca="1" si="20"/>
        <v/>
      </c>
      <c r="P99" s="382" t="str">
        <f t="shared" ca="1" si="20"/>
        <v/>
      </c>
      <c r="Q99" s="382" t="str">
        <f t="shared" ca="1" si="20"/>
        <v/>
      </c>
      <c r="R99" s="382" t="str">
        <f t="shared" ca="1" si="24"/>
        <v/>
      </c>
      <c r="S99" s="382" t="str">
        <f t="shared" ca="1" si="24"/>
        <v/>
      </c>
      <c r="T99" s="382" t="str">
        <f t="shared" ca="1" si="24"/>
        <v/>
      </c>
      <c r="U99" s="382" t="str">
        <f t="shared" ca="1" si="24"/>
        <v/>
      </c>
      <c r="V99" s="382" t="str">
        <f t="shared" ca="1" si="24"/>
        <v/>
      </c>
      <c r="W99" s="382" t="str">
        <f t="shared" ca="1" si="24"/>
        <v/>
      </c>
      <c r="X99" s="382" t="str">
        <f t="shared" ca="1" si="24"/>
        <v/>
      </c>
      <c r="Y99" s="382" t="str">
        <f t="shared" ca="1" si="24"/>
        <v/>
      </c>
      <c r="Z99" s="382" t="str">
        <f t="shared" ca="1" si="24"/>
        <v/>
      </c>
      <c r="AA99" s="382" t="str">
        <f t="shared" ca="1" si="24"/>
        <v/>
      </c>
      <c r="AB99" s="382" t="str">
        <f t="shared" ca="1" si="24"/>
        <v/>
      </c>
      <c r="AC99" s="382" t="str">
        <f t="shared" ca="1" si="24"/>
        <v/>
      </c>
      <c r="AD99" s="382" t="str">
        <f t="shared" ca="1" si="24"/>
        <v/>
      </c>
      <c r="AE99" s="382" t="str">
        <f t="shared" ca="1" si="24"/>
        <v/>
      </c>
      <c r="AF99" s="382" t="str">
        <f t="shared" ca="1" si="24"/>
        <v/>
      </c>
      <c r="AG99" s="382" t="str">
        <f t="shared" ca="1" si="24"/>
        <v/>
      </c>
      <c r="AH99" s="382" t="str">
        <f t="shared" ca="1" si="24"/>
        <v/>
      </c>
      <c r="AI99" s="382" t="str">
        <f t="shared" ca="1" si="24"/>
        <v/>
      </c>
      <c r="AJ99" s="382" t="str">
        <f t="shared" ca="1" si="24"/>
        <v/>
      </c>
      <c r="AK99" s="382" t="str">
        <f t="shared" ca="1" si="24"/>
        <v/>
      </c>
      <c r="AL99" s="382" t="str">
        <f t="shared" ca="1" si="24"/>
        <v/>
      </c>
      <c r="AM99" s="382" t="str">
        <f t="shared" ca="1" si="24"/>
        <v/>
      </c>
      <c r="AN99" s="382" t="str">
        <f t="shared" ca="1" si="24"/>
        <v/>
      </c>
      <c r="AO99" s="382" t="str">
        <f t="shared" ca="1" si="24"/>
        <v/>
      </c>
      <c r="AP99" s="382" t="str">
        <f t="shared" ca="1" si="24"/>
        <v/>
      </c>
      <c r="AQ99" s="382" t="str">
        <f t="shared" ca="1" si="24"/>
        <v/>
      </c>
      <c r="AR99" s="382" t="str">
        <f t="shared" ca="1" si="24"/>
        <v/>
      </c>
      <c r="AS99" s="382" t="str">
        <f t="shared" ca="1" si="24"/>
        <v/>
      </c>
      <c r="AT99" s="382">
        <f t="shared" ca="1" si="24"/>
        <v>0</v>
      </c>
      <c r="AU99" s="382">
        <f t="shared" ca="1" si="24"/>
        <v>0</v>
      </c>
      <c r="AV99" s="382">
        <f t="shared" ca="1" si="24"/>
        <v>0</v>
      </c>
      <c r="AW99" s="382">
        <f t="shared" ca="1" si="24"/>
        <v>0</v>
      </c>
      <c r="AX99" s="382">
        <f t="shared" ca="1" si="24"/>
        <v>0</v>
      </c>
      <c r="AY99" s="382">
        <f t="shared" ca="1" si="24"/>
        <v>0</v>
      </c>
      <c r="AZ99" s="382">
        <f t="shared" ca="1" si="24"/>
        <v>6115</v>
      </c>
      <c r="BA99" s="382">
        <f t="shared" ca="1" si="24"/>
        <v>5825</v>
      </c>
      <c r="BB99" s="382">
        <f t="shared" ca="1" si="24"/>
        <v>5771</v>
      </c>
      <c r="BC99" s="382">
        <f t="shared" ca="1" si="24"/>
        <v>0</v>
      </c>
      <c r="BD99" s="382">
        <f t="shared" ca="1" si="24"/>
        <v>0</v>
      </c>
      <c r="BE99" s="382">
        <f t="shared" ca="1" si="24"/>
        <v>0</v>
      </c>
      <c r="BF99" s="382">
        <f t="shared" ca="1" si="24"/>
        <v>0</v>
      </c>
      <c r="BG99" s="382">
        <f t="shared" ca="1" si="24"/>
        <v>0</v>
      </c>
      <c r="BH99" s="382">
        <f t="shared" ca="1" si="24"/>
        <v>0</v>
      </c>
      <c r="BI99" s="382">
        <f t="shared" ca="1" si="24"/>
        <v>0</v>
      </c>
    </row>
    <row r="100" spans="1:61" outlineLevel="1" x14ac:dyDescent="0.15">
      <c r="A100" s="392">
        <v>46</v>
      </c>
      <c r="B100" s="382" t="str">
        <f t="shared" ca="1" si="20"/>
        <v/>
      </c>
      <c r="C100" s="382" t="str">
        <f t="shared" ca="1" si="20"/>
        <v/>
      </c>
      <c r="D100" s="382" t="str">
        <f t="shared" ca="1" si="20"/>
        <v/>
      </c>
      <c r="E100" s="382" t="str">
        <f t="shared" ca="1" si="20"/>
        <v/>
      </c>
      <c r="F100" s="382" t="str">
        <f t="shared" ca="1" si="20"/>
        <v/>
      </c>
      <c r="G100" s="382" t="str">
        <f t="shared" ca="1" si="20"/>
        <v/>
      </c>
      <c r="H100" s="382" t="str">
        <f t="shared" ca="1" si="20"/>
        <v/>
      </c>
      <c r="I100" s="382" t="str">
        <f t="shared" ca="1" si="20"/>
        <v/>
      </c>
      <c r="J100" s="382" t="str">
        <f t="shared" ca="1" si="20"/>
        <v/>
      </c>
      <c r="K100" s="382" t="str">
        <f t="shared" ca="1" si="20"/>
        <v/>
      </c>
      <c r="L100" s="382" t="str">
        <f t="shared" ca="1" si="20"/>
        <v/>
      </c>
      <c r="M100" s="382" t="str">
        <f t="shared" ca="1" si="20"/>
        <v/>
      </c>
      <c r="N100" s="382" t="str">
        <f t="shared" ca="1" si="20"/>
        <v/>
      </c>
      <c r="O100" s="382" t="str">
        <f t="shared" ca="1" si="20"/>
        <v/>
      </c>
      <c r="P100" s="382" t="str">
        <f t="shared" ca="1" si="20"/>
        <v/>
      </c>
      <c r="Q100" s="382" t="str">
        <f t="shared" ca="1" si="20"/>
        <v/>
      </c>
      <c r="R100" s="382" t="str">
        <f t="shared" ca="1" si="24"/>
        <v/>
      </c>
      <c r="S100" s="382" t="str">
        <f t="shared" ca="1" si="24"/>
        <v/>
      </c>
      <c r="T100" s="382" t="str">
        <f t="shared" ca="1" si="24"/>
        <v/>
      </c>
      <c r="U100" s="382" t="str">
        <f t="shared" ca="1" si="24"/>
        <v/>
      </c>
      <c r="V100" s="382" t="str">
        <f t="shared" ca="1" si="24"/>
        <v/>
      </c>
      <c r="W100" s="382" t="str">
        <f t="shared" ca="1" si="24"/>
        <v/>
      </c>
      <c r="X100" s="382" t="str">
        <f t="shared" ca="1" si="24"/>
        <v/>
      </c>
      <c r="Y100" s="382" t="str">
        <f t="shared" ca="1" si="24"/>
        <v/>
      </c>
      <c r="Z100" s="382" t="str">
        <f t="shared" ca="1" si="24"/>
        <v/>
      </c>
      <c r="AA100" s="382" t="str">
        <f t="shared" ca="1" si="24"/>
        <v/>
      </c>
      <c r="AB100" s="382" t="str">
        <f t="shared" ca="1" si="24"/>
        <v/>
      </c>
      <c r="AC100" s="382" t="str">
        <f t="shared" ca="1" si="24"/>
        <v/>
      </c>
      <c r="AD100" s="382" t="str">
        <f t="shared" ca="1" si="24"/>
        <v/>
      </c>
      <c r="AE100" s="382" t="str">
        <f t="shared" ca="1" si="24"/>
        <v/>
      </c>
      <c r="AF100" s="382" t="str">
        <f t="shared" ca="1" si="24"/>
        <v/>
      </c>
      <c r="AG100" s="382" t="str">
        <f t="shared" ca="1" si="24"/>
        <v/>
      </c>
      <c r="AH100" s="382" t="str">
        <f t="shared" ca="1" si="24"/>
        <v/>
      </c>
      <c r="AI100" s="382" t="str">
        <f t="shared" ca="1" si="24"/>
        <v/>
      </c>
      <c r="AJ100" s="382" t="str">
        <f t="shared" ca="1" si="24"/>
        <v/>
      </c>
      <c r="AK100" s="382" t="str">
        <f t="shared" ca="1" si="24"/>
        <v/>
      </c>
      <c r="AL100" s="382" t="str">
        <f t="shared" ca="1" si="24"/>
        <v/>
      </c>
      <c r="AM100" s="382" t="str">
        <f t="shared" ca="1" si="24"/>
        <v/>
      </c>
      <c r="AN100" s="382" t="str">
        <f t="shared" ca="1" si="24"/>
        <v/>
      </c>
      <c r="AO100" s="382" t="str">
        <f t="shared" ca="1" si="24"/>
        <v/>
      </c>
      <c r="AP100" s="382" t="str">
        <f t="shared" ca="1" si="24"/>
        <v/>
      </c>
      <c r="AQ100" s="382" t="str">
        <f t="shared" ca="1" si="24"/>
        <v/>
      </c>
      <c r="AR100" s="382" t="str">
        <f t="shared" ca="1" si="24"/>
        <v/>
      </c>
      <c r="AS100" s="382" t="str">
        <f t="shared" ca="1" si="24"/>
        <v/>
      </c>
      <c r="AT100" s="382" t="str">
        <f t="shared" ca="1" si="24"/>
        <v/>
      </c>
      <c r="AU100" s="382">
        <f t="shared" ca="1" si="24"/>
        <v>0</v>
      </c>
      <c r="AV100" s="382">
        <f t="shared" ca="1" si="24"/>
        <v>0</v>
      </c>
      <c r="AW100" s="382">
        <f t="shared" ca="1" si="24"/>
        <v>0</v>
      </c>
      <c r="AX100" s="382">
        <f t="shared" ca="1" si="24"/>
        <v>0</v>
      </c>
      <c r="AY100" s="382">
        <f t="shared" ca="1" si="24"/>
        <v>0</v>
      </c>
      <c r="AZ100" s="382">
        <f t="shared" ca="1" si="24"/>
        <v>0</v>
      </c>
      <c r="BA100" s="382">
        <f t="shared" ca="1" si="24"/>
        <v>6115</v>
      </c>
      <c r="BB100" s="382">
        <f t="shared" ca="1" si="24"/>
        <v>5825</v>
      </c>
      <c r="BC100" s="382">
        <f t="shared" ca="1" si="24"/>
        <v>5771</v>
      </c>
      <c r="BD100" s="382">
        <f t="shared" ca="1" si="24"/>
        <v>0</v>
      </c>
      <c r="BE100" s="382">
        <f t="shared" ca="1" si="24"/>
        <v>0</v>
      </c>
      <c r="BF100" s="382">
        <f t="shared" ca="1" si="24"/>
        <v>0</v>
      </c>
      <c r="BG100" s="382">
        <f t="shared" ca="1" si="24"/>
        <v>0</v>
      </c>
      <c r="BH100" s="382">
        <f t="shared" ca="1" si="24"/>
        <v>0</v>
      </c>
      <c r="BI100" s="382">
        <f t="shared" ca="1" si="24"/>
        <v>0</v>
      </c>
    </row>
    <row r="101" spans="1:61" outlineLevel="1" x14ac:dyDescent="0.15">
      <c r="A101" s="392">
        <v>47</v>
      </c>
      <c r="B101" s="382" t="str">
        <f t="shared" ca="1" si="20"/>
        <v/>
      </c>
      <c r="C101" s="382" t="str">
        <f t="shared" ca="1" si="20"/>
        <v/>
      </c>
      <c r="D101" s="382" t="str">
        <f t="shared" ca="1" si="20"/>
        <v/>
      </c>
      <c r="E101" s="382" t="str">
        <f t="shared" ca="1" si="20"/>
        <v/>
      </c>
      <c r="F101" s="382" t="str">
        <f t="shared" ca="1" si="20"/>
        <v/>
      </c>
      <c r="G101" s="382" t="str">
        <f t="shared" ca="1" si="20"/>
        <v/>
      </c>
      <c r="H101" s="382" t="str">
        <f t="shared" ca="1" si="20"/>
        <v/>
      </c>
      <c r="I101" s="382" t="str">
        <f t="shared" ca="1" si="20"/>
        <v/>
      </c>
      <c r="J101" s="382" t="str">
        <f t="shared" ca="1" si="20"/>
        <v/>
      </c>
      <c r="K101" s="382" t="str">
        <f t="shared" ca="1" si="20"/>
        <v/>
      </c>
      <c r="L101" s="382" t="str">
        <f t="shared" ca="1" si="20"/>
        <v/>
      </c>
      <c r="M101" s="382" t="str">
        <f t="shared" ca="1" si="20"/>
        <v/>
      </c>
      <c r="N101" s="382" t="str">
        <f t="shared" ca="1" si="20"/>
        <v/>
      </c>
      <c r="O101" s="382" t="str">
        <f t="shared" ca="1" si="20"/>
        <v/>
      </c>
      <c r="P101" s="382" t="str">
        <f t="shared" ca="1" si="20"/>
        <v/>
      </c>
      <c r="Q101" s="382" t="str">
        <f t="shared" ca="1" si="20"/>
        <v/>
      </c>
      <c r="R101" s="382" t="str">
        <f t="shared" ca="1" si="24"/>
        <v/>
      </c>
      <c r="S101" s="382" t="str">
        <f t="shared" ca="1" si="24"/>
        <v/>
      </c>
      <c r="T101" s="382" t="str">
        <f t="shared" ca="1" si="24"/>
        <v/>
      </c>
      <c r="U101" s="382" t="str">
        <f t="shared" ca="1" si="24"/>
        <v/>
      </c>
      <c r="V101" s="382" t="str">
        <f t="shared" ca="1" si="24"/>
        <v/>
      </c>
      <c r="W101" s="382" t="str">
        <f t="shared" ca="1" si="24"/>
        <v/>
      </c>
      <c r="X101" s="382" t="str">
        <f t="shared" ca="1" si="24"/>
        <v/>
      </c>
      <c r="Y101" s="382" t="str">
        <f t="shared" ca="1" si="24"/>
        <v/>
      </c>
      <c r="Z101" s="382" t="str">
        <f t="shared" ca="1" si="24"/>
        <v/>
      </c>
      <c r="AA101" s="382" t="str">
        <f t="shared" ca="1" si="24"/>
        <v/>
      </c>
      <c r="AB101" s="382" t="str">
        <f t="shared" ca="1" si="24"/>
        <v/>
      </c>
      <c r="AC101" s="382" t="str">
        <f t="shared" ca="1" si="24"/>
        <v/>
      </c>
      <c r="AD101" s="382" t="str">
        <f t="shared" ca="1" si="24"/>
        <v/>
      </c>
      <c r="AE101" s="382" t="str">
        <f t="shared" ca="1" si="24"/>
        <v/>
      </c>
      <c r="AF101" s="382" t="str">
        <f t="shared" ca="1" si="24"/>
        <v/>
      </c>
      <c r="AG101" s="382" t="str">
        <f t="shared" ca="1" si="24"/>
        <v/>
      </c>
      <c r="AH101" s="382" t="str">
        <f t="shared" ca="1" si="24"/>
        <v/>
      </c>
      <c r="AI101" s="382" t="str">
        <f t="shared" ca="1" si="24"/>
        <v/>
      </c>
      <c r="AJ101" s="382" t="str">
        <f t="shared" ca="1" si="24"/>
        <v/>
      </c>
      <c r="AK101" s="382" t="str">
        <f t="shared" ca="1" si="24"/>
        <v/>
      </c>
      <c r="AL101" s="382" t="str">
        <f t="shared" ca="1" si="24"/>
        <v/>
      </c>
      <c r="AM101" s="382" t="str">
        <f t="shared" ca="1" si="24"/>
        <v/>
      </c>
      <c r="AN101" s="382" t="str">
        <f t="shared" ca="1" si="24"/>
        <v/>
      </c>
      <c r="AO101" s="382" t="str">
        <f t="shared" ca="1" si="24"/>
        <v/>
      </c>
      <c r="AP101" s="382" t="str">
        <f t="shared" ca="1" si="24"/>
        <v/>
      </c>
      <c r="AQ101" s="382" t="str">
        <f t="shared" ca="1" si="24"/>
        <v/>
      </c>
      <c r="AR101" s="382" t="str">
        <f t="shared" ca="1" si="24"/>
        <v/>
      </c>
      <c r="AS101" s="382" t="str">
        <f t="shared" ca="1" si="24"/>
        <v/>
      </c>
      <c r="AT101" s="382" t="str">
        <f t="shared" ca="1" si="24"/>
        <v/>
      </c>
      <c r="AU101" s="382" t="str">
        <f t="shared" ca="1" si="24"/>
        <v/>
      </c>
      <c r="AV101" s="382">
        <f t="shared" ca="1" si="24"/>
        <v>0</v>
      </c>
      <c r="AW101" s="382">
        <f t="shared" ca="1" si="24"/>
        <v>0</v>
      </c>
      <c r="AX101" s="382">
        <f t="shared" ca="1" si="24"/>
        <v>0</v>
      </c>
      <c r="AY101" s="382">
        <f t="shared" ca="1" si="24"/>
        <v>0</v>
      </c>
      <c r="AZ101" s="382">
        <f t="shared" ca="1" si="24"/>
        <v>0</v>
      </c>
      <c r="BA101" s="382">
        <f t="shared" ca="1" si="24"/>
        <v>0</v>
      </c>
      <c r="BB101" s="382">
        <f t="shared" ca="1" si="24"/>
        <v>6115</v>
      </c>
      <c r="BC101" s="382">
        <f t="shared" ca="1" si="24"/>
        <v>5825</v>
      </c>
      <c r="BD101" s="382">
        <f t="shared" ca="1" si="24"/>
        <v>5771</v>
      </c>
      <c r="BE101" s="382">
        <f t="shared" ca="1" si="24"/>
        <v>0</v>
      </c>
      <c r="BF101" s="382">
        <f t="shared" ca="1" si="24"/>
        <v>0</v>
      </c>
      <c r="BG101" s="382">
        <f t="shared" ca="1" si="24"/>
        <v>0</v>
      </c>
      <c r="BH101" s="382">
        <f t="shared" ca="1" si="24"/>
        <v>0</v>
      </c>
      <c r="BI101" s="382">
        <f t="shared" ca="1" si="24"/>
        <v>0</v>
      </c>
    </row>
    <row r="102" spans="1:61" outlineLevel="1" x14ac:dyDescent="0.15">
      <c r="A102" s="392">
        <v>48</v>
      </c>
      <c r="B102" s="382" t="str">
        <f t="shared" ca="1" si="20"/>
        <v/>
      </c>
      <c r="C102" s="382" t="str">
        <f t="shared" ca="1" si="20"/>
        <v/>
      </c>
      <c r="D102" s="382" t="str">
        <f t="shared" ca="1" si="20"/>
        <v/>
      </c>
      <c r="E102" s="382" t="str">
        <f t="shared" ca="1" si="20"/>
        <v/>
      </c>
      <c r="F102" s="382" t="str">
        <f t="shared" ca="1" si="20"/>
        <v/>
      </c>
      <c r="G102" s="382" t="str">
        <f t="shared" ca="1" si="20"/>
        <v/>
      </c>
      <c r="H102" s="382" t="str">
        <f t="shared" ca="1" si="20"/>
        <v/>
      </c>
      <c r="I102" s="382" t="str">
        <f t="shared" ca="1" si="20"/>
        <v/>
      </c>
      <c r="J102" s="382" t="str">
        <f t="shared" ca="1" si="20"/>
        <v/>
      </c>
      <c r="K102" s="382" t="str">
        <f t="shared" ca="1" si="20"/>
        <v/>
      </c>
      <c r="L102" s="382" t="str">
        <f t="shared" ca="1" si="20"/>
        <v/>
      </c>
      <c r="M102" s="382" t="str">
        <f t="shared" ca="1" si="20"/>
        <v/>
      </c>
      <c r="N102" s="382" t="str">
        <f t="shared" ca="1" si="20"/>
        <v/>
      </c>
      <c r="O102" s="382" t="str">
        <f t="shared" ca="1" si="20"/>
        <v/>
      </c>
      <c r="P102" s="382" t="str">
        <f t="shared" ca="1" si="20"/>
        <v/>
      </c>
      <c r="Q102" s="382" t="str">
        <f t="shared" ref="Q102:BW108" ca="1" si="25">IF($A102&gt;Q$5,"",OFFSET(Q$54,0,-($A102-1)))</f>
        <v/>
      </c>
      <c r="R102" s="382" t="str">
        <f t="shared" ca="1" si="25"/>
        <v/>
      </c>
      <c r="S102" s="382" t="str">
        <f t="shared" ca="1" si="25"/>
        <v/>
      </c>
      <c r="T102" s="382" t="str">
        <f t="shared" ca="1" si="25"/>
        <v/>
      </c>
      <c r="U102" s="382" t="str">
        <f t="shared" ca="1" si="25"/>
        <v/>
      </c>
      <c r="V102" s="382" t="str">
        <f t="shared" ca="1" si="25"/>
        <v/>
      </c>
      <c r="W102" s="382" t="str">
        <f t="shared" ca="1" si="25"/>
        <v/>
      </c>
      <c r="X102" s="382" t="str">
        <f t="shared" ca="1" si="25"/>
        <v/>
      </c>
      <c r="Y102" s="382" t="str">
        <f t="shared" ca="1" si="25"/>
        <v/>
      </c>
      <c r="Z102" s="382" t="str">
        <f t="shared" ca="1" si="25"/>
        <v/>
      </c>
      <c r="AA102" s="382" t="str">
        <f t="shared" ca="1" si="25"/>
        <v/>
      </c>
      <c r="AB102" s="382" t="str">
        <f t="shared" ca="1" si="25"/>
        <v/>
      </c>
      <c r="AC102" s="382" t="str">
        <f t="shared" ca="1" si="25"/>
        <v/>
      </c>
      <c r="AD102" s="382" t="str">
        <f t="shared" ca="1" si="25"/>
        <v/>
      </c>
      <c r="AE102" s="382" t="str">
        <f t="shared" ca="1" si="25"/>
        <v/>
      </c>
      <c r="AF102" s="382" t="str">
        <f t="shared" ca="1" si="25"/>
        <v/>
      </c>
      <c r="AG102" s="382" t="str">
        <f t="shared" ca="1" si="25"/>
        <v/>
      </c>
      <c r="AH102" s="382" t="str">
        <f t="shared" ca="1" si="25"/>
        <v/>
      </c>
      <c r="AI102" s="382" t="str">
        <f t="shared" ca="1" si="25"/>
        <v/>
      </c>
      <c r="AJ102" s="382" t="str">
        <f t="shared" ca="1" si="25"/>
        <v/>
      </c>
      <c r="AK102" s="382" t="str">
        <f t="shared" ca="1" si="25"/>
        <v/>
      </c>
      <c r="AL102" s="382" t="str">
        <f t="shared" ca="1" si="25"/>
        <v/>
      </c>
      <c r="AM102" s="382" t="str">
        <f t="shared" ca="1" si="25"/>
        <v/>
      </c>
      <c r="AN102" s="382" t="str">
        <f t="shared" ca="1" si="25"/>
        <v/>
      </c>
      <c r="AO102" s="382" t="str">
        <f t="shared" ca="1" si="25"/>
        <v/>
      </c>
      <c r="AP102" s="382" t="str">
        <f t="shared" ca="1" si="25"/>
        <v/>
      </c>
      <c r="AQ102" s="382" t="str">
        <f t="shared" ca="1" si="25"/>
        <v/>
      </c>
      <c r="AR102" s="382" t="str">
        <f t="shared" ca="1" si="25"/>
        <v/>
      </c>
      <c r="AS102" s="382" t="str">
        <f t="shared" ca="1" si="25"/>
        <v/>
      </c>
      <c r="AT102" s="382" t="str">
        <f t="shared" ca="1" si="25"/>
        <v/>
      </c>
      <c r="AU102" s="382" t="str">
        <f t="shared" ca="1" si="25"/>
        <v/>
      </c>
      <c r="AV102" s="382" t="str">
        <f t="shared" ca="1" si="25"/>
        <v/>
      </c>
      <c r="AW102" s="382">
        <f t="shared" ca="1" si="25"/>
        <v>0</v>
      </c>
      <c r="AX102" s="382">
        <f t="shared" ca="1" si="24"/>
        <v>0</v>
      </c>
      <c r="AY102" s="382">
        <f t="shared" ca="1" si="24"/>
        <v>0</v>
      </c>
      <c r="AZ102" s="382">
        <f t="shared" ca="1" si="24"/>
        <v>0</v>
      </c>
      <c r="BA102" s="382">
        <f t="shared" ca="1" si="24"/>
        <v>0</v>
      </c>
      <c r="BB102" s="382">
        <f t="shared" ca="1" si="24"/>
        <v>0</v>
      </c>
      <c r="BC102" s="382">
        <f t="shared" ca="1" si="24"/>
        <v>6115</v>
      </c>
      <c r="BD102" s="382">
        <f t="shared" ca="1" si="24"/>
        <v>5825</v>
      </c>
      <c r="BE102" s="382">
        <f t="shared" ca="1" si="24"/>
        <v>5771</v>
      </c>
      <c r="BF102" s="382">
        <f t="shared" ca="1" si="24"/>
        <v>0</v>
      </c>
      <c r="BG102" s="382">
        <f t="shared" ca="1" si="24"/>
        <v>0</v>
      </c>
      <c r="BH102" s="382">
        <f t="shared" ca="1" si="24"/>
        <v>0</v>
      </c>
      <c r="BI102" s="382">
        <f t="shared" ca="1" si="24"/>
        <v>0</v>
      </c>
    </row>
    <row r="103" spans="1:61" outlineLevel="1" x14ac:dyDescent="0.15">
      <c r="A103" s="392">
        <v>49</v>
      </c>
      <c r="B103" s="382" t="str">
        <f t="shared" ref="B103:Q130" ca="1" si="26">IF($A103&gt;B$5,"",OFFSET(B$54,0,-($A103-1)))</f>
        <v/>
      </c>
      <c r="C103" s="382" t="str">
        <f t="shared" ca="1" si="26"/>
        <v/>
      </c>
      <c r="D103" s="382" t="str">
        <f t="shared" ca="1" si="26"/>
        <v/>
      </c>
      <c r="E103" s="382" t="str">
        <f t="shared" ca="1" si="26"/>
        <v/>
      </c>
      <c r="F103" s="382" t="str">
        <f t="shared" ca="1" si="26"/>
        <v/>
      </c>
      <c r="G103" s="382" t="str">
        <f t="shared" ca="1" si="26"/>
        <v/>
      </c>
      <c r="H103" s="382" t="str">
        <f t="shared" ca="1" si="26"/>
        <v/>
      </c>
      <c r="I103" s="382" t="str">
        <f t="shared" ca="1" si="26"/>
        <v/>
      </c>
      <c r="J103" s="382" t="str">
        <f t="shared" ca="1" si="26"/>
        <v/>
      </c>
      <c r="K103" s="382" t="str">
        <f t="shared" ca="1" si="26"/>
        <v/>
      </c>
      <c r="L103" s="382" t="str">
        <f t="shared" ca="1" si="26"/>
        <v/>
      </c>
      <c r="M103" s="382" t="str">
        <f t="shared" ca="1" si="26"/>
        <v/>
      </c>
      <c r="N103" s="382" t="str">
        <f t="shared" ca="1" si="26"/>
        <v/>
      </c>
      <c r="O103" s="382" t="str">
        <f t="shared" ca="1" si="26"/>
        <v/>
      </c>
      <c r="P103" s="382" t="str">
        <f t="shared" ca="1" si="26"/>
        <v/>
      </c>
      <c r="Q103" s="382" t="str">
        <f t="shared" ca="1" si="26"/>
        <v/>
      </c>
      <c r="R103" s="382" t="str">
        <f t="shared" ca="1" si="25"/>
        <v/>
      </c>
      <c r="S103" s="382" t="str">
        <f t="shared" ca="1" si="25"/>
        <v/>
      </c>
      <c r="T103" s="382" t="str">
        <f t="shared" ca="1" si="25"/>
        <v/>
      </c>
      <c r="U103" s="382" t="str">
        <f t="shared" ca="1" si="25"/>
        <v/>
      </c>
      <c r="V103" s="382" t="str">
        <f t="shared" ca="1" si="25"/>
        <v/>
      </c>
      <c r="W103" s="382" t="str">
        <f t="shared" ca="1" si="25"/>
        <v/>
      </c>
      <c r="X103" s="382" t="str">
        <f t="shared" ca="1" si="25"/>
        <v/>
      </c>
      <c r="Y103" s="382" t="str">
        <f t="shared" ca="1" si="25"/>
        <v/>
      </c>
      <c r="Z103" s="382" t="str">
        <f t="shared" ca="1" si="25"/>
        <v/>
      </c>
      <c r="AA103" s="382" t="str">
        <f t="shared" ca="1" si="25"/>
        <v/>
      </c>
      <c r="AB103" s="382" t="str">
        <f t="shared" ca="1" si="25"/>
        <v/>
      </c>
      <c r="AC103" s="382" t="str">
        <f t="shared" ca="1" si="25"/>
        <v/>
      </c>
      <c r="AD103" s="382" t="str">
        <f t="shared" ca="1" si="25"/>
        <v/>
      </c>
      <c r="AE103" s="382" t="str">
        <f t="shared" ca="1" si="25"/>
        <v/>
      </c>
      <c r="AF103" s="382" t="str">
        <f t="shared" ca="1" si="25"/>
        <v/>
      </c>
      <c r="AG103" s="382" t="str">
        <f t="shared" ca="1" si="25"/>
        <v/>
      </c>
      <c r="AH103" s="382" t="str">
        <f t="shared" ca="1" si="25"/>
        <v/>
      </c>
      <c r="AI103" s="382" t="str">
        <f t="shared" ca="1" si="25"/>
        <v/>
      </c>
      <c r="AJ103" s="382" t="str">
        <f t="shared" ca="1" si="25"/>
        <v/>
      </c>
      <c r="AK103" s="382" t="str">
        <f t="shared" ca="1" si="25"/>
        <v/>
      </c>
      <c r="AL103" s="382" t="str">
        <f t="shared" ca="1" si="25"/>
        <v/>
      </c>
      <c r="AM103" s="382" t="str">
        <f t="shared" ca="1" si="25"/>
        <v/>
      </c>
      <c r="AN103" s="382" t="str">
        <f t="shared" ca="1" si="25"/>
        <v/>
      </c>
      <c r="AO103" s="382" t="str">
        <f t="shared" ca="1" si="25"/>
        <v/>
      </c>
      <c r="AP103" s="382" t="str">
        <f t="shared" ca="1" si="25"/>
        <v/>
      </c>
      <c r="AQ103" s="382" t="str">
        <f t="shared" ca="1" si="25"/>
        <v/>
      </c>
      <c r="AR103" s="382" t="str">
        <f t="shared" ca="1" si="25"/>
        <v/>
      </c>
      <c r="AS103" s="382" t="str">
        <f t="shared" ca="1" si="25"/>
        <v/>
      </c>
      <c r="AT103" s="382" t="str">
        <f t="shared" ca="1" si="25"/>
        <v/>
      </c>
      <c r="AU103" s="382" t="str">
        <f t="shared" ca="1" si="25"/>
        <v/>
      </c>
      <c r="AV103" s="382" t="str">
        <f t="shared" ca="1" si="25"/>
        <v/>
      </c>
      <c r="AW103" s="382" t="str">
        <f t="shared" ca="1" si="25"/>
        <v/>
      </c>
      <c r="AX103" s="382">
        <f t="shared" ca="1" si="25"/>
        <v>0</v>
      </c>
      <c r="AY103" s="382">
        <f t="shared" ca="1" si="25"/>
        <v>0</v>
      </c>
      <c r="AZ103" s="382">
        <f t="shared" ca="1" si="25"/>
        <v>0</v>
      </c>
      <c r="BA103" s="382">
        <f t="shared" ca="1" si="25"/>
        <v>0</v>
      </c>
      <c r="BB103" s="382">
        <f t="shared" ca="1" si="25"/>
        <v>0</v>
      </c>
      <c r="BC103" s="382">
        <f t="shared" ca="1" si="25"/>
        <v>0</v>
      </c>
      <c r="BD103" s="382">
        <f t="shared" ca="1" si="25"/>
        <v>6115</v>
      </c>
      <c r="BE103" s="382">
        <f t="shared" ca="1" si="25"/>
        <v>5825</v>
      </c>
      <c r="BF103" s="382">
        <f t="shared" ca="1" si="25"/>
        <v>5771</v>
      </c>
      <c r="BG103" s="382">
        <f t="shared" ca="1" si="25"/>
        <v>0</v>
      </c>
      <c r="BH103" s="382">
        <f t="shared" ca="1" si="25"/>
        <v>0</v>
      </c>
      <c r="BI103" s="382">
        <f t="shared" ca="1" si="25"/>
        <v>0</v>
      </c>
    </row>
    <row r="104" spans="1:61" outlineLevel="1" x14ac:dyDescent="0.15">
      <c r="A104" s="392">
        <v>50</v>
      </c>
      <c r="B104" s="382" t="str">
        <f t="shared" ca="1" si="26"/>
        <v/>
      </c>
      <c r="C104" s="382" t="str">
        <f t="shared" ca="1" si="26"/>
        <v/>
      </c>
      <c r="D104" s="382" t="str">
        <f t="shared" ca="1" si="26"/>
        <v/>
      </c>
      <c r="E104" s="382" t="str">
        <f t="shared" ca="1" si="26"/>
        <v/>
      </c>
      <c r="F104" s="382" t="str">
        <f t="shared" ca="1" si="26"/>
        <v/>
      </c>
      <c r="G104" s="382" t="str">
        <f t="shared" ca="1" si="26"/>
        <v/>
      </c>
      <c r="H104" s="382" t="str">
        <f t="shared" ca="1" si="26"/>
        <v/>
      </c>
      <c r="I104" s="382" t="str">
        <f t="shared" ca="1" si="26"/>
        <v/>
      </c>
      <c r="J104" s="382" t="str">
        <f t="shared" ca="1" si="26"/>
        <v/>
      </c>
      <c r="K104" s="382" t="str">
        <f t="shared" ca="1" si="26"/>
        <v/>
      </c>
      <c r="L104" s="382" t="str">
        <f t="shared" ca="1" si="26"/>
        <v/>
      </c>
      <c r="M104" s="382" t="str">
        <f t="shared" ca="1" si="26"/>
        <v/>
      </c>
      <c r="N104" s="382" t="str">
        <f t="shared" ca="1" si="26"/>
        <v/>
      </c>
      <c r="O104" s="382" t="str">
        <f t="shared" ca="1" si="26"/>
        <v/>
      </c>
      <c r="P104" s="382" t="str">
        <f t="shared" ca="1" si="26"/>
        <v/>
      </c>
      <c r="Q104" s="382" t="str">
        <f t="shared" ca="1" si="26"/>
        <v/>
      </c>
      <c r="R104" s="382" t="str">
        <f t="shared" ca="1" si="25"/>
        <v/>
      </c>
      <c r="S104" s="382" t="str">
        <f t="shared" ca="1" si="25"/>
        <v/>
      </c>
      <c r="T104" s="382" t="str">
        <f t="shared" ca="1" si="25"/>
        <v/>
      </c>
      <c r="U104" s="382" t="str">
        <f t="shared" ca="1" si="25"/>
        <v/>
      </c>
      <c r="V104" s="382" t="str">
        <f t="shared" ca="1" si="25"/>
        <v/>
      </c>
      <c r="W104" s="382" t="str">
        <f t="shared" ca="1" si="25"/>
        <v/>
      </c>
      <c r="X104" s="382" t="str">
        <f t="shared" ca="1" si="25"/>
        <v/>
      </c>
      <c r="Y104" s="382" t="str">
        <f t="shared" ca="1" si="25"/>
        <v/>
      </c>
      <c r="Z104" s="382" t="str">
        <f t="shared" ca="1" si="25"/>
        <v/>
      </c>
      <c r="AA104" s="382" t="str">
        <f t="shared" ca="1" si="25"/>
        <v/>
      </c>
      <c r="AB104" s="382" t="str">
        <f t="shared" ca="1" si="25"/>
        <v/>
      </c>
      <c r="AC104" s="382" t="str">
        <f t="shared" ca="1" si="25"/>
        <v/>
      </c>
      <c r="AD104" s="382" t="str">
        <f t="shared" ca="1" si="25"/>
        <v/>
      </c>
      <c r="AE104" s="382" t="str">
        <f t="shared" ca="1" si="25"/>
        <v/>
      </c>
      <c r="AF104" s="382" t="str">
        <f t="shared" ca="1" si="25"/>
        <v/>
      </c>
      <c r="AG104" s="382" t="str">
        <f t="shared" ca="1" si="25"/>
        <v/>
      </c>
      <c r="AH104" s="382" t="str">
        <f t="shared" ca="1" si="25"/>
        <v/>
      </c>
      <c r="AI104" s="382" t="str">
        <f t="shared" ca="1" si="25"/>
        <v/>
      </c>
      <c r="AJ104" s="382" t="str">
        <f t="shared" ca="1" si="25"/>
        <v/>
      </c>
      <c r="AK104" s="382" t="str">
        <f t="shared" ca="1" si="25"/>
        <v/>
      </c>
      <c r="AL104" s="382" t="str">
        <f t="shared" ca="1" si="25"/>
        <v/>
      </c>
      <c r="AM104" s="382" t="str">
        <f t="shared" ca="1" si="25"/>
        <v/>
      </c>
      <c r="AN104" s="382" t="str">
        <f t="shared" ca="1" si="25"/>
        <v/>
      </c>
      <c r="AO104" s="382" t="str">
        <f t="shared" ca="1" si="25"/>
        <v/>
      </c>
      <c r="AP104" s="382" t="str">
        <f t="shared" ca="1" si="25"/>
        <v/>
      </c>
      <c r="AQ104" s="382" t="str">
        <f t="shared" ca="1" si="25"/>
        <v/>
      </c>
      <c r="AR104" s="382" t="str">
        <f t="shared" ca="1" si="25"/>
        <v/>
      </c>
      <c r="AS104" s="382" t="str">
        <f t="shared" ca="1" si="25"/>
        <v/>
      </c>
      <c r="AT104" s="382" t="str">
        <f t="shared" ca="1" si="25"/>
        <v/>
      </c>
      <c r="AU104" s="382" t="str">
        <f t="shared" ca="1" si="25"/>
        <v/>
      </c>
      <c r="AV104" s="382" t="str">
        <f t="shared" ca="1" si="25"/>
        <v/>
      </c>
      <c r="AW104" s="382" t="str">
        <f t="shared" ca="1" si="25"/>
        <v/>
      </c>
      <c r="AX104" s="382" t="str">
        <f t="shared" ca="1" si="25"/>
        <v/>
      </c>
      <c r="AY104" s="382">
        <f t="shared" ca="1" si="25"/>
        <v>0</v>
      </c>
      <c r="AZ104" s="382">
        <f t="shared" ca="1" si="25"/>
        <v>0</v>
      </c>
      <c r="BA104" s="382">
        <f t="shared" ca="1" si="25"/>
        <v>0</v>
      </c>
      <c r="BB104" s="382">
        <f t="shared" ca="1" si="25"/>
        <v>0</v>
      </c>
      <c r="BC104" s="382">
        <f t="shared" ca="1" si="25"/>
        <v>0</v>
      </c>
      <c r="BD104" s="382">
        <f t="shared" ca="1" si="25"/>
        <v>0</v>
      </c>
      <c r="BE104" s="382">
        <f t="shared" ca="1" si="25"/>
        <v>6115</v>
      </c>
      <c r="BF104" s="382">
        <f t="shared" ca="1" si="25"/>
        <v>5825</v>
      </c>
      <c r="BG104" s="382">
        <f t="shared" ca="1" si="25"/>
        <v>5771</v>
      </c>
      <c r="BH104" s="382">
        <f t="shared" ca="1" si="25"/>
        <v>0</v>
      </c>
      <c r="BI104" s="382">
        <f t="shared" ca="1" si="25"/>
        <v>0</v>
      </c>
    </row>
    <row r="105" spans="1:61" outlineLevel="1" x14ac:dyDescent="0.15">
      <c r="A105" s="392">
        <v>51</v>
      </c>
      <c r="B105" s="382" t="str">
        <f t="shared" ca="1" si="26"/>
        <v/>
      </c>
      <c r="C105" s="382" t="str">
        <f t="shared" ca="1" si="26"/>
        <v/>
      </c>
      <c r="D105" s="382" t="str">
        <f t="shared" ca="1" si="26"/>
        <v/>
      </c>
      <c r="E105" s="382" t="str">
        <f t="shared" ca="1" si="26"/>
        <v/>
      </c>
      <c r="F105" s="382" t="str">
        <f t="shared" ca="1" si="26"/>
        <v/>
      </c>
      <c r="G105" s="382" t="str">
        <f t="shared" ca="1" si="26"/>
        <v/>
      </c>
      <c r="H105" s="382" t="str">
        <f t="shared" ca="1" si="26"/>
        <v/>
      </c>
      <c r="I105" s="382" t="str">
        <f t="shared" ca="1" si="26"/>
        <v/>
      </c>
      <c r="J105" s="382" t="str">
        <f t="shared" ca="1" si="26"/>
        <v/>
      </c>
      <c r="K105" s="382" t="str">
        <f t="shared" ca="1" si="26"/>
        <v/>
      </c>
      <c r="L105" s="382" t="str">
        <f t="shared" ca="1" si="26"/>
        <v/>
      </c>
      <c r="M105" s="382" t="str">
        <f t="shared" ca="1" si="26"/>
        <v/>
      </c>
      <c r="N105" s="382" t="str">
        <f t="shared" ca="1" si="26"/>
        <v/>
      </c>
      <c r="O105" s="382" t="str">
        <f t="shared" ca="1" si="26"/>
        <v/>
      </c>
      <c r="P105" s="382" t="str">
        <f t="shared" ca="1" si="26"/>
        <v/>
      </c>
      <c r="Q105" s="382" t="str">
        <f t="shared" ca="1" si="26"/>
        <v/>
      </c>
      <c r="R105" s="382" t="str">
        <f t="shared" ca="1" si="25"/>
        <v/>
      </c>
      <c r="S105" s="382" t="str">
        <f t="shared" ca="1" si="25"/>
        <v/>
      </c>
      <c r="T105" s="382" t="str">
        <f t="shared" ca="1" si="25"/>
        <v/>
      </c>
      <c r="U105" s="382" t="str">
        <f t="shared" ca="1" si="25"/>
        <v/>
      </c>
      <c r="V105" s="382" t="str">
        <f t="shared" ca="1" si="25"/>
        <v/>
      </c>
      <c r="W105" s="382" t="str">
        <f t="shared" ca="1" si="25"/>
        <v/>
      </c>
      <c r="X105" s="382" t="str">
        <f t="shared" ca="1" si="25"/>
        <v/>
      </c>
      <c r="Y105" s="382" t="str">
        <f t="shared" ca="1" si="25"/>
        <v/>
      </c>
      <c r="Z105" s="382" t="str">
        <f t="shared" ca="1" si="25"/>
        <v/>
      </c>
      <c r="AA105" s="382" t="str">
        <f t="shared" ca="1" si="25"/>
        <v/>
      </c>
      <c r="AB105" s="382" t="str">
        <f t="shared" ca="1" si="25"/>
        <v/>
      </c>
      <c r="AC105" s="382" t="str">
        <f t="shared" ca="1" si="25"/>
        <v/>
      </c>
      <c r="AD105" s="382" t="str">
        <f t="shared" ca="1" si="25"/>
        <v/>
      </c>
      <c r="AE105" s="382" t="str">
        <f t="shared" ca="1" si="25"/>
        <v/>
      </c>
      <c r="AF105" s="382" t="str">
        <f t="shared" ca="1" si="25"/>
        <v/>
      </c>
      <c r="AG105" s="382" t="str">
        <f t="shared" ca="1" si="25"/>
        <v/>
      </c>
      <c r="AH105" s="382" t="str">
        <f t="shared" ca="1" si="25"/>
        <v/>
      </c>
      <c r="AI105" s="382" t="str">
        <f t="shared" ca="1" si="25"/>
        <v/>
      </c>
      <c r="AJ105" s="382" t="str">
        <f t="shared" ca="1" si="25"/>
        <v/>
      </c>
      <c r="AK105" s="382" t="str">
        <f t="shared" ca="1" si="25"/>
        <v/>
      </c>
      <c r="AL105" s="382" t="str">
        <f t="shared" ca="1" si="25"/>
        <v/>
      </c>
      <c r="AM105" s="382" t="str">
        <f t="shared" ca="1" si="25"/>
        <v/>
      </c>
      <c r="AN105" s="382" t="str">
        <f t="shared" ca="1" si="25"/>
        <v/>
      </c>
      <c r="AO105" s="382" t="str">
        <f t="shared" ca="1" si="25"/>
        <v/>
      </c>
      <c r="AP105" s="382" t="str">
        <f t="shared" ca="1" si="25"/>
        <v/>
      </c>
      <c r="AQ105" s="382" t="str">
        <f t="shared" ca="1" si="25"/>
        <v/>
      </c>
      <c r="AR105" s="382" t="str">
        <f t="shared" ca="1" si="25"/>
        <v/>
      </c>
      <c r="AS105" s="382" t="str">
        <f t="shared" ca="1" si="25"/>
        <v/>
      </c>
      <c r="AT105" s="382" t="str">
        <f t="shared" ca="1" si="25"/>
        <v/>
      </c>
      <c r="AU105" s="382" t="str">
        <f t="shared" ca="1" si="25"/>
        <v/>
      </c>
      <c r="AV105" s="382" t="str">
        <f t="shared" ca="1" si="25"/>
        <v/>
      </c>
      <c r="AW105" s="382" t="str">
        <f t="shared" ca="1" si="25"/>
        <v/>
      </c>
      <c r="AX105" s="382" t="str">
        <f t="shared" ca="1" si="25"/>
        <v/>
      </c>
      <c r="AY105" s="382" t="str">
        <f t="shared" ca="1" si="25"/>
        <v/>
      </c>
      <c r="AZ105" s="382">
        <f t="shared" ca="1" si="25"/>
        <v>0</v>
      </c>
      <c r="BA105" s="382">
        <f t="shared" ca="1" si="25"/>
        <v>0</v>
      </c>
      <c r="BB105" s="382">
        <f t="shared" ca="1" si="25"/>
        <v>0</v>
      </c>
      <c r="BC105" s="382">
        <f t="shared" ca="1" si="25"/>
        <v>0</v>
      </c>
      <c r="BD105" s="382">
        <f t="shared" ca="1" si="25"/>
        <v>0</v>
      </c>
      <c r="BE105" s="382">
        <f t="shared" ca="1" si="25"/>
        <v>0</v>
      </c>
      <c r="BF105" s="382">
        <f t="shared" ca="1" si="25"/>
        <v>6115</v>
      </c>
      <c r="BG105" s="382">
        <f t="shared" ca="1" si="25"/>
        <v>5825</v>
      </c>
      <c r="BH105" s="382">
        <f t="shared" ca="1" si="25"/>
        <v>5771</v>
      </c>
      <c r="BI105" s="382">
        <f t="shared" ca="1" si="25"/>
        <v>0</v>
      </c>
    </row>
    <row r="106" spans="1:61" outlineLevel="1" x14ac:dyDescent="0.15">
      <c r="A106" s="392">
        <v>52</v>
      </c>
      <c r="B106" s="382" t="str">
        <f t="shared" ca="1" si="26"/>
        <v/>
      </c>
      <c r="C106" s="382" t="str">
        <f t="shared" ca="1" si="26"/>
        <v/>
      </c>
      <c r="D106" s="382" t="str">
        <f t="shared" ca="1" si="26"/>
        <v/>
      </c>
      <c r="E106" s="382" t="str">
        <f t="shared" ca="1" si="26"/>
        <v/>
      </c>
      <c r="F106" s="382" t="str">
        <f t="shared" ca="1" si="26"/>
        <v/>
      </c>
      <c r="G106" s="382" t="str">
        <f t="shared" ca="1" si="26"/>
        <v/>
      </c>
      <c r="H106" s="382" t="str">
        <f t="shared" ca="1" si="26"/>
        <v/>
      </c>
      <c r="I106" s="382" t="str">
        <f t="shared" ca="1" si="26"/>
        <v/>
      </c>
      <c r="J106" s="382" t="str">
        <f t="shared" ca="1" si="26"/>
        <v/>
      </c>
      <c r="K106" s="382" t="str">
        <f t="shared" ca="1" si="26"/>
        <v/>
      </c>
      <c r="L106" s="382" t="str">
        <f t="shared" ca="1" si="26"/>
        <v/>
      </c>
      <c r="M106" s="382" t="str">
        <f t="shared" ca="1" si="26"/>
        <v/>
      </c>
      <c r="N106" s="382" t="str">
        <f t="shared" ca="1" si="26"/>
        <v/>
      </c>
      <c r="O106" s="382" t="str">
        <f t="shared" ca="1" si="26"/>
        <v/>
      </c>
      <c r="P106" s="382" t="str">
        <f t="shared" ca="1" si="26"/>
        <v/>
      </c>
      <c r="Q106" s="382" t="str">
        <f t="shared" ca="1" si="26"/>
        <v/>
      </c>
      <c r="R106" s="382" t="str">
        <f t="shared" ca="1" si="25"/>
        <v/>
      </c>
      <c r="S106" s="382" t="str">
        <f t="shared" ca="1" si="25"/>
        <v/>
      </c>
      <c r="T106" s="382" t="str">
        <f t="shared" ca="1" si="25"/>
        <v/>
      </c>
      <c r="U106" s="382" t="str">
        <f t="shared" ca="1" si="25"/>
        <v/>
      </c>
      <c r="V106" s="382" t="str">
        <f t="shared" ca="1" si="25"/>
        <v/>
      </c>
      <c r="W106" s="382" t="str">
        <f t="shared" ca="1" si="25"/>
        <v/>
      </c>
      <c r="X106" s="382" t="str">
        <f t="shared" ca="1" si="25"/>
        <v/>
      </c>
      <c r="Y106" s="382" t="str">
        <f t="shared" ca="1" si="25"/>
        <v/>
      </c>
      <c r="Z106" s="382" t="str">
        <f t="shared" ca="1" si="25"/>
        <v/>
      </c>
      <c r="AA106" s="382" t="str">
        <f t="shared" ca="1" si="25"/>
        <v/>
      </c>
      <c r="AB106" s="382" t="str">
        <f t="shared" ca="1" si="25"/>
        <v/>
      </c>
      <c r="AC106" s="382" t="str">
        <f t="shared" ca="1" si="25"/>
        <v/>
      </c>
      <c r="AD106" s="382" t="str">
        <f t="shared" ca="1" si="25"/>
        <v/>
      </c>
      <c r="AE106" s="382" t="str">
        <f t="shared" ca="1" si="25"/>
        <v/>
      </c>
      <c r="AF106" s="382" t="str">
        <f t="shared" ca="1" si="25"/>
        <v/>
      </c>
      <c r="AG106" s="382" t="str">
        <f t="shared" ca="1" si="25"/>
        <v/>
      </c>
      <c r="AH106" s="382" t="str">
        <f t="shared" ca="1" si="25"/>
        <v/>
      </c>
      <c r="AI106" s="382" t="str">
        <f t="shared" ca="1" si="25"/>
        <v/>
      </c>
      <c r="AJ106" s="382" t="str">
        <f t="shared" ca="1" si="25"/>
        <v/>
      </c>
      <c r="AK106" s="382" t="str">
        <f t="shared" ca="1" si="25"/>
        <v/>
      </c>
      <c r="AL106" s="382" t="str">
        <f t="shared" ca="1" si="25"/>
        <v/>
      </c>
      <c r="AM106" s="382" t="str">
        <f t="shared" ca="1" si="25"/>
        <v/>
      </c>
      <c r="AN106" s="382" t="str">
        <f t="shared" ca="1" si="25"/>
        <v/>
      </c>
      <c r="AO106" s="382" t="str">
        <f t="shared" ca="1" si="25"/>
        <v/>
      </c>
      <c r="AP106" s="382" t="str">
        <f t="shared" ca="1" si="25"/>
        <v/>
      </c>
      <c r="AQ106" s="382" t="str">
        <f t="shared" ca="1" si="25"/>
        <v/>
      </c>
      <c r="AR106" s="382" t="str">
        <f t="shared" ca="1" si="25"/>
        <v/>
      </c>
      <c r="AS106" s="382" t="str">
        <f t="shared" ca="1" si="25"/>
        <v/>
      </c>
      <c r="AT106" s="382" t="str">
        <f t="shared" ca="1" si="25"/>
        <v/>
      </c>
      <c r="AU106" s="382" t="str">
        <f t="shared" ca="1" si="25"/>
        <v/>
      </c>
      <c r="AV106" s="382" t="str">
        <f t="shared" ca="1" si="25"/>
        <v/>
      </c>
      <c r="AW106" s="382" t="str">
        <f t="shared" ca="1" si="25"/>
        <v/>
      </c>
      <c r="AX106" s="382" t="str">
        <f t="shared" ca="1" si="25"/>
        <v/>
      </c>
      <c r="AY106" s="382" t="str">
        <f t="shared" ca="1" si="25"/>
        <v/>
      </c>
      <c r="AZ106" s="382" t="str">
        <f t="shared" ca="1" si="25"/>
        <v/>
      </c>
      <c r="BA106" s="382">
        <f t="shared" ca="1" si="25"/>
        <v>0</v>
      </c>
      <c r="BB106" s="382">
        <f t="shared" ca="1" si="25"/>
        <v>0</v>
      </c>
      <c r="BC106" s="382">
        <f t="shared" ca="1" si="25"/>
        <v>0</v>
      </c>
      <c r="BD106" s="382">
        <f t="shared" ca="1" si="25"/>
        <v>0</v>
      </c>
      <c r="BE106" s="382">
        <f t="shared" ca="1" si="25"/>
        <v>0</v>
      </c>
      <c r="BF106" s="382">
        <f t="shared" ca="1" si="25"/>
        <v>0</v>
      </c>
      <c r="BG106" s="382">
        <f t="shared" ca="1" si="25"/>
        <v>6115</v>
      </c>
      <c r="BH106" s="382">
        <f t="shared" ca="1" si="25"/>
        <v>5825</v>
      </c>
      <c r="BI106" s="382">
        <f t="shared" ca="1" si="25"/>
        <v>5771</v>
      </c>
    </row>
    <row r="107" spans="1:61" outlineLevel="1" x14ac:dyDescent="0.15">
      <c r="A107" s="392">
        <v>53</v>
      </c>
      <c r="B107" s="382" t="str">
        <f t="shared" ca="1" si="26"/>
        <v/>
      </c>
      <c r="C107" s="382" t="str">
        <f t="shared" ca="1" si="26"/>
        <v/>
      </c>
      <c r="D107" s="382" t="str">
        <f t="shared" ca="1" si="26"/>
        <v/>
      </c>
      <c r="E107" s="382" t="str">
        <f t="shared" ca="1" si="26"/>
        <v/>
      </c>
      <c r="F107" s="382" t="str">
        <f t="shared" ca="1" si="26"/>
        <v/>
      </c>
      <c r="G107" s="382" t="str">
        <f t="shared" ca="1" si="26"/>
        <v/>
      </c>
      <c r="H107" s="382" t="str">
        <f t="shared" ca="1" si="26"/>
        <v/>
      </c>
      <c r="I107" s="382" t="str">
        <f t="shared" ca="1" si="26"/>
        <v/>
      </c>
      <c r="J107" s="382" t="str">
        <f t="shared" ca="1" si="26"/>
        <v/>
      </c>
      <c r="K107" s="382" t="str">
        <f t="shared" ca="1" si="26"/>
        <v/>
      </c>
      <c r="L107" s="382" t="str">
        <f t="shared" ca="1" si="26"/>
        <v/>
      </c>
      <c r="M107" s="382" t="str">
        <f t="shared" ca="1" si="26"/>
        <v/>
      </c>
      <c r="N107" s="382" t="str">
        <f t="shared" ca="1" si="26"/>
        <v/>
      </c>
      <c r="O107" s="382" t="str">
        <f t="shared" ca="1" si="26"/>
        <v/>
      </c>
      <c r="P107" s="382" t="str">
        <f t="shared" ca="1" si="26"/>
        <v/>
      </c>
      <c r="Q107" s="382" t="str">
        <f t="shared" ca="1" si="26"/>
        <v/>
      </c>
      <c r="R107" s="382" t="str">
        <f t="shared" ca="1" si="25"/>
        <v/>
      </c>
      <c r="S107" s="382" t="str">
        <f t="shared" ca="1" si="25"/>
        <v/>
      </c>
      <c r="T107" s="382" t="str">
        <f t="shared" ca="1" si="25"/>
        <v/>
      </c>
      <c r="U107" s="382" t="str">
        <f t="shared" ca="1" si="25"/>
        <v/>
      </c>
      <c r="V107" s="382" t="str">
        <f t="shared" ca="1" si="25"/>
        <v/>
      </c>
      <c r="W107" s="382" t="str">
        <f t="shared" ca="1" si="25"/>
        <v/>
      </c>
      <c r="X107" s="382" t="str">
        <f t="shared" ca="1" si="25"/>
        <v/>
      </c>
      <c r="Y107" s="382" t="str">
        <f t="shared" ca="1" si="25"/>
        <v/>
      </c>
      <c r="Z107" s="382" t="str">
        <f t="shared" ca="1" si="25"/>
        <v/>
      </c>
      <c r="AA107" s="382" t="str">
        <f t="shared" ca="1" si="25"/>
        <v/>
      </c>
      <c r="AB107" s="382" t="str">
        <f t="shared" ca="1" si="25"/>
        <v/>
      </c>
      <c r="AC107" s="382" t="str">
        <f t="shared" ca="1" si="25"/>
        <v/>
      </c>
      <c r="AD107" s="382" t="str">
        <f t="shared" ca="1" si="25"/>
        <v/>
      </c>
      <c r="AE107" s="382" t="str">
        <f t="shared" ca="1" si="25"/>
        <v/>
      </c>
      <c r="AF107" s="382" t="str">
        <f t="shared" ca="1" si="25"/>
        <v/>
      </c>
      <c r="AG107" s="382" t="str">
        <f t="shared" ca="1" si="25"/>
        <v/>
      </c>
      <c r="AH107" s="382" t="str">
        <f t="shared" ca="1" si="25"/>
        <v/>
      </c>
      <c r="AI107" s="382" t="str">
        <f t="shared" ca="1" si="25"/>
        <v/>
      </c>
      <c r="AJ107" s="382" t="str">
        <f t="shared" ca="1" si="25"/>
        <v/>
      </c>
      <c r="AK107" s="382" t="str">
        <f t="shared" ca="1" si="25"/>
        <v/>
      </c>
      <c r="AL107" s="382" t="str">
        <f t="shared" ca="1" si="25"/>
        <v/>
      </c>
      <c r="AM107" s="382" t="str">
        <f t="shared" ca="1" si="25"/>
        <v/>
      </c>
      <c r="AN107" s="382" t="str">
        <f t="shared" ca="1" si="25"/>
        <v/>
      </c>
      <c r="AO107" s="382" t="str">
        <f t="shared" ca="1" si="25"/>
        <v/>
      </c>
      <c r="AP107" s="382" t="str">
        <f t="shared" ca="1" si="25"/>
        <v/>
      </c>
      <c r="AQ107" s="382" t="str">
        <f t="shared" ca="1" si="25"/>
        <v/>
      </c>
      <c r="AR107" s="382" t="str">
        <f t="shared" ca="1" si="25"/>
        <v/>
      </c>
      <c r="AS107" s="382" t="str">
        <f t="shared" ca="1" si="25"/>
        <v/>
      </c>
      <c r="AT107" s="382" t="str">
        <f t="shared" ca="1" si="25"/>
        <v/>
      </c>
      <c r="AU107" s="382" t="str">
        <f t="shared" ca="1" si="25"/>
        <v/>
      </c>
      <c r="AV107" s="382" t="str">
        <f t="shared" ca="1" si="25"/>
        <v/>
      </c>
      <c r="AW107" s="382" t="str">
        <f t="shared" ca="1" si="25"/>
        <v/>
      </c>
      <c r="AX107" s="382" t="str">
        <f t="shared" ca="1" si="25"/>
        <v/>
      </c>
      <c r="AY107" s="382" t="str">
        <f t="shared" ca="1" si="25"/>
        <v/>
      </c>
      <c r="AZ107" s="382" t="str">
        <f t="shared" ca="1" si="25"/>
        <v/>
      </c>
      <c r="BA107" s="382" t="str">
        <f t="shared" ca="1" si="25"/>
        <v/>
      </c>
      <c r="BB107" s="382">
        <f t="shared" ca="1" si="25"/>
        <v>0</v>
      </c>
      <c r="BC107" s="382">
        <f t="shared" ca="1" si="25"/>
        <v>0</v>
      </c>
      <c r="BD107" s="382">
        <f t="shared" ca="1" si="25"/>
        <v>0</v>
      </c>
      <c r="BE107" s="382">
        <f t="shared" ca="1" si="25"/>
        <v>0</v>
      </c>
      <c r="BF107" s="382">
        <f t="shared" ca="1" si="25"/>
        <v>0</v>
      </c>
      <c r="BG107" s="382">
        <f t="shared" ca="1" si="25"/>
        <v>0</v>
      </c>
      <c r="BH107" s="382">
        <f t="shared" ca="1" si="25"/>
        <v>6115</v>
      </c>
      <c r="BI107" s="382">
        <f t="shared" ca="1" si="25"/>
        <v>5825</v>
      </c>
    </row>
    <row r="108" spans="1:61" outlineLevel="1" x14ac:dyDescent="0.15">
      <c r="A108" s="392">
        <v>54</v>
      </c>
      <c r="B108" s="382" t="str">
        <f t="shared" ca="1" si="26"/>
        <v/>
      </c>
      <c r="C108" s="382" t="str">
        <f t="shared" ca="1" si="26"/>
        <v/>
      </c>
      <c r="D108" s="382" t="str">
        <f t="shared" ca="1" si="26"/>
        <v/>
      </c>
      <c r="E108" s="382" t="str">
        <f t="shared" ca="1" si="26"/>
        <v/>
      </c>
      <c r="F108" s="382" t="str">
        <f t="shared" ca="1" si="26"/>
        <v/>
      </c>
      <c r="G108" s="382" t="str">
        <f t="shared" ca="1" si="26"/>
        <v/>
      </c>
      <c r="H108" s="382" t="str">
        <f t="shared" ca="1" si="26"/>
        <v/>
      </c>
      <c r="I108" s="382" t="str">
        <f t="shared" ca="1" si="26"/>
        <v/>
      </c>
      <c r="J108" s="382" t="str">
        <f t="shared" ca="1" si="26"/>
        <v/>
      </c>
      <c r="K108" s="382" t="str">
        <f t="shared" ca="1" si="26"/>
        <v/>
      </c>
      <c r="L108" s="382" t="str">
        <f t="shared" ca="1" si="26"/>
        <v/>
      </c>
      <c r="M108" s="382" t="str">
        <f t="shared" ca="1" si="26"/>
        <v/>
      </c>
      <c r="N108" s="382" t="str">
        <f t="shared" ca="1" si="26"/>
        <v/>
      </c>
      <c r="O108" s="382" t="str">
        <f t="shared" ca="1" si="26"/>
        <v/>
      </c>
      <c r="P108" s="382" t="str">
        <f t="shared" ca="1" si="26"/>
        <v/>
      </c>
      <c r="Q108" s="382" t="str">
        <f t="shared" ca="1" si="26"/>
        <v/>
      </c>
      <c r="R108" s="382" t="str">
        <f t="shared" ca="1" si="25"/>
        <v/>
      </c>
      <c r="S108" s="382" t="str">
        <f t="shared" ca="1" si="25"/>
        <v/>
      </c>
      <c r="T108" s="382" t="str">
        <f t="shared" ref="T108:BZ112" ca="1" si="27">IF($A108&gt;T$5,"",OFFSET(T$54,0,-($A108-1)))</f>
        <v/>
      </c>
      <c r="U108" s="382" t="str">
        <f t="shared" ca="1" si="27"/>
        <v/>
      </c>
      <c r="V108" s="382" t="str">
        <f t="shared" ca="1" si="27"/>
        <v/>
      </c>
      <c r="W108" s="382" t="str">
        <f t="shared" ca="1" si="27"/>
        <v/>
      </c>
      <c r="X108" s="382" t="str">
        <f t="shared" ca="1" si="27"/>
        <v/>
      </c>
      <c r="Y108" s="382" t="str">
        <f t="shared" ca="1" si="27"/>
        <v/>
      </c>
      <c r="Z108" s="382" t="str">
        <f t="shared" ca="1" si="27"/>
        <v/>
      </c>
      <c r="AA108" s="382" t="str">
        <f t="shared" ca="1" si="27"/>
        <v/>
      </c>
      <c r="AB108" s="382" t="str">
        <f t="shared" ca="1" si="27"/>
        <v/>
      </c>
      <c r="AC108" s="382" t="str">
        <f t="shared" ca="1" si="27"/>
        <v/>
      </c>
      <c r="AD108" s="382" t="str">
        <f t="shared" ca="1" si="27"/>
        <v/>
      </c>
      <c r="AE108" s="382" t="str">
        <f t="shared" ca="1" si="27"/>
        <v/>
      </c>
      <c r="AF108" s="382" t="str">
        <f t="shared" ca="1" si="27"/>
        <v/>
      </c>
      <c r="AG108" s="382" t="str">
        <f t="shared" ca="1" si="27"/>
        <v/>
      </c>
      <c r="AH108" s="382" t="str">
        <f t="shared" ca="1" si="27"/>
        <v/>
      </c>
      <c r="AI108" s="382" t="str">
        <f t="shared" ca="1" si="27"/>
        <v/>
      </c>
      <c r="AJ108" s="382" t="str">
        <f t="shared" ca="1" si="27"/>
        <v/>
      </c>
      <c r="AK108" s="382" t="str">
        <f t="shared" ca="1" si="27"/>
        <v/>
      </c>
      <c r="AL108" s="382" t="str">
        <f t="shared" ca="1" si="27"/>
        <v/>
      </c>
      <c r="AM108" s="382" t="str">
        <f t="shared" ca="1" si="27"/>
        <v/>
      </c>
      <c r="AN108" s="382" t="str">
        <f t="shared" ca="1" si="27"/>
        <v/>
      </c>
      <c r="AO108" s="382" t="str">
        <f t="shared" ca="1" si="27"/>
        <v/>
      </c>
      <c r="AP108" s="382" t="str">
        <f t="shared" ca="1" si="27"/>
        <v/>
      </c>
      <c r="AQ108" s="382" t="str">
        <f t="shared" ca="1" si="27"/>
        <v/>
      </c>
      <c r="AR108" s="382" t="str">
        <f t="shared" ca="1" si="27"/>
        <v/>
      </c>
      <c r="AS108" s="382" t="str">
        <f t="shared" ca="1" si="27"/>
        <v/>
      </c>
      <c r="AT108" s="382" t="str">
        <f t="shared" ca="1" si="27"/>
        <v/>
      </c>
      <c r="AU108" s="382" t="str">
        <f t="shared" ca="1" si="27"/>
        <v/>
      </c>
      <c r="AV108" s="382" t="str">
        <f t="shared" ca="1" si="27"/>
        <v/>
      </c>
      <c r="AW108" s="382" t="str">
        <f t="shared" ca="1" si="27"/>
        <v/>
      </c>
      <c r="AX108" s="382" t="str">
        <f t="shared" ca="1" si="27"/>
        <v/>
      </c>
      <c r="AY108" s="382" t="str">
        <f t="shared" ca="1" si="27"/>
        <v/>
      </c>
      <c r="AZ108" s="382" t="str">
        <f t="shared" ca="1" si="27"/>
        <v/>
      </c>
      <c r="BA108" s="382" t="str">
        <f t="shared" ca="1" si="27"/>
        <v/>
      </c>
      <c r="BB108" s="382" t="str">
        <f t="shared" ca="1" si="27"/>
        <v/>
      </c>
      <c r="BC108" s="382">
        <f t="shared" ca="1" si="27"/>
        <v>0</v>
      </c>
      <c r="BD108" s="382">
        <f t="shared" ca="1" si="27"/>
        <v>0</v>
      </c>
      <c r="BE108" s="382">
        <f t="shared" ca="1" si="27"/>
        <v>0</v>
      </c>
      <c r="BF108" s="382">
        <f t="shared" ca="1" si="27"/>
        <v>0</v>
      </c>
      <c r="BG108" s="382">
        <f t="shared" ca="1" si="27"/>
        <v>0</v>
      </c>
      <c r="BH108" s="382">
        <f t="shared" ca="1" si="27"/>
        <v>0</v>
      </c>
      <c r="BI108" s="382">
        <f t="shared" ca="1" si="27"/>
        <v>6115</v>
      </c>
    </row>
    <row r="109" spans="1:61" outlineLevel="1" x14ac:dyDescent="0.15">
      <c r="A109" s="392">
        <v>55</v>
      </c>
      <c r="B109" s="382" t="str">
        <f t="shared" ca="1" si="26"/>
        <v/>
      </c>
      <c r="C109" s="382" t="str">
        <f t="shared" ca="1" si="26"/>
        <v/>
      </c>
      <c r="D109" s="382" t="str">
        <f t="shared" ca="1" si="26"/>
        <v/>
      </c>
      <c r="E109" s="382" t="str">
        <f t="shared" ca="1" si="26"/>
        <v/>
      </c>
      <c r="F109" s="382" t="str">
        <f t="shared" ca="1" si="26"/>
        <v/>
      </c>
      <c r="G109" s="382" t="str">
        <f t="shared" ca="1" si="26"/>
        <v/>
      </c>
      <c r="H109" s="382" t="str">
        <f t="shared" ca="1" si="26"/>
        <v/>
      </c>
      <c r="I109" s="382" t="str">
        <f t="shared" ca="1" si="26"/>
        <v/>
      </c>
      <c r="J109" s="382" t="str">
        <f t="shared" ca="1" si="26"/>
        <v/>
      </c>
      <c r="K109" s="382" t="str">
        <f t="shared" ca="1" si="26"/>
        <v/>
      </c>
      <c r="L109" s="382" t="str">
        <f t="shared" ca="1" si="26"/>
        <v/>
      </c>
      <c r="M109" s="382" t="str">
        <f t="shared" ca="1" si="26"/>
        <v/>
      </c>
      <c r="N109" s="382" t="str">
        <f t="shared" ca="1" si="26"/>
        <v/>
      </c>
      <c r="O109" s="382" t="str">
        <f t="shared" ca="1" si="26"/>
        <v/>
      </c>
      <c r="P109" s="382" t="str">
        <f t="shared" ca="1" si="26"/>
        <v/>
      </c>
      <c r="Q109" s="382" t="str">
        <f t="shared" ca="1" si="26"/>
        <v/>
      </c>
      <c r="R109" s="382" t="str">
        <f t="shared" ref="R109:BX114" ca="1" si="28">IF($A109&gt;R$5,"",OFFSET(R$54,0,-($A109-1)))</f>
        <v/>
      </c>
      <c r="S109" s="382" t="str">
        <f t="shared" ca="1" si="28"/>
        <v/>
      </c>
      <c r="T109" s="382" t="str">
        <f t="shared" ca="1" si="28"/>
        <v/>
      </c>
      <c r="U109" s="382" t="str">
        <f t="shared" ca="1" si="28"/>
        <v/>
      </c>
      <c r="V109" s="382" t="str">
        <f t="shared" ca="1" si="28"/>
        <v/>
      </c>
      <c r="W109" s="382" t="str">
        <f t="shared" ca="1" si="28"/>
        <v/>
      </c>
      <c r="X109" s="382" t="str">
        <f t="shared" ca="1" si="28"/>
        <v/>
      </c>
      <c r="Y109" s="382" t="str">
        <f t="shared" ca="1" si="28"/>
        <v/>
      </c>
      <c r="Z109" s="382" t="str">
        <f t="shared" ca="1" si="28"/>
        <v/>
      </c>
      <c r="AA109" s="382" t="str">
        <f t="shared" ca="1" si="28"/>
        <v/>
      </c>
      <c r="AB109" s="382" t="str">
        <f t="shared" ca="1" si="28"/>
        <v/>
      </c>
      <c r="AC109" s="382" t="str">
        <f t="shared" ca="1" si="28"/>
        <v/>
      </c>
      <c r="AD109" s="382" t="str">
        <f t="shared" ca="1" si="28"/>
        <v/>
      </c>
      <c r="AE109" s="382" t="str">
        <f t="shared" ca="1" si="28"/>
        <v/>
      </c>
      <c r="AF109" s="382" t="str">
        <f t="shared" ca="1" si="28"/>
        <v/>
      </c>
      <c r="AG109" s="382" t="str">
        <f t="shared" ca="1" si="28"/>
        <v/>
      </c>
      <c r="AH109" s="382" t="str">
        <f t="shared" ca="1" si="28"/>
        <v/>
      </c>
      <c r="AI109" s="382" t="str">
        <f t="shared" ca="1" si="28"/>
        <v/>
      </c>
      <c r="AJ109" s="382" t="str">
        <f t="shared" ca="1" si="28"/>
        <v/>
      </c>
      <c r="AK109" s="382" t="str">
        <f t="shared" ca="1" si="28"/>
        <v/>
      </c>
      <c r="AL109" s="382" t="str">
        <f t="shared" ca="1" si="28"/>
        <v/>
      </c>
      <c r="AM109" s="382" t="str">
        <f t="shared" ca="1" si="28"/>
        <v/>
      </c>
      <c r="AN109" s="382" t="str">
        <f t="shared" ca="1" si="28"/>
        <v/>
      </c>
      <c r="AO109" s="382" t="str">
        <f t="shared" ca="1" si="28"/>
        <v/>
      </c>
      <c r="AP109" s="382" t="str">
        <f t="shared" ca="1" si="28"/>
        <v/>
      </c>
      <c r="AQ109" s="382" t="str">
        <f t="shared" ca="1" si="28"/>
        <v/>
      </c>
      <c r="AR109" s="382" t="str">
        <f t="shared" ca="1" si="28"/>
        <v/>
      </c>
      <c r="AS109" s="382" t="str">
        <f t="shared" ca="1" si="28"/>
        <v/>
      </c>
      <c r="AT109" s="382" t="str">
        <f t="shared" ca="1" si="28"/>
        <v/>
      </c>
      <c r="AU109" s="382" t="str">
        <f t="shared" ca="1" si="28"/>
        <v/>
      </c>
      <c r="AV109" s="382" t="str">
        <f t="shared" ca="1" si="28"/>
        <v/>
      </c>
      <c r="AW109" s="382" t="str">
        <f t="shared" ca="1" si="28"/>
        <v/>
      </c>
      <c r="AX109" s="382" t="str">
        <f t="shared" ca="1" si="28"/>
        <v/>
      </c>
      <c r="AY109" s="382" t="str">
        <f t="shared" ca="1" si="28"/>
        <v/>
      </c>
      <c r="AZ109" s="382" t="str">
        <f t="shared" ca="1" si="28"/>
        <v/>
      </c>
      <c r="BA109" s="382" t="str">
        <f t="shared" ca="1" si="28"/>
        <v/>
      </c>
      <c r="BB109" s="382" t="str">
        <f t="shared" ca="1" si="28"/>
        <v/>
      </c>
      <c r="BC109" s="382" t="str">
        <f t="shared" ca="1" si="28"/>
        <v/>
      </c>
      <c r="BD109" s="382">
        <f t="shared" ca="1" si="28"/>
        <v>0</v>
      </c>
      <c r="BE109" s="382">
        <f t="shared" ca="1" si="28"/>
        <v>0</v>
      </c>
      <c r="BF109" s="382">
        <f t="shared" ca="1" si="28"/>
        <v>0</v>
      </c>
      <c r="BG109" s="382">
        <f t="shared" ca="1" si="28"/>
        <v>0</v>
      </c>
      <c r="BH109" s="382">
        <f t="shared" ca="1" si="28"/>
        <v>0</v>
      </c>
      <c r="BI109" s="382">
        <f t="shared" ca="1" si="28"/>
        <v>0</v>
      </c>
    </row>
    <row r="110" spans="1:61" outlineLevel="1" x14ac:dyDescent="0.15">
      <c r="A110" s="392">
        <v>56</v>
      </c>
      <c r="B110" s="382" t="str">
        <f t="shared" ca="1" si="26"/>
        <v/>
      </c>
      <c r="C110" s="382" t="str">
        <f t="shared" ca="1" si="26"/>
        <v/>
      </c>
      <c r="D110" s="382" t="str">
        <f t="shared" ca="1" si="26"/>
        <v/>
      </c>
      <c r="E110" s="382" t="str">
        <f t="shared" ca="1" si="26"/>
        <v/>
      </c>
      <c r="F110" s="382" t="str">
        <f t="shared" ca="1" si="26"/>
        <v/>
      </c>
      <c r="G110" s="382" t="str">
        <f t="shared" ca="1" si="26"/>
        <v/>
      </c>
      <c r="H110" s="382" t="str">
        <f t="shared" ca="1" si="26"/>
        <v/>
      </c>
      <c r="I110" s="382" t="str">
        <f t="shared" ca="1" si="26"/>
        <v/>
      </c>
      <c r="J110" s="382" t="str">
        <f t="shared" ca="1" si="26"/>
        <v/>
      </c>
      <c r="K110" s="382" t="str">
        <f t="shared" ca="1" si="26"/>
        <v/>
      </c>
      <c r="L110" s="382" t="str">
        <f t="shared" ca="1" si="26"/>
        <v/>
      </c>
      <c r="M110" s="382" t="str">
        <f t="shared" ca="1" si="26"/>
        <v/>
      </c>
      <c r="N110" s="382" t="str">
        <f t="shared" ca="1" si="26"/>
        <v/>
      </c>
      <c r="O110" s="382" t="str">
        <f t="shared" ca="1" si="26"/>
        <v/>
      </c>
      <c r="P110" s="382" t="str">
        <f t="shared" ca="1" si="26"/>
        <v/>
      </c>
      <c r="Q110" s="382" t="str">
        <f t="shared" ca="1" si="26"/>
        <v/>
      </c>
      <c r="R110" s="382" t="str">
        <f t="shared" ca="1" si="28"/>
        <v/>
      </c>
      <c r="S110" s="382" t="str">
        <f t="shared" ca="1" si="28"/>
        <v/>
      </c>
      <c r="T110" s="382" t="str">
        <f t="shared" ca="1" si="28"/>
        <v/>
      </c>
      <c r="U110" s="382" t="str">
        <f t="shared" ca="1" si="28"/>
        <v/>
      </c>
      <c r="V110" s="382" t="str">
        <f t="shared" ca="1" si="28"/>
        <v/>
      </c>
      <c r="W110" s="382" t="str">
        <f t="shared" ca="1" si="28"/>
        <v/>
      </c>
      <c r="X110" s="382" t="str">
        <f t="shared" ca="1" si="28"/>
        <v/>
      </c>
      <c r="Y110" s="382" t="str">
        <f t="shared" ca="1" si="28"/>
        <v/>
      </c>
      <c r="Z110" s="382" t="str">
        <f t="shared" ca="1" si="28"/>
        <v/>
      </c>
      <c r="AA110" s="382" t="str">
        <f t="shared" ca="1" si="28"/>
        <v/>
      </c>
      <c r="AB110" s="382" t="str">
        <f t="shared" ca="1" si="28"/>
        <v/>
      </c>
      <c r="AC110" s="382" t="str">
        <f t="shared" ca="1" si="28"/>
        <v/>
      </c>
      <c r="AD110" s="382" t="str">
        <f t="shared" ca="1" si="28"/>
        <v/>
      </c>
      <c r="AE110" s="382" t="str">
        <f t="shared" ca="1" si="28"/>
        <v/>
      </c>
      <c r="AF110" s="382" t="str">
        <f t="shared" ca="1" si="28"/>
        <v/>
      </c>
      <c r="AG110" s="382" t="str">
        <f t="shared" ca="1" si="28"/>
        <v/>
      </c>
      <c r="AH110" s="382" t="str">
        <f t="shared" ca="1" si="28"/>
        <v/>
      </c>
      <c r="AI110" s="382" t="str">
        <f t="shared" ca="1" si="28"/>
        <v/>
      </c>
      <c r="AJ110" s="382" t="str">
        <f t="shared" ca="1" si="28"/>
        <v/>
      </c>
      <c r="AK110" s="382" t="str">
        <f t="shared" ca="1" si="28"/>
        <v/>
      </c>
      <c r="AL110" s="382" t="str">
        <f t="shared" ca="1" si="28"/>
        <v/>
      </c>
      <c r="AM110" s="382" t="str">
        <f t="shared" ca="1" si="28"/>
        <v/>
      </c>
      <c r="AN110" s="382" t="str">
        <f t="shared" ca="1" si="28"/>
        <v/>
      </c>
      <c r="AO110" s="382" t="str">
        <f t="shared" ca="1" si="28"/>
        <v/>
      </c>
      <c r="AP110" s="382" t="str">
        <f t="shared" ca="1" si="28"/>
        <v/>
      </c>
      <c r="AQ110" s="382" t="str">
        <f t="shared" ca="1" si="28"/>
        <v/>
      </c>
      <c r="AR110" s="382" t="str">
        <f t="shared" ca="1" si="28"/>
        <v/>
      </c>
      <c r="AS110" s="382" t="str">
        <f t="shared" ca="1" si="28"/>
        <v/>
      </c>
      <c r="AT110" s="382" t="str">
        <f t="shared" ca="1" si="28"/>
        <v/>
      </c>
      <c r="AU110" s="382" t="str">
        <f t="shared" ca="1" si="28"/>
        <v/>
      </c>
      <c r="AV110" s="382" t="str">
        <f t="shared" ca="1" si="28"/>
        <v/>
      </c>
      <c r="AW110" s="382" t="str">
        <f t="shared" ca="1" si="28"/>
        <v/>
      </c>
      <c r="AX110" s="382" t="str">
        <f t="shared" ca="1" si="28"/>
        <v/>
      </c>
      <c r="AY110" s="382" t="str">
        <f t="shared" ca="1" si="28"/>
        <v/>
      </c>
      <c r="AZ110" s="382" t="str">
        <f t="shared" ca="1" si="28"/>
        <v/>
      </c>
      <c r="BA110" s="382" t="str">
        <f t="shared" ca="1" si="28"/>
        <v/>
      </c>
      <c r="BB110" s="382" t="str">
        <f t="shared" ca="1" si="28"/>
        <v/>
      </c>
      <c r="BC110" s="382" t="str">
        <f t="shared" ca="1" si="28"/>
        <v/>
      </c>
      <c r="BD110" s="382" t="str">
        <f t="shared" ca="1" si="28"/>
        <v/>
      </c>
      <c r="BE110" s="382">
        <f t="shared" ca="1" si="28"/>
        <v>0</v>
      </c>
      <c r="BF110" s="382">
        <f t="shared" ca="1" si="28"/>
        <v>0</v>
      </c>
      <c r="BG110" s="382">
        <f t="shared" ca="1" si="28"/>
        <v>0</v>
      </c>
      <c r="BH110" s="382">
        <f t="shared" ca="1" si="28"/>
        <v>0</v>
      </c>
      <c r="BI110" s="382">
        <f t="shared" ca="1" si="28"/>
        <v>0</v>
      </c>
    </row>
    <row r="111" spans="1:61" outlineLevel="1" x14ac:dyDescent="0.15">
      <c r="A111" s="392">
        <v>57</v>
      </c>
      <c r="B111" s="382" t="str">
        <f t="shared" ca="1" si="26"/>
        <v/>
      </c>
      <c r="C111" s="382" t="str">
        <f t="shared" ca="1" si="26"/>
        <v/>
      </c>
      <c r="D111" s="382" t="str">
        <f t="shared" ca="1" si="26"/>
        <v/>
      </c>
      <c r="E111" s="382" t="str">
        <f t="shared" ca="1" si="26"/>
        <v/>
      </c>
      <c r="F111" s="382" t="str">
        <f t="shared" ca="1" si="26"/>
        <v/>
      </c>
      <c r="G111" s="382" t="str">
        <f t="shared" ca="1" si="26"/>
        <v/>
      </c>
      <c r="H111" s="382" t="str">
        <f t="shared" ca="1" si="26"/>
        <v/>
      </c>
      <c r="I111" s="382" t="str">
        <f t="shared" ca="1" si="26"/>
        <v/>
      </c>
      <c r="J111" s="382" t="str">
        <f t="shared" ca="1" si="26"/>
        <v/>
      </c>
      <c r="K111" s="382" t="str">
        <f t="shared" ca="1" si="26"/>
        <v/>
      </c>
      <c r="L111" s="382" t="str">
        <f t="shared" ca="1" si="26"/>
        <v/>
      </c>
      <c r="M111" s="382" t="str">
        <f t="shared" ca="1" si="26"/>
        <v/>
      </c>
      <c r="N111" s="382" t="str">
        <f t="shared" ca="1" si="26"/>
        <v/>
      </c>
      <c r="O111" s="382" t="str">
        <f t="shared" ca="1" si="26"/>
        <v/>
      </c>
      <c r="P111" s="382" t="str">
        <f t="shared" ca="1" si="26"/>
        <v/>
      </c>
      <c r="Q111" s="382" t="str">
        <f t="shared" ca="1" si="26"/>
        <v/>
      </c>
      <c r="R111" s="382" t="str">
        <f t="shared" ca="1" si="28"/>
        <v/>
      </c>
      <c r="S111" s="382" t="str">
        <f t="shared" ca="1" si="28"/>
        <v/>
      </c>
      <c r="T111" s="382" t="str">
        <f t="shared" ca="1" si="28"/>
        <v/>
      </c>
      <c r="U111" s="382" t="str">
        <f t="shared" ca="1" si="28"/>
        <v/>
      </c>
      <c r="V111" s="382" t="str">
        <f t="shared" ca="1" si="28"/>
        <v/>
      </c>
      <c r="W111" s="382" t="str">
        <f t="shared" ca="1" si="28"/>
        <v/>
      </c>
      <c r="X111" s="382" t="str">
        <f t="shared" ca="1" si="28"/>
        <v/>
      </c>
      <c r="Y111" s="382" t="str">
        <f t="shared" ca="1" si="28"/>
        <v/>
      </c>
      <c r="Z111" s="382" t="str">
        <f t="shared" ca="1" si="28"/>
        <v/>
      </c>
      <c r="AA111" s="382" t="str">
        <f t="shared" ca="1" si="28"/>
        <v/>
      </c>
      <c r="AB111" s="382" t="str">
        <f t="shared" ca="1" si="28"/>
        <v/>
      </c>
      <c r="AC111" s="382" t="str">
        <f t="shared" ca="1" si="28"/>
        <v/>
      </c>
      <c r="AD111" s="382" t="str">
        <f t="shared" ca="1" si="28"/>
        <v/>
      </c>
      <c r="AE111" s="382" t="str">
        <f t="shared" ca="1" si="28"/>
        <v/>
      </c>
      <c r="AF111" s="382" t="str">
        <f t="shared" ca="1" si="28"/>
        <v/>
      </c>
      <c r="AG111" s="382" t="str">
        <f t="shared" ca="1" si="28"/>
        <v/>
      </c>
      <c r="AH111" s="382" t="str">
        <f t="shared" ca="1" si="28"/>
        <v/>
      </c>
      <c r="AI111" s="382" t="str">
        <f t="shared" ca="1" si="28"/>
        <v/>
      </c>
      <c r="AJ111" s="382" t="str">
        <f t="shared" ca="1" si="28"/>
        <v/>
      </c>
      <c r="AK111" s="382" t="str">
        <f t="shared" ca="1" si="28"/>
        <v/>
      </c>
      <c r="AL111" s="382" t="str">
        <f t="shared" ca="1" si="28"/>
        <v/>
      </c>
      <c r="AM111" s="382" t="str">
        <f t="shared" ca="1" si="28"/>
        <v/>
      </c>
      <c r="AN111" s="382" t="str">
        <f t="shared" ca="1" si="28"/>
        <v/>
      </c>
      <c r="AO111" s="382" t="str">
        <f t="shared" ca="1" si="28"/>
        <v/>
      </c>
      <c r="AP111" s="382" t="str">
        <f t="shared" ca="1" si="28"/>
        <v/>
      </c>
      <c r="AQ111" s="382" t="str">
        <f t="shared" ca="1" si="28"/>
        <v/>
      </c>
      <c r="AR111" s="382" t="str">
        <f t="shared" ca="1" si="28"/>
        <v/>
      </c>
      <c r="AS111" s="382" t="str">
        <f t="shared" ca="1" si="28"/>
        <v/>
      </c>
      <c r="AT111" s="382" t="str">
        <f t="shared" ca="1" si="28"/>
        <v/>
      </c>
      <c r="AU111" s="382" t="str">
        <f t="shared" ca="1" si="28"/>
        <v/>
      </c>
      <c r="AV111" s="382" t="str">
        <f t="shared" ca="1" si="28"/>
        <v/>
      </c>
      <c r="AW111" s="382" t="str">
        <f t="shared" ca="1" si="28"/>
        <v/>
      </c>
      <c r="AX111" s="382" t="str">
        <f t="shared" ca="1" si="28"/>
        <v/>
      </c>
      <c r="AY111" s="382" t="str">
        <f t="shared" ca="1" si="28"/>
        <v/>
      </c>
      <c r="AZ111" s="382" t="str">
        <f t="shared" ca="1" si="28"/>
        <v/>
      </c>
      <c r="BA111" s="382" t="str">
        <f t="shared" ca="1" si="28"/>
        <v/>
      </c>
      <c r="BB111" s="382" t="str">
        <f t="shared" ca="1" si="28"/>
        <v/>
      </c>
      <c r="BC111" s="382" t="str">
        <f t="shared" ca="1" si="28"/>
        <v/>
      </c>
      <c r="BD111" s="382" t="str">
        <f t="shared" ca="1" si="28"/>
        <v/>
      </c>
      <c r="BE111" s="382" t="str">
        <f t="shared" ca="1" si="28"/>
        <v/>
      </c>
      <c r="BF111" s="382">
        <f t="shared" ca="1" si="28"/>
        <v>0</v>
      </c>
      <c r="BG111" s="382">
        <f t="shared" ca="1" si="28"/>
        <v>0</v>
      </c>
      <c r="BH111" s="382">
        <f t="shared" ca="1" si="28"/>
        <v>0</v>
      </c>
      <c r="BI111" s="382">
        <f t="shared" ca="1" si="28"/>
        <v>0</v>
      </c>
    </row>
    <row r="112" spans="1:61" outlineLevel="1" x14ac:dyDescent="0.15">
      <c r="A112" s="392">
        <v>58</v>
      </c>
      <c r="B112" s="382" t="str">
        <f t="shared" ca="1" si="26"/>
        <v/>
      </c>
      <c r="C112" s="382" t="str">
        <f t="shared" ca="1" si="26"/>
        <v/>
      </c>
      <c r="D112" s="382" t="str">
        <f t="shared" ca="1" si="26"/>
        <v/>
      </c>
      <c r="E112" s="382" t="str">
        <f t="shared" ca="1" si="26"/>
        <v/>
      </c>
      <c r="F112" s="382" t="str">
        <f t="shared" ca="1" si="26"/>
        <v/>
      </c>
      <c r="G112" s="382" t="str">
        <f t="shared" ca="1" si="26"/>
        <v/>
      </c>
      <c r="H112" s="382" t="str">
        <f t="shared" ca="1" si="26"/>
        <v/>
      </c>
      <c r="I112" s="382" t="str">
        <f t="shared" ca="1" si="26"/>
        <v/>
      </c>
      <c r="J112" s="382" t="str">
        <f t="shared" ca="1" si="26"/>
        <v/>
      </c>
      <c r="K112" s="382" t="str">
        <f t="shared" ca="1" si="26"/>
        <v/>
      </c>
      <c r="L112" s="382" t="str">
        <f t="shared" ca="1" si="26"/>
        <v/>
      </c>
      <c r="M112" s="382" t="str">
        <f t="shared" ca="1" si="26"/>
        <v/>
      </c>
      <c r="N112" s="382" t="str">
        <f t="shared" ca="1" si="26"/>
        <v/>
      </c>
      <c r="O112" s="382" t="str">
        <f t="shared" ca="1" si="26"/>
        <v/>
      </c>
      <c r="P112" s="382" t="str">
        <f t="shared" ca="1" si="26"/>
        <v/>
      </c>
      <c r="Q112" s="382" t="str">
        <f t="shared" ca="1" si="26"/>
        <v/>
      </c>
      <c r="R112" s="382" t="str">
        <f t="shared" ca="1" si="28"/>
        <v/>
      </c>
      <c r="S112" s="382" t="str">
        <f t="shared" ca="1" si="28"/>
        <v/>
      </c>
      <c r="T112" s="382" t="str">
        <f t="shared" ca="1" si="28"/>
        <v/>
      </c>
      <c r="U112" s="382" t="str">
        <f t="shared" ca="1" si="28"/>
        <v/>
      </c>
      <c r="V112" s="382" t="str">
        <f t="shared" ca="1" si="28"/>
        <v/>
      </c>
      <c r="W112" s="382" t="str">
        <f t="shared" ca="1" si="28"/>
        <v/>
      </c>
      <c r="X112" s="382" t="str">
        <f t="shared" ca="1" si="28"/>
        <v/>
      </c>
      <c r="Y112" s="382" t="str">
        <f t="shared" ca="1" si="28"/>
        <v/>
      </c>
      <c r="Z112" s="382" t="str">
        <f t="shared" ca="1" si="28"/>
        <v/>
      </c>
      <c r="AA112" s="382" t="str">
        <f t="shared" ca="1" si="28"/>
        <v/>
      </c>
      <c r="AB112" s="382" t="str">
        <f t="shared" ca="1" si="28"/>
        <v/>
      </c>
      <c r="AC112" s="382" t="str">
        <f t="shared" ca="1" si="28"/>
        <v/>
      </c>
      <c r="AD112" s="382" t="str">
        <f t="shared" ca="1" si="28"/>
        <v/>
      </c>
      <c r="AE112" s="382" t="str">
        <f t="shared" ca="1" si="28"/>
        <v/>
      </c>
      <c r="AF112" s="382" t="str">
        <f t="shared" ca="1" si="28"/>
        <v/>
      </c>
      <c r="AG112" s="382" t="str">
        <f t="shared" ca="1" si="28"/>
        <v/>
      </c>
      <c r="AH112" s="382" t="str">
        <f t="shared" ca="1" si="28"/>
        <v/>
      </c>
      <c r="AI112" s="382" t="str">
        <f t="shared" ca="1" si="28"/>
        <v/>
      </c>
      <c r="AJ112" s="382" t="str">
        <f t="shared" ca="1" si="28"/>
        <v/>
      </c>
      <c r="AK112" s="382" t="str">
        <f t="shared" ca="1" si="28"/>
        <v/>
      </c>
      <c r="AL112" s="382" t="str">
        <f t="shared" ca="1" si="28"/>
        <v/>
      </c>
      <c r="AM112" s="382" t="str">
        <f t="shared" ca="1" si="28"/>
        <v/>
      </c>
      <c r="AN112" s="382" t="str">
        <f t="shared" ca="1" si="28"/>
        <v/>
      </c>
      <c r="AO112" s="382" t="str">
        <f t="shared" ca="1" si="28"/>
        <v/>
      </c>
      <c r="AP112" s="382" t="str">
        <f t="shared" ca="1" si="28"/>
        <v/>
      </c>
      <c r="AQ112" s="382" t="str">
        <f t="shared" ca="1" si="28"/>
        <v/>
      </c>
      <c r="AR112" s="382" t="str">
        <f t="shared" ca="1" si="28"/>
        <v/>
      </c>
      <c r="AS112" s="382" t="str">
        <f t="shared" ca="1" si="28"/>
        <v/>
      </c>
      <c r="AT112" s="382" t="str">
        <f t="shared" ca="1" si="28"/>
        <v/>
      </c>
      <c r="AU112" s="382" t="str">
        <f t="shared" ca="1" si="28"/>
        <v/>
      </c>
      <c r="AV112" s="382" t="str">
        <f t="shared" ca="1" si="28"/>
        <v/>
      </c>
      <c r="AW112" s="382" t="str">
        <f t="shared" ca="1" si="28"/>
        <v/>
      </c>
      <c r="AX112" s="382" t="str">
        <f t="shared" ca="1" si="28"/>
        <v/>
      </c>
      <c r="AY112" s="382" t="str">
        <f t="shared" ca="1" si="28"/>
        <v/>
      </c>
      <c r="AZ112" s="382" t="str">
        <f t="shared" ca="1" si="28"/>
        <v/>
      </c>
      <c r="BA112" s="382" t="str">
        <f t="shared" ca="1" si="28"/>
        <v/>
      </c>
      <c r="BB112" s="382" t="str">
        <f t="shared" ca="1" si="28"/>
        <v/>
      </c>
      <c r="BC112" s="382" t="str">
        <f t="shared" ca="1" si="28"/>
        <v/>
      </c>
      <c r="BD112" s="382" t="str">
        <f t="shared" ca="1" si="28"/>
        <v/>
      </c>
      <c r="BE112" s="382" t="str">
        <f t="shared" ca="1" si="28"/>
        <v/>
      </c>
      <c r="BF112" s="382" t="str">
        <f t="shared" ca="1" si="28"/>
        <v/>
      </c>
      <c r="BG112" s="382">
        <f t="shared" ca="1" si="28"/>
        <v>0</v>
      </c>
      <c r="BH112" s="382">
        <f t="shared" ca="1" si="28"/>
        <v>0</v>
      </c>
      <c r="BI112" s="382">
        <f t="shared" ca="1" si="28"/>
        <v>0</v>
      </c>
    </row>
    <row r="113" spans="1:61" outlineLevel="1" x14ac:dyDescent="0.15">
      <c r="A113" s="392">
        <v>59</v>
      </c>
      <c r="B113" s="382" t="str">
        <f t="shared" ca="1" si="26"/>
        <v/>
      </c>
      <c r="C113" s="382" t="str">
        <f t="shared" ca="1" si="26"/>
        <v/>
      </c>
      <c r="D113" s="382" t="str">
        <f t="shared" ca="1" si="26"/>
        <v/>
      </c>
      <c r="E113" s="382" t="str">
        <f t="shared" ca="1" si="26"/>
        <v/>
      </c>
      <c r="F113" s="382" t="str">
        <f t="shared" ca="1" si="26"/>
        <v/>
      </c>
      <c r="G113" s="382" t="str">
        <f t="shared" ca="1" si="26"/>
        <v/>
      </c>
      <c r="H113" s="382" t="str">
        <f t="shared" ca="1" si="26"/>
        <v/>
      </c>
      <c r="I113" s="382" t="str">
        <f t="shared" ca="1" si="26"/>
        <v/>
      </c>
      <c r="J113" s="382" t="str">
        <f t="shared" ca="1" si="26"/>
        <v/>
      </c>
      <c r="K113" s="382" t="str">
        <f t="shared" ca="1" si="26"/>
        <v/>
      </c>
      <c r="L113" s="382" t="str">
        <f t="shared" ca="1" si="26"/>
        <v/>
      </c>
      <c r="M113" s="382" t="str">
        <f t="shared" ca="1" si="26"/>
        <v/>
      </c>
      <c r="N113" s="382" t="str">
        <f t="shared" ca="1" si="26"/>
        <v/>
      </c>
      <c r="O113" s="382" t="str">
        <f t="shared" ca="1" si="26"/>
        <v/>
      </c>
      <c r="P113" s="382" t="str">
        <f t="shared" ca="1" si="26"/>
        <v/>
      </c>
      <c r="Q113" s="382" t="str">
        <f t="shared" ca="1" si="26"/>
        <v/>
      </c>
      <c r="R113" s="382" t="str">
        <f t="shared" ca="1" si="28"/>
        <v/>
      </c>
      <c r="S113" s="382" t="str">
        <f t="shared" ca="1" si="28"/>
        <v/>
      </c>
      <c r="T113" s="382" t="str">
        <f t="shared" ca="1" si="28"/>
        <v/>
      </c>
      <c r="U113" s="382" t="str">
        <f t="shared" ca="1" si="28"/>
        <v/>
      </c>
      <c r="V113" s="382" t="str">
        <f t="shared" ca="1" si="28"/>
        <v/>
      </c>
      <c r="W113" s="382" t="str">
        <f t="shared" ca="1" si="28"/>
        <v/>
      </c>
      <c r="X113" s="382" t="str">
        <f t="shared" ca="1" si="28"/>
        <v/>
      </c>
      <c r="Y113" s="382" t="str">
        <f t="shared" ca="1" si="28"/>
        <v/>
      </c>
      <c r="Z113" s="382" t="str">
        <f t="shared" ca="1" si="28"/>
        <v/>
      </c>
      <c r="AA113" s="382" t="str">
        <f t="shared" ca="1" si="28"/>
        <v/>
      </c>
      <c r="AB113" s="382" t="str">
        <f t="shared" ca="1" si="28"/>
        <v/>
      </c>
      <c r="AC113" s="382" t="str">
        <f t="shared" ca="1" si="28"/>
        <v/>
      </c>
      <c r="AD113" s="382" t="str">
        <f t="shared" ca="1" si="28"/>
        <v/>
      </c>
      <c r="AE113" s="382" t="str">
        <f t="shared" ca="1" si="28"/>
        <v/>
      </c>
      <c r="AF113" s="382" t="str">
        <f t="shared" ca="1" si="28"/>
        <v/>
      </c>
      <c r="AG113" s="382" t="str">
        <f t="shared" ca="1" si="28"/>
        <v/>
      </c>
      <c r="AH113" s="382" t="str">
        <f t="shared" ca="1" si="28"/>
        <v/>
      </c>
      <c r="AI113" s="382" t="str">
        <f t="shared" ca="1" si="28"/>
        <v/>
      </c>
      <c r="AJ113" s="382" t="str">
        <f t="shared" ca="1" si="28"/>
        <v/>
      </c>
      <c r="AK113" s="382" t="str">
        <f t="shared" ca="1" si="28"/>
        <v/>
      </c>
      <c r="AL113" s="382" t="str">
        <f t="shared" ca="1" si="28"/>
        <v/>
      </c>
      <c r="AM113" s="382" t="str">
        <f t="shared" ca="1" si="28"/>
        <v/>
      </c>
      <c r="AN113" s="382" t="str">
        <f t="shared" ca="1" si="28"/>
        <v/>
      </c>
      <c r="AO113" s="382" t="str">
        <f t="shared" ca="1" si="28"/>
        <v/>
      </c>
      <c r="AP113" s="382" t="str">
        <f t="shared" ca="1" si="28"/>
        <v/>
      </c>
      <c r="AQ113" s="382" t="str">
        <f t="shared" ca="1" si="28"/>
        <v/>
      </c>
      <c r="AR113" s="382" t="str">
        <f t="shared" ca="1" si="28"/>
        <v/>
      </c>
      <c r="AS113" s="382" t="str">
        <f t="shared" ca="1" si="28"/>
        <v/>
      </c>
      <c r="AT113" s="382" t="str">
        <f t="shared" ca="1" si="28"/>
        <v/>
      </c>
      <c r="AU113" s="382" t="str">
        <f t="shared" ca="1" si="28"/>
        <v/>
      </c>
      <c r="AV113" s="382" t="str">
        <f t="shared" ca="1" si="28"/>
        <v/>
      </c>
      <c r="AW113" s="382" t="str">
        <f t="shared" ca="1" si="28"/>
        <v/>
      </c>
      <c r="AX113" s="382" t="str">
        <f t="shared" ca="1" si="28"/>
        <v/>
      </c>
      <c r="AY113" s="382" t="str">
        <f t="shared" ca="1" si="28"/>
        <v/>
      </c>
      <c r="AZ113" s="382" t="str">
        <f t="shared" ca="1" si="28"/>
        <v/>
      </c>
      <c r="BA113" s="382" t="str">
        <f t="shared" ca="1" si="28"/>
        <v/>
      </c>
      <c r="BB113" s="382" t="str">
        <f t="shared" ca="1" si="28"/>
        <v/>
      </c>
      <c r="BC113" s="382" t="str">
        <f t="shared" ca="1" si="28"/>
        <v/>
      </c>
      <c r="BD113" s="382" t="str">
        <f t="shared" ca="1" si="28"/>
        <v/>
      </c>
      <c r="BE113" s="382" t="str">
        <f t="shared" ca="1" si="28"/>
        <v/>
      </c>
      <c r="BF113" s="382" t="str">
        <f t="shared" ca="1" si="28"/>
        <v/>
      </c>
      <c r="BG113" s="382" t="str">
        <f t="shared" ca="1" si="28"/>
        <v/>
      </c>
      <c r="BH113" s="382">
        <f t="shared" ca="1" si="28"/>
        <v>0</v>
      </c>
      <c r="BI113" s="382">
        <f t="shared" ca="1" si="28"/>
        <v>0</v>
      </c>
    </row>
    <row r="114" spans="1:61" s="389" customFormat="1" x14ac:dyDescent="0.15">
      <c r="A114" s="392">
        <v>60</v>
      </c>
      <c r="B114" s="382" t="str">
        <f t="shared" ca="1" si="26"/>
        <v/>
      </c>
      <c r="C114" s="382" t="str">
        <f t="shared" ca="1" si="26"/>
        <v/>
      </c>
      <c r="D114" s="382" t="str">
        <f t="shared" ca="1" si="26"/>
        <v/>
      </c>
      <c r="E114" s="382" t="str">
        <f t="shared" ca="1" si="26"/>
        <v/>
      </c>
      <c r="F114" s="382" t="str">
        <f t="shared" ca="1" si="26"/>
        <v/>
      </c>
      <c r="G114" s="382" t="str">
        <f t="shared" ca="1" si="26"/>
        <v/>
      </c>
      <c r="H114" s="382" t="str">
        <f t="shared" ca="1" si="26"/>
        <v/>
      </c>
      <c r="I114" s="382" t="str">
        <f t="shared" ca="1" si="26"/>
        <v/>
      </c>
      <c r="J114" s="382" t="str">
        <f t="shared" ca="1" si="26"/>
        <v/>
      </c>
      <c r="K114" s="382" t="str">
        <f t="shared" ca="1" si="26"/>
        <v/>
      </c>
      <c r="L114" s="382" t="str">
        <f t="shared" ca="1" si="26"/>
        <v/>
      </c>
      <c r="M114" s="382" t="str">
        <f t="shared" ca="1" si="26"/>
        <v/>
      </c>
      <c r="N114" s="382" t="str">
        <f t="shared" ca="1" si="26"/>
        <v/>
      </c>
      <c r="O114" s="382" t="str">
        <f t="shared" ca="1" si="26"/>
        <v/>
      </c>
      <c r="P114" s="382" t="str">
        <f t="shared" ca="1" si="26"/>
        <v/>
      </c>
      <c r="Q114" s="382" t="str">
        <f t="shared" ca="1" si="26"/>
        <v/>
      </c>
      <c r="R114" s="382" t="str">
        <f t="shared" ca="1" si="28"/>
        <v/>
      </c>
      <c r="S114" s="382" t="str">
        <f t="shared" ca="1" si="28"/>
        <v/>
      </c>
      <c r="T114" s="382" t="str">
        <f t="shared" ca="1" si="28"/>
        <v/>
      </c>
      <c r="U114" s="382" t="str">
        <f t="shared" ca="1" si="28"/>
        <v/>
      </c>
      <c r="V114" s="382" t="str">
        <f t="shared" ca="1" si="28"/>
        <v/>
      </c>
      <c r="W114" s="382" t="str">
        <f t="shared" ca="1" si="28"/>
        <v/>
      </c>
      <c r="X114" s="382" t="str">
        <f t="shared" ca="1" si="28"/>
        <v/>
      </c>
      <c r="Y114" s="382" t="str">
        <f t="shared" ca="1" si="28"/>
        <v/>
      </c>
      <c r="Z114" s="382" t="str">
        <f t="shared" ca="1" si="28"/>
        <v/>
      </c>
      <c r="AA114" s="382" t="str">
        <f t="shared" ca="1" si="28"/>
        <v/>
      </c>
      <c r="AB114" s="382" t="str">
        <f t="shared" ca="1" si="28"/>
        <v/>
      </c>
      <c r="AC114" s="382" t="str">
        <f t="shared" ca="1" si="28"/>
        <v/>
      </c>
      <c r="AD114" s="382" t="str">
        <f t="shared" ca="1" si="28"/>
        <v/>
      </c>
      <c r="AE114" s="382" t="str">
        <f t="shared" ca="1" si="28"/>
        <v/>
      </c>
      <c r="AF114" s="382" t="str">
        <f t="shared" ca="1" si="28"/>
        <v/>
      </c>
      <c r="AG114" s="382" t="str">
        <f t="shared" ca="1" si="28"/>
        <v/>
      </c>
      <c r="AH114" s="382" t="str">
        <f t="shared" ca="1" si="28"/>
        <v/>
      </c>
      <c r="AI114" s="382" t="str">
        <f t="shared" ca="1" si="28"/>
        <v/>
      </c>
      <c r="AJ114" s="382" t="str">
        <f t="shared" ca="1" si="28"/>
        <v/>
      </c>
      <c r="AK114" s="382" t="str">
        <f t="shared" ca="1" si="28"/>
        <v/>
      </c>
      <c r="AL114" s="382" t="str">
        <f t="shared" ca="1" si="28"/>
        <v/>
      </c>
      <c r="AM114" s="382" t="str">
        <f t="shared" ca="1" si="28"/>
        <v/>
      </c>
      <c r="AN114" s="382" t="str">
        <f t="shared" ca="1" si="28"/>
        <v/>
      </c>
      <c r="AO114" s="382" t="str">
        <f t="shared" ca="1" si="28"/>
        <v/>
      </c>
      <c r="AP114" s="382" t="str">
        <f t="shared" ca="1" si="28"/>
        <v/>
      </c>
      <c r="AQ114" s="382" t="str">
        <f t="shared" ca="1" si="28"/>
        <v/>
      </c>
      <c r="AR114" s="382" t="str">
        <f t="shared" ca="1" si="28"/>
        <v/>
      </c>
      <c r="AS114" s="382" t="str">
        <f t="shared" ca="1" si="28"/>
        <v/>
      </c>
      <c r="AT114" s="382" t="str">
        <f t="shared" ca="1" si="28"/>
        <v/>
      </c>
      <c r="AU114" s="382" t="str">
        <f t="shared" ca="1" si="28"/>
        <v/>
      </c>
      <c r="AV114" s="382" t="str">
        <f t="shared" ca="1" si="28"/>
        <v/>
      </c>
      <c r="AW114" s="382" t="str">
        <f t="shared" ca="1" si="28"/>
        <v/>
      </c>
      <c r="AX114" s="382" t="str">
        <f t="shared" ca="1" si="28"/>
        <v/>
      </c>
      <c r="AY114" s="382" t="str">
        <f t="shared" ca="1" si="28"/>
        <v/>
      </c>
      <c r="AZ114" s="382" t="str">
        <f t="shared" ca="1" si="28"/>
        <v/>
      </c>
      <c r="BA114" s="382" t="str">
        <f t="shared" ref="BA114:DG117" ca="1" si="29">IF($A114&gt;BA$5,"",OFFSET(BA$54,0,-($A114-1)))</f>
        <v/>
      </c>
      <c r="BB114" s="382" t="str">
        <f t="shared" ca="1" si="29"/>
        <v/>
      </c>
      <c r="BC114" s="382" t="str">
        <f t="shared" ca="1" si="29"/>
        <v/>
      </c>
      <c r="BD114" s="382" t="str">
        <f t="shared" ca="1" si="29"/>
        <v/>
      </c>
      <c r="BE114" s="382" t="str">
        <f t="shared" ca="1" si="29"/>
        <v/>
      </c>
      <c r="BF114" s="382" t="str">
        <f t="shared" ca="1" si="29"/>
        <v/>
      </c>
      <c r="BG114" s="382" t="str">
        <f t="shared" ca="1" si="29"/>
        <v/>
      </c>
      <c r="BH114" s="382" t="str">
        <f t="shared" ca="1" si="29"/>
        <v/>
      </c>
      <c r="BI114" s="382">
        <f t="shared" ca="1" si="29"/>
        <v>0</v>
      </c>
    </row>
    <row r="115" spans="1:61" s="389" customFormat="1" x14ac:dyDescent="0.15">
      <c r="A115" s="392"/>
    </row>
    <row r="116" spans="1:61" x14ac:dyDescent="0.15">
      <c r="B116" s="382"/>
      <c r="C116" s="382"/>
      <c r="D116" s="382"/>
      <c r="E116" s="382"/>
      <c r="F116" s="382"/>
      <c r="G116" s="382"/>
      <c r="H116" s="382"/>
      <c r="I116" s="382"/>
      <c r="J116" s="382"/>
      <c r="K116" s="382"/>
      <c r="L116" s="382"/>
      <c r="M116" s="382"/>
      <c r="N116" s="382"/>
      <c r="O116" s="382"/>
      <c r="P116" s="382"/>
      <c r="Q116" s="382"/>
      <c r="R116" s="382"/>
      <c r="S116" s="382"/>
      <c r="T116" s="382"/>
      <c r="U116" s="382"/>
      <c r="V116" s="382"/>
      <c r="W116" s="382"/>
      <c r="X116" s="382"/>
      <c r="Y116" s="382"/>
      <c r="Z116" s="382"/>
      <c r="AA116" s="382"/>
      <c r="AB116" s="382"/>
      <c r="AC116" s="382"/>
      <c r="AD116" s="382"/>
      <c r="AE116" s="382"/>
      <c r="AF116" s="382"/>
      <c r="AG116" s="382"/>
      <c r="AH116" s="382"/>
      <c r="AI116" s="382"/>
      <c r="AJ116" s="382"/>
      <c r="AK116" s="382"/>
      <c r="AL116" s="382"/>
      <c r="AM116" s="382"/>
      <c r="AN116" s="382"/>
      <c r="AO116" s="382"/>
      <c r="AP116" s="382"/>
      <c r="AQ116" s="382"/>
      <c r="AR116" s="382"/>
      <c r="AS116" s="382"/>
      <c r="AT116" s="382"/>
      <c r="AU116" s="382"/>
      <c r="AV116" s="382"/>
      <c r="AW116" s="382"/>
      <c r="AX116" s="382"/>
      <c r="AY116" s="382"/>
      <c r="AZ116" s="382"/>
      <c r="BA116" s="382"/>
      <c r="BB116" s="382"/>
      <c r="BC116" s="382"/>
      <c r="BD116" s="382"/>
      <c r="BE116" s="382"/>
      <c r="BF116" s="382"/>
      <c r="BG116" s="382"/>
      <c r="BH116" s="382"/>
      <c r="BI116" s="382"/>
    </row>
    <row r="117" spans="1:61" x14ac:dyDescent="0.15">
      <c r="A117" s="393"/>
    </row>
    <row r="121" spans="1:61" x14ac:dyDescent="0.15">
      <c r="D121" s="387"/>
      <c r="E121" s="387"/>
      <c r="F121" s="387"/>
      <c r="G121" s="387"/>
      <c r="H121" s="387"/>
      <c r="I121" s="387"/>
      <c r="J121" s="387"/>
      <c r="N121" s="372"/>
      <c r="O121" s="372"/>
      <c r="S121" s="394"/>
    </row>
    <row r="122" spans="1:61" x14ac:dyDescent="0.15">
      <c r="E122" s="387"/>
      <c r="F122" s="387"/>
      <c r="G122" s="387"/>
      <c r="H122" s="387"/>
      <c r="I122" s="387"/>
      <c r="J122" s="387"/>
      <c r="S122" s="394"/>
    </row>
    <row r="123" spans="1:61" x14ac:dyDescent="0.15">
      <c r="F123" s="387"/>
      <c r="G123" s="387"/>
      <c r="H123" s="387"/>
      <c r="I123" s="387"/>
      <c r="J123" s="387"/>
      <c r="S123" s="394"/>
    </row>
    <row r="124" spans="1:61" x14ac:dyDescent="0.15">
      <c r="G124" s="387"/>
      <c r="H124" s="387"/>
      <c r="I124" s="387"/>
      <c r="J124" s="387"/>
      <c r="S124" s="394"/>
    </row>
    <row r="125" spans="1:61" x14ac:dyDescent="0.15">
      <c r="H125" s="387"/>
      <c r="I125" s="387"/>
      <c r="J125" s="387"/>
      <c r="S125" s="394"/>
    </row>
    <row r="126" spans="1:61" x14ac:dyDescent="0.15">
      <c r="S126" s="394"/>
    </row>
    <row r="127" spans="1:61" x14ac:dyDescent="0.15">
      <c r="S127" s="394"/>
    </row>
    <row r="128" spans="1:61" x14ac:dyDescent="0.15">
      <c r="S128" s="394"/>
    </row>
    <row r="129" spans="19:19" x14ac:dyDescent="0.15">
      <c r="S129" s="394"/>
    </row>
    <row r="130" spans="19:19" x14ac:dyDescent="0.15">
      <c r="S130" s="394"/>
    </row>
    <row r="131" spans="19:19" x14ac:dyDescent="0.15">
      <c r="S131" s="394"/>
    </row>
    <row r="132" spans="19:19" x14ac:dyDescent="0.15">
      <c r="S132" s="394"/>
    </row>
    <row r="133" spans="19:19" x14ac:dyDescent="0.15">
      <c r="S133" s="394"/>
    </row>
    <row r="134" spans="19:19" x14ac:dyDescent="0.15">
      <c r="S134" s="394"/>
    </row>
    <row r="135" spans="19:19" x14ac:dyDescent="0.15">
      <c r="S135" s="394"/>
    </row>
    <row r="136" spans="19:19" x14ac:dyDescent="0.15">
      <c r="S136" s="394"/>
    </row>
  </sheetData>
  <sheetProtection algorithmName="SHA-512" hashValue="aqviqFDOgbPDXuTWTO+xbR1bzqx5KnSqAdUCvxuTYejI5nyQb2OCVIa79ffMnwuH8N2xoTdn5KoXfVhJbHqk9A==" saltValue="k/7r9yOESsvIygk8UmZHIg==" spinCount="100000" sheet="1"/>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FDB5-BB4A-454B-B047-425F7A75FB25}">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IR</vt:lpstr>
      <vt:lpstr>COF</vt:lpstr>
      <vt:lpstr>NOTE</vt:lpstr>
      <vt:lpstr>Leadsheet</vt:lpstr>
      <vt:lpstr>DATA</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2026-05-13T03:44:40Z</dcterms:created>
  <dcterms:modified xsi:type="dcterms:W3CDTF">2026-05-13T03:45:30Z</dcterms:modified>
</cp:coreProperties>
</file>