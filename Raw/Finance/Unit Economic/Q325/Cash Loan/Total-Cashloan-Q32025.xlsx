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dam.ho/Desktop/Work/damcake-work-wiki/Raw/Finance/Unit Economic/Q325/Cash Loan/"/>
    </mc:Choice>
  </mc:AlternateContent>
  <xr:revisionPtr revIDLastSave="0" documentId="13_ncr:101_{E4D43117-C18C-8D48-892B-E1BB42C70E58}" xr6:coauthVersionLast="47" xr6:coauthVersionMax="47" xr10:uidLastSave="{00000000-0000-0000-0000-000000000000}"/>
  <bookViews>
    <workbookView xWindow="1080" yWindow="1240" windowWidth="27640" windowHeight="16760" xr2:uid="{3BB5F9DD-0194-E94C-ACA1-02619CBA3AF4}"/>
  </bookViews>
  <sheets>
    <sheet name="IR" sheetId="2" r:id="rId1"/>
    <sheet name="NOTE" sheetId="3" r:id="rId2"/>
    <sheet name="Leadsheet" sheetId="4" r:id="rId3"/>
    <sheet name="COF" sheetId="5" r:id="rId4"/>
    <sheet name="DATA" sheetId="6" r:id="rId5"/>
    <sheet name="SAP_Speadsheet" sheetId="7" r:id="rId6"/>
    <sheet name="Saleplan&amp;PnL" sheetId="8" r:id="rId7"/>
    <sheet name="PnL_Speadsheet" sheetId="9" r:id="rId8"/>
    <sheet name="Sheet1" sheetId="1" r:id="rId9"/>
  </sheets>
  <externalReferences>
    <externalReference r:id="rId10"/>
    <externalReference r:id="rId11"/>
  </externalReferences>
  <definedNames>
    <definedName name="_____T3" localSheetId="3" hidden="1">{"'Sheet1'!$L$16"}</definedName>
    <definedName name="_____T3" localSheetId="0" hidden="1">{"'Sheet1'!$L$16"}</definedName>
    <definedName name="_____T3" localSheetId="1" hidden="1">{"'Sheet1'!$L$16"}</definedName>
    <definedName name="_____T3" hidden="1">{"'Sheet1'!$L$16"}</definedName>
    <definedName name="____T3" localSheetId="3" hidden="1">{"'Sheet1'!$L$16"}</definedName>
    <definedName name="____T3" localSheetId="0" hidden="1">{"'Sheet1'!$L$16"}</definedName>
    <definedName name="____T3" localSheetId="1" hidden="1">{"'Sheet1'!$L$16"}</definedName>
    <definedName name="____T3" hidden="1">{"'Sheet1'!$L$16"}</definedName>
    <definedName name="___T3" localSheetId="3" hidden="1">{"'Sheet1'!$L$16"}</definedName>
    <definedName name="___T3" localSheetId="0" hidden="1">{"'Sheet1'!$L$16"}</definedName>
    <definedName name="___T3" localSheetId="1" hidden="1">{"'Sheet1'!$L$16"}</definedName>
    <definedName name="___T3" hidden="1">{"'Sheet1'!$L$16"}</definedName>
    <definedName name="__123Graph_A" localSheetId="1"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1"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1" hidden="1">#REF!</definedName>
    <definedName name="__123Graph_LBL_A" hidden="1">#REF!</definedName>
    <definedName name="__123Graph_LBL_B" localSheetId="1" hidden="1">#REF!</definedName>
    <definedName name="__123Graph_LBL_B" hidden="1">#REF!</definedName>
    <definedName name="__123Graph_X" localSheetId="1"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1" hidden="1">#REF!</definedName>
    <definedName name="__123Graph_Z" hidden="1">#REF!</definedName>
    <definedName name="__f5" localSheetId="3" hidden="1">{"'Sheet1'!$L$16"}</definedName>
    <definedName name="__f5" localSheetId="0" hidden="1">{"'Sheet1'!$L$16"}</definedName>
    <definedName name="__f5" localSheetId="1" hidden="1">{"'Sheet1'!$L$16"}</definedName>
    <definedName name="__f5" hidden="1">{"'Sheet1'!$L$16"}</definedName>
    <definedName name="__NSO2" localSheetId="3" hidden="1">{"'Sheet1'!$L$16"}</definedName>
    <definedName name="__NSO2" localSheetId="0" hidden="1">{"'Sheet1'!$L$16"}</definedName>
    <definedName name="__NSO2" localSheetId="1" hidden="1">{"'Sheet1'!$L$16"}</definedName>
    <definedName name="__NSO2" hidden="1">{"'Sheet1'!$L$16"}</definedName>
    <definedName name="__S1" localSheetId="3">{"Book1"}</definedName>
    <definedName name="__S1" localSheetId="0">{"Book1"}</definedName>
    <definedName name="__S1" localSheetId="1">{"Book1"}</definedName>
    <definedName name="__S1">{"Book1"}</definedName>
    <definedName name="__T3" localSheetId="3" hidden="1">{"'Sheet1'!$L$16"}</definedName>
    <definedName name="__T3" localSheetId="0" hidden="1">{"'Sheet1'!$L$16"}</definedName>
    <definedName name="__T3" localSheetId="1" hidden="1">{"'Sheet1'!$L$16"}</definedName>
    <definedName name="__T3" hidden="1">{"'Sheet1'!$L$16"}</definedName>
    <definedName name="__T5" localSheetId="3" hidden="1">{"'Sheet1'!$L$16"}</definedName>
    <definedName name="__T5" localSheetId="0" hidden="1">{"'Sheet1'!$L$16"}</definedName>
    <definedName name="__T5" localSheetId="1"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3">{"'Sheet1'!$L$16"}</definedName>
    <definedName name="_a1" localSheetId="0">{"'Sheet1'!$L$16"}</definedName>
    <definedName name="_a1" localSheetId="1">{"'Sheet1'!$L$16"}</definedName>
    <definedName name="_a1">{"'Sheet1'!$L$16"}</definedName>
    <definedName name="_a129" localSheetId="3" hidden="1">{"Offgrid",#N/A,FALSE,"OFFGRID";"Region",#N/A,FALSE,"REGION";"Offgrid -2",#N/A,FALSE,"OFFGRID";"WTP",#N/A,FALSE,"WTP";"WTP -2",#N/A,FALSE,"WTP";"Project",#N/A,FALSE,"PROJECT";"Summary -2",#N/A,FALSE,"SUMMARY"}</definedName>
    <definedName name="_a129" localSheetId="0"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3"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3" hidden="1">{#N/A,#N/A,FALSE,"Gesamt";#N/A,#N/A,FALSE,"Ree KG";#N/A,#N/A,FALSE,"Ree Inter";#N/A,#N/A,FALSE,"BTM";#N/A,#N/A,FALSE,"GmbH";#N/A,#N/A,FALSE,"Sonstige"}</definedName>
    <definedName name="_aa58" localSheetId="0" hidden="1">{#N/A,#N/A,FALSE,"Gesamt";#N/A,#N/A,FALSE,"Ree KG";#N/A,#N/A,FALSE,"Ree Inter";#N/A,#N/A,FALSE,"BTM";#N/A,#N/A,FALSE,"GmbH";#N/A,#N/A,FALSE,"Sonstige"}</definedName>
    <definedName name="_aa58" localSheetId="1" hidden="1">{#N/A,#N/A,FALSE,"Gesamt";#N/A,#N/A,FALSE,"Ree KG";#N/A,#N/A,FALSE,"Ree Inter";#N/A,#N/A,FALSE,"BTM";#N/A,#N/A,FALSE,"GmbH";#N/A,#N/A,FALSE,"Sonstige"}</definedName>
    <definedName name="_aa58" hidden="1">{#N/A,#N/A,FALSE,"Gesamt";#N/A,#N/A,FALSE,"Ree KG";#N/A,#N/A,FALSE,"Ree Inter";#N/A,#N/A,FALSE,"BTM";#N/A,#N/A,FALSE,"GmbH";#N/A,#N/A,FALSE,"Sonstige"}</definedName>
    <definedName name="_aa5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3" hidden="1">{#N/A,#N/A,FALSE,"Gesamt";#N/A,#N/A,FALSE,"Ree KG";#N/A,#N/A,FALSE,"Ree Inter";#N/A,#N/A,FALSE,"BTM";#N/A,#N/A,FALSE,"GmbH";#N/A,#N/A,FALSE,"Sonstige"}</definedName>
    <definedName name="_aa7" localSheetId="0" hidden="1">{#N/A,#N/A,FALSE,"Gesamt";#N/A,#N/A,FALSE,"Ree KG";#N/A,#N/A,FALSE,"Ree Inter";#N/A,#N/A,FALSE,"BTM";#N/A,#N/A,FALSE,"GmbH";#N/A,#N/A,FALSE,"Sonstige"}</definedName>
    <definedName name="_aa7" localSheetId="1" hidden="1">{#N/A,#N/A,FALSE,"Gesamt";#N/A,#N/A,FALSE,"Ree KG";#N/A,#N/A,FALSE,"Ree Inter";#N/A,#N/A,FALSE,"BTM";#N/A,#N/A,FALSE,"GmbH";#N/A,#N/A,FALSE,"Sonstige"}</definedName>
    <definedName name="_aa7" hidden="1">{#N/A,#N/A,FALSE,"Gesamt";#N/A,#N/A,FALSE,"Ree KG";#N/A,#N/A,FALSE,"Ree Inter";#N/A,#N/A,FALSE,"BTM";#N/A,#N/A,FALSE,"GmbH";#N/A,#N/A,FALSE,"Sonstige"}</definedName>
    <definedName name="_aa7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3" hidden="1">{#N/A,#N/A,FALSE,"Gesamt";#N/A,#N/A,FALSE,"Ree KG";#N/A,#N/A,FALSE,"Ree Inter";#N/A,#N/A,FALSE,"BTM";#N/A,#N/A,FALSE,"GmbH";#N/A,#N/A,FALSE,"Sonstige"}</definedName>
    <definedName name="_aa72" localSheetId="0" hidden="1">{#N/A,#N/A,FALSE,"Gesamt";#N/A,#N/A,FALSE,"Ree KG";#N/A,#N/A,FALSE,"Ree Inter";#N/A,#N/A,FALSE,"BTM";#N/A,#N/A,FALSE,"GmbH";#N/A,#N/A,FALSE,"Sonstige"}</definedName>
    <definedName name="_aa72" localSheetId="1" hidden="1">{#N/A,#N/A,FALSE,"Gesamt";#N/A,#N/A,FALSE,"Ree KG";#N/A,#N/A,FALSE,"Ree Inter";#N/A,#N/A,FALSE,"BTM";#N/A,#N/A,FALSE,"GmbH";#N/A,#N/A,FALSE,"Sonstige"}</definedName>
    <definedName name="_aa72" hidden="1">{#N/A,#N/A,FALSE,"Gesamt";#N/A,#N/A,FALSE,"Ree KG";#N/A,#N/A,FALSE,"Ree Inter";#N/A,#N/A,FALSE,"BTM";#N/A,#N/A,FALSE,"GmbH";#N/A,#N/A,FALSE,"Sonstige"}</definedName>
    <definedName name="_aa7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3" hidden="1">{#N/A,#N/A,FALSE,"Gesamt";#N/A,#N/A,FALSE,"Ree KG";#N/A,#N/A,FALSE,"Ree Inter";#N/A,#N/A,FALSE,"BTM";#N/A,#N/A,FALSE,"GmbH";#N/A,#N/A,FALSE,"Sonstige"}</definedName>
    <definedName name="_aa88" localSheetId="0" hidden="1">{#N/A,#N/A,FALSE,"Gesamt";#N/A,#N/A,FALSE,"Ree KG";#N/A,#N/A,FALSE,"Ree Inter";#N/A,#N/A,FALSE,"BTM";#N/A,#N/A,FALSE,"GmbH";#N/A,#N/A,FALSE,"Sonstige"}</definedName>
    <definedName name="_aa88" localSheetId="1" hidden="1">{#N/A,#N/A,FALSE,"Gesamt";#N/A,#N/A,FALSE,"Ree KG";#N/A,#N/A,FALSE,"Ree Inter";#N/A,#N/A,FALSE,"BTM";#N/A,#N/A,FALSE,"GmbH";#N/A,#N/A,FALSE,"Sonstige"}</definedName>
    <definedName name="_aa88" hidden="1">{#N/A,#N/A,FALSE,"Gesamt";#N/A,#N/A,FALSE,"Ree KG";#N/A,#N/A,FALSE,"Ree Inter";#N/A,#N/A,FALSE,"BTM";#N/A,#N/A,FALSE,"GmbH";#N/A,#N/A,FALSE,"Sonstige"}</definedName>
    <definedName name="_aa8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3" hidden="1">{"'Sheet1'!$L$16"}</definedName>
    <definedName name="_f5" localSheetId="0" hidden="1">{"'Sheet1'!$L$16"}</definedName>
    <definedName name="_f5" localSheetId="1" hidden="1">{"'Sheet1'!$L$16"}</definedName>
    <definedName name="_f5" hidden="1">{"'Sheet1'!$L$16"}</definedName>
    <definedName name="_Fill" localSheetId="1" hidden="1">#REF!</definedName>
    <definedName name="_Fill" hidden="1">#REF!</definedName>
    <definedName name="_xlnm._FilterDatabase" localSheetId="3" hidden="1">COF!$B$3:$H$42</definedName>
    <definedName name="_xlnm._FilterDatabase" localSheetId="1" hidden="1">#REF!</definedName>
    <definedName name="_xlnm._FilterDatabase" hidden="1">#REF!</definedName>
    <definedName name="_GSRATES_1" hidden="1">"CT300001Latest          "</definedName>
    <definedName name="_GSRATES_COUNT" hidden="1">1</definedName>
    <definedName name="_GSRATESR_1" hidden="1">#REF!</definedName>
    <definedName name="_Key1" localSheetId="1" hidden="1">#REF!</definedName>
    <definedName name="_Key1" hidden="1">#REF!</definedName>
    <definedName name="_Key2" localSheetId="1" hidden="1">#REF!</definedName>
    <definedName name="_Key2" hidden="1">#REF!</definedName>
    <definedName name="_NSO2" localSheetId="3" hidden="1">{"'Sheet1'!$L$16"}</definedName>
    <definedName name="_NSO2" localSheetId="0" hidden="1">{"'Sheet1'!$L$16"}</definedName>
    <definedName name="_NSO2" localSheetId="1" hidden="1">{"'Sheet1'!$L$16"}</definedName>
    <definedName name="_NSO2" hidden="1">{"'Sheet1'!$L$16"}</definedName>
    <definedName name="_o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3">{"Book1"}</definedName>
    <definedName name="_S1" localSheetId="0">{"Book1"}</definedName>
    <definedName name="_S1" localSheetId="1">{"Book1"}</definedName>
    <definedName name="_S1">{"Book1"}</definedName>
    <definedName name="_Sort" localSheetId="1" hidden="1">#REF!</definedName>
    <definedName name="_Sort" hidden="1">#REF!</definedName>
    <definedName name="_t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3" hidden="1">{"'Sheet1'!$L$16"}</definedName>
    <definedName name="_T5" localSheetId="0" hidden="1">{"'Sheet1'!$L$16"}</definedName>
    <definedName name="_T5" localSheetId="1"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1">#REF!</definedName>
    <definedName name="â259">#REF!</definedName>
    <definedName name="â312" localSheetId="1">#REF!</definedName>
    <definedName name="â312">#REF!</definedName>
    <definedName name="aa" hidden="1">#REF!</definedName>
    <definedName name="AAA_DOCTOPS" hidden="1">"AAA_SET"</definedName>
    <definedName name="AAA_duser" hidden="1">"OFF"</definedName>
    <definedName name="aaaaa"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 localSheetId="3">(PeriodInActual*(#REF!&gt;0))*PeriodInPlan</definedName>
    <definedName name="Actual" localSheetId="0">(PeriodInActual*(#REF!&gt;0))*PeriodInPlan</definedName>
    <definedName name="Actual" localSheetId="1">(PeriodInActual*(#REF!&gt;0))*PeriodInPlan</definedName>
    <definedName name="Actual">(PeriodInActual*(#REF!&gt;0))*PeriodInPlan</definedName>
    <definedName name="ActualBeyond" localSheetId="3">PeriodInActual*(#REF!&gt;0)</definedName>
    <definedName name="ActualBeyond" localSheetId="0">PeriodInActual*(#REF!&gt;0)</definedName>
    <definedName name="ActualBeyond" localSheetId="1">PeriodInActual*(#REF!&gt;0)</definedName>
    <definedName name="ActualBeyond">PeriodInActual*(#REF!&gt;0)</definedName>
    <definedName name="adcasdas" localSheetId="1" hidden="1">#REF!</definedName>
    <definedName name="adcasdas" hidden="1">#REF!</definedName>
    <definedName name="adf" localSheetId="1">#REF!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3" hidden="1">{0,#N/A,FALSE,0;0,#N/A,FALSE,0;0,#N/A,FALSE,0;0,#N/A,FALSE,0;0,#N/A,FALSE,0;0,#N/A,FALSE,0;0,#N/A,FALSE,0}</definedName>
    <definedName name="aldfj" localSheetId="0" hidden="1">{0,#N/A,FALSE,0;0,#N/A,FALSE,0;0,#N/A,FALSE,0;0,#N/A,FALSE,0;0,#N/A,FALSE,0;0,#N/A,FALSE,0;0,#N/A,FALSE,0}</definedName>
    <definedName name="aldfj" localSheetId="1"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1">#REF!</definedName>
    <definedName name="approval">#REF!</definedName>
    <definedName name="AS2DocOpenMode" hidden="1">"AS2DocumentEdit"</definedName>
    <definedName name="asd" localSheetId="3" hidden="1">{"'Sheet1'!$L$16"}</definedName>
    <definedName name="asd" localSheetId="0" hidden="1">{"'Sheet1'!$L$16"}</definedName>
    <definedName name="asd" localSheetId="1" hidden="1">{"'Sheet1'!$L$16"}</definedName>
    <definedName name="asd" hidden="1">{"'Sheet1'!$L$16"}</definedName>
    <definedName name="asdf"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3" hidden="1">{0,#N/A,FALSE,0;0,#N/A,FALSE,0;0,#N/A,FALSE,0;0,#N/A,FALSE,0;0,#N/A,FALSE,0;0,#N/A,FALSE,0;0,#N/A,FALSE,0}</definedName>
    <definedName name="asdj" localSheetId="0" hidden="1">{0,#N/A,FALSE,0;0,#N/A,FALSE,0;0,#N/A,FALSE,0;0,#N/A,FALSE,0;0,#N/A,FALSE,0;0,#N/A,FALSE,0;0,#N/A,FALSE,0}</definedName>
    <definedName name="asdj" localSheetId="1" hidden="1">{0,#N/A,FALSE,0;0,#N/A,FALSE,0;0,#N/A,FALSE,0;0,#N/A,FALSE,0;0,#N/A,FALSE,0;0,#N/A,FALSE,0;0,#N/A,FALSE,0}</definedName>
    <definedName name="asdj" hidden="1">{0,#N/A,FALSE,0;0,#N/A,FALSE,0;0,#N/A,FALSE,0;0,#N/A,FALSE,0;0,#N/A,FALSE,0;0,#N/A,FALSE,0;0,#N/A,FALSE,0}</definedName>
    <definedName name="asdjfhop" localSheetId="3" hidden="1">{0}</definedName>
    <definedName name="asdjfhop" localSheetId="0" hidden="1">{0}</definedName>
    <definedName name="asdjfhop" localSheetId="1" hidden="1">{0}</definedName>
    <definedName name="asdjfhop" hidden="1">{0}</definedName>
    <definedName name="Attribute_F">#REF!</definedName>
    <definedName name="B">#REF!</definedName>
    <definedName name="b2bSpr">#REF!</definedName>
    <definedName name="BaoHanhSuaChua">#REF!</definedName>
    <definedName name="bb"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3" hidden="1">{#N/A,#N/A,FALSE,"Gesamt";#N/A,#N/A,FALSE,"Ree KG";#N/A,#N/A,FALSE,"Ree Inter";#N/A,#N/A,FALSE,"BTM";#N/A,#N/A,FALSE,"GmbH";#N/A,#N/A,FALSE,"Sonstige"}</definedName>
    <definedName name="bbbb" localSheetId="0" hidden="1">{#N/A,#N/A,FALSE,"Gesamt";#N/A,#N/A,FALSE,"Ree KG";#N/A,#N/A,FALSE,"Ree Inter";#N/A,#N/A,FALSE,"BTM";#N/A,#N/A,FALSE,"GmbH";#N/A,#N/A,FALSE,"Sonstige"}</definedName>
    <definedName name="bbbb" localSheetId="1" hidden="1">{#N/A,#N/A,FALSE,"Gesamt";#N/A,#N/A,FALSE,"Ree KG";#N/A,#N/A,FALSE,"Ree Inter";#N/A,#N/A,FALSE,"BTM";#N/A,#N/A,FALSE,"GmbH";#N/A,#N/A,FALSE,"Sonstige"}</definedName>
    <definedName name="bbbb" hidden="1">{#N/A,#N/A,FALSE,"Gesamt";#N/A,#N/A,FALSE,"Ree KG";#N/A,#N/A,FALSE,"Ree Inter";#N/A,#N/A,FALSE,"BTM";#N/A,#N/A,FALSE,"GmbH";#N/A,#N/A,FALSE,"Sonstige"}</definedName>
    <definedName name="bbbbb"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1">#REF!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osse"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1">#REF!</definedName>
    <definedName name="chart">#REF!</definedName>
    <definedName name="ChuyenTienNoiBo">#REF!</definedName>
    <definedName name="CIQWBGuid" hidden="1">"621f55ae-6bbd-4e45-8f58-3e88dc7f13f9"</definedName>
    <definedName name="CL" localSheetId="1">#REF!</definedName>
    <definedName name="CL">#REF!</definedName>
    <definedName name="CLVC3">0.1</definedName>
    <definedName name="cnc" localSheetId="1">#REF!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1">#REF!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3" hidden="1">{#N/A,#N/A,FALSE,"Aging Summary";#N/A,#N/A,FALSE,"Ratio Analysis";#N/A,#N/A,FALSE,"Test 120 Day Accts";#N/A,#N/A,FALSE,"Tickmarks"}</definedName>
    <definedName name="dasc" localSheetId="0" hidden="1">{#N/A,#N/A,FALSE,"Aging Summary";#N/A,#N/A,FALSE,"Ratio Analysis";#N/A,#N/A,FALSE,"Test 120 Day Accts";#N/A,#N/A,FALSE,"Tickmarks"}</definedName>
    <definedName name="dasc" localSheetId="1"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1">#REF!</definedName>
    <definedName name="DataYTD">#REF!</definedName>
    <definedName name="DateSelected">#REF!</definedName>
    <definedName name="DCR" localSheetId="1" hidden="1">#REF!</definedName>
    <definedName name="DCR" hidden="1">#REF!</definedName>
    <definedName name="dcwqc" localSheetId="3" hidden="1">{#N/A,#N/A,FALSE,"Aging Summary";#N/A,#N/A,FALSE,"Ratio Analysis";#N/A,#N/A,FALSE,"Test 120 Day Accts";#N/A,#N/A,FALSE,"Tickmarks"}</definedName>
    <definedName name="dcwqc" localSheetId="0" hidden="1">{#N/A,#N/A,FALSE,"Aging Summary";#N/A,#N/A,FALSE,"Ratio Analysis";#N/A,#N/A,FALSE,"Test 120 Day Accts";#N/A,#N/A,FALSE,"Tickmarks"}</definedName>
    <definedName name="dcwqc" localSheetId="1" hidden="1">{#N/A,#N/A,FALSE,"Aging Summary";#N/A,#N/A,FALSE,"Ratio Analysis";#N/A,#N/A,FALSE,"Test 120 Day Accts";#N/A,#N/A,FALSE,"Tickmarks"}</definedName>
    <definedName name="dcwqc" hidden="1">{#N/A,#N/A,FALSE,"Aging Summary";#N/A,#N/A,FALSE,"Ratio Analysis";#N/A,#N/A,FALSE,"Test 120 Day Accts";#N/A,#N/A,FALSE,"Tickmarks"}</definedName>
    <definedName name="d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3" hidden="1">{"IGRONIC2",#N/A,FALSE,"IG fixed RONIC";"IGRONIC1",#N/A,FALSE,"IG fixed RONIC"}</definedName>
    <definedName name="delete" localSheetId="0" hidden="1">{"IGRONIC2",#N/A,FALSE,"IG fixed RONIC";"IGRONIC1",#N/A,FALSE,"IG fixed RONIC"}</definedName>
    <definedName name="delete" localSheetId="1" hidden="1">{"IGRONIC2",#N/A,FALSE,"IG fixed RONIC";"IGRONIC1",#N/A,FALSE,"IG fixed RONIC"}</definedName>
    <definedName name="delete" hidden="1">{"IGRONIC2",#N/A,FALSE,"IG fixed RONIC";"IGRONIC1",#N/A,FALSE,"IG fixed RONIC"}</definedName>
    <definedName name="delete2" localSheetId="3" hidden="1">{"IGRONIC2",#N/A,FALSE,"IG fixed RONIC";"IGRONIC1",#N/A,FALSE,"IG fixed RONIC"}</definedName>
    <definedName name="delete2" localSheetId="0" hidden="1">{"IGRONIC2",#N/A,FALSE,"IG fixed RONIC";"IGRONIC1",#N/A,FALSE,"IG fixed RONIC"}</definedName>
    <definedName name="delete2" localSheetId="1"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1" hidden="1">#REF!</definedName>
    <definedName name="dgjdgjdg" hidden="1">#REF!</definedName>
    <definedName name="DGN">#REF!</definedName>
    <definedName name="dgnx">#REF!</definedName>
    <definedName name="dgsdg" localSheetId="3" hidden="1">{"'Sheet1'!$L$16"}</definedName>
    <definedName name="dgsdg" localSheetId="0" hidden="1">{"'Sheet1'!$L$16"}</definedName>
    <definedName name="dgsdg" localSheetId="1" hidden="1">{"'Sheet1'!$L$16"}</definedName>
    <definedName name="dgsdg" hidden="1">{"'Sheet1'!$L$16"}</definedName>
    <definedName name="dgx">#REF!</definedName>
    <definedName name="dhgfdhgfd" localSheetId="1" hidden="1">#REF!</definedName>
    <definedName name="dhgfdhgfd" hidden="1">#REF!</definedName>
    <definedName name="dhgsd" localSheetId="3" hidden="1">{"Offgrid",#N/A,FALSE,"OFFGRID";"Region",#N/A,FALSE,"REGION";"Offgrid -2",#N/A,FALSE,"OFFGRID";"WTP",#N/A,FALSE,"WTP";"WTP -2",#N/A,FALSE,"WTP";"Project",#N/A,FALSE,"PROJECT";"Summary -2",#N/A,FALSE,"SUMMARY"}</definedName>
    <definedName name="dhgsd" localSheetId="0" hidden="1">{"Offgrid",#N/A,FALSE,"OFFGRID";"Region",#N/A,FALSE,"REGION";"Offgrid -2",#N/A,FALSE,"OFFGRID";"WTP",#N/A,FALSE,"WTP";"WTP -2",#N/A,FALSE,"WTP";"Project",#N/A,FALSE,"PROJECT";"Summary -2",#N/A,FALSE,"SUMMARY"}</definedName>
    <definedName name="dhgsd" localSheetId="1"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3" hidden="1">{"'Sheet1'!$L$16"}</definedName>
    <definedName name="dhhs" localSheetId="0" hidden="1">{"'Sheet1'!$L$16"}</definedName>
    <definedName name="dhhs" localSheetId="1" hidden="1">{"'Sheet1'!$L$16"}</definedName>
    <definedName name="dhhs" hidden="1">{"'Sheet1'!$L$16"}</definedName>
    <definedName name="dhjdjhg" localSheetId="1"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1" hidden="1">#REF!</definedName>
    <definedName name="djdgjg" hidden="1">#REF!</definedName>
    <definedName name="dmct">#REF!</definedName>
    <definedName name="dmkhncc">#REF!</definedName>
    <definedName name="dmtk">#REF!</definedName>
    <definedName name="Document_array" localSheetId="3">{"Book1"}</definedName>
    <definedName name="Document_array" localSheetId="0">{"Book1"}</definedName>
    <definedName name="Document_array" localSheetId="1">{"Book1"}</definedName>
    <definedName name="Document_array">{"Book1"}</definedName>
    <definedName name="DongTienDauTu">#REF!</definedName>
    <definedName name="DongTienKinhDoanh">#REF!</definedName>
    <definedName name="DongTienTaiChinh">#REF!</definedName>
    <definedName name="DownPayment">#REF!</definedName>
    <definedName name="dsafd"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1">#REF!</definedName>
    <definedName name="Ê1">#REF!</definedName>
    <definedName name="ee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1" hidden="1">#REF!</definedName>
    <definedName name="f" hidden="1">#REF!</definedName>
    <definedName name="fff"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1" hidden="1">#REF!</definedName>
    <definedName name="FGDG" hidden="1">#REF!</definedName>
    <definedName name="finance">#REF!</definedName>
    <definedName name="FROM_DATE" localSheetId="1">#REF!</definedName>
    <definedName name="FROM_DATE">#REF!</definedName>
    <definedName name="front" localSheetId="1">#REF!</definedName>
    <definedName name="front">#REF!</definedName>
    <definedName name="fsdsfafd" localSheetId="3" hidden="1">{"CSheet",#N/A,FALSE,"C";"SmCap",#N/A,FALSE,"VAL1";"GulfCoast",#N/A,FALSE,"VAL1";"nav",#N/A,FALSE,"NAV";"Summary",#N/A,FALSE,"NAV"}</definedName>
    <definedName name="fsdsfafd" localSheetId="0" hidden="1">{"CSheet",#N/A,FALSE,"C";"SmCap",#N/A,FALSE,"VAL1";"GulfCoast",#N/A,FALSE,"VAL1";"nav",#N/A,FALSE,"NAV";"Summary",#N/A,FALSE,"NAV"}</definedName>
    <definedName name="fsdsfafd" hidden="1">{"CSheet",#N/A,FALSE,"C";"SmCap",#N/A,FALSE,"VAL1";"GulfCoast",#N/A,FALSE,"VAL1";"nav",#N/A,FALSE,"NAV";"Summary",#N/A,FALSE,"NAV"}</definedName>
    <definedName name="fshg" localSheetId="3" hidden="1">{"'Sheet1'!$L$16"}</definedName>
    <definedName name="fshg" localSheetId="0" hidden="1">{"'Sheet1'!$L$16"}</definedName>
    <definedName name="fshg" localSheetId="1" hidden="1">{"'Sheet1'!$L$16"}</definedName>
    <definedName name="fshg" hidden="1">{"'Sheet1'!$L$16"}</definedName>
    <definedName name="fsvs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localSheetId="3" hidden="1">{#N/A,"DR",FALSE,"increm pf";#N/A,"MAMSI",FALSE,"increm pf";#N/A,"MAXI",FALSE,"increm pf";#N/A,"PCAM",FALSE,"increm pf";#N/A,"PHSV",FALSE,"increm pf";#N/A,"SIE",FALSE,"increm pf"}</definedName>
    <definedName name="g" localSheetId="0" hidden="1">{#N/A,"DR",FALSE,"increm pf";#N/A,"MAMSI",FALSE,"increm pf";#N/A,"MAXI",FALSE,"increm pf";#N/A,"PCAM",FALSE,"increm pf";#N/A,"PHSV",FALSE,"increm pf";#N/A,"SIE",FALSE,"increm pf"}</definedName>
    <definedName name="g" hidden="1">{#N/A,"DR",FALSE,"increm pf";#N/A,"MAMSI",FALSE,"increm pf";#N/A,"MAXI",FALSE,"increm pf";#N/A,"PCAM",FALSE,"increm pf";#N/A,"PHSV",FALSE,"increm pf";#N/A,"SIE",FALSE,"increm pf"}</definedName>
    <definedName name="g." localSheetId="1">#REF!</definedName>
    <definedName name="g.">#REF!</definedName>
    <definedName name="gd" localSheetId="1">#REF!</definedName>
    <definedName name="gd">#REF!</definedName>
    <definedName name="gdshd" localSheetId="3" hidden="1">{"'Sheet1'!$L$16"}</definedName>
    <definedName name="gdshd" localSheetId="0" hidden="1">{"'Sheet1'!$L$16"}</definedName>
    <definedName name="gdshd" localSheetId="1" hidden="1">{"'Sheet1'!$L$16"}</definedName>
    <definedName name="gdshd" hidden="1">{"'Sheet1'!$L$16"}</definedName>
    <definedName name="GDV" localSheetId="1">#REF!</definedName>
    <definedName name="GDV">#REF!</definedName>
    <definedName name="gfgfg" localSheetId="1">#REF!</definedName>
    <definedName name="gfgfg">#REF!</definedName>
    <definedName name="gg"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1" hidden="1">#REF!</definedName>
    <definedName name="ghdfhdf" hidden="1">#REF!</definedName>
    <definedName name="ghhhhh"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nr"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3" hidden="1">{"'Sheet1'!$L$16"}</definedName>
    <definedName name="h" localSheetId="0" hidden="1">{"'Sheet1'!$L$16"}</definedName>
    <definedName name="h" localSheetId="1" hidden="1">{"'Sheet1'!$L$16"}</definedName>
    <definedName name="h" hidden="1">{"'Sheet1'!$L$16"}</definedName>
    <definedName name="HanhChinh">#REF!</definedName>
    <definedName name="hdsdhd" localSheetId="3" hidden="1">{"Offgrid",#N/A,FALSE,"OFFGRID";"Region",#N/A,FALSE,"REGION";"Offgrid -2",#N/A,FALSE,"OFFGRID";"WTP",#N/A,FALSE,"WTP";"WTP -2",#N/A,FALSE,"WTP";"Project",#N/A,FALSE,"PROJECT";"Summary -2",#N/A,FALSE,"SUMMARY"}</definedName>
    <definedName name="hdsdhd" localSheetId="0" hidden="1">{"Offgrid",#N/A,FALSE,"OFFGRID";"Region",#N/A,FALSE,"REGION";"Offgrid -2",#N/A,FALSE,"OFFGRID";"WTP",#N/A,FALSE,"WTP";"WTP -2",#N/A,FALSE,"WTP";"Project",#N/A,FALSE,"PROJECT";"Summary -2",#N/A,FALSE,"SUMMARY"}</definedName>
    <definedName name="hdsdhd" localSheetId="1"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1">#REF!</definedName>
    <definedName name="hesophucapdatdo">#REF!</definedName>
    <definedName name="hh"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1" hidden="1">#REF!</definedName>
    <definedName name="hjdgjdgh" hidden="1">#REF!</definedName>
    <definedName name="hjjkl" localSheetId="3" hidden="1">{"'Sheet1'!$L$16"}</definedName>
    <definedName name="hjjkl" localSheetId="0" hidden="1">{"'Sheet1'!$L$16"}</definedName>
    <definedName name="hjjkl" localSheetId="1" hidden="1">{"'Sheet1'!$L$16"}</definedName>
    <definedName name="hjjkl" hidden="1">{"'Sheet1'!$L$16"}</definedName>
    <definedName name="Hoang" localSheetId="3">{"Book1"}</definedName>
    <definedName name="Hoang" localSheetId="0">{"Book1"}</definedName>
    <definedName name="Hoang" localSheetId="1">{"Book1"}</definedName>
    <definedName name="Hoang">{"Book1"}</definedName>
    <definedName name="HSCT3">0.1</definedName>
    <definedName name="HSDN">2.5</definedName>
    <definedName name="hsgsg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3" hidden="1">{"'Sheet1'!$L$16"}</definedName>
    <definedName name="HTML_Control" localSheetId="0" hidden="1">{"'Sheet1'!$L$16"}</definedName>
    <definedName name="HTML_Control" localSheetId="1"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3">{"Book1"}</definedName>
    <definedName name="HTthang10" localSheetId="0">{"Book1"}</definedName>
    <definedName name="HTthang10" localSheetId="1">{"Book1"}</definedName>
    <definedName name="HTthang10">{"Book1"}</definedName>
    <definedName name="huy" localSheetId="3" hidden="1">{"'Sheet1'!$L$16"}</definedName>
    <definedName name="huy" localSheetId="0" hidden="1">{"'Sheet1'!$L$16"}</definedName>
    <definedName name="huy" localSheetId="1" hidden="1">{"'Sheet1'!$L$16"}</definedName>
    <definedName name="huy" hidden="1">{"'Sheet1'!$L$16"}</definedName>
    <definedName name="hwtrwr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3" hidden="1">{"'Sheet1'!$L$16"}</definedName>
    <definedName name="ihh" localSheetId="0" hidden="1">{"'Sheet1'!$L$16"}</definedName>
    <definedName name="ihh" localSheetId="1" hidden="1">{"'Sheet1'!$L$16"}</definedName>
    <definedName name="ihh" hidden="1">{"'Sheet1'!$L$16"}</definedName>
    <definedName name="iii"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1">#REF!</definedName>
    <definedName name="ketqua">#REF!</definedName>
    <definedName name="ketyrty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1" hidden="1">#REF!</definedName>
    <definedName name="Khối" hidden="1">#REF!</definedName>
    <definedName name="khu" localSheetId="1">#REF!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1">#REF!</definedName>
    <definedName name="l41a">#REF!</definedName>
    <definedName name="lcbthitruong" localSheetId="1">#REF!</definedName>
    <definedName name="lcbthitruong">#REF!</definedName>
    <definedName name="Legal_F">#REF!</definedName>
    <definedName name="limcount" hidden="1">2</definedName>
    <definedName name="ListOffset" hidden="1">1</definedName>
    <definedName name="lll"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1">#REF!</definedName>
    <definedName name="luongcodinhtt">#REF!</definedName>
    <definedName name="luongtoithieuvung" localSheetId="1">#REF!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1">#REF!</definedName>
    <definedName name="matrandcluong">#REF!</definedName>
    <definedName name="Mavtnx">#REF!</definedName>
    <definedName name="MEWarning" hidden="1">0</definedName>
    <definedName name="Million">#REF!</definedName>
    <definedName name="mmmmm"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1">#REF!</definedName>
    <definedName name="MonthsPaid">#REF!</definedName>
    <definedName name="mst">#REF!</definedName>
    <definedName name="mucdich" localSheetId="1">#REF!</definedName>
    <definedName name="mucdich">#REF!</definedName>
    <definedName name="mvbr">#REF!</definedName>
    <definedName name="n"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3">{"Book1"}</definedName>
    <definedName name="nam" localSheetId="0">{"Book1"}</definedName>
    <definedName name="nam" localSheetId="1">{"Book1"}</definedName>
    <definedName name="nam">{"Book1"}</definedName>
    <definedName name="Name">#REF!</definedName>
    <definedName name="ndfd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3">{"Book1"}</definedName>
    <definedName name="ngoclan210779" localSheetId="0">{"Book1"}</definedName>
    <definedName name="ngoclan210779" localSheetId="1">{"Book1"}</definedName>
    <definedName name="ngoclan210779">{"Book1"}</definedName>
    <definedName name="NhanSu">#REF!</definedName>
    <definedName name="nnn" localSheetId="1" hidden="1">#REF!</definedName>
    <definedName name="nnn" hidden="1">#REF!</definedName>
    <definedName name="nodky">#REF!</definedName>
    <definedName name="noidungcongviec" localSheetId="1">#REF!</definedName>
    <definedName name="noidungcongviec">#REF!</definedName>
    <definedName name="none" hidden="1">#REF!</definedName>
    <definedName name="nonx">#REF!</definedName>
    <definedName name="nstg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3" hidden="1">{#N/A,#N/A,FALSE,"Gesamt";#N/A,#N/A,FALSE,"Ree KG";#N/A,#N/A,FALSE,"Ree Inter";#N/A,#N/A,FALSE,"BTM";#N/A,#N/A,FALSE,"GmbH";#N/A,#N/A,FALSE,"Sonstige"}</definedName>
    <definedName name="oppp" localSheetId="0" hidden="1">{#N/A,#N/A,FALSE,"Gesamt";#N/A,#N/A,FALSE,"Ree KG";#N/A,#N/A,FALSE,"Ree Inter";#N/A,#N/A,FALSE,"BTM";#N/A,#N/A,FALSE,"GmbH";#N/A,#N/A,FALSE,"Sonstige"}</definedName>
    <definedName name="oppp" localSheetId="1"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localSheetId="3" hidden="1">{#N/A,"DR",FALSE,"increm pf";#N/A,"MAMSI",FALSE,"increm pf";#N/A,"MAXI",FALSE,"increm pf";#N/A,"PCAM",FALSE,"increm pf";#N/A,"PHSV",FALSE,"increm pf";#N/A,"SIE",FALSE,"increm pf"}</definedName>
    <definedName name="P" localSheetId="0" hidden="1">{#N/A,"DR",FALSE,"increm pf";#N/A,"MAMSI",FALSE,"increm pf";#N/A,"MAXI",FALSE,"increm pf";#N/A,"PCAM",FALSE,"increm pf";#N/A,"PHSV",FALSE,"increm pf";#N/A,"SIE",FALSE,"increm pf"}</definedName>
    <definedName name="P" hidden="1">{#N/A,"DR",FALSE,"increm pf";#N/A,"MAMSI",FALSE,"increm pf";#N/A,"MAXI",FALSE,"increm pf";#N/A,"PCAM",FALSE,"increm pf";#N/A,"PHSV",FALSE,"increm pf";#N/A,"SIE",FALSE,"increm pf"}</definedName>
    <definedName name="PercentComplete" localSheetId="3">PercentCompleteBeyond*PeriodInPlan</definedName>
    <definedName name="PercentComplete" localSheetId="0">PercentCompleteBeyond*PeriodInPlan</definedName>
    <definedName name="PercentComplete" localSheetId="1">[0]!PercentCompleteBeyond*[0]!PeriodInPlan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1">#REF!</definedName>
    <definedName name="PhucapThamnien">#REF!</definedName>
    <definedName name="picture1" localSheetId="1">#REF!</definedName>
    <definedName name="picture1">#REF!</definedName>
    <definedName name="picture2" localSheetId="1">#REF!</definedName>
    <definedName name="picture2">#REF!</definedName>
    <definedName name="picture23" localSheetId="1">INDEX(#REF!,MATCH(#REF!,#REF!))</definedName>
    <definedName name="picture23">INDEX(#REF!,MATCH(#REF!,#REF!))</definedName>
    <definedName name="PL" localSheetId="1">OFFSET(#REF!,0,0,COUNTA(#REF!),1)</definedName>
    <definedName name="PL">OFFSET(#REF!,0,0,COUNTA(#REF!),1)</definedName>
    <definedName name="Plan" localSheetId="3">PeriodInPlan*(#REF!&gt;0)</definedName>
    <definedName name="Plan" localSheetId="0">PeriodInPlan*(#REF!&gt;0)</definedName>
    <definedName name="Plan" localSheetId="1">PeriodInPlan*(#REF!&gt;0)</definedName>
    <definedName name="Plan">PeriodInPlan*(#REF!&gt;0)</definedName>
    <definedName name="PLLYDOTUCHOI" localSheetId="1">#REF!</definedName>
    <definedName name="PLLYDOTUCHOI">#REF!</definedName>
    <definedName name="poo"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localSheetId="3" hidden="1">{"'Sheet1'!$L$16"}</definedName>
    <definedName name="PR" localSheetId="0" hidden="1">{"'Sheet1'!$L$16"}</definedName>
    <definedName name="PR" hidden="1">{"'Sheet1'!$L$16"}</definedName>
    <definedName name="prd" localSheetId="3" hidden="1">{"Netbacks",#N/A,FALSE,"Netbacks"}</definedName>
    <definedName name="prd" localSheetId="0" hidden="1">{"Netbacks",#N/A,FALSE,"Netbacks"}</definedName>
    <definedName name="prd" hidden="1">{"Netbacks",#N/A,FALSE,"Netbacks"}</definedName>
    <definedName name="prd." localSheetId="3" hidden="1">{"IS Years",#N/A,FALSE,"Income Statement";"IS Q96",#N/A,FALSE,"Income Statement";"IS Q97",#N/A,FALSE,"Income Statement";"Corporate",#N/A,FALSE,"Corporate Profile";"Netbacks",#N/A,FALSE,"Netbacks"}</definedName>
    <definedName name="prd." localSheetId="0" hidden="1">{"IS Years",#N/A,FALSE,"Income Statement";"IS Q96",#N/A,FALSE,"Income Statement";"IS Q97",#N/A,FALSE,"Income Statement";"Corporate",#N/A,FALSE,"Corporate Profile";"Netbacks",#N/A,FALSE,"Netbacks"}</definedName>
    <definedName name="prd." hidden="1">{"IS Years",#N/A,FALSE,"Income Statement";"IS Q96",#N/A,FALSE,"Income Statement";"IS Q97",#N/A,FALSE,"Income Statement";"Corporate",#N/A,FALSE,"Corporate Profile";"Netbacks",#N/A,FALSE,"Netbacks"}</definedName>
    <definedName name="_xlnm.Print_Area" localSheetId="6">'Saleplan&amp;PnL'!$A$1:$AO$33</definedName>
    <definedName name="_xlnm.Print_Area" localSheetId="5">SAP_Speadsheet!$A$1:$BF$223</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1">#REF!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1">#REF!</definedName>
    <definedName name="purpose">#REF!</definedName>
    <definedName name="q" localSheetId="1"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3" hidden="1">{0}</definedName>
    <definedName name="qiyf" localSheetId="0" hidden="1">{0}</definedName>
    <definedName name="qiyf" localSheetId="1" hidden="1">{0}</definedName>
    <definedName name="qiyf" hidden="1">{0}</definedName>
    <definedName name="qqq"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1">#REF!</definedName>
    <definedName name="Rate">#REF!</definedName>
    <definedName name="rawdata" localSheetId="1">#REF!</definedName>
    <definedName name="rawdata">#REF!</definedName>
    <definedName name="RCArea" hidden="1">#REF!</definedName>
    <definedName name="REFSITE" localSheetId="1">#REF!</definedName>
    <definedName name="REFSITE">#REF!</definedName>
    <definedName name="refuse" localSheetId="1">#REF!</definedName>
    <definedName name="refuse">#REF!</definedName>
    <definedName name="Region" localSheetId="1">#REF!</definedName>
    <definedName name="Region">#REF!</definedName>
    <definedName name="Region_Business_Overview" localSheetId="1">#REF!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1">#REF!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1">#REF!</definedName>
    <definedName name="RPTYEAR">#REF!</definedName>
    <definedName name="rr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1">#REF!</definedName>
    <definedName name="SANPHAM">#REF!</definedName>
    <definedName name="sbrtrt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1">#REF!</definedName>
    <definedName name="sda">#REF!</definedName>
    <definedName name="sdas" localSheetId="3" hidden="1">{"Total",#N/A,FALSE,"Six Fields";"PDP",#N/A,FALSE,"Six Fields";"PNP",#N/A,FALSE,"Six Fields";"PUD",#N/A,FALSE,"Six Fields";"Prob",#N/A,FALSE,"Six Fields"}</definedName>
    <definedName name="sdas" localSheetId="0" hidden="1">{"Total",#N/A,FALSE,"Six Fields";"PDP",#N/A,FALSE,"Six Fields";"PNP",#N/A,FALSE,"Six Fields";"PUD",#N/A,FALSE,"Six Fields";"Prob",#N/A,FALSE,"Six Fields"}</definedName>
    <definedName name="sdas" hidden="1">{"Total",#N/A,FALSE,"Six Fields";"PDP",#N/A,FALSE,"Six Fields";"PNP",#N/A,FALSE,"Six Fields";"PUD",#N/A,FALSE,"Six Fields";"Prob",#N/A,FALSE,"Six Fields"}</definedName>
    <definedName name="sdgfdh" localSheetId="3" hidden="1">{"'Sheet1'!$L$16"}</definedName>
    <definedName name="sdgfdh" localSheetId="0" hidden="1">{"'Sheet1'!$L$16"}</definedName>
    <definedName name="sdgfdh" localSheetId="1" hidden="1">{"'Sheet1'!$L$16"}</definedName>
    <definedName name="sdgfdh" hidden="1">{"'Sheet1'!$L$16"}</definedName>
    <definedName name="sdhrt" localSheetId="3" hidden="1">{"'Sheet1'!$L$16"}</definedName>
    <definedName name="sdhrt" localSheetId="0" hidden="1">{"'Sheet1'!$L$16"}</definedName>
    <definedName name="sdhrt" localSheetId="1" hidden="1">{"'Sheet1'!$L$16"}</definedName>
    <definedName name="sdhrt" hidden="1">{"'Sheet1'!$L$16"}</definedName>
    <definedName name="sencount" hidden="1">2</definedName>
    <definedName name="seyrt" localSheetId="3" hidden="1">{"'Sheet1'!$L$16"}</definedName>
    <definedName name="seyrt" localSheetId="0" hidden="1">{"'Sheet1'!$L$16"}</definedName>
    <definedName name="seyrt" localSheetId="1" hidden="1">{"'Sheet1'!$L$16"}</definedName>
    <definedName name="seyrt" hidden="1">{"'Sheet1'!$L$16"}</definedName>
    <definedName name="sgfhg" localSheetId="3" hidden="1">{"'Sheet1'!$L$16"}</definedName>
    <definedName name="sgfhg" localSheetId="0" hidden="1">{"'Sheet1'!$L$16"}</definedName>
    <definedName name="sgfhg" localSheetId="1" hidden="1">{"'Sheet1'!$L$16"}</definedName>
    <definedName name="sgfhg" hidden="1">{"'Sheet1'!$L$16"}</definedName>
    <definedName name="sgfhgf" localSheetId="3" hidden="1">{"Offgrid",#N/A,FALSE,"OFFGRID";"Region",#N/A,FALSE,"REGION";"Offgrid -2",#N/A,FALSE,"OFFGRID";"WTP",#N/A,FALSE,"WTP";"WTP -2",#N/A,FALSE,"WTP";"Project",#N/A,FALSE,"PROJECT";"Summary -2",#N/A,FALSE,"SUMMARY"}</definedName>
    <definedName name="sgfhgf" localSheetId="0" hidden="1">{"Offgrid",#N/A,FALSE,"OFFGRID";"Region",#N/A,FALSE,"REGION";"Offgrid -2",#N/A,FALSE,"OFFGRID";"WTP",#N/A,FALSE,"WTP";"WTP -2",#N/A,FALSE,"WTP";"Project",#N/A,FALSE,"PROJECT";"Summary -2",#N/A,FALSE,"SUMMARY"}</definedName>
    <definedName name="sgfhgf" localSheetId="1"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3"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ghfhf" localSheetId="1"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3" hidden="1">{#N/A,#N/A,FALSE,"Chi tiÆt"}</definedName>
    <definedName name="shfg" localSheetId="0" hidden="1">{#N/A,#N/A,FALSE,"Chi tiÆt"}</definedName>
    <definedName name="shfg" localSheetId="1" hidden="1">{#N/A,#N/A,FALSE,"Chi tiÆt"}</definedName>
    <definedName name="shfg" hidden="1">{#N/A,#N/A,FALSE,"Chi tiÆt"}</definedName>
    <definedName name="shfgb" localSheetId="3" hidden="1">{"'Sheet1'!$L$16"}</definedName>
    <definedName name="shfgb" localSheetId="0" hidden="1">{"'Sheet1'!$L$16"}</definedName>
    <definedName name="shfgb" localSheetId="1" hidden="1">{"'Sheet1'!$L$16"}</definedName>
    <definedName name="shfgb" hidden="1">{"'Sheet1'!$L$16"}</definedName>
    <definedName name="shfgf" localSheetId="3" hidden="1">{"'Sheet1'!$L$16"}</definedName>
    <definedName name="shfgf" localSheetId="0" hidden="1">{"'Sheet1'!$L$16"}</definedName>
    <definedName name="shfgf" localSheetId="1" hidden="1">{"'Sheet1'!$L$16"}</definedName>
    <definedName name="shfgf" hidden="1">{"'Sheet1'!$L$16"}</definedName>
    <definedName name="shfghgf" localSheetId="3"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localSheetId="1"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3" hidden="1">{"'Sheet1'!$L$16"}</definedName>
    <definedName name="shyt" localSheetId="0" hidden="1">{"'Sheet1'!$L$16"}</definedName>
    <definedName name="shyt" localSheetId="1"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3" hidden="1">{#N/A,#N/A,FALSE,"Gesamt";#N/A,#N/A,FALSE,"Ree KG";#N/A,#N/A,FALSE,"Ree Inter";#N/A,#N/A,FALSE,"BTM";#N/A,#N/A,FALSE,"GmbH";#N/A,#N/A,FALSE,"Sonstige"}</definedName>
    <definedName name="ssssss" localSheetId="0" hidden="1">{#N/A,#N/A,FALSE,"Gesamt";#N/A,#N/A,FALSE,"Ree KG";#N/A,#N/A,FALSE,"Ree Inter";#N/A,#N/A,FALSE,"BTM";#N/A,#N/A,FALSE,"GmbH";#N/A,#N/A,FALSE,"Sonstige"}</definedName>
    <definedName name="ssssss" localSheetId="1"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3" hidden="1">{"'Sheet1'!$L$16"}</definedName>
    <definedName name="sua" localSheetId="0" hidden="1">{"'Sheet1'!$L$16"}</definedName>
    <definedName name="sua" localSheetId="1" hidden="1">{"'Sheet1'!$L$16"}</definedName>
    <definedName name="sua" hidden="1">{"'Sheet1'!$L$16"}</definedName>
    <definedName name="SWITCH_EXPENSES">1</definedName>
    <definedName name="SWITCH_LIABILITIES">1</definedName>
    <definedName name="sy" hidden="1">#REF!</definedName>
    <definedName name="sygg" localSheetId="3" hidden="1">{"'Sheet1'!$L$16"}</definedName>
    <definedName name="sygg" localSheetId="0" hidden="1">{"'Sheet1'!$L$16"}</definedName>
    <definedName name="sygg" localSheetId="1" hidden="1">{"'Sheet1'!$L$16"}</definedName>
    <definedName name="sygg" hidden="1">{"'Sheet1'!$L$16"}</definedName>
    <definedName name="TABLE" localSheetId="1">#REF!</definedName>
    <definedName name="TABLE">#REF!</definedName>
    <definedName name="table_total_apps" localSheetId="3">data_total_Apps</definedName>
    <definedName name="table_total_apps" localSheetId="0">data_total_Apps</definedName>
    <definedName name="table_total_apps" localSheetId="1">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3" hidden="1">{"'Sheet1'!$L$16"}</definedName>
    <definedName name="tha" localSheetId="0" hidden="1">{"'Sheet1'!$L$16"}</definedName>
    <definedName name="tha" localSheetId="1" hidden="1">{"'Sheet1'!$L$16"}</definedName>
    <definedName name="tha" hidden="1">{"'Sheet1'!$L$16"}</definedName>
    <definedName name="thang10" localSheetId="3">{"Book1"}</definedName>
    <definedName name="thang10" localSheetId="0">{"Book1"}</definedName>
    <definedName name="thang10" localSheetId="1">{"Book1"}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1">#REF!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1">#REF!</definedName>
    <definedName name="Trạng_thái_khoản_vay_được_duyệt">#REF!</definedName>
    <definedName name="trend1">#REF!</definedName>
    <definedName name="trend2">#REF!</definedName>
    <definedName name="trend3">#REF!</definedName>
    <definedName name="tstr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1">#REF!</definedName>
    <definedName name="TTD">#REF!</definedName>
    <definedName name="ttntt" localSheetId="1">#REF!</definedName>
    <definedName name="ttntt">#REF!</definedName>
    <definedName name="ttnx">#REF!</definedName>
    <definedName name="tt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1">#REF!</definedName>
    <definedName name="tuchoi">#REF!</definedName>
    <definedName name="tyledieuchinhluong" localSheetId="1">#REF!</definedName>
    <definedName name="tyledieuchinhluong">#REF!</definedName>
    <definedName name="Type_detail">#REF!</definedName>
    <definedName name="u" localSheetId="3" hidden="1">{"CSheet",#N/A,FALSE,"C";"SmCap",#N/A,FALSE,"VAL1";"GulfCoast",#N/A,FALSE,"VAL1";"nav",#N/A,FALSE,"NAV";"Summary",#N/A,FALSE,"NAV"}</definedName>
    <definedName name="u" localSheetId="0" hidden="1">{"CSheet",#N/A,FALSE,"C";"SmCap",#N/A,FALSE,"VAL1";"GulfCoast",#N/A,FALSE,"VAL1";"nav",#N/A,FALSE,"NAV";"Summary",#N/A,FALSE,"NAV"}</definedName>
    <definedName name="u" hidden="1">{"CSheet",#N/A,FALSE,"C";"SmCap",#N/A,FALSE,"VAL1";"GulfCoast",#N/A,FALSE,"VAL1";"nav",#N/A,FALSE,"NAV";"Summary",#N/A,FALSE,"NAV"}</definedName>
    <definedName name="ư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1">#REF!</definedName>
    <definedName name="ư377">#REF!</definedName>
    <definedName name="ủ8" localSheetId="1">#REF!</definedName>
    <definedName name="ủ8">#REF!</definedName>
    <definedName name="uet5w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1">#REF!</definedName>
    <definedName name="VPBBaseSalaryScale">#REF!</definedName>
    <definedName name="VPBBaseSalaryScaleSale" localSheetId="1">#REF!</definedName>
    <definedName name="VPBBaseSalaryScaleSale">#REF!</definedName>
    <definedName name="VPBdata" localSheetId="1">#REF!</definedName>
    <definedName name="VPBdata">#REF!</definedName>
    <definedName name="vvv"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3" hidden="1">{#N/A,#N/A,FALSE,"Gesamt";#N/A,#N/A,FALSE,"Ree KG";#N/A,#N/A,FALSE,"Ree Inter";#N/A,#N/A,FALSE,"BTM";#N/A,#N/A,FALSE,"GmbH";#N/A,#N/A,FALSE,"Sonstige"}</definedName>
    <definedName name="vzv" localSheetId="0" hidden="1">{#N/A,#N/A,FALSE,"Gesamt";#N/A,#N/A,FALSE,"Ree KG";#N/A,#N/A,FALSE,"Ree Inter";#N/A,#N/A,FALSE,"BTM";#N/A,#N/A,FALSE,"GmbH";#N/A,#N/A,FALSE,"Sonstige"}</definedName>
    <definedName name="vzv" localSheetId="1" hidden="1">{#N/A,#N/A,FALSE,"Gesamt";#N/A,#N/A,FALSE,"Ree KG";#N/A,#N/A,FALSE,"Ree Inter";#N/A,#N/A,FALSE,"BTM";#N/A,#N/A,FALSE,"GmbH";#N/A,#N/A,FALSE,"Sonstige"}</definedName>
    <definedName name="vzv" hidden="1">{#N/A,#N/A,FALSE,"Gesamt";#N/A,#N/A,FALSE,"Ree KG";#N/A,#N/A,FALSE,"Ree Inter";#N/A,#N/A,FALSE,"BTM";#N/A,#N/A,FALSE,"GmbH";#N/A,#N/A,FALSE,"Sonstige"}</definedName>
    <definedName name="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3"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localSheetId="1"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3"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3" hidden="1">{#N/A,#N/A,FALSE,"Chi tiÆt"}</definedName>
    <definedName name="wrn.chi._.tiÆt." localSheetId="0" hidden="1">{#N/A,#N/A,FALSE,"Chi tiÆt"}</definedName>
    <definedName name="wrn.chi._.tiÆt." localSheetId="1" hidden="1">{#N/A,#N/A,FALSE,"Chi tiÆt"}</definedName>
    <definedName name="wrn.chi._.tiÆt." hidden="1">{#N/A,#N/A,FALSE,"Chi tiÆt"}</definedName>
    <definedName name="wrn.Corporate." localSheetId="3" hidden="1">{"Corporate",#N/A,FALSE,"Corporate Profile"}</definedName>
    <definedName name="wrn.Corporate." localSheetId="0" hidden="1">{"Corporate",#N/A,FALSE,"Corporate Profile"}</definedName>
    <definedName name="wrn.Corporate." hidden="1">{"Corporate",#N/A,FALSE,"Corporate Profile"}</definedName>
    <definedName name="wrn.cotop." localSheetId="3" hidden="1">{"ReportTop",#N/A,FALSE,"report top"}</definedName>
    <definedName name="wrn.cotop." localSheetId="0" hidden="1">{"ReportTop",#N/A,FALSE,"report top"}</definedName>
    <definedName name="wrn.cotop." hidden="1">{"ReportTop",#N/A,FALSE,"report top"}</definedName>
    <definedName name="wrn.cotop2." localSheetId="3" hidden="1">{"ReportTop",#N/A,FALSE,"report top"}</definedName>
    <definedName name="wrn.cotop2." localSheetId="0" hidden="1">{"ReportTop",#N/A,FALSE,"report top"}</definedName>
    <definedName name="wrn.cotop2." hidden="1">{"ReportTop",#N/A,FALSE,"report top"}</definedName>
    <definedName name="wrn.FCB." localSheetId="3" hidden="1">{"FCB_ALL",#N/A,FALSE,"FCB"}</definedName>
    <definedName name="wrn.FCB." localSheetId="0" hidden="1">{"FCB_ALL",#N/A,FALSE,"FCB"}</definedName>
    <definedName name="wrn.FCB." hidden="1">{"FCB_ALL",#N/A,FALSE,"FCB"}</definedName>
    <definedName name="wrn.fcb2" localSheetId="3" hidden="1">{"FCB_ALL",#N/A,FALSE,"FCB"}</definedName>
    <definedName name="wrn.fcb2" localSheetId="0" hidden="1">{"FCB_ALL",#N/A,FALSE,"FCB"}</definedName>
    <definedName name="wrn.fcb2" hidden="1">{"FCB_ALL",#N/A,FALSE,"FCB"}</definedName>
    <definedName name="wrn.graph." localSheetId="3" hidden="1">{"graph",#N/A,FALSE,"RIGCOUNT";"graph",#N/A,FALSE,"ON_OFFSHORE";"graph",#N/A,FALSE,"crewcnt";"graph",#N/A,FALSE,"OILvGAS";"graph",#N/A,FALSE,"OFF_RIGCOUNT";"graph",#N/A,FALSE,"indep perf";"graph",#N/A,FALSE,"oil serv perf"}</definedName>
    <definedName name="wrn.graph." localSheetId="0" hidden="1">{"graph",#N/A,FALSE,"RIGCOUNT";"graph",#N/A,FALSE,"ON_OFFSHORE";"graph",#N/A,FALSE,"crewcnt";"graph",#N/A,FALSE,"OILvGAS";"graph",#N/A,FALSE,"OFF_RIGCOUNT";"graph",#N/A,FALSE,"indep perf";"graph",#N/A,FALSE,"oil serv perf"}</definedName>
    <definedName name="wrn.graph." hidden="1">{"graph",#N/A,FALSE,"RIGCOUNT";"graph",#N/A,FALSE,"ON_OFFSHORE";"graph",#N/A,FALSE,"crewcnt";"graph",#N/A,FALSE,"OILvGAS";"graph",#N/A,FALSE,"OFF_RIGCOUNT";"graph",#N/A,FALSE,"indep perf";"graph",#N/A,FALSE,"oil serv perf"}</definedName>
    <definedName name="wrn.IGRONICbasicdata." localSheetId="3" hidden="1">{"IGRONIC2",#N/A,FALSE,"IG fixed RONIC";"IGRONIC1",#N/A,FALSE,"IG fixed RONIC"}</definedName>
    <definedName name="wrn.IGRONICbasicdata." localSheetId="0" hidden="1">{"IGRONIC2",#N/A,FALSE,"IG fixed RONIC";"IGRONIC1",#N/A,FALSE,"IG fixed RONIC"}</definedName>
    <definedName name="wrn.IGRONICbasicdata." localSheetId="1" hidden="1">{"IGRONIC2",#N/A,FALSE,"IG fixed RONIC";"IGRONIC1",#N/A,FALSE,"IG fixed RONIC"}</definedName>
    <definedName name="wrn.IGRONICbasicdata." hidden="1">{"IGRONIC2",#N/A,FALSE,"IG fixed RONIC";"IGRONIC1",#N/A,FALSE,"IG fixed RONIC"}</definedName>
    <definedName name="wrn.IGRONICbasicdata2" localSheetId="3" hidden="1">{"IGRONIC2",#N/A,FALSE,"IG fixed RONIC";"IGRONIC1",#N/A,FALSE,"IG fixed RONIC"}</definedName>
    <definedName name="wrn.IGRONICbasicdata2" localSheetId="0" hidden="1">{"IGRONIC2",#N/A,FALSE,"IG fixed RONIC";"IGRONIC1",#N/A,FALSE,"IG fixed RONIC"}</definedName>
    <definedName name="wrn.IGRONICbasicdata2" localSheetId="1" hidden="1">{"IGRONIC2",#N/A,FALSE,"IG fixed RONIC";"IGRONIC1",#N/A,FALSE,"IG fixed RONIC"}</definedName>
    <definedName name="wrn.IGRONICbasicdata2" hidden="1">{"IGRONIC2",#N/A,FALSE,"IG fixed RONIC";"IGRONIC1",#N/A,FALSE,"IG fixed RONIC"}</definedName>
    <definedName name="wrn.IS._.Q96." localSheetId="3" hidden="1">{"IS Q96",#N/A,FALSE,"Income Statement"}</definedName>
    <definedName name="wrn.IS._.Q96." localSheetId="0" hidden="1">{"IS Q96",#N/A,FALSE,"Income Statement"}</definedName>
    <definedName name="wrn.IS._.Q96." hidden="1">{"IS Q96",#N/A,FALSE,"Income Statement"}</definedName>
    <definedName name="wrn.IS._.Q97." localSheetId="3" hidden="1">{"IS Q97",#N/A,FALSE,"Income Statement"}</definedName>
    <definedName name="wrn.IS._.Q97." localSheetId="0" hidden="1">{"IS Q97",#N/A,FALSE,"Income Statement"}</definedName>
    <definedName name="wrn.IS._.Q97." hidden="1">{"IS Q97",#N/A,FALSE,"Income Statement"}</definedName>
    <definedName name="wrn.IS._.Years." localSheetId="3" hidden="1">{"IS Years",#N/A,FALSE,"Income Statement"}</definedName>
    <definedName name="wrn.IS._.Years." localSheetId="0" hidden="1">{"IS Years",#N/A,FALSE,"Income Statement"}</definedName>
    <definedName name="wrn.IS._.Years." hidden="1">{"IS Years",#N/A,FALSE,"Income Statement"}</definedName>
    <definedName name="wrn.JODM._.Graphs." localSheetId="3" hidden="1">{"graph",#N/A,FALSE,"WWJU";"graph",#N/A,FALSE,"WWSEM";"graph",#N/A,FALSE,"GOMJU";"graph",#N/A,FALSE,"GOMSEM";"graph",#N/A,FALSE,"NSJU";"graph",#N/A,FALSE,"NSSEM";"graph",#N/A,FALSE,"WAJU";"graph",#N/A,FALSE,"STOCKPRI";"graph",#N/A,FALSE,"CFTEV";"graph",#N/A,FALSE,"NAV-RCV";"graph",#N/A,FALSE,"CRUDEWW"}</definedName>
    <definedName name="wrn.JODM._.Graphs." localSheetId="0"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localSheetId="3" hidden="1">{"Netbacks",#N/A,FALSE,"Netbacks"}</definedName>
    <definedName name="wrn.Netbacks." localSheetId="0" hidden="1">{"Netbacks",#N/A,FALSE,"Netbacks"}</definedName>
    <definedName name="wrn.Netbacks." hidden="1">{"Netbacks",#N/A,FALSE,"Netbacks"}</definedName>
    <definedName name="wrn.PLX." localSheetId="3" hidden="1">{"cred comp",#N/A,FALSE,"Comparable Credit Analysis";"IS",#N/A,FALSE,"IS";"Sensitivity",#N/A,FALSE,"Sensitivity";"BS",#N/A,FALSE,"BS";"Bond Summary",#N/A,FALSE,"B Summary";"AD",#N/A,FALSE,"Accretion";"NAV",#N/A,FALSE,"NAV";"SU",#N/A,FALSE,"S&amp;U";"acq. study",#N/A,FALSE,"Acq. Study";"F Charges",#N/A,FALSE,"Fixed Charges"}</definedName>
    <definedName name="wrn.PLX." localSheetId="0"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localSheetId="3" hidden="1">{#N/A,"DR",FALSE,"increm pf";#N/A,"MAMSI",FALSE,"increm pf";#N/A,"MAXI",FALSE,"increm pf";#N/A,"PCAM",FALSE,"increm pf";#N/A,"PHSV",FALSE,"increm pf";#N/A,"SIE",FALSE,"increm pf"}</definedName>
    <definedName name="wrn.Print_Buyer." localSheetId="0"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localSheetId="3" hidden="1">{"IS Years",#N/A,FALSE,"Income Statement";"IS Q96",#N/A,FALSE,"Income Statement";"IS Q97",#N/A,FALSE,"Income Statement";"Corporate",#N/A,FALSE,"Corporate Profile";"Netbacks",#N/A,FALSE,"Netbacks"}</definedName>
    <definedName name="wrn.Print._.All." localSheetId="0" hidden="1">{"IS Years",#N/A,FALSE,"Income Statement";"IS Q96",#N/A,FALSE,"Income Statement";"IS Q97",#N/A,FALSE,"Income Statement";"Corporate",#N/A,FALSE,"Corporate Profile";"Netbacks",#N/A,FALSE,"Netbacks"}</definedName>
    <definedName name="wrn.Print._.All." hidden="1">{"IS Years",#N/A,FALSE,"Income Statement";"IS Q96",#N/A,FALSE,"Income Statement";"IS Q97",#N/A,FALSE,"Income Statement";"Corporate",#N/A,FALSE,"Corporate Profile";"Netbacks",#N/A,FALSE,"Netbacks"}</definedName>
    <definedName name="wrn.print._.graphs." localSheetId="3" hidden="1">{"cap_structure",#N/A,FALSE,"Graph-Mkt Cap";"price",#N/A,FALSE,"Graph-Price";"ebit",#N/A,FALSE,"Graph-EBITDA";"ebitda",#N/A,FALSE,"Graph-EBITDA"}</definedName>
    <definedName name="wrn.print._.graphs." localSheetId="0"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3" hidden="1">{"inputs raw data",#N/A,TRUE,"INPUT"}</definedName>
    <definedName name="wrn.print._.raw._.data._.entry." localSheetId="0" hidden="1">{"inputs raw data",#N/A,TRUE,"INPUT"}</definedName>
    <definedName name="wrn.print._.raw._.data._.entry." hidden="1">{"inputs raw data",#N/A,TRUE,"INPUT"}</definedName>
    <definedName name="wrn.print._.summary._.sheets." localSheetId="3" hidden="1">{"summary1",#N/A,TRUE,"Comps";"summary2",#N/A,TRUE,"Comps";"summary3",#N/A,TRUE,"Comps"}</definedName>
    <definedName name="wrn.print._.summary._.sheets." localSheetId="0" hidden="1">{"summary1",#N/A,TRUE,"Comps";"summary2",#N/A,TRUE,"Comps";"summary3",#N/A,TRUE,"Comps"}</definedName>
    <definedName name="wrn.print._.summary._.sheets." hidden="1">{"summary1",#N/A,TRUE,"Comps";"summary2",#N/A,TRUE,"Comps";"summary3",#N/A,TRUE,"Comps"}</definedName>
    <definedName name="wrn.Report." localSheetId="3"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localSheetId="3" hidden="1">{"Total",#N/A,FALSE,"Six Fields";"PDP",#N/A,FALSE,"Six Fields";"PNP",#N/A,FALSE,"Six Fields";"PUD",#N/A,FALSE,"Six Fields";"Prob",#N/A,FALSE,"Six Fields"}</definedName>
    <definedName name="wrn.Roll._.Up._.Fields." localSheetId="0" hidden="1">{"Total",#N/A,FALSE,"Six Fields";"PDP",#N/A,FALSE,"Six Fields";"PNP",#N/A,FALSE,"Six Fields";"PUD",#N/A,FALSE,"Six Fields";"Prob",#N/A,FALSE,"Six Fields"}</definedName>
    <definedName name="wrn.Roll._.Up._.Fields." hidden="1">{"Total",#N/A,FALSE,"Six Fields";"PDP",#N/A,FALSE,"Six Fields";"PNP",#N/A,FALSE,"Six Fields";"PUD",#N/A,FALSE,"Six Fields";"Prob",#N/A,FALSE,"Six Fields"}</definedName>
    <definedName name="wrn.STAND_ALONE_BOTH." localSheetId="3" hidden="1">{"FCB_ALL",#N/A,FALSE,"FCB";"GREY_ALL",#N/A,FALSE,"GREY"}</definedName>
    <definedName name="wrn.STAND_ALONE_BOTH." localSheetId="0" hidden="1">{"FCB_ALL",#N/A,FALSE,"FCB";"GREY_ALL",#N/A,FALSE,"GREY"}</definedName>
    <definedName name="wrn.STAND_ALONE_BOTH." hidden="1">{"FCB_ALL",#N/A,FALSE,"FCB";"GREY_ALL",#N/A,FALSE,"GREY"}</definedName>
    <definedName name="wrn.Summary." localSheetId="3" hidden="1">{"Sum1",#N/A,FALSE,"Reserve Report";"Sum2",#N/A,FALSE,"Reserve Report";"Sum3",#N/A,FALSE,"Reserve Report";"Sum4",#N/A,FALSE,"Reserve Report"}</definedName>
    <definedName name="wrn.Summary." localSheetId="0" hidden="1">{"Sum1",#N/A,FALSE,"Reserve Report";"Sum2",#N/A,FALSE,"Reserve Report";"Sum3",#N/A,FALSE,"Reserve Report";"Sum4",#N/A,FALSE,"Reserve Report"}</definedName>
    <definedName name="wrn.Summary." hidden="1">{"Sum1",#N/A,FALSE,"Reserve Report";"Sum2",#N/A,FALSE,"Reserve Report";"Sum3",#N/A,FALSE,"Reserve Report";"Sum4",#N/A,FALSE,"Reserve Report"}</definedName>
    <definedName name="wrn.TheWholeEnchilada." localSheetId="3" hidden="1">{"CSheet",#N/A,FALSE,"C";"SmCap",#N/A,FALSE,"VAL1";"GulfCoast",#N/A,FALSE,"VAL1";"nav",#N/A,FALSE,"NAV";"Summary",#N/A,FALSE,"NAV"}</definedName>
    <definedName name="wrn.TheWholeEnchilada." localSheetId="0" hidden="1">{"CSheet",#N/A,FALSE,"C";"SmCap",#N/A,FALSE,"VAL1";"GulfCoast",#N/A,FALSE,"VAL1";"nav",#N/A,FALSE,"NAV";"Summary",#N/A,FALSE,"NAV"}</definedName>
    <definedName name="wrn.TheWholeEnchilada." hidden="1">{"CSheet",#N/A,FALSE,"C";"SmCap",#N/A,FALSE,"VAL1";"GulfCoast",#N/A,FALSE,"VAL1";"nav",#N/A,FALSE,"NAV";"Summary",#N/A,FALSE,"NAV"}</definedName>
    <definedName name="wrn.Total."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localSheetId="3" hidden="1">{"Total",#N/A,FALSE,"Total Proved";"PDP",#N/A,FALSE,"Total Proved";"PNP",#N/A,FALSE,"Total Proved";"PUD",#N/A,FALSE,"Total Proved"}</definedName>
    <definedName name="wrn.Total._.Proved." localSheetId="0" hidden="1">{"Total",#N/A,FALSE,"Total Proved";"PDP",#N/A,FALSE,"Total Proved";"PNP",#N/A,FALSE,"Total Proved";"PUD",#N/A,FALSE,"Total Proved"}</definedName>
    <definedName name="wrn.Total._.Proved." hidden="1">{"Total",#N/A,FALSE,"Total Proved";"PDP",#N/A,FALSE,"Total Proved";"PNP",#N/A,FALSE,"Total Proved";"PUD",#N/A,FALSE,"Total Proved"}</definedName>
    <definedName name="wrn.Total._.Proved._.plus._.Probable." localSheetId="3" hidden="1">{"Total",#N/A,FALSE,"Total Proved + Probable";"PDP",#N/A,FALSE,"Total Proved + Probable";"PNP",#N/A,FALSE,"Total Proved + Probable";"PUD",#N/A,FALSE,"Total Proved + Probable";"Prob",#N/A,FALSE,"Total Proved + Probable"}</definedName>
    <definedName name="wrn.Total._.Proved._.plus._.Probable." localSheetId="0" hidden="1">{"Total",#N/A,FALSE,"Total Proved + Probable";"PDP",#N/A,FALSE,"Total Proved + Probable";"PNP",#N/A,FALSE,"Total Proved + Probable";"PUD",#N/A,FALSE,"Total Proved + Probable";"Prob",#N/A,FALSE,"Total Proved + Probable"}</definedName>
    <definedName name="wrn.Total._.Proved._.plus._.Probable." hidden="1">{"Total",#N/A,FALSE,"Total Proved + Probable";"PDP",#N/A,FALSE,"Total Proved + Probable";"PNP",#N/A,FALSE,"Total Proved + Probable";"PUD",#N/A,FALSE,"Total Proved + Probable";"Prob",#N/A,FALSE,"Total Proved + Probable"}</definedName>
    <definedName name="wrn.Total.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3" hidden="1">{#N/A,#N/A,FALSE,"Gesamt";#N/A,#N/A,FALSE,"Ree KG";#N/A,#N/A,FALSE,"Ree Inter";#N/A,#N/A,FALSE,"BTM";#N/A,#N/A,FALSE,"GmbH";#N/A,#N/A,FALSE,"Sonstige"}</definedName>
    <definedName name="wrn.Working._.Capital." localSheetId="0" hidden="1">{#N/A,#N/A,FALSE,"Gesamt";#N/A,#N/A,FALSE,"Ree KG";#N/A,#N/A,FALSE,"Ree Inter";#N/A,#N/A,FALSE,"BTM";#N/A,#N/A,FALSE,"GmbH";#N/A,#N/A,FALSE,"Sonstige"}</definedName>
    <definedName name="wrn.Working._.Capital." localSheetId="1"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3" hidden="1">{"Offgrid",#N/A,FALSE,"OFFGRID";"Region",#N/A,FALSE,"REGION";"Offgrid -2",#N/A,FALSE,"OFFGRID";"WTP",#N/A,FALSE,"WTP";"WTP -2",#N/A,FALSE,"WTP";"Project",#N/A,FALSE,"PROJECT";"Summary -2",#N/A,FALSE,"SUMMARY"}</definedName>
    <definedName name="wrnf.report" localSheetId="0"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3" hidden="1">{"'Sheet1'!$L$16"}</definedName>
    <definedName name="xsx" localSheetId="0" hidden="1">{"'Sheet1'!$L$16"}</definedName>
    <definedName name="xsx" localSheetId="1" hidden="1">{"'Sheet1'!$L$16"}</definedName>
    <definedName name="xsx" hidden="1">{"'Sheet1'!$L$16"}</definedName>
    <definedName name="xxxxx"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1">#REF!</definedName>
    <definedName name="ỵ">#REF!</definedName>
    <definedName name="Ỷ9" localSheetId="1">#REF!</definedName>
    <definedName name="Ỷ9">#REF!</definedName>
    <definedName name="yaafa"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1">#REF!</definedName>
    <definedName name="YTD1">#REF!</definedName>
    <definedName name="YTD10" localSheetId="1">#REF!</definedName>
    <definedName name="YTD10">#REF!</definedName>
    <definedName name="YTD11" localSheetId="1">#REF!</definedName>
    <definedName name="YTD11">#REF!</definedName>
    <definedName name="YTD12" localSheetId="1">#REF!</definedName>
    <definedName name="YTD12">#REF!</definedName>
    <definedName name="YTD2" localSheetId="1">#REF!</definedName>
    <definedName name="YTD2">#REF!</definedName>
    <definedName name="YTD3" localSheetId="1">#REF!</definedName>
    <definedName name="YTD3">#REF!</definedName>
    <definedName name="YTD4" localSheetId="1">#REF!</definedName>
    <definedName name="YTD4">#REF!</definedName>
    <definedName name="YTD5" localSheetId="1">#REF!</definedName>
    <definedName name="YTD5">#REF!</definedName>
    <definedName name="YTD6" localSheetId="1">#REF!</definedName>
    <definedName name="YTD6">#REF!</definedName>
    <definedName name="YTD7" localSheetId="1">#REF!</definedName>
    <definedName name="YTD7">#REF!</definedName>
    <definedName name="YTD8" localSheetId="1">#REF!</definedName>
    <definedName name="YTD8">#REF!</definedName>
    <definedName name="YTD9" localSheetId="1">#REF!</definedName>
    <definedName name="YTD9">#REF!</definedName>
    <definedName name="ytyse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localSheetId="3" hidden="1">{"CSheet",#N/A,FALSE,"C";"SmCap",#N/A,FALSE,"VAL1";"GulfCoast",#N/A,FALSE,"VAL1";"nav",#N/A,FALSE,"NAV";"Summary",#N/A,FALSE,"NAV"}</definedName>
    <definedName name="z" localSheetId="0" hidden="1">{"CSheet",#N/A,FALSE,"C";"SmCap",#N/A,FALSE,"VAL1";"GulfCoast",#N/A,FALSE,"VAL1";"nav",#N/A,FALSE,"NAV";"Summary",#N/A,FALSE,"NAV"}</definedName>
    <definedName name="z" hidden="1">{"CSheet",#N/A,FALSE,"C";"SmCap",#N/A,FALSE,"VAL1";"GulfCoast",#N/A,FALSE,"VAL1";"nav",#N/A,FALSE,"NAV";"Summary",#N/A,FALSE,"NAV"}</definedName>
    <definedName name="zdfgxzdfg" localSheetId="3" hidden="1">{"ReportTop",#N/A,FALSE,"report top"}</definedName>
    <definedName name="zdfgxzdfg" localSheetId="0" hidden="1">{"ReportTop",#N/A,FALSE,"report top"}</definedName>
    <definedName name="zdfgxzdfg" hidden="1">{"ReportTop",#N/A,FALSE,"report top"}</definedName>
    <definedName name="zone" localSheetId="1">#REF!</definedName>
    <definedName name="zone">#REF!</definedName>
    <definedName name="zzzzzz"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3" hidden="1">{#N/A,#N/A,FALSE,"Aging Summary";#N/A,#N/A,FALSE,"Ratio Analysis";#N/A,#N/A,FALSE,"Test 120 Day Accts";#N/A,#N/A,FALSE,"Tickmarks"}</definedName>
    <definedName name="ввыфс" localSheetId="0" hidden="1">{#N/A,#N/A,FALSE,"Aging Summary";#N/A,#N/A,FALSE,"Ratio Analysis";#N/A,#N/A,FALSE,"Test 120 Day Accts";#N/A,#N/A,FALSE,"Tickmarks"}</definedName>
    <definedName name="ввыфс" localSheetId="1"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3" hidden="1">{#N/A,#N/A,FALSE,"Aging Summary";#N/A,#N/A,FALSE,"Ratio Analysis";#N/A,#N/A,FALSE,"Test 120 Day Accts";#N/A,#N/A,FALSE,"Tickmarks"}</definedName>
    <definedName name="выфс" localSheetId="0" hidden="1">{#N/A,#N/A,FALSE,"Aging Summary";#N/A,#N/A,FALSE,"Ratio Analysis";#N/A,#N/A,FALSE,"Test 120 Day Accts";#N/A,#N/A,FALSE,"Tickmarks"}</definedName>
    <definedName name="выфс" localSheetId="1"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3"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структура" localSheetId="1"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3" hidden="1">{#N/A,#N/A,FALSE,"Aging Summary";#N/A,#N/A,FALSE,"Ratio Analysis";#N/A,#N/A,FALSE,"Test 120 Day Accts";#N/A,#N/A,FALSE,"Tickmarks"}</definedName>
    <definedName name="ФФ" localSheetId="0" hidden="1">{#N/A,#N/A,FALSE,"Aging Summary";#N/A,#N/A,FALSE,"Ratio Analysis";#N/A,#N/A,FALSE,"Test 120 Day Accts";#N/A,#N/A,FALSE,"Tickmarks"}</definedName>
    <definedName name="ФФ" localSheetId="1" hidden="1">{#N/A,#N/A,FALSE,"Aging Summary";#N/A,#N/A,FALSE,"Ratio Analysis";#N/A,#N/A,FALSE,"Test 120 Day Accts";#N/A,#N/A,FALSE,"Tickmarks"}</definedName>
    <definedName name="ФФ" hidden="1">{#N/A,#N/A,FALSE,"Aging Summary";#N/A,#N/A,FALSE,"Ratio Analysis";#N/A,#N/A,FALSE,"Test 120 Day Accts";#N/A,#N/A,FALSE,"Tickmarks"}</definedName>
    <definedName name="фыч" localSheetId="3" hidden="1">{#N/A,#N/A,FALSE,"Aging Summary";#N/A,#N/A,FALSE,"Ratio Analysis";#N/A,#N/A,FALSE,"Test 120 Day Accts";#N/A,#N/A,FALSE,"Tickmarks"}</definedName>
    <definedName name="фыч" localSheetId="0" hidden="1">{#N/A,#N/A,FALSE,"Aging Summary";#N/A,#N/A,FALSE,"Ratio Analysis";#N/A,#N/A,FALSE,"Test 120 Day Accts";#N/A,#N/A,FALSE,"Tickmarks"}</definedName>
    <definedName name="фыч" localSheetId="1" hidden="1">{#N/A,#N/A,FALSE,"Aging Summary";#N/A,#N/A,FALSE,"Ratio Analysis";#N/A,#N/A,FALSE,"Test 120 Day Accts";#N/A,#N/A,FALSE,"Tickmarks"}</definedName>
    <definedName name="фыч" hidden="1">{#N/A,#N/A,FALSE,"Aging Summary";#N/A,#N/A,FALSE,"Ratio Analysis";#N/A,#N/A,FALSE,"Test 120 Day Accts";#N/A,#N/A,FALSE,"Tickmarks"}</definedName>
  </definedNames>
  <calcPr calcId="181029" iterate="1"/>
  <pivotCaches>
    <pivotCache cacheId="1" r:id="rId12"/>
    <pivotCache cacheId="0"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K114" i="9" l="1"/>
  <c r="AJ114" i="9"/>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C114" i="9"/>
  <c r="B114" i="9"/>
  <c r="AK113" i="9"/>
  <c r="AJ113" i="9"/>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C113" i="9"/>
  <c r="B113" i="9"/>
  <c r="AK112" i="9"/>
  <c r="AJ112" i="9"/>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C112" i="9"/>
  <c r="B112" i="9"/>
  <c r="AK111" i="9"/>
  <c r="AJ111" i="9"/>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C111" i="9"/>
  <c r="B111" i="9"/>
  <c r="AK110" i="9"/>
  <c r="AJ110" i="9"/>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C110" i="9"/>
  <c r="B110" i="9"/>
  <c r="AK109" i="9"/>
  <c r="AJ109" i="9"/>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C109" i="9"/>
  <c r="B109" i="9"/>
  <c r="AK108" i="9"/>
  <c r="AJ108" i="9"/>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C108" i="9"/>
  <c r="B108" i="9"/>
  <c r="AK107" i="9"/>
  <c r="AJ107" i="9"/>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C107" i="9"/>
  <c r="B107" i="9"/>
  <c r="AK106" i="9"/>
  <c r="AJ106" i="9"/>
  <c r="AI106" i="9"/>
  <c r="AH106" i="9"/>
  <c r="AG106" i="9"/>
  <c r="AF106" i="9"/>
  <c r="AE106" i="9"/>
  <c r="AD106" i="9"/>
  <c r="AC106" i="9"/>
  <c r="AB106" i="9"/>
  <c r="AA106" i="9"/>
  <c r="Z106" i="9"/>
  <c r="Y106" i="9"/>
  <c r="X106" i="9"/>
  <c r="W106" i="9"/>
  <c r="V106" i="9"/>
  <c r="U106" i="9"/>
  <c r="T106" i="9"/>
  <c r="S106" i="9"/>
  <c r="R106" i="9"/>
  <c r="Q106" i="9"/>
  <c r="P106" i="9"/>
  <c r="O106" i="9"/>
  <c r="N106" i="9"/>
  <c r="M106" i="9"/>
  <c r="L106" i="9"/>
  <c r="K106" i="9"/>
  <c r="J106" i="9"/>
  <c r="I106" i="9"/>
  <c r="H106" i="9"/>
  <c r="G106" i="9"/>
  <c r="F106" i="9"/>
  <c r="E106" i="9"/>
  <c r="D106" i="9"/>
  <c r="C106" i="9"/>
  <c r="B106" i="9"/>
  <c r="AK105" i="9"/>
  <c r="AJ105" i="9"/>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c r="E105" i="9"/>
  <c r="D105" i="9"/>
  <c r="C105" i="9"/>
  <c r="B105" i="9"/>
  <c r="AK104" i="9"/>
  <c r="AJ104" i="9"/>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C104" i="9"/>
  <c r="B104" i="9"/>
  <c r="AK103" i="9"/>
  <c r="AJ103" i="9"/>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C103" i="9"/>
  <c r="B103" i="9"/>
  <c r="AK102" i="9"/>
  <c r="AJ102" i="9"/>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C102" i="9"/>
  <c r="B102" i="9"/>
  <c r="AK101" i="9"/>
  <c r="AJ101" i="9"/>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C101" i="9"/>
  <c r="B101" i="9"/>
  <c r="AK100" i="9"/>
  <c r="AJ100" i="9"/>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C100" i="9"/>
  <c r="B100" i="9"/>
  <c r="AK99" i="9"/>
  <c r="AJ99" i="9"/>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C99" i="9"/>
  <c r="B99" i="9"/>
  <c r="AK98" i="9"/>
  <c r="AJ98" i="9"/>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C98" i="9"/>
  <c r="B98" i="9"/>
  <c r="AK97" i="9"/>
  <c r="AJ97" i="9"/>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C97" i="9"/>
  <c r="B97" i="9"/>
  <c r="AK96" i="9"/>
  <c r="AJ96" i="9"/>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C96" i="9"/>
  <c r="B96" i="9"/>
  <c r="AK95" i="9"/>
  <c r="AJ95" i="9"/>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C95" i="9"/>
  <c r="B95" i="9"/>
  <c r="AK94" i="9"/>
  <c r="AJ94" i="9"/>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C94" i="9"/>
  <c r="B94" i="9"/>
  <c r="AK93" i="9"/>
  <c r="AJ93" i="9"/>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C93" i="9"/>
  <c r="B93" i="9"/>
  <c r="AK92" i="9"/>
  <c r="AJ92" i="9"/>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C92" i="9"/>
  <c r="B92" i="9"/>
  <c r="AK91" i="9"/>
  <c r="AJ91" i="9"/>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C91" i="9"/>
  <c r="B91" i="9"/>
  <c r="AJ90" i="9"/>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C90" i="9"/>
  <c r="B90" i="9"/>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C89" i="9"/>
  <c r="B89"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C88" i="9"/>
  <c r="B88"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C87" i="9"/>
  <c r="B87" i="9"/>
  <c r="AF86" i="9"/>
  <c r="AE86" i="9"/>
  <c r="AD86" i="9"/>
  <c r="AC86" i="9"/>
  <c r="AB86" i="9"/>
  <c r="AA86" i="9"/>
  <c r="Z86" i="9"/>
  <c r="Y86" i="9"/>
  <c r="X86" i="9"/>
  <c r="W86" i="9"/>
  <c r="V86" i="9"/>
  <c r="U86" i="9"/>
  <c r="T86" i="9"/>
  <c r="S86" i="9"/>
  <c r="R86" i="9"/>
  <c r="Q86" i="9"/>
  <c r="P86" i="9"/>
  <c r="O86" i="9"/>
  <c r="N86" i="9"/>
  <c r="M86" i="9"/>
  <c r="L86" i="9"/>
  <c r="K86" i="9"/>
  <c r="J86" i="9"/>
  <c r="I86" i="9"/>
  <c r="H86" i="9"/>
  <c r="G86" i="9"/>
  <c r="F86" i="9"/>
  <c r="E86" i="9"/>
  <c r="D86" i="9"/>
  <c r="C86" i="9"/>
  <c r="B86"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C85" i="9"/>
  <c r="B85"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C84" i="9"/>
  <c r="B84" i="9"/>
  <c r="AC83" i="9"/>
  <c r="AB83" i="9"/>
  <c r="AA83" i="9"/>
  <c r="Z83" i="9"/>
  <c r="Y83" i="9"/>
  <c r="X83" i="9"/>
  <c r="W83" i="9"/>
  <c r="V83" i="9"/>
  <c r="U83" i="9"/>
  <c r="T83" i="9"/>
  <c r="S83" i="9"/>
  <c r="R83" i="9"/>
  <c r="Q83" i="9"/>
  <c r="P83" i="9"/>
  <c r="O83" i="9"/>
  <c r="N83" i="9"/>
  <c r="M83" i="9"/>
  <c r="L83" i="9"/>
  <c r="K83" i="9"/>
  <c r="J83" i="9"/>
  <c r="I83" i="9"/>
  <c r="H83" i="9"/>
  <c r="G83" i="9"/>
  <c r="F83" i="9"/>
  <c r="E83" i="9"/>
  <c r="D83" i="9"/>
  <c r="C83" i="9"/>
  <c r="B83" i="9"/>
  <c r="AB82" i="9"/>
  <c r="AA82" i="9"/>
  <c r="Z82" i="9"/>
  <c r="Y82" i="9"/>
  <c r="X82" i="9"/>
  <c r="W82" i="9"/>
  <c r="V82" i="9"/>
  <c r="U82" i="9"/>
  <c r="T82" i="9"/>
  <c r="S82" i="9"/>
  <c r="R82" i="9"/>
  <c r="Q82" i="9"/>
  <c r="P82" i="9"/>
  <c r="O82" i="9"/>
  <c r="N82" i="9"/>
  <c r="M82" i="9"/>
  <c r="L82" i="9"/>
  <c r="K82" i="9"/>
  <c r="J82" i="9"/>
  <c r="I82" i="9"/>
  <c r="H82" i="9"/>
  <c r="G82" i="9"/>
  <c r="F82" i="9"/>
  <c r="E82" i="9"/>
  <c r="D82" i="9"/>
  <c r="C82" i="9"/>
  <c r="B82" i="9"/>
  <c r="AA81" i="9"/>
  <c r="Z81" i="9"/>
  <c r="Y81" i="9"/>
  <c r="X81" i="9"/>
  <c r="W81" i="9"/>
  <c r="V81" i="9"/>
  <c r="U81" i="9"/>
  <c r="T81" i="9"/>
  <c r="S81" i="9"/>
  <c r="R81" i="9"/>
  <c r="Q81" i="9"/>
  <c r="P81" i="9"/>
  <c r="O81" i="9"/>
  <c r="N81" i="9"/>
  <c r="M81" i="9"/>
  <c r="L81" i="9"/>
  <c r="K81" i="9"/>
  <c r="J81" i="9"/>
  <c r="I81" i="9"/>
  <c r="H81" i="9"/>
  <c r="G81" i="9"/>
  <c r="F81" i="9"/>
  <c r="E81" i="9"/>
  <c r="D81" i="9"/>
  <c r="C81" i="9"/>
  <c r="B81" i="9"/>
  <c r="Z80" i="9"/>
  <c r="Y80" i="9"/>
  <c r="X80" i="9"/>
  <c r="W80" i="9"/>
  <c r="V80" i="9"/>
  <c r="U80" i="9"/>
  <c r="T80" i="9"/>
  <c r="S80" i="9"/>
  <c r="R80" i="9"/>
  <c r="Q80" i="9"/>
  <c r="P80" i="9"/>
  <c r="O80" i="9"/>
  <c r="N80" i="9"/>
  <c r="M80" i="9"/>
  <c r="L80" i="9"/>
  <c r="K80" i="9"/>
  <c r="J80" i="9"/>
  <c r="I80" i="9"/>
  <c r="H80" i="9"/>
  <c r="G80" i="9"/>
  <c r="F80" i="9"/>
  <c r="E80" i="9"/>
  <c r="D80" i="9"/>
  <c r="C80" i="9"/>
  <c r="B80" i="9"/>
  <c r="Y79" i="9"/>
  <c r="X79" i="9"/>
  <c r="W79" i="9"/>
  <c r="V79" i="9"/>
  <c r="U79" i="9"/>
  <c r="T79" i="9"/>
  <c r="S79" i="9"/>
  <c r="R79" i="9"/>
  <c r="Q79" i="9"/>
  <c r="P79" i="9"/>
  <c r="O79" i="9"/>
  <c r="N79" i="9"/>
  <c r="M79" i="9"/>
  <c r="L79" i="9"/>
  <c r="K79" i="9"/>
  <c r="J79" i="9"/>
  <c r="I79" i="9"/>
  <c r="H79" i="9"/>
  <c r="G79" i="9"/>
  <c r="F79" i="9"/>
  <c r="E79" i="9"/>
  <c r="D79" i="9"/>
  <c r="C79" i="9"/>
  <c r="B79" i="9"/>
  <c r="X78" i="9"/>
  <c r="W78" i="9"/>
  <c r="V78" i="9"/>
  <c r="U78" i="9"/>
  <c r="T78" i="9"/>
  <c r="S78" i="9"/>
  <c r="R78" i="9"/>
  <c r="Q78" i="9"/>
  <c r="P78" i="9"/>
  <c r="O78" i="9"/>
  <c r="N78" i="9"/>
  <c r="M78" i="9"/>
  <c r="L78" i="9"/>
  <c r="K78" i="9"/>
  <c r="J78" i="9"/>
  <c r="I78" i="9"/>
  <c r="H78" i="9"/>
  <c r="G78" i="9"/>
  <c r="F78" i="9"/>
  <c r="E78" i="9"/>
  <c r="D78" i="9"/>
  <c r="C78" i="9"/>
  <c r="B78" i="9"/>
  <c r="W77" i="9"/>
  <c r="V77" i="9"/>
  <c r="U77" i="9"/>
  <c r="T77" i="9"/>
  <c r="S77" i="9"/>
  <c r="R77" i="9"/>
  <c r="Q77" i="9"/>
  <c r="P77" i="9"/>
  <c r="O77" i="9"/>
  <c r="N77" i="9"/>
  <c r="M77" i="9"/>
  <c r="L77" i="9"/>
  <c r="K77" i="9"/>
  <c r="J77" i="9"/>
  <c r="I77" i="9"/>
  <c r="H77" i="9"/>
  <c r="G77" i="9"/>
  <c r="F77" i="9"/>
  <c r="E77" i="9"/>
  <c r="D77" i="9"/>
  <c r="C77" i="9"/>
  <c r="B77" i="9"/>
  <c r="V76" i="9"/>
  <c r="U76" i="9"/>
  <c r="T76" i="9"/>
  <c r="S76" i="9"/>
  <c r="R76" i="9"/>
  <c r="Q76" i="9"/>
  <c r="P76" i="9"/>
  <c r="O76" i="9"/>
  <c r="N76" i="9"/>
  <c r="M76" i="9"/>
  <c r="L76" i="9"/>
  <c r="K76" i="9"/>
  <c r="J76" i="9"/>
  <c r="I76" i="9"/>
  <c r="H76" i="9"/>
  <c r="G76" i="9"/>
  <c r="F76" i="9"/>
  <c r="E76" i="9"/>
  <c r="D76" i="9"/>
  <c r="C76" i="9"/>
  <c r="B76" i="9"/>
  <c r="U75" i="9"/>
  <c r="T75" i="9"/>
  <c r="S75" i="9"/>
  <c r="R75" i="9"/>
  <c r="Q75" i="9"/>
  <c r="P75" i="9"/>
  <c r="O75" i="9"/>
  <c r="N75" i="9"/>
  <c r="M75" i="9"/>
  <c r="L75" i="9"/>
  <c r="K75" i="9"/>
  <c r="J75" i="9"/>
  <c r="I75" i="9"/>
  <c r="H75" i="9"/>
  <c r="G75" i="9"/>
  <c r="F75" i="9"/>
  <c r="E75" i="9"/>
  <c r="D75" i="9"/>
  <c r="C75" i="9"/>
  <c r="B75" i="9"/>
  <c r="T74" i="9"/>
  <c r="S74" i="9"/>
  <c r="R74" i="9"/>
  <c r="Q74" i="9"/>
  <c r="P74" i="9"/>
  <c r="O74" i="9"/>
  <c r="N74" i="9"/>
  <c r="M74" i="9"/>
  <c r="L74" i="9"/>
  <c r="K74" i="9"/>
  <c r="J74" i="9"/>
  <c r="I74" i="9"/>
  <c r="H74" i="9"/>
  <c r="G74" i="9"/>
  <c r="F74" i="9"/>
  <c r="E74" i="9"/>
  <c r="D74" i="9"/>
  <c r="C74" i="9"/>
  <c r="B74" i="9"/>
  <c r="S73" i="9"/>
  <c r="R73" i="9"/>
  <c r="Q73" i="9"/>
  <c r="P73" i="9"/>
  <c r="O73" i="9"/>
  <c r="N73" i="9"/>
  <c r="M73" i="9"/>
  <c r="L73" i="9"/>
  <c r="K73" i="9"/>
  <c r="J73" i="9"/>
  <c r="I73" i="9"/>
  <c r="H73" i="9"/>
  <c r="G73" i="9"/>
  <c r="F73" i="9"/>
  <c r="E73" i="9"/>
  <c r="D73" i="9"/>
  <c r="C73" i="9"/>
  <c r="B73" i="9"/>
  <c r="R72" i="9"/>
  <c r="Q72" i="9"/>
  <c r="P72" i="9"/>
  <c r="O72" i="9"/>
  <c r="N72" i="9"/>
  <c r="M72" i="9"/>
  <c r="L72" i="9"/>
  <c r="K72" i="9"/>
  <c r="J72" i="9"/>
  <c r="I72" i="9"/>
  <c r="H72" i="9"/>
  <c r="G72" i="9"/>
  <c r="F72" i="9"/>
  <c r="E72" i="9"/>
  <c r="D72" i="9"/>
  <c r="C72" i="9"/>
  <c r="B72" i="9"/>
  <c r="Q71" i="9"/>
  <c r="P71" i="9"/>
  <c r="O71" i="9"/>
  <c r="N71" i="9"/>
  <c r="M71" i="9"/>
  <c r="L71" i="9"/>
  <c r="K71" i="9"/>
  <c r="J71" i="9"/>
  <c r="I71" i="9"/>
  <c r="H71" i="9"/>
  <c r="G71" i="9"/>
  <c r="F71" i="9"/>
  <c r="E71" i="9"/>
  <c r="D71" i="9"/>
  <c r="C71" i="9"/>
  <c r="B71" i="9"/>
  <c r="P70" i="9"/>
  <c r="O70" i="9"/>
  <c r="N70" i="9"/>
  <c r="M70" i="9"/>
  <c r="L70" i="9"/>
  <c r="K70" i="9"/>
  <c r="J70" i="9"/>
  <c r="I70" i="9"/>
  <c r="H70" i="9"/>
  <c r="G70" i="9"/>
  <c r="F70" i="9"/>
  <c r="E70" i="9"/>
  <c r="D70" i="9"/>
  <c r="C70" i="9"/>
  <c r="B70" i="9"/>
  <c r="O69" i="9"/>
  <c r="N69" i="9"/>
  <c r="M69" i="9"/>
  <c r="L69" i="9"/>
  <c r="K69" i="9"/>
  <c r="J69" i="9"/>
  <c r="I69" i="9"/>
  <c r="H69" i="9"/>
  <c r="G69" i="9"/>
  <c r="F69" i="9"/>
  <c r="E69" i="9"/>
  <c r="D69" i="9"/>
  <c r="C69" i="9"/>
  <c r="B69" i="9"/>
  <c r="N68" i="9"/>
  <c r="M68" i="9"/>
  <c r="L68" i="9"/>
  <c r="K68" i="9"/>
  <c r="J68" i="9"/>
  <c r="I68" i="9"/>
  <c r="H68" i="9"/>
  <c r="G68" i="9"/>
  <c r="F68" i="9"/>
  <c r="E68" i="9"/>
  <c r="D68" i="9"/>
  <c r="C68" i="9"/>
  <c r="B68" i="9"/>
  <c r="M67" i="9"/>
  <c r="L67" i="9"/>
  <c r="K67" i="9"/>
  <c r="J67" i="9"/>
  <c r="I67" i="9"/>
  <c r="H67" i="9"/>
  <c r="G67" i="9"/>
  <c r="F67" i="9"/>
  <c r="E67" i="9"/>
  <c r="D67" i="9"/>
  <c r="C67" i="9"/>
  <c r="B67" i="9"/>
  <c r="L66" i="9"/>
  <c r="K66" i="9"/>
  <c r="J66" i="9"/>
  <c r="I66" i="9"/>
  <c r="H66" i="9"/>
  <c r="G66" i="9"/>
  <c r="F66" i="9"/>
  <c r="E66" i="9"/>
  <c r="D66" i="9"/>
  <c r="C66" i="9"/>
  <c r="B66" i="9"/>
  <c r="K65" i="9"/>
  <c r="J65" i="9"/>
  <c r="I65" i="9"/>
  <c r="H65" i="9"/>
  <c r="G65" i="9"/>
  <c r="F65" i="9"/>
  <c r="E65" i="9"/>
  <c r="D65" i="9"/>
  <c r="C65" i="9"/>
  <c r="B65" i="9"/>
  <c r="J64" i="9"/>
  <c r="I64" i="9"/>
  <c r="H64" i="9"/>
  <c r="G64" i="9"/>
  <c r="F64" i="9"/>
  <c r="E64" i="9"/>
  <c r="D64" i="9"/>
  <c r="C64" i="9"/>
  <c r="B64" i="9"/>
  <c r="I63" i="9"/>
  <c r="H63" i="9"/>
  <c r="G63" i="9"/>
  <c r="F63" i="9"/>
  <c r="E63" i="9"/>
  <c r="D63" i="9"/>
  <c r="C63" i="9"/>
  <c r="B63" i="9"/>
  <c r="H62" i="9"/>
  <c r="G62" i="9"/>
  <c r="F62" i="9"/>
  <c r="E62" i="9"/>
  <c r="D62" i="9"/>
  <c r="C62" i="9"/>
  <c r="B62" i="9"/>
  <c r="G61" i="9"/>
  <c r="F61" i="9"/>
  <c r="E61" i="9"/>
  <c r="D61" i="9"/>
  <c r="C61" i="9"/>
  <c r="B61" i="9"/>
  <c r="F60" i="9"/>
  <c r="E60" i="9"/>
  <c r="D60" i="9"/>
  <c r="C60" i="9"/>
  <c r="B60" i="9"/>
  <c r="E59" i="9"/>
  <c r="D59" i="9"/>
  <c r="C59" i="9"/>
  <c r="B59" i="9"/>
  <c r="D58" i="9"/>
  <c r="C58" i="9"/>
  <c r="B58" i="9"/>
  <c r="C57" i="9"/>
  <c r="B57" i="9"/>
  <c r="B56" i="9"/>
  <c r="AL5" i="9"/>
  <c r="B4" i="9"/>
  <c r="B3" i="9"/>
  <c r="H10" i="8"/>
  <c r="G10" i="8"/>
  <c r="F10" i="8"/>
  <c r="L6" i="8"/>
  <c r="K6" i="8"/>
  <c r="J6" i="8"/>
  <c r="F5" i="8"/>
  <c r="E5" i="8"/>
  <c r="D5" i="8"/>
  <c r="G4" i="8"/>
  <c r="F4" i="8"/>
  <c r="D4" i="9" s="1"/>
  <c r="D3" i="9" s="1"/>
  <c r="E4" i="8"/>
  <c r="C4" i="9" s="1"/>
  <c r="C3" i="9" s="1"/>
  <c r="E221" i="7"/>
  <c r="BE218" i="7"/>
  <c r="BF217" i="7" s="1"/>
  <c r="BC218" i="7"/>
  <c r="BD217" i="7" s="1"/>
  <c r="AW218" i="7"/>
  <c r="AU218" i="7"/>
  <c r="AV217" i="7" s="1"/>
  <c r="AM218" i="7"/>
  <c r="AN217" i="7" s="1"/>
  <c r="AJ218" i="7"/>
  <c r="AG218" i="7"/>
  <c r="Y218" i="7"/>
  <c r="Z217" i="7" s="1"/>
  <c r="W218" i="7"/>
  <c r="X217" i="7" s="1"/>
  <c r="V218" i="7"/>
  <c r="W217" i="7" s="1"/>
  <c r="Q218" i="7"/>
  <c r="O218" i="7"/>
  <c r="P217" i="7" s="1"/>
  <c r="G218" i="7"/>
  <c r="H217" i="7" s="1"/>
  <c r="BB217" i="7"/>
  <c r="AX217" i="7"/>
  <c r="AU217" i="7"/>
  <c r="AT217" i="7"/>
  <c r="AK217" i="7"/>
  <c r="AH217" i="7"/>
  <c r="V217" i="7"/>
  <c r="R217" i="7"/>
  <c r="O217" i="7"/>
  <c r="N217" i="7"/>
  <c r="L217" i="7"/>
  <c r="E217" i="7"/>
  <c r="E209" i="7"/>
  <c r="E213" i="7" s="1"/>
  <c r="BF205" i="7"/>
  <c r="BF218" i="7" s="1"/>
  <c r="BC205" i="7"/>
  <c r="BB205" i="7"/>
  <c r="BB218" i="7" s="1"/>
  <c r="BC217" i="7" s="1"/>
  <c r="BA205" i="7"/>
  <c r="BA218" i="7" s="1"/>
  <c r="AZ205" i="7"/>
  <c r="AZ218" i="7" s="1"/>
  <c r="BA217" i="7" s="1"/>
  <c r="AX205" i="7"/>
  <c r="AX218" i="7" s="1"/>
  <c r="AY217" i="7" s="1"/>
  <c r="AV205" i="7"/>
  <c r="AV218" i="7" s="1"/>
  <c r="AW217" i="7" s="1"/>
  <c r="AU205" i="7"/>
  <c r="AS205" i="7"/>
  <c r="AS218" i="7" s="1"/>
  <c r="AM205" i="7"/>
  <c r="AL205" i="7"/>
  <c r="AL218" i="7" s="1"/>
  <c r="AM217" i="7" s="1"/>
  <c r="AK205" i="7"/>
  <c r="AK218" i="7" s="1"/>
  <c r="AL217" i="7" s="1"/>
  <c r="AF205" i="7"/>
  <c r="AF218" i="7" s="1"/>
  <c r="AG217" i="7" s="1"/>
  <c r="AE205" i="7"/>
  <c r="AE218" i="7" s="1"/>
  <c r="AF217" i="7" s="1"/>
  <c r="AD205" i="7"/>
  <c r="AD218" i="7" s="1"/>
  <c r="AE217" i="7" s="1"/>
  <c r="AC205" i="7"/>
  <c r="AC218" i="7" s="1"/>
  <c r="AD217" i="7" s="1"/>
  <c r="Z205" i="7"/>
  <c r="Z218" i="7" s="1"/>
  <c r="AA217" i="7" s="1"/>
  <c r="W205" i="7"/>
  <c r="V205" i="7"/>
  <c r="U205" i="7"/>
  <c r="U218" i="7" s="1"/>
  <c r="T205" i="7"/>
  <c r="T218" i="7" s="1"/>
  <c r="U217" i="7" s="1"/>
  <c r="R205" i="7"/>
  <c r="R218" i="7" s="1"/>
  <c r="S217" i="7" s="1"/>
  <c r="O205" i="7"/>
  <c r="M205" i="7"/>
  <c r="M218" i="7" s="1"/>
  <c r="L205" i="7"/>
  <c r="L218" i="7" s="1"/>
  <c r="M217" i="7" s="1"/>
  <c r="H205" i="7"/>
  <c r="H218" i="7" s="1"/>
  <c r="I217" i="7" s="1"/>
  <c r="G205" i="7"/>
  <c r="F205" i="7"/>
  <c r="F218" i="7" s="1"/>
  <c r="G217" i="7" s="1"/>
  <c r="E205" i="7"/>
  <c r="BF201" i="7"/>
  <c r="BE201" i="7"/>
  <c r="BE205" i="7" s="1"/>
  <c r="BD201" i="7"/>
  <c r="BD205" i="7" s="1"/>
  <c r="BD218" i="7" s="1"/>
  <c r="BE217" i="7" s="1"/>
  <c r="BC201" i="7"/>
  <c r="BB201" i="7"/>
  <c r="BA201" i="7"/>
  <c r="AZ201" i="7"/>
  <c r="AY201" i="7"/>
  <c r="AY205" i="7" s="1"/>
  <c r="AY218" i="7" s="1"/>
  <c r="AZ217" i="7" s="1"/>
  <c r="AX201" i="7"/>
  <c r="AW201" i="7"/>
  <c r="AW205" i="7" s="1"/>
  <c r="AV201" i="7"/>
  <c r="AU201" i="7"/>
  <c r="AT201" i="7"/>
  <c r="AT205" i="7" s="1"/>
  <c r="AT218" i="7" s="1"/>
  <c r="AS201" i="7"/>
  <c r="AR201" i="7"/>
  <c r="AR205" i="7" s="1"/>
  <c r="AR218" i="7" s="1"/>
  <c r="AS217" i="7" s="1"/>
  <c r="AQ201" i="7"/>
  <c r="AQ205" i="7" s="1"/>
  <c r="AQ218" i="7" s="1"/>
  <c r="AR217" i="7" s="1"/>
  <c r="AP201" i="7"/>
  <c r="AP205" i="7" s="1"/>
  <c r="AP218" i="7" s="1"/>
  <c r="AQ217" i="7" s="1"/>
  <c r="AO201" i="7"/>
  <c r="AO205" i="7" s="1"/>
  <c r="AO218" i="7" s="1"/>
  <c r="AP217" i="7" s="1"/>
  <c r="AN201" i="7"/>
  <c r="AN205" i="7" s="1"/>
  <c r="AN218" i="7" s="1"/>
  <c r="AO217" i="7" s="1"/>
  <c r="AM201" i="7"/>
  <c r="AL201" i="7"/>
  <c r="AK201" i="7"/>
  <c r="AJ201" i="7"/>
  <c r="AJ205" i="7" s="1"/>
  <c r="AI201" i="7"/>
  <c r="AI205" i="7" s="1"/>
  <c r="AI218" i="7" s="1"/>
  <c r="AJ217" i="7" s="1"/>
  <c r="AH201" i="7"/>
  <c r="AH205" i="7" s="1"/>
  <c r="AH218" i="7" s="1"/>
  <c r="AI217" i="7" s="1"/>
  <c r="AG201" i="7"/>
  <c r="AG205" i="7" s="1"/>
  <c r="AF201" i="7"/>
  <c r="AE201" i="7"/>
  <c r="AD201" i="7"/>
  <c r="AC201" i="7"/>
  <c r="AB201" i="7"/>
  <c r="AB205" i="7" s="1"/>
  <c r="AB218" i="7" s="1"/>
  <c r="AC217" i="7" s="1"/>
  <c r="AA201" i="7"/>
  <c r="AA205" i="7" s="1"/>
  <c r="AA218" i="7" s="1"/>
  <c r="AB217" i="7" s="1"/>
  <c r="Z201" i="7"/>
  <c r="Y201" i="7"/>
  <c r="Y205" i="7" s="1"/>
  <c r="X201" i="7"/>
  <c r="X205" i="7" s="1"/>
  <c r="X218" i="7" s="1"/>
  <c r="Y217" i="7" s="1"/>
  <c r="W201" i="7"/>
  <c r="V201" i="7"/>
  <c r="U201" i="7"/>
  <c r="T201" i="7"/>
  <c r="S201" i="7"/>
  <c r="S205" i="7" s="1"/>
  <c r="S218" i="7" s="1"/>
  <c r="T217" i="7" s="1"/>
  <c r="R201" i="7"/>
  <c r="Q201" i="7"/>
  <c r="Q205" i="7" s="1"/>
  <c r="P201" i="7"/>
  <c r="P205" i="7" s="1"/>
  <c r="P218" i="7" s="1"/>
  <c r="Q217" i="7" s="1"/>
  <c r="O201" i="7"/>
  <c r="N201" i="7"/>
  <c r="N205" i="7" s="1"/>
  <c r="N218" i="7" s="1"/>
  <c r="M201" i="7"/>
  <c r="L201" i="7"/>
  <c r="K201" i="7"/>
  <c r="K205" i="7" s="1"/>
  <c r="K218" i="7" s="1"/>
  <c r="J201" i="7"/>
  <c r="J205" i="7" s="1"/>
  <c r="J218" i="7" s="1"/>
  <c r="K217" i="7" s="1"/>
  <c r="I201" i="7"/>
  <c r="I205" i="7" s="1"/>
  <c r="I218" i="7" s="1"/>
  <c r="J217" i="7" s="1"/>
  <c r="H201" i="7"/>
  <c r="G201" i="7"/>
  <c r="F201" i="7"/>
  <c r="E201" i="7"/>
  <c r="E196" i="7"/>
  <c r="E195" i="7"/>
  <c r="BF194" i="7"/>
  <c r="BE194" i="7"/>
  <c r="BD194" i="7"/>
  <c r="BC194" i="7"/>
  <c r="BB194" i="7"/>
  <c r="BA194" i="7"/>
  <c r="AZ194" i="7"/>
  <c r="AY194" i="7"/>
  <c r="AX194" i="7"/>
  <c r="AW194" i="7"/>
  <c r="AV194" i="7"/>
  <c r="AU194" i="7"/>
  <c r="AT194" i="7"/>
  <c r="AS194" i="7"/>
  <c r="AR194" i="7"/>
  <c r="AQ194" i="7"/>
  <c r="AP194" i="7"/>
  <c r="AO194" i="7"/>
  <c r="AN194" i="7"/>
  <c r="AM194" i="7"/>
  <c r="AL194" i="7"/>
  <c r="AK194" i="7"/>
  <c r="AJ194" i="7"/>
  <c r="AI194" i="7"/>
  <c r="AH194" i="7"/>
  <c r="AG194" i="7"/>
  <c r="AF194" i="7"/>
  <c r="AE194" i="7"/>
  <c r="AD194" i="7"/>
  <c r="AC194" i="7"/>
  <c r="AB194" i="7"/>
  <c r="AA194" i="7"/>
  <c r="Z194" i="7"/>
  <c r="Y194" i="7"/>
  <c r="X194" i="7"/>
  <c r="W194" i="7"/>
  <c r="V194" i="7"/>
  <c r="U194" i="7"/>
  <c r="T194" i="7"/>
  <c r="S194" i="7"/>
  <c r="R194" i="7"/>
  <c r="Q194" i="7"/>
  <c r="P194" i="7"/>
  <c r="O194" i="7"/>
  <c r="N194" i="7"/>
  <c r="M194" i="7"/>
  <c r="L194" i="7"/>
  <c r="K194" i="7"/>
  <c r="J194" i="7"/>
  <c r="I194" i="7"/>
  <c r="H194" i="7"/>
  <c r="G194" i="7"/>
  <c r="F194" i="7"/>
  <c r="E194" i="7"/>
  <c r="E193" i="7"/>
  <c r="E125" i="7"/>
  <c r="E91" i="7"/>
  <c r="E90" i="7"/>
  <c r="F5" i="7"/>
  <c r="G5" i="7" s="1"/>
  <c r="E5" i="7"/>
  <c r="E132" i="6"/>
  <c r="E131" i="6"/>
  <c r="D131" i="6"/>
  <c r="E130" i="6"/>
  <c r="D130" i="6"/>
  <c r="C130" i="6"/>
  <c r="E129" i="6"/>
  <c r="D129" i="6"/>
  <c r="C129" i="6"/>
  <c r="E128" i="6"/>
  <c r="D128" i="6"/>
  <c r="C128" i="6"/>
  <c r="E127" i="6"/>
  <c r="D127" i="6"/>
  <c r="C127" i="6"/>
  <c r="F126" i="6"/>
  <c r="E126" i="6"/>
  <c r="D126" i="6"/>
  <c r="C126" i="6"/>
  <c r="E125" i="6"/>
  <c r="D125" i="6"/>
  <c r="C125" i="6"/>
  <c r="F125" i="6" s="1"/>
  <c r="F124" i="6"/>
  <c r="E124" i="6"/>
  <c r="D124" i="6"/>
  <c r="C124" i="6"/>
  <c r="E123" i="6"/>
  <c r="D123" i="6"/>
  <c r="C123" i="6"/>
  <c r="F123" i="6" s="1"/>
  <c r="G122" i="6"/>
  <c r="D95" i="4" s="1"/>
  <c r="E122" i="6"/>
  <c r="D122" i="6"/>
  <c r="C122" i="6"/>
  <c r="F122" i="6" s="1"/>
  <c r="E121" i="6"/>
  <c r="D121" i="6"/>
  <c r="F121" i="6" s="1"/>
  <c r="G121" i="6" s="1"/>
  <c r="C121" i="6"/>
  <c r="E120" i="6"/>
  <c r="D120" i="6"/>
  <c r="C120" i="6"/>
  <c r="F120" i="6" s="1"/>
  <c r="E119" i="6"/>
  <c r="F119" i="6" s="1"/>
  <c r="G119" i="6" s="1"/>
  <c r="D92" i="4" s="1"/>
  <c r="D119" i="6"/>
  <c r="C119" i="6"/>
  <c r="E118" i="6"/>
  <c r="D118" i="6"/>
  <c r="C118" i="6"/>
  <c r="G75" i="6"/>
  <c r="G28" i="4" s="1"/>
  <c r="E75" i="6"/>
  <c r="G74" i="6"/>
  <c r="E74" i="6"/>
  <c r="G73" i="6"/>
  <c r="E73" i="6"/>
  <c r="W38" i="6"/>
  <c r="V38" i="6"/>
  <c r="U38" i="6"/>
  <c r="P38" i="6"/>
  <c r="O38" i="6"/>
  <c r="N38" i="6"/>
  <c r="M38" i="6"/>
  <c r="H38" i="6"/>
  <c r="C42" i="6" s="1"/>
  <c r="E63" i="4" s="1"/>
  <c r="E89" i="7" s="1"/>
  <c r="G38" i="6"/>
  <c r="F38" i="6"/>
  <c r="E38" i="6"/>
  <c r="X37" i="6"/>
  <c r="Y37" i="6" s="1"/>
  <c r="X36" i="6"/>
  <c r="X35" i="6"/>
  <c r="X34" i="6"/>
  <c r="X33" i="6"/>
  <c r="Y32" i="6"/>
  <c r="X32" i="6"/>
  <c r="X31" i="6"/>
  <c r="X30" i="6"/>
  <c r="X29" i="6"/>
  <c r="E58" i="6" s="1"/>
  <c r="K20" i="6"/>
  <c r="J20" i="6"/>
  <c r="I20" i="6"/>
  <c r="H20" i="6"/>
  <c r="G20" i="6"/>
  <c r="E20" i="6"/>
  <c r="L19" i="6"/>
  <c r="L18" i="6"/>
  <c r="L17" i="6"/>
  <c r="H2" i="5"/>
  <c r="F2" i="5"/>
  <c r="E2" i="5"/>
  <c r="F1" i="5"/>
  <c r="H1" i="5" s="1"/>
  <c r="E1" i="5"/>
  <c r="F106" i="4"/>
  <c r="F105" i="4"/>
  <c r="E126" i="7" s="1"/>
  <c r="F104" i="4"/>
  <c r="E103" i="4"/>
  <c r="F103" i="4" s="1"/>
  <c r="E124" i="7" s="1"/>
  <c r="E102" i="4"/>
  <c r="F102" i="4" s="1"/>
  <c r="E123" i="7" s="1"/>
  <c r="E101" i="4"/>
  <c r="F101" i="4" s="1"/>
  <c r="E122" i="7" s="1"/>
  <c r="F100" i="4"/>
  <c r="E121" i="7" s="1"/>
  <c r="E100" i="4"/>
  <c r="F99" i="4"/>
  <c r="E120" i="7" s="1"/>
  <c r="E99" i="4"/>
  <c r="D99" i="4"/>
  <c r="D98" i="4"/>
  <c r="E98" i="4" s="1"/>
  <c r="F98" i="4" s="1"/>
  <c r="E119" i="7" s="1"/>
  <c r="D97" i="4"/>
  <c r="D96" i="4"/>
  <c r="D94" i="4"/>
  <c r="D93" i="4"/>
  <c r="D91" i="4"/>
  <c r="E91" i="4" s="1"/>
  <c r="F91" i="4" s="1"/>
  <c r="E112" i="7" s="1"/>
  <c r="E71" i="4"/>
  <c r="E67" i="4"/>
  <c r="E66" i="4"/>
  <c r="S50" i="4"/>
  <c r="R50" i="4"/>
  <c r="Q50" i="4"/>
  <c r="P50" i="4"/>
  <c r="O50" i="4"/>
  <c r="S47" i="4"/>
  <c r="R47" i="4"/>
  <c r="Q47" i="4"/>
  <c r="P47" i="4"/>
  <c r="O47" i="4"/>
  <c r="S46" i="4"/>
  <c r="S45" i="4" s="1"/>
  <c r="S19" i="4" s="1"/>
  <c r="R46" i="4"/>
  <c r="R45" i="4" s="1"/>
  <c r="R19" i="4" s="1"/>
  <c r="Q46" i="4"/>
  <c r="P46" i="4"/>
  <c r="P45" i="4"/>
  <c r="P19" i="4" s="1"/>
  <c r="S44" i="4"/>
  <c r="R44" i="4"/>
  <c r="Q44" i="4"/>
  <c r="P44" i="4"/>
  <c r="S42" i="4"/>
  <c r="R42" i="4"/>
  <c r="Q42" i="4"/>
  <c r="P42" i="4"/>
  <c r="S36" i="4"/>
  <c r="R36" i="4"/>
  <c r="Q36" i="4"/>
  <c r="P36" i="4"/>
  <c r="E35" i="4"/>
  <c r="E34" i="4"/>
  <c r="E31" i="4"/>
  <c r="C31" i="4"/>
  <c r="E30" i="4"/>
  <c r="C30" i="4"/>
  <c r="C29" i="4"/>
  <c r="E28" i="4"/>
  <c r="C28" i="4"/>
  <c r="G27" i="4"/>
  <c r="E27" i="4"/>
  <c r="C27" i="4"/>
  <c r="G26" i="4"/>
  <c r="E26" i="4"/>
  <c r="F19" i="4"/>
  <c r="F18" i="4"/>
  <c r="D12" i="7" s="1"/>
  <c r="E12" i="4"/>
  <c r="E10" i="4"/>
  <c r="H6" i="4"/>
  <c r="H5" i="4"/>
  <c r="H4" i="4"/>
  <c r="D2" i="4"/>
  <c r="C2" i="4"/>
  <c r="B2" i="4"/>
  <c r="W20" i="2"/>
  <c r="V20" i="2"/>
  <c r="U20" i="2"/>
  <c r="S20" i="2"/>
  <c r="R20" i="2"/>
  <c r="Q20" i="2"/>
  <c r="U19" i="2"/>
  <c r="S19" i="2"/>
  <c r="W19" i="2" s="1"/>
  <c r="R19" i="2"/>
  <c r="Q19" i="2"/>
  <c r="W18" i="2"/>
  <c r="S18" i="2"/>
  <c r="R18" i="2"/>
  <c r="V18" i="2" s="1"/>
  <c r="Q18" i="2"/>
  <c r="AD17" i="2"/>
  <c r="G13" i="7" l="1"/>
  <c r="G202" i="7" s="1"/>
  <c r="H5" i="7"/>
  <c r="G14" i="7"/>
  <c r="E117" i="4"/>
  <c r="E92" i="4"/>
  <c r="F92" i="4" s="1"/>
  <c r="E113" i="7" s="1"/>
  <c r="E95" i="4"/>
  <c r="F95" i="4" s="1"/>
  <c r="E116" i="7" s="1"/>
  <c r="E93" i="4"/>
  <c r="F93" i="4" s="1"/>
  <c r="E114" i="7" s="1"/>
  <c r="AD15" i="2"/>
  <c r="E18" i="4" s="1"/>
  <c r="Y6" i="2"/>
  <c r="U18" i="2"/>
  <c r="W6" i="2"/>
  <c r="E94" i="4"/>
  <c r="F94" i="4" s="1"/>
  <c r="E115" i="7" s="1"/>
  <c r="F93" i="7"/>
  <c r="F107" i="7" s="1"/>
  <c r="F34" i="7"/>
  <c r="F13" i="7"/>
  <c r="F202" i="7" s="1"/>
  <c r="F68" i="7" a="1"/>
  <c r="F68" i="7" s="1"/>
  <c r="F14" i="7"/>
  <c r="Q45" i="4"/>
  <c r="Q19" i="4" s="1"/>
  <c r="BD54" i="9"/>
  <c r="AV54" i="9"/>
  <c r="AN54" i="9"/>
  <c r="AF54" i="9"/>
  <c r="X54" i="9"/>
  <c r="P54" i="9"/>
  <c r="BC54" i="9"/>
  <c r="AU54" i="9"/>
  <c r="AM54" i="9"/>
  <c r="AE54" i="9"/>
  <c r="W54" i="9"/>
  <c r="O54" i="9"/>
  <c r="G54" i="9"/>
  <c r="BB54" i="9"/>
  <c r="AR54" i="9"/>
  <c r="AH54" i="9"/>
  <c r="AL59" i="9" s="1"/>
  <c r="V54" i="9"/>
  <c r="L54" i="9"/>
  <c r="B54" i="9"/>
  <c r="BA54" i="9"/>
  <c r="AQ54" i="9"/>
  <c r="AG54" i="9"/>
  <c r="U54" i="9"/>
  <c r="K54" i="9"/>
  <c r="AZ54" i="9"/>
  <c r="AP54" i="9"/>
  <c r="AD54" i="9"/>
  <c r="T54" i="9"/>
  <c r="BI54" i="9"/>
  <c r="AY54" i="9"/>
  <c r="AO54" i="9"/>
  <c r="AC54" i="9"/>
  <c r="S54" i="9"/>
  <c r="BH54" i="9"/>
  <c r="AX54" i="9"/>
  <c r="AL54" i="9"/>
  <c r="AB54" i="9"/>
  <c r="R54" i="9"/>
  <c r="F54" i="9"/>
  <c r="BE54" i="9"/>
  <c r="AS54" i="9"/>
  <c r="AI54" i="9"/>
  <c r="Y54" i="9"/>
  <c r="M54" i="9"/>
  <c r="C54" i="9"/>
  <c r="AT54" i="9"/>
  <c r="D54" i="9"/>
  <c r="AK54" i="9"/>
  <c r="AK55" i="9" s="1"/>
  <c r="AJ54" i="9"/>
  <c r="AA54" i="9"/>
  <c r="Z54" i="9"/>
  <c r="BG54" i="9"/>
  <c r="Q54" i="9"/>
  <c r="BF54" i="9"/>
  <c r="N54" i="9"/>
  <c r="AW54" i="9"/>
  <c r="E54" i="9"/>
  <c r="E73" i="7"/>
  <c r="E63" i="7"/>
  <c r="O36" i="4" s="1"/>
  <c r="N36" i="4" s="1"/>
  <c r="E65" i="7"/>
  <c r="D17" i="7"/>
  <c r="D27" i="7"/>
  <c r="O46" i="4"/>
  <c r="E88" i="7"/>
  <c r="V19" i="2"/>
  <c r="AD16" i="2"/>
  <c r="E97" i="4"/>
  <c r="F97" i="4" s="1"/>
  <c r="E118" i="7" s="1"/>
  <c r="E96" i="4"/>
  <c r="F96" i="4" s="1"/>
  <c r="E117" i="7" s="1"/>
  <c r="N47" i="4"/>
  <c r="F6" i="7"/>
  <c r="D18" i="4"/>
  <c r="C19" i="4" s="1"/>
  <c r="G12" i="7" s="1"/>
  <c r="E6" i="7"/>
  <c r="D6" i="7"/>
  <c r="G6" i="7"/>
  <c r="Y31" i="6"/>
  <c r="Y36" i="6"/>
  <c r="E179" i="7"/>
  <c r="E172" i="7"/>
  <c r="E156" i="7"/>
  <c r="E152" i="7"/>
  <c r="E163" i="7"/>
  <c r="E107" i="7"/>
  <c r="E105" i="7"/>
  <c r="E143" i="7"/>
  <c r="E141" i="7"/>
  <c r="E137" i="7"/>
  <c r="E140" i="7"/>
  <c r="E132" i="7"/>
  <c r="E68" i="7" a="1"/>
  <c r="E68" i="7" s="1"/>
  <c r="E96" i="7"/>
  <c r="E161" i="7"/>
  <c r="E104" i="7"/>
  <c r="E40" i="7"/>
  <c r="E38" i="7"/>
  <c r="E36" i="7"/>
  <c r="E139" i="7" s="1"/>
  <c r="E34" i="7"/>
  <c r="E157" i="7" s="1"/>
  <c r="E32" i="7"/>
  <c r="E135" i="7" s="1"/>
  <c r="E13" i="7"/>
  <c r="E16" i="7" s="1"/>
  <c r="E100" i="7" s="1"/>
  <c r="E99" i="7" s="1"/>
  <c r="E106" i="7"/>
  <c r="H6" i="7"/>
  <c r="E14" i="7"/>
  <c r="Y33" i="6"/>
  <c r="Y34" i="6"/>
  <c r="Y29" i="6"/>
  <c r="C41" i="6"/>
  <c r="E61" i="4" s="1"/>
  <c r="E86" i="7" s="1"/>
  <c r="D7" i="7"/>
  <c r="E33" i="7"/>
  <c r="E37" i="7"/>
  <c r="E160" i="7" s="1"/>
  <c r="E41" i="7"/>
  <c r="E144" i="7" s="1"/>
  <c r="N50" i="4"/>
  <c r="Y30" i="6"/>
  <c r="Y35" i="6"/>
  <c r="E29" i="7"/>
  <c r="F30" i="7" s="1"/>
  <c r="G31" i="7" s="1"/>
  <c r="E14" i="4"/>
  <c r="D19" i="4" s="1"/>
  <c r="D58" i="6"/>
  <c r="E47" i="4" s="1"/>
  <c r="F118" i="6"/>
  <c r="E11" i="7"/>
  <c r="E218" i="7"/>
  <c r="F217" i="7" s="1"/>
  <c r="E214" i="7"/>
  <c r="E4" i="9"/>
  <c r="G5" i="8"/>
  <c r="H4" i="8"/>
  <c r="E222" i="7"/>
  <c r="H54" i="9"/>
  <c r="E14" i="8"/>
  <c r="AL114" i="9"/>
  <c r="AL103" i="9"/>
  <c r="AL86" i="9"/>
  <c r="AL84" i="9"/>
  <c r="AL82" i="9"/>
  <c r="AL80" i="9"/>
  <c r="AL78" i="9"/>
  <c r="AL100" i="9"/>
  <c r="AL95" i="9"/>
  <c r="AL91" i="9"/>
  <c r="AL90" i="9"/>
  <c r="AL89" i="9"/>
  <c r="AL99" i="9"/>
  <c r="AL98" i="9"/>
  <c r="AL94" i="9"/>
  <c r="AL73" i="9"/>
  <c r="AL92" i="9"/>
  <c r="AL79" i="9"/>
  <c r="AL108" i="9"/>
  <c r="AL102" i="9"/>
  <c r="AL109" i="9"/>
  <c r="AL107" i="9"/>
  <c r="AL110" i="9"/>
  <c r="AL106" i="9"/>
  <c r="AL101" i="9"/>
  <c r="AL97" i="9"/>
  <c r="AL93" i="9"/>
  <c r="AL113" i="9"/>
  <c r="AL96" i="9"/>
  <c r="AL111" i="9"/>
  <c r="AL105" i="9"/>
  <c r="AL72" i="9"/>
  <c r="AL112" i="9"/>
  <c r="AL85" i="9"/>
  <c r="AL104" i="9"/>
  <c r="AL70" i="9"/>
  <c r="AL68" i="9"/>
  <c r="AL66" i="9"/>
  <c r="AL64" i="9"/>
  <c r="AL71" i="9"/>
  <c r="AL63" i="9"/>
  <c r="AL58" i="9"/>
  <c r="AL55" i="9"/>
  <c r="AL61" i="9"/>
  <c r="AL57" i="9"/>
  <c r="AL56" i="9"/>
  <c r="AL88" i="9"/>
  <c r="AL67" i="9"/>
  <c r="AL74" i="9"/>
  <c r="AL81" i="9"/>
  <c r="AL65" i="9"/>
  <c r="AL62" i="9"/>
  <c r="AM5" i="9"/>
  <c r="J54" i="9"/>
  <c r="AL83" i="9" s="1"/>
  <c r="I10" i="8"/>
  <c r="I54" i="9"/>
  <c r="E159" i="7" l="1"/>
  <c r="E202" i="7"/>
  <c r="D44" i="7"/>
  <c r="E51" i="7"/>
  <c r="AI57" i="9"/>
  <c r="AG55" i="9"/>
  <c r="AJ58" i="9"/>
  <c r="AK59" i="9"/>
  <c r="AH56" i="9"/>
  <c r="E175" i="7"/>
  <c r="AH72" i="9"/>
  <c r="AK75" i="9"/>
  <c r="AJ74" i="9"/>
  <c r="Y63" i="9"/>
  <c r="AB66" i="9"/>
  <c r="AI73" i="9"/>
  <c r="AG71" i="9"/>
  <c r="AE69" i="9"/>
  <c r="AD68" i="9"/>
  <c r="AF70" i="9"/>
  <c r="U59" i="9"/>
  <c r="S57" i="9"/>
  <c r="AC67" i="9"/>
  <c r="W61" i="9"/>
  <c r="V60" i="9"/>
  <c r="R56" i="9"/>
  <c r="AA65" i="9"/>
  <c r="X62" i="9"/>
  <c r="Z64" i="9"/>
  <c r="Q55" i="9"/>
  <c r="T58" i="9"/>
  <c r="E197" i="7"/>
  <c r="F193" i="7" s="1"/>
  <c r="AD80" i="9"/>
  <c r="AJ86" i="9"/>
  <c r="AI85" i="9"/>
  <c r="AE81" i="9"/>
  <c r="AK87" i="9"/>
  <c r="AC79" i="9"/>
  <c r="AB78" i="9"/>
  <c r="U71" i="9"/>
  <c r="AH84" i="9"/>
  <c r="AA77" i="9"/>
  <c r="Z76" i="9"/>
  <c r="X74" i="9"/>
  <c r="Q67" i="9"/>
  <c r="AG83" i="9"/>
  <c r="T70" i="9"/>
  <c r="L62" i="9"/>
  <c r="O65" i="9"/>
  <c r="AF82" i="9"/>
  <c r="N64" i="9"/>
  <c r="K61" i="9"/>
  <c r="H58" i="9"/>
  <c r="R68" i="9"/>
  <c r="W73" i="9"/>
  <c r="M63" i="9"/>
  <c r="V72" i="9"/>
  <c r="S69" i="9"/>
  <c r="J60" i="9"/>
  <c r="E55" i="9"/>
  <c r="F56" i="9"/>
  <c r="Y75" i="9"/>
  <c r="P66" i="9"/>
  <c r="G57" i="9"/>
  <c r="I59" i="9"/>
  <c r="AJ55" i="9"/>
  <c r="AK56" i="9"/>
  <c r="AK73" i="9"/>
  <c r="AI71" i="9"/>
  <c r="AG69" i="9"/>
  <c r="Y61" i="9"/>
  <c r="AB64" i="9"/>
  <c r="AE67" i="9"/>
  <c r="AD66" i="9"/>
  <c r="AC65" i="9"/>
  <c r="X60" i="9"/>
  <c r="S55" i="9"/>
  <c r="AA63" i="9"/>
  <c r="Z62" i="9"/>
  <c r="V58" i="9"/>
  <c r="AF68" i="9"/>
  <c r="T56" i="9"/>
  <c r="U57" i="9"/>
  <c r="AH70" i="9"/>
  <c r="AJ72" i="9"/>
  <c r="W59" i="9"/>
  <c r="AK70" i="9"/>
  <c r="AC62" i="9"/>
  <c r="AF65" i="9"/>
  <c r="AI68" i="9"/>
  <c r="AH67" i="9"/>
  <c r="W56" i="9"/>
  <c r="AB61" i="9"/>
  <c r="AA60" i="9"/>
  <c r="X57" i="9"/>
  <c r="AJ69" i="9"/>
  <c r="AE64" i="9"/>
  <c r="Z59" i="9"/>
  <c r="Y58" i="9"/>
  <c r="V55" i="9"/>
  <c r="AG66" i="9"/>
  <c r="AD63" i="9"/>
  <c r="F106" i="7"/>
  <c r="F104" i="7"/>
  <c r="F103" i="7" s="1"/>
  <c r="F173" i="7"/>
  <c r="H11" i="7"/>
  <c r="H68" i="7" a="1"/>
  <c r="H68" i="7" s="1"/>
  <c r="I5" i="7"/>
  <c r="H93" i="7"/>
  <c r="H106" i="7" s="1"/>
  <c r="H13" i="7"/>
  <c r="H202" i="7" s="1"/>
  <c r="H12" i="7"/>
  <c r="H14" i="7"/>
  <c r="H32" i="7"/>
  <c r="H135" i="7" s="1"/>
  <c r="AJ62" i="9"/>
  <c r="AH60" i="9"/>
  <c r="AF58" i="9"/>
  <c r="AD56" i="9"/>
  <c r="AK63" i="9"/>
  <c r="AG59" i="9"/>
  <c r="AI61" i="9"/>
  <c r="AC55" i="9"/>
  <c r="AE57" i="9"/>
  <c r="AC73" i="9"/>
  <c r="AH78" i="9"/>
  <c r="Y69" i="9"/>
  <c r="AF76" i="9"/>
  <c r="AB72" i="9"/>
  <c r="T64" i="9"/>
  <c r="AE75" i="9"/>
  <c r="W67" i="9"/>
  <c r="AJ80" i="9"/>
  <c r="AA71" i="9"/>
  <c r="V66" i="9"/>
  <c r="P60" i="9"/>
  <c r="K55" i="9"/>
  <c r="AI79" i="9"/>
  <c r="N58" i="9"/>
  <c r="AK81" i="9"/>
  <c r="AG77" i="9"/>
  <c r="AD74" i="9"/>
  <c r="Z70" i="9"/>
  <c r="M57" i="9"/>
  <c r="S63" i="9"/>
  <c r="O59" i="9"/>
  <c r="Q61" i="9"/>
  <c r="X68" i="9"/>
  <c r="U65" i="9"/>
  <c r="L56" i="9"/>
  <c r="R62" i="9"/>
  <c r="AJ57" i="9"/>
  <c r="AH55" i="9"/>
  <c r="AK58" i="9"/>
  <c r="AI56" i="9"/>
  <c r="F12" i="7"/>
  <c r="F11" i="7"/>
  <c r="E103" i="7"/>
  <c r="AM113" i="9"/>
  <c r="AM111" i="9"/>
  <c r="AM109" i="9"/>
  <c r="AM107" i="9"/>
  <c r="AM105" i="9"/>
  <c r="AM103" i="9"/>
  <c r="AM101" i="9"/>
  <c r="AM99" i="9"/>
  <c r="AM97" i="9"/>
  <c r="AM95" i="9"/>
  <c r="AM93" i="9"/>
  <c r="AM91" i="9"/>
  <c r="AM114" i="9"/>
  <c r="AM112" i="9"/>
  <c r="AM110" i="9"/>
  <c r="AM108" i="9"/>
  <c r="AM106" i="9"/>
  <c r="AM104" i="9"/>
  <c r="AM102" i="9"/>
  <c r="AM100" i="9"/>
  <c r="AM98" i="9"/>
  <c r="AM90" i="9"/>
  <c r="AM89" i="9"/>
  <c r="AM96" i="9"/>
  <c r="AM92" i="9"/>
  <c r="AM88" i="9"/>
  <c r="AM86" i="9"/>
  <c r="AM84" i="9"/>
  <c r="AM79" i="9"/>
  <c r="AM78" i="9"/>
  <c r="AM80" i="9"/>
  <c r="AM83" i="9"/>
  <c r="AM81" i="9"/>
  <c r="AM73" i="9"/>
  <c r="AM72" i="9"/>
  <c r="AM82" i="9"/>
  <c r="AM85" i="9"/>
  <c r="AM77" i="9"/>
  <c r="AM69" i="9"/>
  <c r="AM67" i="9"/>
  <c r="AM65" i="9"/>
  <c r="AM63" i="9"/>
  <c r="AM61" i="9"/>
  <c r="AM75" i="9"/>
  <c r="AM68" i="9"/>
  <c r="AM64" i="9"/>
  <c r="AM94" i="9"/>
  <c r="AM71" i="9"/>
  <c r="AM66" i="9"/>
  <c r="AM59" i="9"/>
  <c r="AM58" i="9"/>
  <c r="AM56" i="9"/>
  <c r="AM87" i="9"/>
  <c r="AM57" i="9"/>
  <c r="AM60" i="9"/>
  <c r="AM76" i="9"/>
  <c r="AM74" i="9"/>
  <c r="AM55" i="9"/>
  <c r="AM70" i="9"/>
  <c r="AM62" i="9"/>
  <c r="AN5" i="9"/>
  <c r="AL60" i="9"/>
  <c r="U50" i="4"/>
  <c r="E155" i="7"/>
  <c r="O45" i="4"/>
  <c r="N46" i="4"/>
  <c r="AK78" i="9"/>
  <c r="AG74" i="9"/>
  <c r="AJ77" i="9"/>
  <c r="AI76" i="9"/>
  <c r="AC70" i="9"/>
  <c r="U62" i="9"/>
  <c r="X65" i="9"/>
  <c r="AA68" i="9"/>
  <c r="AH75" i="9"/>
  <c r="Z67" i="9"/>
  <c r="W64" i="9"/>
  <c r="T61" i="9"/>
  <c r="AE72" i="9"/>
  <c r="AB69" i="9"/>
  <c r="O56" i="9"/>
  <c r="R59" i="9"/>
  <c r="Q58" i="9"/>
  <c r="Y66" i="9"/>
  <c r="N55" i="9"/>
  <c r="AD71" i="9"/>
  <c r="AF73" i="9"/>
  <c r="S60" i="9"/>
  <c r="V63" i="9"/>
  <c r="P57" i="9"/>
  <c r="AK88" i="9"/>
  <c r="AH85" i="9"/>
  <c r="Z77" i="9"/>
  <c r="AF83" i="9"/>
  <c r="V73" i="9"/>
  <c r="AD81" i="9"/>
  <c r="AC80" i="9"/>
  <c r="AJ87" i="9"/>
  <c r="AB79" i="9"/>
  <c r="AA78" i="9"/>
  <c r="M64" i="9"/>
  <c r="W74" i="9"/>
  <c r="P67" i="9"/>
  <c r="H59" i="9"/>
  <c r="S70" i="9"/>
  <c r="K62" i="9"/>
  <c r="X75" i="9"/>
  <c r="R69" i="9"/>
  <c r="Y76" i="9"/>
  <c r="N65" i="9"/>
  <c r="D55" i="9"/>
  <c r="AI86" i="9"/>
  <c r="T71" i="9"/>
  <c r="J61" i="9"/>
  <c r="G58" i="9"/>
  <c r="AE82" i="9"/>
  <c r="Q68" i="9"/>
  <c r="U72" i="9"/>
  <c r="I60" i="9"/>
  <c r="L63" i="9"/>
  <c r="E56" i="9"/>
  <c r="AG84" i="9"/>
  <c r="O66" i="9"/>
  <c r="F57" i="9"/>
  <c r="AH83" i="9"/>
  <c r="AK86" i="9"/>
  <c r="AF81" i="9"/>
  <c r="AE80" i="9"/>
  <c r="AD79" i="9"/>
  <c r="AC78" i="9"/>
  <c r="AJ85" i="9"/>
  <c r="AI84" i="9"/>
  <c r="AB77" i="9"/>
  <c r="AA76" i="9"/>
  <c r="Y74" i="9"/>
  <c r="U70" i="9"/>
  <c r="M62" i="9"/>
  <c r="P65" i="9"/>
  <c r="AG82" i="9"/>
  <c r="S68" i="9"/>
  <c r="R67" i="9"/>
  <c r="V71" i="9"/>
  <c r="X73" i="9"/>
  <c r="N63" i="9"/>
  <c r="G56" i="9"/>
  <c r="T69" i="9"/>
  <c r="O64" i="9"/>
  <c r="K60" i="9"/>
  <c r="F55" i="9"/>
  <c r="Z75" i="9"/>
  <c r="Q66" i="9"/>
  <c r="H57" i="9"/>
  <c r="J59" i="9"/>
  <c r="W72" i="9"/>
  <c r="L61" i="9"/>
  <c r="I58" i="9"/>
  <c r="AK71" i="9"/>
  <c r="AG67" i="9"/>
  <c r="AJ70" i="9"/>
  <c r="AB62" i="9"/>
  <c r="AE65" i="9"/>
  <c r="AD64" i="9"/>
  <c r="AC63" i="9"/>
  <c r="X58" i="9"/>
  <c r="AH68" i="9"/>
  <c r="Z60" i="9"/>
  <c r="W57" i="9"/>
  <c r="AI69" i="9"/>
  <c r="AF66" i="9"/>
  <c r="U55" i="9"/>
  <c r="AA61" i="9"/>
  <c r="Y59" i="9"/>
  <c r="V56" i="9"/>
  <c r="G16" i="7"/>
  <c r="G100" i="7" s="1"/>
  <c r="G99" i="7" s="1"/>
  <c r="AH79" i="9"/>
  <c r="AK82" i="9"/>
  <c r="AD75" i="9"/>
  <c r="AI80" i="9"/>
  <c r="Z71" i="9"/>
  <c r="U66" i="9"/>
  <c r="AG78" i="9"/>
  <c r="X69" i="9"/>
  <c r="P61" i="9"/>
  <c r="AE76" i="9"/>
  <c r="AA72" i="9"/>
  <c r="S64" i="9"/>
  <c r="AB73" i="9"/>
  <c r="W68" i="9"/>
  <c r="R63" i="9"/>
  <c r="Q62" i="9"/>
  <c r="L57" i="9"/>
  <c r="O60" i="9"/>
  <c r="V67" i="9"/>
  <c r="AJ81" i="9"/>
  <c r="AF77" i="9"/>
  <c r="AC74" i="9"/>
  <c r="Y70" i="9"/>
  <c r="M58" i="9"/>
  <c r="N59" i="9"/>
  <c r="J55" i="9"/>
  <c r="K56" i="9"/>
  <c r="T65" i="9"/>
  <c r="AH81" i="9"/>
  <c r="AK84" i="9"/>
  <c r="AI82" i="9"/>
  <c r="Y72" i="9"/>
  <c r="U68" i="9"/>
  <c r="Z73" i="9"/>
  <c r="P63" i="9"/>
  <c r="AG80" i="9"/>
  <c r="X71" i="9"/>
  <c r="S66" i="9"/>
  <c r="AJ83" i="9"/>
  <c r="AD77" i="9"/>
  <c r="AA74" i="9"/>
  <c r="R65" i="9"/>
  <c r="L59" i="9"/>
  <c r="Q64" i="9"/>
  <c r="O62" i="9"/>
  <c r="J57" i="9"/>
  <c r="AB75" i="9"/>
  <c r="I56" i="9"/>
  <c r="T67" i="9"/>
  <c r="AE78" i="9"/>
  <c r="W70" i="9"/>
  <c r="K58" i="9"/>
  <c r="AC76" i="9"/>
  <c r="AF79" i="9"/>
  <c r="M60" i="9"/>
  <c r="V69" i="9"/>
  <c r="H55" i="9"/>
  <c r="N61" i="9"/>
  <c r="E223" i="7"/>
  <c r="F221" i="7"/>
  <c r="O44" i="4"/>
  <c r="N44" i="4" s="1"/>
  <c r="E85" i="7"/>
  <c r="E18" i="7"/>
  <c r="E62" i="7" s="1"/>
  <c r="AC66" i="9"/>
  <c r="AJ73" i="9"/>
  <c r="AH71" i="9"/>
  <c r="AF69" i="9"/>
  <c r="X61" i="9"/>
  <c r="AA64" i="9"/>
  <c r="AK74" i="9"/>
  <c r="AG70" i="9"/>
  <c r="V59" i="9"/>
  <c r="T57" i="9"/>
  <c r="AD67" i="9"/>
  <c r="AB65" i="9"/>
  <c r="W60" i="9"/>
  <c r="AE68" i="9"/>
  <c r="S56" i="9"/>
  <c r="Y62" i="9"/>
  <c r="R55" i="9"/>
  <c r="Z63" i="9"/>
  <c r="U58" i="9"/>
  <c r="AI72" i="9"/>
  <c r="AK76" i="9"/>
  <c r="AG72" i="9"/>
  <c r="AC68" i="9"/>
  <c r="AI74" i="9"/>
  <c r="X63" i="9"/>
  <c r="AA66" i="9"/>
  <c r="Z65" i="9"/>
  <c r="AJ75" i="9"/>
  <c r="AE70" i="9"/>
  <c r="T59" i="9"/>
  <c r="R57" i="9"/>
  <c r="P55" i="9"/>
  <c r="AF71" i="9"/>
  <c r="V61" i="9"/>
  <c r="AH73" i="9"/>
  <c r="U60" i="9"/>
  <c r="Q56" i="9"/>
  <c r="W62" i="9"/>
  <c r="S58" i="9"/>
  <c r="AB67" i="9"/>
  <c r="Y64" i="9"/>
  <c r="AD69" i="9"/>
  <c r="F33" i="7"/>
  <c r="F105" i="7"/>
  <c r="AL75" i="9"/>
  <c r="G18" i="4"/>
  <c r="D11" i="7"/>
  <c r="E19" i="7" s="1"/>
  <c r="E19" i="4"/>
  <c r="G19" i="4" s="1"/>
  <c r="G154" i="7"/>
  <c r="U47" i="4"/>
  <c r="AD82" i="9"/>
  <c r="AI87" i="9"/>
  <c r="AH86" i="9"/>
  <c r="AE83" i="9"/>
  <c r="U73" i="9"/>
  <c r="AG85" i="9"/>
  <c r="AC81" i="9"/>
  <c r="AB80" i="9"/>
  <c r="AJ88" i="9"/>
  <c r="AA79" i="9"/>
  <c r="Y77" i="9"/>
  <c r="W75" i="9"/>
  <c r="Q69" i="9"/>
  <c r="L64" i="9"/>
  <c r="V74" i="9"/>
  <c r="O67" i="9"/>
  <c r="T72" i="9"/>
  <c r="N66" i="9"/>
  <c r="X76" i="9"/>
  <c r="M65" i="9"/>
  <c r="C55" i="9"/>
  <c r="S71" i="9"/>
  <c r="I61" i="9"/>
  <c r="F58" i="9"/>
  <c r="AF84" i="9"/>
  <c r="AK89" i="9"/>
  <c r="J62" i="9"/>
  <c r="H60" i="9"/>
  <c r="Z78" i="9"/>
  <c r="R70" i="9"/>
  <c r="K63" i="9"/>
  <c r="D56" i="9"/>
  <c r="P68" i="9"/>
  <c r="G59" i="9"/>
  <c r="E57" i="9"/>
  <c r="AK64" i="9"/>
  <c r="AF59" i="9"/>
  <c r="AI62" i="9"/>
  <c r="AB55" i="9"/>
  <c r="AG60" i="9"/>
  <c r="AE58" i="9"/>
  <c r="AC56" i="9"/>
  <c r="AJ63" i="9"/>
  <c r="AD57" i="9"/>
  <c r="AH61" i="9"/>
  <c r="AD78" i="9"/>
  <c r="AJ84" i="9"/>
  <c r="AK85" i="9"/>
  <c r="AC77" i="9"/>
  <c r="AB76" i="9"/>
  <c r="Z74" i="9"/>
  <c r="AH82" i="9"/>
  <c r="AI83" i="9"/>
  <c r="Q65" i="9"/>
  <c r="T68" i="9"/>
  <c r="L60" i="9"/>
  <c r="Y73" i="9"/>
  <c r="O63" i="9"/>
  <c r="AG81" i="9"/>
  <c r="AE79" i="9"/>
  <c r="V70" i="9"/>
  <c r="S67" i="9"/>
  <c r="H56" i="9"/>
  <c r="AF80" i="9"/>
  <c r="X72" i="9"/>
  <c r="R66" i="9"/>
  <c r="K59" i="9"/>
  <c r="AA75" i="9"/>
  <c r="I57" i="9"/>
  <c r="U69" i="9"/>
  <c r="P64" i="9"/>
  <c r="N62" i="9"/>
  <c r="G55" i="9"/>
  <c r="W71" i="9"/>
  <c r="J58" i="9"/>
  <c r="M61" i="9"/>
  <c r="AK68" i="9"/>
  <c r="AF63" i="9"/>
  <c r="AI66" i="9"/>
  <c r="AH65" i="9"/>
  <c r="AE62" i="9"/>
  <c r="AD61" i="9"/>
  <c r="AG64" i="9"/>
  <c r="Z57" i="9"/>
  <c r="AB59" i="9"/>
  <c r="AA58" i="9"/>
  <c r="X55" i="9"/>
  <c r="AC60" i="9"/>
  <c r="AJ67" i="9"/>
  <c r="Y56" i="9"/>
  <c r="F37" i="7"/>
  <c r="F96" i="7"/>
  <c r="F95" i="7" s="1"/>
  <c r="J10" i="8"/>
  <c r="AL69" i="9"/>
  <c r="AL77" i="9"/>
  <c r="H5" i="8"/>
  <c r="F4" i="9"/>
  <c r="I4" i="8"/>
  <c r="E177" i="7"/>
  <c r="AC71" i="9"/>
  <c r="AK79" i="9"/>
  <c r="AJ78" i="9"/>
  <c r="AG75" i="9"/>
  <c r="Y67" i="9"/>
  <c r="AB70" i="9"/>
  <c r="T62" i="9"/>
  <c r="AF74" i="9"/>
  <c r="W65" i="9"/>
  <c r="AH76" i="9"/>
  <c r="AD72" i="9"/>
  <c r="V64" i="9"/>
  <c r="AE73" i="9"/>
  <c r="X66" i="9"/>
  <c r="P58" i="9"/>
  <c r="S61" i="9"/>
  <c r="AA69" i="9"/>
  <c r="U63" i="9"/>
  <c r="Q59" i="9"/>
  <c r="Z68" i="9"/>
  <c r="M55" i="9"/>
  <c r="N56" i="9"/>
  <c r="AI77" i="9"/>
  <c r="O57" i="9"/>
  <c r="R60" i="9"/>
  <c r="AC64" i="9"/>
  <c r="AF67" i="9"/>
  <c r="X59" i="9"/>
  <c r="AK72" i="9"/>
  <c r="AI70" i="9"/>
  <c r="AA62" i="9"/>
  <c r="AJ71" i="9"/>
  <c r="AH69" i="9"/>
  <c r="AD65" i="9"/>
  <c r="Y60" i="9"/>
  <c r="T55" i="9"/>
  <c r="AB63" i="9"/>
  <c r="W58" i="9"/>
  <c r="AG68" i="9"/>
  <c r="AE66" i="9"/>
  <c r="V57" i="9"/>
  <c r="Z61" i="9"/>
  <c r="U56" i="9"/>
  <c r="AH74" i="9"/>
  <c r="AK77" i="9"/>
  <c r="AJ76" i="9"/>
  <c r="Y65" i="9"/>
  <c r="AB68" i="9"/>
  <c r="T60" i="9"/>
  <c r="W63" i="9"/>
  <c r="AD70" i="9"/>
  <c r="AF72" i="9"/>
  <c r="AC69" i="9"/>
  <c r="P56" i="9"/>
  <c r="AI75" i="9"/>
  <c r="R58" i="9"/>
  <c r="Z66" i="9"/>
  <c r="O55" i="9"/>
  <c r="AE71" i="9"/>
  <c r="U61" i="9"/>
  <c r="AG73" i="9"/>
  <c r="AA67" i="9"/>
  <c r="S59" i="9"/>
  <c r="V62" i="9"/>
  <c r="Q57" i="9"/>
  <c r="X64" i="9"/>
  <c r="AH57" i="9"/>
  <c r="AK60" i="9"/>
  <c r="AF55" i="9"/>
  <c r="AG56" i="9"/>
  <c r="AI58" i="9"/>
  <c r="AJ59" i="9"/>
  <c r="F35" i="7"/>
  <c r="F158" i="7" s="1"/>
  <c r="F41" i="7"/>
  <c r="F136" i="7"/>
  <c r="F38" i="7"/>
  <c r="F153" i="7"/>
  <c r="F133" i="7"/>
  <c r="F177" i="7"/>
  <c r="G35" i="7"/>
  <c r="G178" i="7" s="1"/>
  <c r="G68" i="7" a="1"/>
  <c r="G68" i="7" s="1"/>
  <c r="G93" i="7"/>
  <c r="G174" i="7"/>
  <c r="E79" i="7"/>
  <c r="E28" i="7"/>
  <c r="F29" i="7" s="1"/>
  <c r="E95" i="7"/>
  <c r="U36" i="4"/>
  <c r="AK66" i="9"/>
  <c r="AF61" i="9"/>
  <c r="AI64" i="9"/>
  <c r="AB57" i="9"/>
  <c r="AD59" i="9"/>
  <c r="AG62" i="9"/>
  <c r="AC58" i="9"/>
  <c r="Z55" i="9"/>
  <c r="AJ65" i="9"/>
  <c r="AA56" i="9"/>
  <c r="AH63" i="9"/>
  <c r="AE60" i="9"/>
  <c r="AG63" i="9"/>
  <c r="AJ66" i="9"/>
  <c r="AE61" i="9"/>
  <c r="AH64" i="9"/>
  <c r="AA57" i="9"/>
  <c r="AC59" i="9"/>
  <c r="AF62" i="9"/>
  <c r="AB58" i="9"/>
  <c r="Y55" i="9"/>
  <c r="AI65" i="9"/>
  <c r="AK67" i="9"/>
  <c r="Z56" i="9"/>
  <c r="AD60" i="9"/>
  <c r="AK62" i="9"/>
  <c r="AE56" i="9"/>
  <c r="AH59" i="9"/>
  <c r="AJ61" i="9"/>
  <c r="AI60" i="9"/>
  <c r="AF57" i="9"/>
  <c r="AG58" i="9"/>
  <c r="AD55" i="9"/>
  <c r="AK90" i="9"/>
  <c r="AH87" i="9"/>
  <c r="Z79" i="9"/>
  <c r="AF85" i="9"/>
  <c r="AE84" i="9"/>
  <c r="AJ89" i="9"/>
  <c r="V75" i="9"/>
  <c r="AG86" i="9"/>
  <c r="AD83" i="9"/>
  <c r="AB81" i="9"/>
  <c r="S72" i="9"/>
  <c r="M66" i="9"/>
  <c r="X77" i="9"/>
  <c r="P69" i="9"/>
  <c r="H61" i="9"/>
  <c r="K64" i="9"/>
  <c r="R71" i="9"/>
  <c r="Q70" i="9"/>
  <c r="G60" i="9"/>
  <c r="D57" i="9"/>
  <c r="U74" i="9"/>
  <c r="N67" i="9"/>
  <c r="AA80" i="9"/>
  <c r="W76" i="9"/>
  <c r="L65" i="9"/>
  <c r="Y78" i="9"/>
  <c r="I62" i="9"/>
  <c r="B55" i="9"/>
  <c r="AC82" i="9"/>
  <c r="AI88" i="9"/>
  <c r="T73" i="9"/>
  <c r="F59" i="9"/>
  <c r="E58" i="9"/>
  <c r="C56" i="9"/>
  <c r="O68" i="9"/>
  <c r="J63" i="9"/>
  <c r="AG65" i="9"/>
  <c r="AJ68" i="9"/>
  <c r="AB60" i="9"/>
  <c r="AE63" i="9"/>
  <c r="AI67" i="9"/>
  <c r="X56" i="9"/>
  <c r="AD62" i="9"/>
  <c r="AC61" i="9"/>
  <c r="AH66" i="9"/>
  <c r="Y57" i="9"/>
  <c r="AK69" i="9"/>
  <c r="AF64" i="9"/>
  <c r="AA59" i="9"/>
  <c r="Z58" i="9"/>
  <c r="W55" i="9"/>
  <c r="F39" i="7"/>
  <c r="F142" i="7" s="1"/>
  <c r="F157" i="7"/>
  <c r="F16" i="7"/>
  <c r="F100" i="7" s="1"/>
  <c r="F99" i="7" s="1"/>
  <c r="F197" i="7"/>
  <c r="G193" i="7" s="1"/>
  <c r="G11" i="7"/>
  <c r="AD76" i="9"/>
  <c r="AJ82" i="9"/>
  <c r="Z72" i="9"/>
  <c r="AC75" i="9"/>
  <c r="AA73" i="9"/>
  <c r="Q63" i="9"/>
  <c r="AH80" i="9"/>
  <c r="Y71" i="9"/>
  <c r="T66" i="9"/>
  <c r="AF78" i="9"/>
  <c r="W69" i="9"/>
  <c r="V68" i="9"/>
  <c r="AE77" i="9"/>
  <c r="AB74" i="9"/>
  <c r="M59" i="9"/>
  <c r="AK83" i="9"/>
  <c r="R64" i="9"/>
  <c r="P62" i="9"/>
  <c r="K57" i="9"/>
  <c r="N60" i="9"/>
  <c r="J56" i="9"/>
  <c r="U67" i="9"/>
  <c r="AI81" i="9"/>
  <c r="X70" i="9"/>
  <c r="L58" i="9"/>
  <c r="O61" i="9"/>
  <c r="AG79" i="9"/>
  <c r="S65" i="9"/>
  <c r="I55" i="9"/>
  <c r="AL25" i="9" a="1"/>
  <c r="AL25" i="9" s="1"/>
  <c r="AL27" i="9" a="1"/>
  <c r="AL27" i="9" s="1"/>
  <c r="AL87" i="9"/>
  <c r="AL76" i="9"/>
  <c r="E3" i="9"/>
  <c r="D45" i="7" a="1"/>
  <c r="D45" i="7" s="1"/>
  <c r="E39" i="7"/>
  <c r="E35" i="7"/>
  <c r="E31" i="7"/>
  <c r="E12" i="7"/>
  <c r="E136" i="7"/>
  <c r="E20" i="7"/>
  <c r="E30" i="7"/>
  <c r="E133" i="7"/>
  <c r="E176" i="7"/>
  <c r="E164" i="7"/>
  <c r="O42" i="4"/>
  <c r="AG61" i="9"/>
  <c r="AJ64" i="9"/>
  <c r="AE59" i="9"/>
  <c r="AA55" i="9"/>
  <c r="AF60" i="9"/>
  <c r="AD58" i="9"/>
  <c r="AK65" i="9"/>
  <c r="AB56" i="9"/>
  <c r="AI63" i="9"/>
  <c r="AH62" i="9"/>
  <c r="AC57" i="9"/>
  <c r="AI55" i="9"/>
  <c r="AK57" i="9"/>
  <c r="AJ56" i="9"/>
  <c r="AH77" i="9"/>
  <c r="AD73" i="9"/>
  <c r="AK80" i="9"/>
  <c r="AG76" i="9"/>
  <c r="AC72" i="9"/>
  <c r="U64" i="9"/>
  <c r="AF75" i="9"/>
  <c r="X67" i="9"/>
  <c r="P59" i="9"/>
  <c r="AA70" i="9"/>
  <c r="S62" i="9"/>
  <c r="AI78" i="9"/>
  <c r="Z69" i="9"/>
  <c r="L55" i="9"/>
  <c r="AJ79" i="9"/>
  <c r="W66" i="9"/>
  <c r="O58" i="9"/>
  <c r="R61" i="9"/>
  <c r="N57" i="9"/>
  <c r="T63" i="9"/>
  <c r="Y68" i="9"/>
  <c r="AB71" i="9"/>
  <c r="V65" i="9"/>
  <c r="AE74" i="9"/>
  <c r="Q60" i="9"/>
  <c r="M56" i="9"/>
  <c r="AJ60" i="9"/>
  <c r="AF56" i="9"/>
  <c r="AK61" i="9"/>
  <c r="AG57" i="9"/>
  <c r="AI59" i="9"/>
  <c r="AH58" i="9"/>
  <c r="AE55" i="9"/>
  <c r="F160" i="7"/>
  <c r="F137" i="7"/>
  <c r="G134" i="7"/>
  <c r="F152" i="7" l="1"/>
  <c r="F132" i="7"/>
  <c r="G30" i="7"/>
  <c r="F172" i="7"/>
  <c r="K10" i="8"/>
  <c r="O25" i="9" a="1"/>
  <c r="O25" i="9" s="1"/>
  <c r="O24" i="9" a="1"/>
  <c r="O24" i="9" s="1"/>
  <c r="O26" i="9" a="1"/>
  <c r="O26" i="9" s="1"/>
  <c r="O23" i="9" a="1"/>
  <c r="O23" i="9" s="1"/>
  <c r="O27" i="9" a="1"/>
  <c r="O27" i="9" s="1"/>
  <c r="O21" i="9" a="1"/>
  <c r="O21" i="9" s="1"/>
  <c r="O16" i="9" a="1"/>
  <c r="O16" i="9" s="1"/>
  <c r="E21" i="7"/>
  <c r="E162" i="7"/>
  <c r="E142" i="7"/>
  <c r="N42" i="4"/>
  <c r="F31" i="7"/>
  <c r="E153" i="7"/>
  <c r="E173" i="7"/>
  <c r="D47" i="7"/>
  <c r="E66" i="7"/>
  <c r="E64" i="7" s="1"/>
  <c r="G40" i="7"/>
  <c r="AF27" i="9" a="1"/>
  <c r="AF27" i="9" s="1"/>
  <c r="AF26" i="9" a="1"/>
  <c r="AF26" i="9" s="1"/>
  <c r="AF25" i="9" a="1"/>
  <c r="AF25" i="9" s="1"/>
  <c r="AF24" i="9" a="1"/>
  <c r="AF24" i="9" s="1"/>
  <c r="AF23" i="9" a="1"/>
  <c r="AF23" i="9" s="1"/>
  <c r="AF21" i="9" a="1"/>
  <c r="AF21" i="9" s="1"/>
  <c r="AF16" i="9" a="1"/>
  <c r="AF16" i="9" s="1"/>
  <c r="M27" i="9" a="1"/>
  <c r="M27" i="9" s="1"/>
  <c r="M26" i="9" a="1"/>
  <c r="M26" i="9" s="1"/>
  <c r="M23" i="9" a="1"/>
  <c r="M23" i="9" s="1"/>
  <c r="M25" i="9" a="1"/>
  <c r="M25" i="9" s="1"/>
  <c r="M24" i="9" a="1"/>
  <c r="M24" i="9" s="1"/>
  <c r="M21" i="9" a="1"/>
  <c r="M21" i="9" s="1"/>
  <c r="M16" i="9" a="1"/>
  <c r="M16" i="9" s="1"/>
  <c r="G4" i="9"/>
  <c r="I5" i="8"/>
  <c r="J4" i="8"/>
  <c r="G34" i="7"/>
  <c r="F156" i="7"/>
  <c r="F176" i="7"/>
  <c r="AK25" i="9" a="1"/>
  <c r="AK25" i="9" s="1"/>
  <c r="V27" i="9" a="1"/>
  <c r="V27" i="9" s="1"/>
  <c r="V25" i="9" a="1"/>
  <c r="V25" i="9" s="1"/>
  <c r="V23" i="9" a="1"/>
  <c r="V23" i="9" s="1"/>
  <c r="V21" i="9" a="1"/>
  <c r="V21" i="9" s="1"/>
  <c r="V24" i="9" a="1"/>
  <c r="V24" i="9" s="1"/>
  <c r="V26" i="9" a="1"/>
  <c r="V26" i="9" s="1"/>
  <c r="V16" i="9" a="1"/>
  <c r="V16" i="9" s="1"/>
  <c r="E26" i="9" a="1"/>
  <c r="E26" i="9" s="1"/>
  <c r="E25" i="9" a="1"/>
  <c r="E25" i="9" s="1"/>
  <c r="E27" i="9" a="1"/>
  <c r="E27" i="9" s="1"/>
  <c r="E24" i="9" a="1"/>
  <c r="E24" i="9" s="1"/>
  <c r="E23" i="9" a="1"/>
  <c r="E23" i="9" s="1"/>
  <c r="E21" i="9" a="1"/>
  <c r="E21" i="9" s="1"/>
  <c r="E16" i="9" a="1"/>
  <c r="E16" i="9" s="1"/>
  <c r="G26" i="9" a="1"/>
  <c r="G26" i="9" s="1"/>
  <c r="G27" i="9" a="1"/>
  <c r="G27" i="9" s="1"/>
  <c r="G24" i="9" a="1"/>
  <c r="G24" i="9" s="1"/>
  <c r="G21" i="9" a="1"/>
  <c r="G21" i="9" s="1"/>
  <c r="G16" i="9" a="1"/>
  <c r="G16" i="9" s="1"/>
  <c r="G25" i="9" a="1"/>
  <c r="G25" i="9" s="1"/>
  <c r="G23" i="9" a="1"/>
  <c r="G23" i="9" s="1"/>
  <c r="AK26" i="9" a="1"/>
  <c r="AK26" i="9" s="1"/>
  <c r="AG25" i="9" a="1"/>
  <c r="AG25" i="9" s="1"/>
  <c r="AG24" i="9" a="1"/>
  <c r="AG24" i="9" s="1"/>
  <c r="AG26" i="9" a="1"/>
  <c r="AG26" i="9" s="1"/>
  <c r="AG23" i="9" a="1"/>
  <c r="AG23" i="9" s="1"/>
  <c r="AG21" i="9" a="1"/>
  <c r="AG21" i="9" s="1"/>
  <c r="AG16" i="9" a="1"/>
  <c r="AG16" i="9" s="1"/>
  <c r="AG27" i="9" a="1"/>
  <c r="AG27" i="9" s="1"/>
  <c r="AE27" i="9" a="1"/>
  <c r="AE27" i="9" s="1"/>
  <c r="AE25" i="9" a="1"/>
  <c r="AE25" i="9" s="1"/>
  <c r="AE23" i="9" a="1"/>
  <c r="AE23" i="9" s="1"/>
  <c r="AE21" i="9" a="1"/>
  <c r="AE21" i="9" s="1"/>
  <c r="AE26" i="9" a="1"/>
  <c r="AE26" i="9" s="1"/>
  <c r="AE24" i="9" a="1"/>
  <c r="AE24" i="9" s="1"/>
  <c r="AE16" i="9" a="1"/>
  <c r="AE16" i="9" s="1"/>
  <c r="T25" i="9" a="1"/>
  <c r="T25" i="9" s="1"/>
  <c r="T27" i="9" a="1"/>
  <c r="T27" i="9" s="1"/>
  <c r="T24" i="9" a="1"/>
  <c r="T24" i="9" s="1"/>
  <c r="T26" i="9" a="1"/>
  <c r="T26" i="9" s="1"/>
  <c r="T23" i="9" a="1"/>
  <c r="T23" i="9" s="1"/>
  <c r="T21" i="9" a="1"/>
  <c r="T21" i="9" s="1"/>
  <c r="T16" i="9" a="1"/>
  <c r="T16" i="9" s="1"/>
  <c r="G158" i="7"/>
  <c r="G138" i="7"/>
  <c r="U44" i="4"/>
  <c r="U24" i="9" a="1"/>
  <c r="U24" i="9" s="1"/>
  <c r="U25" i="9" a="1"/>
  <c r="U25" i="9" s="1"/>
  <c r="U23" i="9" a="1"/>
  <c r="U23" i="9" s="1"/>
  <c r="U27" i="9" a="1"/>
  <c r="U27" i="9" s="1"/>
  <c r="U26" i="9" a="1"/>
  <c r="U26" i="9" s="1"/>
  <c r="U21" i="9" a="1"/>
  <c r="U21" i="9" s="1"/>
  <c r="U16" i="9" a="1"/>
  <c r="U16" i="9" s="1"/>
  <c r="U46" i="4"/>
  <c r="AC24" i="9" a="1"/>
  <c r="AC24" i="9" s="1"/>
  <c r="AC25" i="9" a="1"/>
  <c r="AC25" i="9" s="1"/>
  <c r="AC27" i="9" a="1"/>
  <c r="AC27" i="9" s="1"/>
  <c r="AC23" i="9" a="1"/>
  <c r="AC23" i="9" s="1"/>
  <c r="AC21" i="9" a="1"/>
  <c r="AC21" i="9" s="1"/>
  <c r="AC26" i="9" a="1"/>
  <c r="AC26" i="9" s="1"/>
  <c r="AC16" i="9" a="1"/>
  <c r="AC16" i="9" s="1"/>
  <c r="AK16" i="9" a="1"/>
  <c r="AK16" i="9" s="1"/>
  <c r="H16" i="7"/>
  <c r="H100" i="7" s="1"/>
  <c r="H99" i="7" s="1"/>
  <c r="H96" i="7"/>
  <c r="H95" i="7" s="1"/>
  <c r="AJ27" i="9" a="1"/>
  <c r="AJ27" i="9" s="1"/>
  <c r="AJ26" i="9" a="1"/>
  <c r="AJ26" i="9" s="1"/>
  <c r="AJ24" i="9" a="1"/>
  <c r="AJ24" i="9" s="1"/>
  <c r="AJ25" i="9" a="1"/>
  <c r="AJ25" i="9" s="1"/>
  <c r="AJ23" i="9" a="1"/>
  <c r="AJ23" i="9" s="1"/>
  <c r="AJ21" i="9" a="1"/>
  <c r="AJ21" i="9" s="1"/>
  <c r="AJ16" i="9" a="1"/>
  <c r="AJ16" i="9" s="1"/>
  <c r="R27" i="9" a="1"/>
  <c r="R27" i="9" s="1"/>
  <c r="R26" i="9" a="1"/>
  <c r="R26" i="9" s="1"/>
  <c r="R23" i="9" a="1"/>
  <c r="R23" i="9" s="1"/>
  <c r="R21" i="9" a="1"/>
  <c r="R21" i="9" s="1"/>
  <c r="R16" i="9" a="1"/>
  <c r="R16" i="9" s="1"/>
  <c r="R25" i="9" a="1"/>
  <c r="R25" i="9" s="1"/>
  <c r="R24" i="9" a="1"/>
  <c r="R24" i="9" s="1"/>
  <c r="X25" i="9" a="1"/>
  <c r="X25" i="9" s="1"/>
  <c r="X24" i="9" a="1"/>
  <c r="X24" i="9" s="1"/>
  <c r="X26" i="9" a="1"/>
  <c r="X26" i="9" s="1"/>
  <c r="X23" i="9" a="1"/>
  <c r="X23" i="9" s="1"/>
  <c r="X21" i="9" a="1"/>
  <c r="X21" i="9" s="1"/>
  <c r="X27" i="9" a="1"/>
  <c r="X27" i="9" s="1"/>
  <c r="X16" i="9" a="1"/>
  <c r="X16" i="9" s="1"/>
  <c r="AB26" i="9" a="1"/>
  <c r="AB26" i="9" s="1"/>
  <c r="AB25" i="9" a="1"/>
  <c r="AB25" i="9" s="1"/>
  <c r="AB27" i="9" a="1"/>
  <c r="AB27" i="9" s="1"/>
  <c r="AB16" i="9" a="1"/>
  <c r="AB16" i="9" s="1"/>
  <c r="AB23" i="9" a="1"/>
  <c r="AB23" i="9" s="1"/>
  <c r="AB24" i="9" a="1"/>
  <c r="AB24" i="9" s="1"/>
  <c r="AB21" i="9" a="1"/>
  <c r="AB21" i="9" s="1"/>
  <c r="P24" i="9" a="1"/>
  <c r="P24" i="9" s="1"/>
  <c r="P26" i="9" a="1"/>
  <c r="P26" i="9" s="1"/>
  <c r="P25" i="9" a="1"/>
  <c r="P25" i="9" s="1"/>
  <c r="P23" i="9" a="1"/>
  <c r="P23" i="9" s="1"/>
  <c r="P27" i="9" a="1"/>
  <c r="P27" i="9" s="1"/>
  <c r="P21" i="9" a="1"/>
  <c r="P21" i="9" s="1"/>
  <c r="P16" i="9" a="1"/>
  <c r="P16" i="9" s="1"/>
  <c r="E61" i="7"/>
  <c r="N45" i="4"/>
  <c r="O19" i="4"/>
  <c r="AK23" i="9" a="1"/>
  <c r="AK23" i="9" s="1"/>
  <c r="H155" i="7"/>
  <c r="H105" i="7"/>
  <c r="E58" i="7"/>
  <c r="AI26" i="9" a="1"/>
  <c r="AI26" i="9" s="1"/>
  <c r="AI27" i="9" a="1"/>
  <c r="AI27" i="9" s="1"/>
  <c r="AI24" i="9" a="1"/>
  <c r="AI24" i="9" s="1"/>
  <c r="AI23" i="9" a="1"/>
  <c r="AI23" i="9" s="1"/>
  <c r="AI21" i="9" a="1"/>
  <c r="AI21" i="9" s="1"/>
  <c r="AI25" i="9" a="1"/>
  <c r="AI25" i="9" s="1"/>
  <c r="AI16" i="9" a="1"/>
  <c r="AI16" i="9" s="1"/>
  <c r="AN113" i="9"/>
  <c r="AN111" i="9"/>
  <c r="AN109" i="9"/>
  <c r="AN107" i="9"/>
  <c r="AN105" i="9"/>
  <c r="AN114" i="9"/>
  <c r="AN100" i="9"/>
  <c r="AN95" i="9"/>
  <c r="AN91" i="9"/>
  <c r="AN90" i="9"/>
  <c r="AN89" i="9"/>
  <c r="AN96" i="9"/>
  <c r="AN92" i="9"/>
  <c r="AN88" i="9"/>
  <c r="AN102" i="9"/>
  <c r="AN87" i="9"/>
  <c r="AN85" i="9"/>
  <c r="AN83" i="9"/>
  <c r="AN81" i="9"/>
  <c r="AN112" i="9"/>
  <c r="AN110" i="9"/>
  <c r="AN108" i="9"/>
  <c r="AN106" i="9"/>
  <c r="AN104" i="9"/>
  <c r="AN97" i="9"/>
  <c r="AN103" i="9"/>
  <c r="AN80" i="9"/>
  <c r="AN98" i="9"/>
  <c r="AN101" i="9"/>
  <c r="AN99" i="9"/>
  <c r="AN82" i="9"/>
  <c r="AN77" i="9"/>
  <c r="AN69" i="9"/>
  <c r="AN67" i="9"/>
  <c r="AN65" i="9"/>
  <c r="AN63" i="9"/>
  <c r="AN61" i="9"/>
  <c r="AN59" i="9"/>
  <c r="AN79" i="9"/>
  <c r="AN94" i="9"/>
  <c r="AN86" i="9"/>
  <c r="AN84" i="9"/>
  <c r="AN73" i="9"/>
  <c r="AN72" i="9"/>
  <c r="AN71" i="9"/>
  <c r="AN66" i="9"/>
  <c r="AN58" i="9"/>
  <c r="AN56" i="9"/>
  <c r="AN74" i="9"/>
  <c r="AN62" i="9"/>
  <c r="AN93" i="9"/>
  <c r="AN60" i="9"/>
  <c r="AN64" i="9"/>
  <c r="AN78" i="9"/>
  <c r="AN76" i="9"/>
  <c r="AN75" i="9"/>
  <c r="AN68" i="9"/>
  <c r="AN57" i="9"/>
  <c r="AN70" i="9"/>
  <c r="AN55" i="9"/>
  <c r="AO5" i="9"/>
  <c r="AH24" i="9" a="1"/>
  <c r="AH24" i="9" s="1"/>
  <c r="AH25" i="9" a="1"/>
  <c r="AH25" i="9" s="1"/>
  <c r="AH23" i="9" a="1"/>
  <c r="AH23" i="9" s="1"/>
  <c r="AH21" i="9" a="1"/>
  <c r="AH21" i="9" s="1"/>
  <c r="AH26" i="9" a="1"/>
  <c r="AH26" i="9" s="1"/>
  <c r="AH16" i="9" a="1"/>
  <c r="AH16" i="9" s="1"/>
  <c r="AH27" i="9" a="1"/>
  <c r="AH27" i="9" s="1"/>
  <c r="K25" i="9" a="1"/>
  <c r="K25" i="9" s="1"/>
  <c r="K24" i="9" a="1"/>
  <c r="K24" i="9" s="1"/>
  <c r="K27" i="9" a="1"/>
  <c r="K27" i="9" s="1"/>
  <c r="K26" i="9" a="1"/>
  <c r="K26" i="9" s="1"/>
  <c r="K23" i="9" a="1"/>
  <c r="K23" i="9" s="1"/>
  <c r="K21" i="9" a="1"/>
  <c r="K21" i="9" s="1"/>
  <c r="K16" i="9" a="1"/>
  <c r="K16" i="9" s="1"/>
  <c r="AK24" i="9" a="1"/>
  <c r="AK24" i="9" s="1"/>
  <c r="H36" i="7"/>
  <c r="I140" i="7"/>
  <c r="I136" i="7"/>
  <c r="I68" i="7" a="1"/>
  <c r="I68" i="7" s="1"/>
  <c r="I37" i="7"/>
  <c r="I33" i="7"/>
  <c r="I176" i="7" s="1"/>
  <c r="J5" i="7"/>
  <c r="I93" i="7"/>
  <c r="I107" i="7" s="1"/>
  <c r="I14" i="7"/>
  <c r="I12" i="7"/>
  <c r="I160" i="7"/>
  <c r="I11" i="7"/>
  <c r="I13" i="7"/>
  <c r="I202" i="7" s="1"/>
  <c r="I6" i="7"/>
  <c r="H104" i="7"/>
  <c r="H103" i="7" s="1"/>
  <c r="F196" i="7"/>
  <c r="F195" i="7"/>
  <c r="Q27" i="9" a="1"/>
  <c r="Q27" i="9" s="1"/>
  <c r="Q23" i="9" a="1"/>
  <c r="Q23" i="9" s="1"/>
  <c r="Q26" i="9" a="1"/>
  <c r="Q26" i="9" s="1"/>
  <c r="Q24" i="9" a="1"/>
  <c r="Q24" i="9" s="1"/>
  <c r="Q16" i="9" a="1"/>
  <c r="Q16" i="9" s="1"/>
  <c r="Q21" i="9" a="1"/>
  <c r="Q21" i="9" s="1"/>
  <c r="Q25" i="9" a="1"/>
  <c r="Q25" i="9" s="1"/>
  <c r="D46" i="7"/>
  <c r="E131" i="7"/>
  <c r="E171" i="7"/>
  <c r="AL23" i="9" a="1"/>
  <c r="AL23" i="9" s="1"/>
  <c r="I27" i="9" a="1"/>
  <c r="I27" i="9" s="1"/>
  <c r="I26" i="9" a="1"/>
  <c r="I26" i="9" s="1"/>
  <c r="I25" i="9" a="1"/>
  <c r="I25" i="9" s="1"/>
  <c r="I24" i="9" a="1"/>
  <c r="I24" i="9" s="1"/>
  <c r="I23" i="9" a="1"/>
  <c r="I23" i="9" s="1"/>
  <c r="I21" i="9" a="1"/>
  <c r="I21" i="9" s="1"/>
  <c r="I16" i="9" a="1"/>
  <c r="I16" i="9" s="1"/>
  <c r="L25" i="9" a="1"/>
  <c r="L25" i="9" s="1"/>
  <c r="L27" i="9" a="1"/>
  <c r="L27" i="9" s="1"/>
  <c r="L21" i="9" a="1"/>
  <c r="L21" i="9" s="1"/>
  <c r="L16" i="9" a="1"/>
  <c r="L16" i="9" s="1"/>
  <c r="L24" i="9" a="1"/>
  <c r="L24" i="9" s="1"/>
  <c r="L26" i="9" a="1"/>
  <c r="L26" i="9" s="1"/>
  <c r="L23" i="9" a="1"/>
  <c r="L23" i="9" s="1"/>
  <c r="AA27" i="9" a="1"/>
  <c r="AA27" i="9" s="1"/>
  <c r="AA26" i="9" a="1"/>
  <c r="AA26" i="9" s="1"/>
  <c r="AA24" i="9" a="1"/>
  <c r="AA24" i="9" s="1"/>
  <c r="AA23" i="9" a="1"/>
  <c r="AA23" i="9" s="1"/>
  <c r="AA21" i="9" a="1"/>
  <c r="AA21" i="9" s="1"/>
  <c r="AA25" i="9" a="1"/>
  <c r="AA25" i="9" s="1"/>
  <c r="AA16" i="9" a="1"/>
  <c r="AA16" i="9" s="1"/>
  <c r="AL21" i="9" a="1"/>
  <c r="AL21" i="9" s="1"/>
  <c r="F40" i="7"/>
  <c r="AD24" i="9" a="1"/>
  <c r="AD24" i="9" s="1"/>
  <c r="AD27" i="9" a="1"/>
  <c r="AD27" i="9" s="1"/>
  <c r="AD23" i="9" a="1"/>
  <c r="AD23" i="9" s="1"/>
  <c r="AD21" i="9" a="1"/>
  <c r="AD21" i="9" s="1"/>
  <c r="AD25" i="9" a="1"/>
  <c r="AD25" i="9" s="1"/>
  <c r="AD26" i="9" a="1"/>
  <c r="AD26" i="9" s="1"/>
  <c r="AD16" i="9" a="1"/>
  <c r="AD16" i="9" s="1"/>
  <c r="G107" i="7"/>
  <c r="G96" i="7"/>
  <c r="G104" i="7"/>
  <c r="G106" i="7"/>
  <c r="G105" i="7"/>
  <c r="C25" i="9" a="1"/>
  <c r="C25" i="9" s="1"/>
  <c r="C27" i="9" a="1"/>
  <c r="C27" i="9" s="1"/>
  <c r="C23" i="9" a="1"/>
  <c r="C23" i="9" s="1"/>
  <c r="C26" i="9" a="1"/>
  <c r="C26" i="9" s="1"/>
  <c r="C24" i="9" a="1"/>
  <c r="C24" i="9" s="1"/>
  <c r="C21" i="9" a="1"/>
  <c r="C21" i="9" s="1"/>
  <c r="C16" i="9" a="1"/>
  <c r="C16" i="9" s="1"/>
  <c r="J26" i="9" a="1"/>
  <c r="J26" i="9" s="1"/>
  <c r="J25" i="9" a="1"/>
  <c r="J25" i="9" s="1"/>
  <c r="J27" i="9" a="1"/>
  <c r="J27" i="9" s="1"/>
  <c r="J23" i="9" a="1"/>
  <c r="J23" i="9" s="1"/>
  <c r="J24" i="9" a="1"/>
  <c r="J24" i="9" s="1"/>
  <c r="J16" i="9" a="1"/>
  <c r="J16" i="9" s="1"/>
  <c r="J21" i="9" a="1"/>
  <c r="J21" i="9" s="1"/>
  <c r="D27" i="9" a="1"/>
  <c r="D27" i="9" s="1"/>
  <c r="D26" i="9" a="1"/>
  <c r="D26" i="9" s="1"/>
  <c r="D24" i="9" a="1"/>
  <c r="D24" i="9" s="1"/>
  <c r="D25" i="9" a="1"/>
  <c r="D25" i="9" s="1"/>
  <c r="D23" i="9" a="1"/>
  <c r="D23" i="9" s="1"/>
  <c r="D21" i="9" a="1"/>
  <c r="D21" i="9" s="1"/>
  <c r="D16" i="9" a="1"/>
  <c r="D16" i="9" s="1"/>
  <c r="AK21" i="9" a="1"/>
  <c r="AK21" i="9" s="1"/>
  <c r="H107" i="7"/>
  <c r="G195" i="7"/>
  <c r="G196" i="7"/>
  <c r="F161" i="7"/>
  <c r="F141" i="7"/>
  <c r="F3" i="9"/>
  <c r="W27" i="9" a="1"/>
  <c r="W27" i="9" s="1"/>
  <c r="W26" i="9" a="1"/>
  <c r="W26" i="9" s="1"/>
  <c r="W25" i="9" a="1"/>
  <c r="W25" i="9" s="1"/>
  <c r="W16" i="9" a="1"/>
  <c r="W16" i="9" s="1"/>
  <c r="W24" i="9" a="1"/>
  <c r="W24" i="9" s="1"/>
  <c r="W23" i="9" a="1"/>
  <c r="W23" i="9" s="1"/>
  <c r="W21" i="9" a="1"/>
  <c r="W21" i="9" s="1"/>
  <c r="F144" i="7"/>
  <c r="F164" i="7"/>
  <c r="F178" i="7"/>
  <c r="G36" i="7"/>
  <c r="F138" i="7"/>
  <c r="E174" i="7"/>
  <c r="F32" i="7"/>
  <c r="E154" i="7"/>
  <c r="E134" i="7"/>
  <c r="E78" i="7"/>
  <c r="E178" i="7"/>
  <c r="F179" i="7" s="1"/>
  <c r="G179" i="7" s="1"/>
  <c r="H179" i="7" s="1"/>
  <c r="E138" i="7"/>
  <c r="F36" i="7"/>
  <c r="E158" i="7"/>
  <c r="AL16" i="9" a="1"/>
  <c r="AL16" i="9" s="1"/>
  <c r="Z26" i="9" a="1"/>
  <c r="Z26" i="9" s="1"/>
  <c r="Z23" i="9" a="1"/>
  <c r="Z23" i="9" s="1"/>
  <c r="Z21" i="9" a="1"/>
  <c r="Z21" i="9" s="1"/>
  <c r="Z24" i="9" a="1"/>
  <c r="Z24" i="9" s="1"/>
  <c r="Z27" i="9" a="1"/>
  <c r="Z27" i="9" s="1"/>
  <c r="Z25" i="9" a="1"/>
  <c r="Z25" i="9" s="1"/>
  <c r="Z16" i="9" a="1"/>
  <c r="Z16" i="9" s="1"/>
  <c r="H27" i="9" a="1"/>
  <c r="H27" i="9" s="1"/>
  <c r="H26" i="9" a="1"/>
  <c r="H26" i="9" s="1"/>
  <c r="H25" i="9" a="1"/>
  <c r="H25" i="9" s="1"/>
  <c r="H23" i="9" a="1"/>
  <c r="H23" i="9" s="1"/>
  <c r="H24" i="9" a="1"/>
  <c r="H24" i="9" s="1"/>
  <c r="H21" i="9" a="1"/>
  <c r="H21" i="9" s="1"/>
  <c r="H16" i="9" a="1"/>
  <c r="H16" i="9" s="1"/>
  <c r="G197" i="7"/>
  <c r="H193" i="7" s="1"/>
  <c r="AK27" i="9" a="1"/>
  <c r="AK27" i="9" s="1"/>
  <c r="H175" i="7"/>
  <c r="B25" i="9" a="1"/>
  <c r="B25" i="9" s="1"/>
  <c r="B23" i="9" a="1"/>
  <c r="B23" i="9" s="1"/>
  <c r="B27" i="9" a="1"/>
  <c r="B27" i="9" s="1"/>
  <c r="B21" i="9" a="1"/>
  <c r="B21" i="9" s="1"/>
  <c r="B16" i="9" a="1"/>
  <c r="B16" i="9" s="1"/>
  <c r="B26" i="9" a="1"/>
  <c r="B26" i="9" s="1"/>
  <c r="B24" i="9" a="1"/>
  <c r="B24" i="9" s="1"/>
  <c r="Y26" i="9" a="1"/>
  <c r="Y26" i="9" s="1"/>
  <c r="Y24" i="9" a="1"/>
  <c r="Y24" i="9" s="1"/>
  <c r="Y23" i="9" a="1"/>
  <c r="Y23" i="9" s="1"/>
  <c r="Y21" i="9" a="1"/>
  <c r="Y21" i="9" s="1"/>
  <c r="Y27" i="9" a="1"/>
  <c r="Y27" i="9" s="1"/>
  <c r="Y25" i="9" a="1"/>
  <c r="Y25" i="9" s="1"/>
  <c r="Y16" i="9" a="1"/>
  <c r="Y16" i="9" s="1"/>
  <c r="F162" i="7"/>
  <c r="E151" i="7"/>
  <c r="AL26" i="9" a="1"/>
  <c r="AL26" i="9" s="1"/>
  <c r="AL24" i="9" a="1"/>
  <c r="AL24" i="9" s="1"/>
  <c r="G39" i="7"/>
  <c r="G38" i="7"/>
  <c r="F140" i="7"/>
  <c r="F25" i="9" a="1"/>
  <c r="F25" i="9" s="1"/>
  <c r="F24" i="9" a="1"/>
  <c r="F24" i="9" s="1"/>
  <c r="F26" i="9" a="1"/>
  <c r="F26" i="9" s="1"/>
  <c r="F23" i="9" a="1"/>
  <c r="F23" i="9" s="1"/>
  <c r="F27" i="9" a="1"/>
  <c r="F27" i="9" s="1"/>
  <c r="F21" i="9" a="1"/>
  <c r="F21" i="9" s="1"/>
  <c r="F16" i="9" a="1"/>
  <c r="F16" i="9" s="1"/>
  <c r="N27" i="9" a="1"/>
  <c r="N27" i="9" s="1"/>
  <c r="N26" i="9" a="1"/>
  <c r="N26" i="9" s="1"/>
  <c r="N25" i="9" a="1"/>
  <c r="N25" i="9" s="1"/>
  <c r="N23" i="9" a="1"/>
  <c r="N23" i="9" s="1"/>
  <c r="N21" i="9" a="1"/>
  <c r="N21" i="9" s="1"/>
  <c r="N24" i="9" a="1"/>
  <c r="N24" i="9" s="1"/>
  <c r="N16" i="9" a="1"/>
  <c r="N16" i="9" s="1"/>
  <c r="AM24" i="9" a="1"/>
  <c r="AM24" i="9" s="1"/>
  <c r="AM27" i="9" a="1"/>
  <c r="AM27" i="9" s="1"/>
  <c r="AM25" i="9" a="1"/>
  <c r="AM25" i="9" s="1"/>
  <c r="AM23" i="9" a="1"/>
  <c r="AM23" i="9" s="1"/>
  <c r="AM16" i="9" a="1"/>
  <c r="AM16" i="9" s="1"/>
  <c r="AM26" i="9" a="1"/>
  <c r="AM26" i="9" s="1"/>
  <c r="AM21" i="9" a="1"/>
  <c r="AM21" i="9" s="1"/>
  <c r="S26" i="9" a="1"/>
  <c r="S26" i="9" s="1"/>
  <c r="S25" i="9" a="1"/>
  <c r="S25" i="9" s="1"/>
  <c r="S27" i="9" a="1"/>
  <c r="S27" i="9" s="1"/>
  <c r="S23" i="9" a="1"/>
  <c r="S23" i="9" s="1"/>
  <c r="S21" i="9" a="1"/>
  <c r="S21" i="9" s="1"/>
  <c r="S24" i="9" a="1"/>
  <c r="S24" i="9" s="1"/>
  <c r="S16" i="9" a="1"/>
  <c r="S16" i="9" s="1"/>
  <c r="J157" i="7" l="1"/>
  <c r="J161" i="7"/>
  <c r="J141" i="7"/>
  <c r="K5" i="7"/>
  <c r="J93" i="7"/>
  <c r="J106" i="7" s="1"/>
  <c r="J14" i="7"/>
  <c r="J12" i="7"/>
  <c r="J137" i="7"/>
  <c r="J68" i="7" a="1"/>
  <c r="J68" i="7" s="1"/>
  <c r="J38" i="7"/>
  <c r="J34" i="7"/>
  <c r="J13" i="7"/>
  <c r="J202" i="7" s="1"/>
  <c r="J11" i="7"/>
  <c r="J6" i="7"/>
  <c r="AO113" i="9"/>
  <c r="AO111" i="9"/>
  <c r="AO109" i="9"/>
  <c r="AO107" i="9"/>
  <c r="AO105" i="9"/>
  <c r="AO103" i="9"/>
  <c r="AO101" i="9"/>
  <c r="AO99" i="9"/>
  <c r="AO97" i="9"/>
  <c r="AO95" i="9"/>
  <c r="AO93" i="9"/>
  <c r="AO91" i="9"/>
  <c r="AO89" i="9"/>
  <c r="AO96" i="9"/>
  <c r="AO92" i="9"/>
  <c r="AO88" i="9"/>
  <c r="AO102" i="9"/>
  <c r="AO87" i="9"/>
  <c r="AO112" i="9"/>
  <c r="AO110" i="9"/>
  <c r="AO108" i="9"/>
  <c r="AO100" i="9"/>
  <c r="AO90" i="9"/>
  <c r="AO114" i="9"/>
  <c r="AO98" i="9"/>
  <c r="AO83" i="9"/>
  <c r="AO81" i="9"/>
  <c r="AO74" i="9"/>
  <c r="AO72" i="9"/>
  <c r="AO106" i="9"/>
  <c r="AO94" i="9"/>
  <c r="AO77" i="9"/>
  <c r="AO69" i="9"/>
  <c r="AO67" i="9"/>
  <c r="AO65" i="9"/>
  <c r="AO63" i="9"/>
  <c r="AO61" i="9"/>
  <c r="AO85" i="9"/>
  <c r="AO79" i="9"/>
  <c r="AO86" i="9"/>
  <c r="AO84" i="9"/>
  <c r="AO75" i="9"/>
  <c r="AO82" i="9"/>
  <c r="AO80" i="9"/>
  <c r="AO59" i="9"/>
  <c r="AO62" i="9"/>
  <c r="AO104" i="9"/>
  <c r="AO60" i="9"/>
  <c r="AO71" i="9"/>
  <c r="AO64" i="9"/>
  <c r="AO78" i="9"/>
  <c r="AO73" i="9"/>
  <c r="AO56" i="9"/>
  <c r="AO76" i="9"/>
  <c r="AO58" i="9"/>
  <c r="AO70" i="9"/>
  <c r="AO68" i="9"/>
  <c r="AO66" i="9"/>
  <c r="AO55" i="9"/>
  <c r="AO57" i="9"/>
  <c r="AP5" i="9"/>
  <c r="E77" i="7"/>
  <c r="G177" i="7"/>
  <c r="G137" i="7"/>
  <c r="G157" i="7"/>
  <c r="H35" i="7"/>
  <c r="G33" i="7"/>
  <c r="F175" i="7"/>
  <c r="F155" i="7"/>
  <c r="F135" i="7"/>
  <c r="I16" i="7"/>
  <c r="I100" i="7" s="1"/>
  <c r="I99" i="7" s="1"/>
  <c r="F79" i="7"/>
  <c r="G141" i="7"/>
  <c r="H39" i="7"/>
  <c r="G161" i="7"/>
  <c r="F159" i="7"/>
  <c r="G37" i="7"/>
  <c r="G79" i="7" s="1"/>
  <c r="F139" i="7"/>
  <c r="I105" i="7"/>
  <c r="I156" i="7"/>
  <c r="I96" i="7"/>
  <c r="I95" i="7" s="1"/>
  <c r="AN27" i="9" a="1"/>
  <c r="AN27" i="9" s="1"/>
  <c r="AN25" i="9" a="1"/>
  <c r="AN25" i="9" s="1"/>
  <c r="AN24" i="9" a="1"/>
  <c r="AN24" i="9" s="1"/>
  <c r="AN26" i="9" a="1"/>
  <c r="AN26" i="9" s="1"/>
  <c r="AN21" i="9" a="1"/>
  <c r="AN21" i="9" s="1"/>
  <c r="AN23" i="9" a="1"/>
  <c r="AN23" i="9" s="1"/>
  <c r="AN16" i="9" a="1"/>
  <c r="AN16" i="9" s="1"/>
  <c r="G103" i="7"/>
  <c r="F143" i="7"/>
  <c r="F163" i="7"/>
  <c r="G41" i="7"/>
  <c r="H159" i="7"/>
  <c r="H139" i="7"/>
  <c r="J5" i="8"/>
  <c r="K4" i="8"/>
  <c r="H4" i="9"/>
  <c r="E24" i="7"/>
  <c r="E27" i="7" s="1"/>
  <c r="E17" i="7"/>
  <c r="H195" i="7"/>
  <c r="H196" i="7"/>
  <c r="H197" i="7"/>
  <c r="I193" i="7" s="1"/>
  <c r="G95" i="7"/>
  <c r="I104" i="7"/>
  <c r="I103" i="7" s="1"/>
  <c r="E75" i="7"/>
  <c r="U45" i="4"/>
  <c r="N19" i="4"/>
  <c r="I106" i="7"/>
  <c r="G3" i="9"/>
  <c r="G143" i="7"/>
  <c r="H41" i="7"/>
  <c r="G163" i="7"/>
  <c r="G142" i="7"/>
  <c r="G162" i="7"/>
  <c r="H40" i="7"/>
  <c r="F174" i="7"/>
  <c r="F134" i="7"/>
  <c r="G32" i="7"/>
  <c r="F154" i="7"/>
  <c r="F78" i="7"/>
  <c r="G78" i="7"/>
  <c r="G173" i="7"/>
  <c r="H31" i="7"/>
  <c r="G133" i="7"/>
  <c r="G153" i="7"/>
  <c r="G139" i="7"/>
  <c r="G159" i="7"/>
  <c r="H37" i="7"/>
  <c r="U42" i="4"/>
  <c r="H3" i="9" l="1"/>
  <c r="J177" i="7"/>
  <c r="I4" i="9"/>
  <c r="L4" i="8"/>
  <c r="K5" i="8"/>
  <c r="H162" i="7"/>
  <c r="H142" i="7"/>
  <c r="I40" i="7"/>
  <c r="H34" i="7"/>
  <c r="G136" i="7"/>
  <c r="G176" i="7"/>
  <c r="G156" i="7"/>
  <c r="H178" i="7"/>
  <c r="I179" i="7" s="1"/>
  <c r="H158" i="7"/>
  <c r="H138" i="7"/>
  <c r="I36" i="7"/>
  <c r="AO27" i="9" a="1"/>
  <c r="AO27" i="9" s="1"/>
  <c r="AO26" i="9" a="1"/>
  <c r="AO26" i="9" s="1"/>
  <c r="AO25" i="9" a="1"/>
  <c r="AO25" i="9" s="1"/>
  <c r="AO21" i="9" a="1"/>
  <c r="AO21" i="9" s="1"/>
  <c r="AO24" i="9" a="1"/>
  <c r="AO24" i="9" s="1"/>
  <c r="AO23" i="9" a="1"/>
  <c r="AO23" i="9" s="1"/>
  <c r="AO16" i="9" a="1"/>
  <c r="AO16" i="9" s="1"/>
  <c r="H174" i="7"/>
  <c r="H134" i="7"/>
  <c r="H154" i="7"/>
  <c r="I32" i="7"/>
  <c r="U19" i="4"/>
  <c r="F19" i="7"/>
  <c r="F21" i="7" s="1"/>
  <c r="F20" i="7"/>
  <c r="G160" i="7"/>
  <c r="G140" i="7"/>
  <c r="H38" i="7"/>
  <c r="K178" i="7"/>
  <c r="K162" i="7"/>
  <c r="K106" i="7"/>
  <c r="K142" i="7"/>
  <c r="K104" i="7"/>
  <c r="K93" i="7"/>
  <c r="K14" i="7"/>
  <c r="K12" i="7"/>
  <c r="K96" i="7"/>
  <c r="K95" i="7" s="1"/>
  <c r="K138" i="7"/>
  <c r="K39" i="7"/>
  <c r="K35" i="7"/>
  <c r="K158" i="7" s="1"/>
  <c r="L5" i="7"/>
  <c r="K13" i="7"/>
  <c r="K202" i="7" s="1"/>
  <c r="K6" i="7"/>
  <c r="K68" i="7" a="1"/>
  <c r="K68" i="7" s="1"/>
  <c r="K11" i="7"/>
  <c r="K105" i="7"/>
  <c r="H163" i="7"/>
  <c r="H143" i="7"/>
  <c r="I41" i="7"/>
  <c r="E44" i="7"/>
  <c r="F51" i="7"/>
  <c r="F58" i="7" s="1"/>
  <c r="E45" i="7" a="1"/>
  <c r="E45" i="7" s="1"/>
  <c r="F28" i="7"/>
  <c r="E150" i="7"/>
  <c r="E165" i="7" s="1"/>
  <c r="E166" i="7" s="1"/>
  <c r="E130" i="7"/>
  <c r="E145" i="7" s="1"/>
  <c r="E146" i="7" s="1"/>
  <c r="E183" i="7" s="1" a="1"/>
  <c r="E183" i="7" s="1"/>
  <c r="F18" i="7"/>
  <c r="F62" i="7" s="1"/>
  <c r="E170" i="7"/>
  <c r="E180" i="7" s="1"/>
  <c r="E181" i="7" s="1"/>
  <c r="F66" i="7"/>
  <c r="F64" i="7" s="1"/>
  <c r="J105" i="7"/>
  <c r="J96" i="7"/>
  <c r="J16" i="7"/>
  <c r="J100" i="7" s="1"/>
  <c r="J99" i="7" s="1"/>
  <c r="J107" i="7"/>
  <c r="H140" i="7"/>
  <c r="H160" i="7"/>
  <c r="I38" i="7"/>
  <c r="J104" i="7"/>
  <c r="J103" i="7" s="1"/>
  <c r="G175" i="7"/>
  <c r="H33" i="7"/>
  <c r="G135" i="7"/>
  <c r="G155" i="7"/>
  <c r="H164" i="7"/>
  <c r="H144" i="7"/>
  <c r="I195" i="7"/>
  <c r="I196" i="7"/>
  <c r="I197" i="7"/>
  <c r="J193" i="7" s="1"/>
  <c r="G164" i="7"/>
  <c r="G144" i="7"/>
  <c r="AP102" i="9"/>
  <c r="AP87" i="9"/>
  <c r="AP85" i="9"/>
  <c r="AP83" i="9"/>
  <c r="AP81" i="9"/>
  <c r="AP79" i="9"/>
  <c r="AP77" i="9"/>
  <c r="AP112" i="9"/>
  <c r="AP110" i="9"/>
  <c r="AP108" i="9"/>
  <c r="AP106" i="9"/>
  <c r="AP104" i="9"/>
  <c r="AP99" i="9"/>
  <c r="AP114" i="9"/>
  <c r="AP113" i="9"/>
  <c r="AP111" i="9"/>
  <c r="AP109" i="9"/>
  <c r="AP107" i="9"/>
  <c r="AP105" i="9"/>
  <c r="AP101" i="9"/>
  <c r="AP98" i="9"/>
  <c r="AP96" i="9"/>
  <c r="AP95" i="9"/>
  <c r="AP92" i="9"/>
  <c r="AP91" i="9"/>
  <c r="AP89" i="9"/>
  <c r="AP88" i="9"/>
  <c r="AP103" i="9"/>
  <c r="AP74" i="9"/>
  <c r="AP72" i="9"/>
  <c r="AP93" i="9"/>
  <c r="AP90" i="9"/>
  <c r="AP97" i="9"/>
  <c r="AP86" i="9"/>
  <c r="AP84" i="9"/>
  <c r="AP75" i="9"/>
  <c r="AP94" i="9"/>
  <c r="AP71" i="9"/>
  <c r="AP69" i="9"/>
  <c r="AP67" i="9"/>
  <c r="AP65" i="9"/>
  <c r="AP62" i="9"/>
  <c r="AP82" i="9"/>
  <c r="AP63" i="9"/>
  <c r="AP60" i="9"/>
  <c r="AP78" i="9"/>
  <c r="AP61" i="9"/>
  <c r="AP57" i="9"/>
  <c r="AP100" i="9"/>
  <c r="AP80" i="9"/>
  <c r="AP73" i="9"/>
  <c r="AP56" i="9"/>
  <c r="AP76" i="9"/>
  <c r="AP58" i="9"/>
  <c r="AP70" i="9"/>
  <c r="AP66" i="9"/>
  <c r="AP59" i="9"/>
  <c r="AP55" i="9"/>
  <c r="AP64" i="9"/>
  <c r="AP68" i="9"/>
  <c r="AQ5" i="9"/>
  <c r="I139" i="7" l="1"/>
  <c r="I159" i="7"/>
  <c r="J37" i="7"/>
  <c r="F61" i="7"/>
  <c r="I135" i="7"/>
  <c r="I155" i="7"/>
  <c r="I175" i="7"/>
  <c r="J33" i="7"/>
  <c r="F24" i="7"/>
  <c r="F27" i="7" s="1"/>
  <c r="L5" i="8"/>
  <c r="M4" i="8"/>
  <c r="J4" i="9"/>
  <c r="J196" i="7"/>
  <c r="J195" i="7"/>
  <c r="J197" i="7"/>
  <c r="K193" i="7" s="1"/>
  <c r="H161" i="7"/>
  <c r="H141" i="7"/>
  <c r="I39" i="7"/>
  <c r="F17" i="7"/>
  <c r="I3" i="9"/>
  <c r="AQ114" i="9"/>
  <c r="AQ112" i="9"/>
  <c r="AQ110" i="9"/>
  <c r="AQ108" i="9"/>
  <c r="AQ106" i="9"/>
  <c r="AQ104" i="9"/>
  <c r="AQ102" i="9"/>
  <c r="AQ100" i="9"/>
  <c r="AQ98" i="9"/>
  <c r="AQ96" i="9"/>
  <c r="AQ94" i="9"/>
  <c r="AQ92" i="9"/>
  <c r="AQ113" i="9"/>
  <c r="AQ111" i="9"/>
  <c r="AQ109" i="9"/>
  <c r="AQ107" i="9"/>
  <c r="AQ105" i="9"/>
  <c r="AQ103" i="9"/>
  <c r="AQ101" i="9"/>
  <c r="AQ99" i="9"/>
  <c r="AQ97" i="9"/>
  <c r="AQ93" i="9"/>
  <c r="AQ87" i="9"/>
  <c r="AQ85" i="9"/>
  <c r="AQ83" i="9"/>
  <c r="AQ81" i="9"/>
  <c r="AQ95" i="9"/>
  <c r="AQ90" i="9"/>
  <c r="AQ88" i="9"/>
  <c r="AQ84" i="9"/>
  <c r="AQ79" i="9"/>
  <c r="AQ75" i="9"/>
  <c r="AQ86" i="9"/>
  <c r="AQ71" i="9"/>
  <c r="AQ76" i="9"/>
  <c r="AQ70" i="9"/>
  <c r="AQ68" i="9"/>
  <c r="AQ66" i="9"/>
  <c r="AQ64" i="9"/>
  <c r="AQ62" i="9"/>
  <c r="AQ77" i="9"/>
  <c r="AQ82" i="9"/>
  <c r="AQ63" i="9"/>
  <c r="AQ60" i="9"/>
  <c r="AQ78" i="9"/>
  <c r="AQ74" i="9"/>
  <c r="AQ61" i="9"/>
  <c r="AQ57" i="9"/>
  <c r="AQ55" i="9"/>
  <c r="AQ73" i="9"/>
  <c r="AQ69" i="9"/>
  <c r="AQ89" i="9"/>
  <c r="AQ91" i="9"/>
  <c r="AQ80" i="9"/>
  <c r="AQ58" i="9"/>
  <c r="AQ67" i="9"/>
  <c r="AQ59" i="9"/>
  <c r="AQ72" i="9"/>
  <c r="AQ56" i="9"/>
  <c r="AQ65" i="9"/>
  <c r="AR5" i="9"/>
  <c r="I161" i="7"/>
  <c r="I141" i="7"/>
  <c r="J39" i="7"/>
  <c r="J95" i="7"/>
  <c r="F131" i="7"/>
  <c r="F171" i="7"/>
  <c r="G29" i="7"/>
  <c r="F151" i="7"/>
  <c r="L93" i="7"/>
  <c r="L163" i="7"/>
  <c r="L40" i="7"/>
  <c r="L36" i="7"/>
  <c r="L139" i="7" s="1"/>
  <c r="L68" i="7" a="1"/>
  <c r="L68" i="7" s="1"/>
  <c r="L143" i="7"/>
  <c r="L14" i="7"/>
  <c r="L12" i="7"/>
  <c r="L13" i="7"/>
  <c r="L202" i="7" s="1"/>
  <c r="M5" i="7"/>
  <c r="L11" i="7"/>
  <c r="L6" i="7"/>
  <c r="E47" i="7"/>
  <c r="E50" i="7"/>
  <c r="K107" i="7"/>
  <c r="H78" i="7"/>
  <c r="F75" i="7"/>
  <c r="AP26" i="9" a="1"/>
  <c r="AP26" i="9" s="1"/>
  <c r="AP25" i="9" a="1"/>
  <c r="AP25" i="9" s="1"/>
  <c r="AP23" i="9" a="1"/>
  <c r="AP23" i="9" s="1"/>
  <c r="AP27" i="9" a="1"/>
  <c r="AP27" i="9" s="1"/>
  <c r="AP21" i="9" a="1"/>
  <c r="AP21" i="9" s="1"/>
  <c r="AP24" i="9" a="1"/>
  <c r="AP24" i="9" s="1"/>
  <c r="AP16" i="9" a="1"/>
  <c r="AP16" i="9" s="1"/>
  <c r="F209" i="7"/>
  <c r="F213" i="7" s="1"/>
  <c r="E46" i="7"/>
  <c r="H177" i="7"/>
  <c r="H137" i="7"/>
  <c r="H79" i="7"/>
  <c r="H157" i="7"/>
  <c r="I35" i="7"/>
  <c r="I143" i="7"/>
  <c r="I163" i="7"/>
  <c r="J41" i="7"/>
  <c r="I144" i="7"/>
  <c r="I164" i="7"/>
  <c r="K103" i="7"/>
  <c r="H136" i="7"/>
  <c r="H176" i="7"/>
  <c r="H156" i="7"/>
  <c r="I34" i="7"/>
  <c r="K16" i="7"/>
  <c r="K100" i="7" s="1"/>
  <c r="K99" i="7" s="1"/>
  <c r="G51" i="7" l="1"/>
  <c r="G58" i="7" s="1"/>
  <c r="F44" i="7"/>
  <c r="G28" i="7"/>
  <c r="F150" i="7"/>
  <c r="F165" i="7" s="1"/>
  <c r="F166" i="7" s="1"/>
  <c r="F130" i="7"/>
  <c r="F145" i="7" s="1"/>
  <c r="F146" i="7" s="1"/>
  <c r="F183" i="7" s="1" a="1"/>
  <c r="F183" i="7" s="1"/>
  <c r="F45" i="7" a="1"/>
  <c r="F45" i="7" s="1"/>
  <c r="G18" i="7"/>
  <c r="G62" i="7" s="1"/>
  <c r="F170" i="7"/>
  <c r="F180" i="7" s="1"/>
  <c r="F181" i="7" s="1"/>
  <c r="G66" i="7"/>
  <c r="G64" i="7" s="1"/>
  <c r="I177" i="7"/>
  <c r="I137" i="7"/>
  <c r="I79" i="7"/>
  <c r="I157" i="7"/>
  <c r="J35" i="7"/>
  <c r="J144" i="7"/>
  <c r="J164" i="7"/>
  <c r="I138" i="7"/>
  <c r="I158" i="7"/>
  <c r="I178" i="7"/>
  <c r="J179" i="7" s="1"/>
  <c r="J36" i="7"/>
  <c r="J79" i="7" s="1"/>
  <c r="L105" i="7"/>
  <c r="J136" i="7"/>
  <c r="J156" i="7"/>
  <c r="J176" i="7"/>
  <c r="K34" i="7"/>
  <c r="L159" i="7"/>
  <c r="AQ24" i="9" a="1"/>
  <c r="AQ24" i="9" s="1"/>
  <c r="AQ25" i="9" a="1"/>
  <c r="AQ25" i="9" s="1"/>
  <c r="AQ23" i="9" a="1"/>
  <c r="AQ23" i="9" s="1"/>
  <c r="AQ26" i="9" a="1"/>
  <c r="AQ26" i="9" s="1"/>
  <c r="AQ21" i="9" a="1"/>
  <c r="AQ21" i="9" s="1"/>
  <c r="AQ27" i="9" a="1"/>
  <c r="AQ27" i="9" s="1"/>
  <c r="AQ16" i="9" a="1"/>
  <c r="AQ16" i="9" s="1"/>
  <c r="G20" i="7"/>
  <c r="G19" i="7"/>
  <c r="J3" i="9"/>
  <c r="I162" i="7"/>
  <c r="I142" i="7"/>
  <c r="J40" i="7"/>
  <c r="K4" i="9"/>
  <c r="N4" i="8"/>
  <c r="M5" i="8"/>
  <c r="L96" i="7"/>
  <c r="L16" i="7"/>
  <c r="L100" i="7" s="1"/>
  <c r="L99" i="7" s="1"/>
  <c r="L107" i="7"/>
  <c r="L104" i="7"/>
  <c r="L106" i="7"/>
  <c r="K196" i="7"/>
  <c r="K195" i="7"/>
  <c r="K197" i="7"/>
  <c r="L193" i="7" s="1"/>
  <c r="H30" i="7"/>
  <c r="G172" i="7"/>
  <c r="G152" i="7"/>
  <c r="G132" i="7"/>
  <c r="F214" i="7"/>
  <c r="F222" i="7"/>
  <c r="M160" i="7"/>
  <c r="M68" i="7" a="1"/>
  <c r="M68" i="7" s="1"/>
  <c r="M93" i="7"/>
  <c r="M105" i="7" s="1"/>
  <c r="M140" i="7"/>
  <c r="M106" i="7"/>
  <c r="M13" i="7"/>
  <c r="M202" i="7" s="1"/>
  <c r="N5" i="7"/>
  <c r="M37" i="7"/>
  <c r="M12" i="7"/>
  <c r="M14" i="7"/>
  <c r="M11" i="7"/>
  <c r="M6" i="7"/>
  <c r="AR114" i="9"/>
  <c r="AR112" i="9"/>
  <c r="AR110" i="9"/>
  <c r="AR108" i="9"/>
  <c r="AR106" i="9"/>
  <c r="AR104" i="9"/>
  <c r="AR99" i="9"/>
  <c r="AR97" i="9"/>
  <c r="AR93" i="9"/>
  <c r="AR94" i="9"/>
  <c r="AR86" i="9"/>
  <c r="AR84" i="9"/>
  <c r="AR82" i="9"/>
  <c r="AR113" i="9"/>
  <c r="AR111" i="9"/>
  <c r="AR109" i="9"/>
  <c r="AR102" i="9"/>
  <c r="AR95" i="9"/>
  <c r="AR92" i="9"/>
  <c r="AR90" i="9"/>
  <c r="AR88" i="9"/>
  <c r="AR107" i="9"/>
  <c r="AR101" i="9"/>
  <c r="AR76" i="9"/>
  <c r="AR105" i="9"/>
  <c r="AR91" i="9"/>
  <c r="AR85" i="9"/>
  <c r="AR103" i="9"/>
  <c r="AR98" i="9"/>
  <c r="AR71" i="9"/>
  <c r="AR70" i="9"/>
  <c r="AR68" i="9"/>
  <c r="AR66" i="9"/>
  <c r="AR64" i="9"/>
  <c r="AR62" i="9"/>
  <c r="AR60" i="9"/>
  <c r="AR81" i="9"/>
  <c r="AR78" i="9"/>
  <c r="AR74" i="9"/>
  <c r="AR87" i="9"/>
  <c r="AR79" i="9"/>
  <c r="AR75" i="9"/>
  <c r="AR96" i="9"/>
  <c r="AR61" i="9"/>
  <c r="AR57" i="9"/>
  <c r="AR55" i="9"/>
  <c r="AR73" i="9"/>
  <c r="AR69" i="9"/>
  <c r="AR65" i="9"/>
  <c r="AR83" i="9"/>
  <c r="AR89" i="9"/>
  <c r="AR63" i="9"/>
  <c r="AR100" i="9"/>
  <c r="AR67" i="9"/>
  <c r="AR59" i="9"/>
  <c r="AR72" i="9"/>
  <c r="AR77" i="9"/>
  <c r="AR80" i="9"/>
  <c r="AR58" i="9"/>
  <c r="AR56" i="9"/>
  <c r="AS5" i="9"/>
  <c r="F77" i="7"/>
  <c r="E59" i="7"/>
  <c r="J162" i="7"/>
  <c r="J142" i="7"/>
  <c r="K40" i="7"/>
  <c r="J160" i="7"/>
  <c r="J140" i="7"/>
  <c r="K38" i="7"/>
  <c r="M16" i="7" l="1"/>
  <c r="M100" i="7" s="1"/>
  <c r="M99" i="7" s="1"/>
  <c r="K141" i="7"/>
  <c r="K161" i="7"/>
  <c r="L39" i="7"/>
  <c r="G131" i="7"/>
  <c r="G151" i="7"/>
  <c r="G171" i="7"/>
  <c r="H29" i="7"/>
  <c r="E76" i="7"/>
  <c r="E57" i="7"/>
  <c r="L103" i="7"/>
  <c r="J143" i="7"/>
  <c r="J163" i="7"/>
  <c r="K41" i="7"/>
  <c r="G21" i="7"/>
  <c r="J159" i="7"/>
  <c r="J139" i="7"/>
  <c r="K37" i="7"/>
  <c r="K79" i="7" s="1"/>
  <c r="J138" i="7"/>
  <c r="J158" i="7"/>
  <c r="J178" i="7"/>
  <c r="K36" i="7"/>
  <c r="F46" i="7"/>
  <c r="G209" i="7" s="1"/>
  <c r="G213" i="7" s="1"/>
  <c r="L95" i="7"/>
  <c r="G75" i="7"/>
  <c r="K179" i="7"/>
  <c r="L179" i="7" s="1"/>
  <c r="M104" i="7"/>
  <c r="M103" i="7" s="1"/>
  <c r="H153" i="7"/>
  <c r="H133" i="7"/>
  <c r="H173" i="7"/>
  <c r="I31" i="7"/>
  <c r="K163" i="7"/>
  <c r="K143" i="7"/>
  <c r="L41" i="7"/>
  <c r="M96" i="7"/>
  <c r="M95" i="7" s="1"/>
  <c r="M107" i="7"/>
  <c r="L196" i="7"/>
  <c r="L195" i="7"/>
  <c r="L197" i="7"/>
  <c r="M193" i="7" s="1"/>
  <c r="N5" i="8"/>
  <c r="L4" i="9"/>
  <c r="O4" i="8"/>
  <c r="K137" i="7"/>
  <c r="K177" i="7"/>
  <c r="K157" i="7"/>
  <c r="L35" i="7"/>
  <c r="G61" i="7"/>
  <c r="AR26" i="9" a="1"/>
  <c r="AR26" i="9" s="1"/>
  <c r="AR27" i="9" a="1"/>
  <c r="AR27" i="9" s="1"/>
  <c r="AR23" i="9" a="1"/>
  <c r="AR23" i="9" s="1"/>
  <c r="AR16" i="9" a="1"/>
  <c r="AR16" i="9" s="1"/>
  <c r="AR25" i="9" a="1"/>
  <c r="AR25" i="9" s="1"/>
  <c r="AR24" i="9" a="1"/>
  <c r="AR24" i="9" s="1"/>
  <c r="AR21" i="9" a="1"/>
  <c r="AR21" i="9" s="1"/>
  <c r="N141" i="7"/>
  <c r="N93" i="7"/>
  <c r="N106" i="7" s="1"/>
  <c r="N107" i="7"/>
  <c r="N68" i="7" a="1"/>
  <c r="N68" i="7" s="1"/>
  <c r="N38" i="7"/>
  <c r="N161" i="7" s="1"/>
  <c r="N13" i="7"/>
  <c r="N202" i="7" s="1"/>
  <c r="N11" i="7"/>
  <c r="N105" i="7"/>
  <c r="O5" i="7"/>
  <c r="N14" i="7"/>
  <c r="N12" i="7"/>
  <c r="N6" i="7"/>
  <c r="G221" i="7"/>
  <c r="F223" i="7"/>
  <c r="K3" i="9"/>
  <c r="F47" i="7"/>
  <c r="F50" i="7"/>
  <c r="AS114" i="9"/>
  <c r="AS112" i="9"/>
  <c r="AS110" i="9"/>
  <c r="AS108" i="9"/>
  <c r="AS106" i="9"/>
  <c r="AS104" i="9"/>
  <c r="AS102" i="9"/>
  <c r="AS100" i="9"/>
  <c r="AS98" i="9"/>
  <c r="AS96" i="9"/>
  <c r="AS94" i="9"/>
  <c r="AS92" i="9"/>
  <c r="AS90" i="9"/>
  <c r="AS88" i="9"/>
  <c r="AS99" i="9"/>
  <c r="AS97" i="9"/>
  <c r="AS93" i="9"/>
  <c r="AS86" i="9"/>
  <c r="AS113" i="9"/>
  <c r="AS111" i="9"/>
  <c r="AS109" i="9"/>
  <c r="AS107" i="9"/>
  <c r="AS105" i="9"/>
  <c r="AS101" i="9"/>
  <c r="AS103" i="9"/>
  <c r="AS95" i="9"/>
  <c r="AS76" i="9"/>
  <c r="AS75" i="9"/>
  <c r="AS73" i="9"/>
  <c r="AS71" i="9"/>
  <c r="AS82" i="9"/>
  <c r="AS78" i="9"/>
  <c r="AS77" i="9"/>
  <c r="AS89" i="9"/>
  <c r="AS85" i="9"/>
  <c r="AS70" i="9"/>
  <c r="AS68" i="9"/>
  <c r="AS66" i="9"/>
  <c r="AS64" i="9"/>
  <c r="AS62" i="9"/>
  <c r="AS81" i="9"/>
  <c r="AS74" i="9"/>
  <c r="AS87" i="9"/>
  <c r="AS80" i="9"/>
  <c r="AS83" i="9"/>
  <c r="AS84" i="9"/>
  <c r="AS79" i="9"/>
  <c r="AS69" i="9"/>
  <c r="AS65" i="9"/>
  <c r="AS91" i="9"/>
  <c r="AS67" i="9"/>
  <c r="AS61" i="9"/>
  <c r="AS59" i="9"/>
  <c r="AS72" i="9"/>
  <c r="AS55" i="9"/>
  <c r="AS63" i="9"/>
  <c r="AS60" i="9"/>
  <c r="AS58" i="9"/>
  <c r="AS56" i="9"/>
  <c r="AS57" i="9"/>
  <c r="AT5" i="9"/>
  <c r="G222" i="7" l="1"/>
  <c r="G214" i="7"/>
  <c r="N16" i="7"/>
  <c r="N100" i="7" s="1"/>
  <c r="N99" i="7" s="1"/>
  <c r="O93" i="7"/>
  <c r="O107" i="7" s="1"/>
  <c r="O16" i="7"/>
  <c r="O100" i="7" s="1"/>
  <c r="O99" i="7" s="1"/>
  <c r="O13" i="7"/>
  <c r="O202" i="7" s="1"/>
  <c r="O11" i="7"/>
  <c r="O39" i="7"/>
  <c r="O142" i="7" s="1"/>
  <c r="P5" i="7"/>
  <c r="O14" i="7"/>
  <c r="O68" i="7" a="1"/>
  <c r="O68" i="7" s="1"/>
  <c r="O12" i="7"/>
  <c r="O6" i="7"/>
  <c r="N104" i="7"/>
  <c r="N103" i="7" s="1"/>
  <c r="L142" i="7"/>
  <c r="L162" i="7"/>
  <c r="M40" i="7"/>
  <c r="AT114" i="9"/>
  <c r="AT86" i="9"/>
  <c r="AT84" i="9"/>
  <c r="AT82" i="9"/>
  <c r="AT80" i="9"/>
  <c r="AT78" i="9"/>
  <c r="AT76" i="9"/>
  <c r="AT113" i="9"/>
  <c r="AT112" i="9"/>
  <c r="AT111" i="9"/>
  <c r="AT110" i="9"/>
  <c r="AT109" i="9"/>
  <c r="AT108" i="9"/>
  <c r="AT107" i="9"/>
  <c r="AT106" i="9"/>
  <c r="AT105" i="9"/>
  <c r="AT104" i="9"/>
  <c r="AT101" i="9"/>
  <c r="AT94" i="9"/>
  <c r="AT98" i="9"/>
  <c r="AT100" i="9"/>
  <c r="AT99" i="9"/>
  <c r="AT97" i="9"/>
  <c r="AT93" i="9"/>
  <c r="AT88" i="9"/>
  <c r="AT75" i="9"/>
  <c r="AT73" i="9"/>
  <c r="AT102" i="9"/>
  <c r="AT77" i="9"/>
  <c r="AT91" i="9"/>
  <c r="AT85" i="9"/>
  <c r="AT79" i="9"/>
  <c r="AT87" i="9"/>
  <c r="AT81" i="9"/>
  <c r="AT74" i="9"/>
  <c r="AT83" i="9"/>
  <c r="AT96" i="9"/>
  <c r="AT95" i="9"/>
  <c r="AT89" i="9"/>
  <c r="AT71" i="9"/>
  <c r="AT70" i="9"/>
  <c r="AT68" i="9"/>
  <c r="AT66" i="9"/>
  <c r="AT64" i="9"/>
  <c r="AT103" i="9"/>
  <c r="AT65" i="9"/>
  <c r="AT90" i="9"/>
  <c r="AT67" i="9"/>
  <c r="AT72" i="9"/>
  <c r="AT58" i="9"/>
  <c r="AT69" i="9"/>
  <c r="AT59" i="9"/>
  <c r="AT55" i="9"/>
  <c r="AT92" i="9"/>
  <c r="AT62" i="9"/>
  <c r="AT57" i="9"/>
  <c r="AT56" i="9"/>
  <c r="AT61" i="9"/>
  <c r="AT60" i="9"/>
  <c r="AT63" i="9"/>
  <c r="AU5" i="9"/>
  <c r="L164" i="7"/>
  <c r="L144" i="7"/>
  <c r="M41" i="7"/>
  <c r="K160" i="7"/>
  <c r="K140" i="7"/>
  <c r="L38" i="7"/>
  <c r="G24" i="7"/>
  <c r="G27" i="7" s="1"/>
  <c r="G17" i="7"/>
  <c r="E55" i="7"/>
  <c r="E81" i="7"/>
  <c r="E74" i="7" s="1"/>
  <c r="E82" i="7"/>
  <c r="M196" i="7"/>
  <c r="M195" i="7"/>
  <c r="M197" i="7"/>
  <c r="N193" i="7" s="1"/>
  <c r="I174" i="7"/>
  <c r="I154" i="7"/>
  <c r="I134" i="7"/>
  <c r="I78" i="7"/>
  <c r="J32" i="7"/>
  <c r="N96" i="7"/>
  <c r="N95" i="7" s="1"/>
  <c r="L3" i="9"/>
  <c r="K139" i="7"/>
  <c r="K159" i="7"/>
  <c r="L37" i="7"/>
  <c r="K164" i="7"/>
  <c r="K144" i="7"/>
  <c r="G77" i="7"/>
  <c r="M179" i="7"/>
  <c r="F59" i="7"/>
  <c r="H132" i="7"/>
  <c r="H152" i="7"/>
  <c r="H172" i="7"/>
  <c r="I30" i="7"/>
  <c r="P4" i="8"/>
  <c r="M4" i="9"/>
  <c r="M3" i="9" s="1"/>
  <c r="O5" i="8"/>
  <c r="AS27" i="9" a="1"/>
  <c r="AS27" i="9" s="1"/>
  <c r="AS26" i="9" a="1"/>
  <c r="AS26" i="9" s="1"/>
  <c r="AS21" i="9" a="1"/>
  <c r="AS21" i="9" s="1"/>
  <c r="AS23" i="9" a="1"/>
  <c r="AS23" i="9" s="1"/>
  <c r="AS25" i="9" a="1"/>
  <c r="AS25" i="9" s="1"/>
  <c r="AS24" i="9" a="1"/>
  <c r="AS24" i="9" s="1"/>
  <c r="AS16" i="9" a="1"/>
  <c r="AS16" i="9" s="1"/>
  <c r="L178" i="7"/>
  <c r="L138" i="7"/>
  <c r="L158" i="7"/>
  <c r="M36" i="7"/>
  <c r="E72" i="7" l="1"/>
  <c r="E71" i="7" s="1"/>
  <c r="J175" i="7"/>
  <c r="J155" i="7"/>
  <c r="J135" i="7"/>
  <c r="K33" i="7"/>
  <c r="L141" i="7"/>
  <c r="L161" i="7"/>
  <c r="M39" i="7"/>
  <c r="O104" i="7"/>
  <c r="O162" i="7"/>
  <c r="H20" i="7"/>
  <c r="H19" i="7"/>
  <c r="O105" i="7"/>
  <c r="O96" i="7"/>
  <c r="O95" i="7" s="1"/>
  <c r="H51" i="7"/>
  <c r="H58" i="7" s="1"/>
  <c r="G44" i="7"/>
  <c r="G45" i="7" a="1"/>
  <c r="G45" i="7" s="1"/>
  <c r="G170" i="7"/>
  <c r="G180" i="7" s="1"/>
  <c r="G181" i="7" s="1"/>
  <c r="H28" i="7"/>
  <c r="H18" i="7"/>
  <c r="H62" i="7" s="1"/>
  <c r="G130" i="7"/>
  <c r="G145" i="7" s="1"/>
  <c r="G146" i="7" s="1"/>
  <c r="G183" i="7" s="1" a="1"/>
  <c r="G183" i="7" s="1"/>
  <c r="G150" i="7"/>
  <c r="G165" i="7" s="1"/>
  <c r="G166" i="7" s="1"/>
  <c r="M144" i="7"/>
  <c r="M164" i="7"/>
  <c r="O106" i="7"/>
  <c r="N196" i="7"/>
  <c r="N195" i="7"/>
  <c r="N197" i="7"/>
  <c r="O193" i="7" s="1"/>
  <c r="E188" i="7"/>
  <c r="E189" i="7"/>
  <c r="E187" i="7"/>
  <c r="P107" i="7"/>
  <c r="O56" i="4" s="1"/>
  <c r="P143" i="7"/>
  <c r="P105" i="7"/>
  <c r="O54" i="4" s="1"/>
  <c r="P96" i="7"/>
  <c r="P11" i="7"/>
  <c r="Q5" i="7"/>
  <c r="P68" i="7" a="1"/>
  <c r="P68" i="7" s="1"/>
  <c r="P93" i="7"/>
  <c r="P106" i="7" s="1"/>
  <c r="O55" i="4" s="1"/>
  <c r="P13" i="7"/>
  <c r="P202" i="7" s="1"/>
  <c r="P14" i="7"/>
  <c r="P12" i="7"/>
  <c r="P104" i="7"/>
  <c r="P40" i="7"/>
  <c r="P163" i="7" s="1"/>
  <c r="P6" i="7"/>
  <c r="L160" i="7"/>
  <c r="L140" i="7"/>
  <c r="M38" i="7"/>
  <c r="M163" i="7"/>
  <c r="M143" i="7"/>
  <c r="N41" i="7"/>
  <c r="H221" i="7"/>
  <c r="G223" i="7"/>
  <c r="M159" i="7"/>
  <c r="M139" i="7"/>
  <c r="N37" i="7"/>
  <c r="F76" i="7"/>
  <c r="F57" i="7"/>
  <c r="I133" i="7"/>
  <c r="I173" i="7"/>
  <c r="I153" i="7"/>
  <c r="J31" i="7"/>
  <c r="N4" i="9"/>
  <c r="P5" i="8"/>
  <c r="Q4" i="8"/>
  <c r="AU113" i="9"/>
  <c r="AU111" i="9"/>
  <c r="AU109" i="9"/>
  <c r="AU107" i="9"/>
  <c r="AU105" i="9"/>
  <c r="AU103" i="9"/>
  <c r="AU101" i="9"/>
  <c r="AU99" i="9"/>
  <c r="AU97" i="9"/>
  <c r="AU95" i="9"/>
  <c r="AU93" i="9"/>
  <c r="AU91" i="9"/>
  <c r="AU114" i="9"/>
  <c r="AU112" i="9"/>
  <c r="AU110" i="9"/>
  <c r="AU108" i="9"/>
  <c r="AU106" i="9"/>
  <c r="AU104" i="9"/>
  <c r="AU102" i="9"/>
  <c r="AU100" i="9"/>
  <c r="AU98" i="9"/>
  <c r="AU94" i="9"/>
  <c r="AU90" i="9"/>
  <c r="AU89" i="9"/>
  <c r="AU96" i="9"/>
  <c r="AU86" i="9"/>
  <c r="AU84" i="9"/>
  <c r="AU77" i="9"/>
  <c r="AU76" i="9"/>
  <c r="AU85" i="9"/>
  <c r="AU82" i="9"/>
  <c r="AU79" i="9"/>
  <c r="AU78" i="9"/>
  <c r="AU80" i="9"/>
  <c r="AU87" i="9"/>
  <c r="AU83" i="9"/>
  <c r="AU73" i="9"/>
  <c r="AU72" i="9"/>
  <c r="AU69" i="9"/>
  <c r="AU67" i="9"/>
  <c r="AU65" i="9"/>
  <c r="AU63" i="9"/>
  <c r="AU61" i="9"/>
  <c r="AU81" i="9"/>
  <c r="AU74" i="9"/>
  <c r="AU58" i="9"/>
  <c r="AU56" i="9"/>
  <c r="AU88" i="9"/>
  <c r="AU70" i="9"/>
  <c r="AU59" i="9"/>
  <c r="AU55" i="9"/>
  <c r="AU92" i="9"/>
  <c r="AU66" i="9"/>
  <c r="AU62" i="9"/>
  <c r="AU57" i="9"/>
  <c r="AU68" i="9"/>
  <c r="AU75" i="9"/>
  <c r="AU71" i="9"/>
  <c r="AU64" i="9"/>
  <c r="AU60" i="9"/>
  <c r="AV5" i="9"/>
  <c r="AT27" i="9" a="1"/>
  <c r="AT27" i="9" s="1"/>
  <c r="AT26" i="9" a="1"/>
  <c r="AT26" i="9" s="1"/>
  <c r="AT25" i="9" a="1"/>
  <c r="AT25" i="9" s="1"/>
  <c r="AT21" i="9" a="1"/>
  <c r="AT21" i="9" s="1"/>
  <c r="AT24" i="9" a="1"/>
  <c r="AT24" i="9" s="1"/>
  <c r="AT23" i="9" a="1"/>
  <c r="AT23" i="9" s="1"/>
  <c r="AT16" i="9" a="1"/>
  <c r="AT16" i="9" s="1"/>
  <c r="N140" i="7" l="1"/>
  <c r="N160" i="7"/>
  <c r="O38" i="7"/>
  <c r="J78" i="7"/>
  <c r="J174" i="7"/>
  <c r="J134" i="7"/>
  <c r="J154" i="7"/>
  <c r="K32" i="7"/>
  <c r="F55" i="7"/>
  <c r="F81" i="7"/>
  <c r="F82" i="7"/>
  <c r="AV113" i="9"/>
  <c r="AV111" i="9"/>
  <c r="AV109" i="9"/>
  <c r="AV107" i="9"/>
  <c r="AV105" i="9"/>
  <c r="AV114" i="9"/>
  <c r="AV112" i="9"/>
  <c r="AV110" i="9"/>
  <c r="AV108" i="9"/>
  <c r="AV106" i="9"/>
  <c r="AV104" i="9"/>
  <c r="AV101" i="9"/>
  <c r="AV98" i="9"/>
  <c r="AV90" i="9"/>
  <c r="AV89" i="9"/>
  <c r="AV103" i="9"/>
  <c r="AV95" i="9"/>
  <c r="AV91" i="9"/>
  <c r="AV88" i="9"/>
  <c r="AV87" i="9"/>
  <c r="AV85" i="9"/>
  <c r="AV83" i="9"/>
  <c r="AV81" i="9"/>
  <c r="AV94" i="9"/>
  <c r="AV102" i="9"/>
  <c r="AV82" i="9"/>
  <c r="AV79" i="9"/>
  <c r="AV78" i="9"/>
  <c r="AV93" i="9"/>
  <c r="AV80" i="9"/>
  <c r="AV97" i="9"/>
  <c r="AV86" i="9"/>
  <c r="AV84" i="9"/>
  <c r="AV100" i="9"/>
  <c r="AV96" i="9"/>
  <c r="AV76" i="9"/>
  <c r="AV73" i="9"/>
  <c r="AV72" i="9"/>
  <c r="AV69" i="9"/>
  <c r="AV67" i="9"/>
  <c r="AV65" i="9"/>
  <c r="AV63" i="9"/>
  <c r="AV61" i="9"/>
  <c r="AV59" i="9"/>
  <c r="AV99" i="9"/>
  <c r="AV92" i="9"/>
  <c r="AV74" i="9"/>
  <c r="AV58" i="9"/>
  <c r="AV56" i="9"/>
  <c r="AV70" i="9"/>
  <c r="AV55" i="9"/>
  <c r="AV66" i="9"/>
  <c r="AV62" i="9"/>
  <c r="AV57" i="9"/>
  <c r="AV68" i="9"/>
  <c r="AV60" i="9"/>
  <c r="AV77" i="9"/>
  <c r="AV75" i="9"/>
  <c r="AV71" i="9"/>
  <c r="AV64" i="9"/>
  <c r="AW5" i="9"/>
  <c r="O4" i="9"/>
  <c r="O3" i="9" s="1"/>
  <c r="Q5" i="8"/>
  <c r="R4" i="8"/>
  <c r="F74" i="7"/>
  <c r="P103" i="7"/>
  <c r="O53" i="4"/>
  <c r="H21" i="7"/>
  <c r="G47" i="7"/>
  <c r="H209" i="7" s="1"/>
  <c r="H213" i="7" s="1"/>
  <c r="G50" i="7"/>
  <c r="AU25" i="9" a="1"/>
  <c r="AU25" i="9" s="1"/>
  <c r="AU24" i="9" a="1"/>
  <c r="AU24" i="9" s="1"/>
  <c r="AU26" i="9" a="1"/>
  <c r="AU26" i="9" s="1"/>
  <c r="AU27" i="9" a="1"/>
  <c r="AU27" i="9" s="1"/>
  <c r="AU21" i="9" a="1"/>
  <c r="AU21" i="9" s="1"/>
  <c r="AU23" i="9" a="1"/>
  <c r="AU23" i="9" s="1"/>
  <c r="AU16" i="9" a="1"/>
  <c r="AU16" i="9" s="1"/>
  <c r="N3" i="9"/>
  <c r="G46" i="7"/>
  <c r="O103" i="7"/>
  <c r="H66" i="7"/>
  <c r="H64" i="7" s="1"/>
  <c r="H61" i="7" s="1"/>
  <c r="H75" i="7"/>
  <c r="M142" i="7"/>
  <c r="M162" i="7"/>
  <c r="N40" i="7"/>
  <c r="K176" i="7"/>
  <c r="K156" i="7"/>
  <c r="K136" i="7"/>
  <c r="L34" i="7"/>
  <c r="N144" i="7"/>
  <c r="N164" i="7"/>
  <c r="P16" i="7"/>
  <c r="P100" i="7" s="1"/>
  <c r="P99" i="7" s="1"/>
  <c r="P95" i="7"/>
  <c r="O49" i="4"/>
  <c r="O38" i="4"/>
  <c r="O195" i="7"/>
  <c r="O196" i="7"/>
  <c r="O197" i="7"/>
  <c r="P193" i="7" s="1"/>
  <c r="M161" i="7"/>
  <c r="M141" i="7"/>
  <c r="N39" i="7"/>
  <c r="Q106" i="7"/>
  <c r="Q104" i="7"/>
  <c r="Q68" i="7" a="1"/>
  <c r="Q68" i="7" s="1"/>
  <c r="R5" i="7"/>
  <c r="Q14" i="7"/>
  <c r="Q12" i="7"/>
  <c r="Q11" i="7"/>
  <c r="Q93" i="7"/>
  <c r="Q107" i="7" s="1"/>
  <c r="Q13" i="7"/>
  <c r="Q202" i="7" s="1"/>
  <c r="Q6" i="7"/>
  <c r="H131" i="7"/>
  <c r="H171" i="7"/>
  <c r="H151" i="7"/>
  <c r="I29" i="7"/>
  <c r="H222" i="7" l="1"/>
  <c r="H214" i="7"/>
  <c r="H77" i="7"/>
  <c r="Q16" i="7"/>
  <c r="Q100" i="7" s="1"/>
  <c r="Q99" i="7" s="1"/>
  <c r="R150" i="7"/>
  <c r="R130" i="7"/>
  <c r="R105" i="7"/>
  <c r="R106" i="7"/>
  <c r="S5" i="7"/>
  <c r="R68" i="7" a="1"/>
  <c r="R68" i="7" s="1"/>
  <c r="R14" i="7"/>
  <c r="R12" i="7"/>
  <c r="R107" i="7"/>
  <c r="R96" i="7"/>
  <c r="R95" i="7" s="1"/>
  <c r="R27" i="7"/>
  <c r="R170" i="7" s="1"/>
  <c r="R11" i="7"/>
  <c r="R93" i="7"/>
  <c r="R104" i="7" s="1"/>
  <c r="R13" i="7"/>
  <c r="R202" i="7" s="1"/>
  <c r="R6" i="7"/>
  <c r="R18" i="7" s="1"/>
  <c r="Q96" i="7"/>
  <c r="N143" i="7"/>
  <c r="N163" i="7"/>
  <c r="O41" i="7"/>
  <c r="R5" i="8"/>
  <c r="P4" i="9"/>
  <c r="P3" i="9" s="1"/>
  <c r="S4" i="8"/>
  <c r="O161" i="7"/>
  <c r="O141" i="7"/>
  <c r="P39" i="7"/>
  <c r="O15" i="4"/>
  <c r="H24" i="7"/>
  <c r="H27" i="7" s="1"/>
  <c r="H17" i="7"/>
  <c r="AW113" i="9"/>
  <c r="AW111" i="9"/>
  <c r="AW109" i="9"/>
  <c r="AW107" i="9"/>
  <c r="AW105" i="9"/>
  <c r="AW103" i="9"/>
  <c r="AW101" i="9"/>
  <c r="AW99" i="9"/>
  <c r="AW97" i="9"/>
  <c r="AW95" i="9"/>
  <c r="AW93" i="9"/>
  <c r="AW91" i="9"/>
  <c r="AW89" i="9"/>
  <c r="AW87" i="9"/>
  <c r="AW98" i="9"/>
  <c r="AW90" i="9"/>
  <c r="AW88" i="9"/>
  <c r="AW100" i="9"/>
  <c r="AW96" i="9"/>
  <c r="AW92" i="9"/>
  <c r="AW114" i="9"/>
  <c r="AW102" i="9"/>
  <c r="AW112" i="9"/>
  <c r="AW110" i="9"/>
  <c r="AW108" i="9"/>
  <c r="AW106" i="9"/>
  <c r="AW104" i="9"/>
  <c r="AW85" i="9"/>
  <c r="AW80" i="9"/>
  <c r="AW86" i="9"/>
  <c r="AW84" i="9"/>
  <c r="AW74" i="9"/>
  <c r="AW72" i="9"/>
  <c r="AW94" i="9"/>
  <c r="AW83" i="9"/>
  <c r="AW76" i="9"/>
  <c r="AW73" i="9"/>
  <c r="AW69" i="9"/>
  <c r="AW67" i="9"/>
  <c r="AW65" i="9"/>
  <c r="AW63" i="9"/>
  <c r="AW61" i="9"/>
  <c r="AW78" i="9"/>
  <c r="AW70" i="9"/>
  <c r="AW59" i="9"/>
  <c r="AW81" i="9"/>
  <c r="AW77" i="9"/>
  <c r="AW68" i="9"/>
  <c r="AW64" i="9"/>
  <c r="AW82" i="9"/>
  <c r="AW79" i="9"/>
  <c r="AW66" i="9"/>
  <c r="AW62" i="9"/>
  <c r="AW57" i="9"/>
  <c r="AW60" i="9"/>
  <c r="AW56" i="9"/>
  <c r="AW75" i="9"/>
  <c r="AW55" i="9"/>
  <c r="AW71" i="9"/>
  <c r="AW58" i="9"/>
  <c r="AX5" i="9"/>
  <c r="K175" i="7"/>
  <c r="K135" i="7"/>
  <c r="K155" i="7"/>
  <c r="L33" i="7"/>
  <c r="O51" i="4"/>
  <c r="L157" i="7"/>
  <c r="L137" i="7"/>
  <c r="L177" i="7"/>
  <c r="L79" i="7"/>
  <c r="M35" i="7"/>
  <c r="Q105" i="7"/>
  <c r="O52" i="4"/>
  <c r="AV24" i="9" a="1"/>
  <c r="AV24" i="9" s="1"/>
  <c r="AV27" i="9" a="1"/>
  <c r="AV27" i="9" s="1"/>
  <c r="AV23" i="9" a="1"/>
  <c r="AV23" i="9" s="1"/>
  <c r="AV25" i="9" a="1"/>
  <c r="AV25" i="9" s="1"/>
  <c r="AV21" i="9" a="1"/>
  <c r="AV21" i="9" s="1"/>
  <c r="AV26" i="9" a="1"/>
  <c r="AV26" i="9" s="1"/>
  <c r="AV16" i="9" a="1"/>
  <c r="AV16" i="9" s="1"/>
  <c r="I172" i="7"/>
  <c r="I132" i="7"/>
  <c r="I152" i="7"/>
  <c r="J30" i="7"/>
  <c r="P196" i="7"/>
  <c r="P195" i="7"/>
  <c r="P197" i="7"/>
  <c r="Q193" i="7" s="1"/>
  <c r="N162" i="7"/>
  <c r="N142" i="7"/>
  <c r="O40" i="7"/>
  <c r="G59" i="7"/>
  <c r="F72" i="7"/>
  <c r="F71" i="7" s="1"/>
  <c r="F188" i="7"/>
  <c r="F189" i="7"/>
  <c r="F187" i="7"/>
  <c r="R103" i="7" l="1"/>
  <c r="M158" i="7"/>
  <c r="M138" i="7"/>
  <c r="M178" i="7"/>
  <c r="N179" i="7" s="1"/>
  <c r="N36" i="7"/>
  <c r="O143" i="7"/>
  <c r="O163" i="7"/>
  <c r="P41" i="7"/>
  <c r="AW27" i="9" a="1"/>
  <c r="AW27" i="9" s="1"/>
  <c r="AW25" i="9" a="1"/>
  <c r="AW25" i="9" s="1"/>
  <c r="AW21" i="9" a="1"/>
  <c r="AW21" i="9" s="1"/>
  <c r="AW26" i="9" a="1"/>
  <c r="AW26" i="9" s="1"/>
  <c r="AW24" i="9" a="1"/>
  <c r="AW24" i="9" s="1"/>
  <c r="AW16" i="9" a="1"/>
  <c r="AW16" i="9" s="1"/>
  <c r="J153" i="7"/>
  <c r="J173" i="7"/>
  <c r="J133" i="7"/>
  <c r="K31" i="7"/>
  <c r="L156" i="7"/>
  <c r="L136" i="7"/>
  <c r="L176" i="7"/>
  <c r="M34" i="7"/>
  <c r="O144" i="7"/>
  <c r="O164" i="7"/>
  <c r="I19" i="7"/>
  <c r="I20" i="7"/>
  <c r="H44" i="7"/>
  <c r="I51" i="7"/>
  <c r="I58" i="7" s="1"/>
  <c r="H170" i="7"/>
  <c r="H180" i="7" s="1"/>
  <c r="H181" i="7" s="1"/>
  <c r="H130" i="7"/>
  <c r="H145" i="7" s="1"/>
  <c r="H146" i="7" s="1"/>
  <c r="H183" i="7" s="1" a="1"/>
  <c r="H183" i="7" s="1"/>
  <c r="H45" i="7" a="1"/>
  <c r="H45" i="7" s="1"/>
  <c r="H150" i="7"/>
  <c r="H165" i="7" s="1"/>
  <c r="H166" i="7" s="1"/>
  <c r="I28" i="7"/>
  <c r="I18" i="7"/>
  <c r="I62" i="7" s="1"/>
  <c r="P142" i="7"/>
  <c r="P162" i="7"/>
  <c r="Q40" i="7"/>
  <c r="Q103" i="7"/>
  <c r="Q195" i="7"/>
  <c r="Q196" i="7"/>
  <c r="Q197" i="7"/>
  <c r="R193" i="7" s="1"/>
  <c r="AX113" i="9"/>
  <c r="AX111" i="9"/>
  <c r="AX109" i="9"/>
  <c r="AX107" i="9"/>
  <c r="AX105" i="9"/>
  <c r="AX89" i="9"/>
  <c r="AX88" i="9"/>
  <c r="AX85" i="9"/>
  <c r="AX83" i="9"/>
  <c r="AX81" i="9"/>
  <c r="AX79" i="9"/>
  <c r="AX77" i="9"/>
  <c r="AX75" i="9"/>
  <c r="AX103" i="9"/>
  <c r="AX100" i="9"/>
  <c r="AX96" i="9"/>
  <c r="AX95" i="9"/>
  <c r="AX92" i="9"/>
  <c r="AX91" i="9"/>
  <c r="AX87" i="9"/>
  <c r="AX114" i="9"/>
  <c r="AX101" i="9"/>
  <c r="AX98" i="9"/>
  <c r="AX90" i="9"/>
  <c r="AX93" i="9"/>
  <c r="AX86" i="9"/>
  <c r="AX84" i="9"/>
  <c r="AX74" i="9"/>
  <c r="AX72" i="9"/>
  <c r="AX108" i="9"/>
  <c r="AX97" i="9"/>
  <c r="AX94" i="9"/>
  <c r="AX106" i="9"/>
  <c r="AX110" i="9"/>
  <c r="AX104" i="9"/>
  <c r="AX102" i="9"/>
  <c r="AX78" i="9"/>
  <c r="AX80" i="9"/>
  <c r="AX112" i="9"/>
  <c r="AX99" i="9"/>
  <c r="AX82" i="9"/>
  <c r="AX76" i="9"/>
  <c r="AX73" i="9"/>
  <c r="AX69" i="9"/>
  <c r="AX67" i="9"/>
  <c r="AX65" i="9"/>
  <c r="AX63" i="9"/>
  <c r="AX59" i="9"/>
  <c r="AX68" i="9"/>
  <c r="AX64" i="9"/>
  <c r="AX66" i="9"/>
  <c r="AX60" i="9"/>
  <c r="AX57" i="9"/>
  <c r="AX62" i="9"/>
  <c r="AX70" i="9"/>
  <c r="AX56" i="9"/>
  <c r="AX71" i="9"/>
  <c r="AX58" i="9"/>
  <c r="AX61" i="9"/>
  <c r="AX55" i="9"/>
  <c r="AY5" i="9"/>
  <c r="Q95" i="7"/>
  <c r="I221" i="7"/>
  <c r="H223" i="7"/>
  <c r="G76" i="7"/>
  <c r="G57" i="7"/>
  <c r="O48" i="4"/>
  <c r="O21" i="4"/>
  <c r="Q4" i="9"/>
  <c r="Q3" i="9" s="1"/>
  <c r="S5" i="8"/>
  <c r="T4" i="8"/>
  <c r="R62" i="7"/>
  <c r="R16" i="7"/>
  <c r="R100" i="7" s="1"/>
  <c r="R99" i="7" s="1"/>
  <c r="S171" i="7"/>
  <c r="S151" i="7"/>
  <c r="S131" i="7"/>
  <c r="S106" i="7"/>
  <c r="S66" i="7"/>
  <c r="S64" i="7" s="1"/>
  <c r="S14" i="7"/>
  <c r="S12" i="7"/>
  <c r="S100" i="7"/>
  <c r="S99" i="7" s="1"/>
  <c r="S28" i="7"/>
  <c r="S105" i="7"/>
  <c r="S104" i="7"/>
  <c r="S93" i="7"/>
  <c r="S68" i="7" a="1"/>
  <c r="S68" i="7" s="1"/>
  <c r="S17" i="7"/>
  <c r="T5" i="7"/>
  <c r="S107" i="7"/>
  <c r="S20" i="7"/>
  <c r="S11" i="7"/>
  <c r="S24" i="7"/>
  <c r="S13" i="7"/>
  <c r="S202" i="7" s="1"/>
  <c r="S27" i="7"/>
  <c r="S6" i="7"/>
  <c r="S18" i="7" s="1"/>
  <c r="S62" i="7" s="1"/>
  <c r="O20" i="4" l="1"/>
  <c r="I75" i="7"/>
  <c r="T5" i="8"/>
  <c r="R4" i="9"/>
  <c r="R3" i="9" s="1"/>
  <c r="U4" i="8"/>
  <c r="K134" i="7"/>
  <c r="K78" i="7"/>
  <c r="K154" i="7"/>
  <c r="K174" i="7"/>
  <c r="L32" i="7"/>
  <c r="H47" i="7"/>
  <c r="H50" i="7"/>
  <c r="I21" i="7"/>
  <c r="T170" i="7"/>
  <c r="T150" i="7"/>
  <c r="T152" i="7"/>
  <c r="T106" i="7"/>
  <c r="T104" i="7"/>
  <c r="T93" i="7"/>
  <c r="T100" i="7"/>
  <c r="T99" i="7" s="1"/>
  <c r="T28" i="7"/>
  <c r="T151" i="7" s="1"/>
  <c r="T132" i="7"/>
  <c r="T105" i="7"/>
  <c r="T24" i="7"/>
  <c r="T20" i="7"/>
  <c r="T107" i="7"/>
  <c r="T66" i="7"/>
  <c r="T64" i="7" s="1"/>
  <c r="T14" i="7"/>
  <c r="T12" i="7"/>
  <c r="T68" i="7" a="1"/>
  <c r="T68" i="7" s="1"/>
  <c r="T11" i="7"/>
  <c r="U19" i="7" s="1"/>
  <c r="T29" i="7"/>
  <c r="T172" i="7" s="1"/>
  <c r="T13" i="7"/>
  <c r="T202" i="7" s="1"/>
  <c r="T27" i="7"/>
  <c r="U5" i="7"/>
  <c r="T17" i="7"/>
  <c r="T6" i="7"/>
  <c r="T18" i="7" s="1"/>
  <c r="T62" i="7" s="1"/>
  <c r="T61" i="7" s="1"/>
  <c r="T77" i="7" s="1"/>
  <c r="S103" i="7"/>
  <c r="P144" i="7"/>
  <c r="P164" i="7"/>
  <c r="Q41" i="7"/>
  <c r="N139" i="7"/>
  <c r="N159" i="7"/>
  <c r="O37" i="7"/>
  <c r="AY114" i="9"/>
  <c r="AY112" i="9"/>
  <c r="AY110" i="9"/>
  <c r="AY108" i="9"/>
  <c r="AY106" i="9"/>
  <c r="AY104" i="9"/>
  <c r="AY102" i="9"/>
  <c r="AY100" i="9"/>
  <c r="AY98" i="9"/>
  <c r="AY96" i="9"/>
  <c r="AY94" i="9"/>
  <c r="AY92" i="9"/>
  <c r="AY113" i="9"/>
  <c r="AY111" i="9"/>
  <c r="AY109" i="9"/>
  <c r="AY107" i="9"/>
  <c r="AY105" i="9"/>
  <c r="AY103" i="9"/>
  <c r="AY101" i="9"/>
  <c r="AY99" i="9"/>
  <c r="AY95" i="9"/>
  <c r="AY91" i="9"/>
  <c r="AY87" i="9"/>
  <c r="AY97" i="9"/>
  <c r="AY89" i="9"/>
  <c r="AY88" i="9"/>
  <c r="AY85" i="9"/>
  <c r="AY83" i="9"/>
  <c r="AY81" i="9"/>
  <c r="AY86" i="9"/>
  <c r="AY80" i="9"/>
  <c r="AY72" i="9"/>
  <c r="AY82" i="9"/>
  <c r="AY71" i="9"/>
  <c r="AY70" i="9"/>
  <c r="AY68" i="9"/>
  <c r="AY66" i="9"/>
  <c r="AY64" i="9"/>
  <c r="AY62" i="9"/>
  <c r="AY78" i="9"/>
  <c r="AY90" i="9"/>
  <c r="AY73" i="9"/>
  <c r="AY67" i="9"/>
  <c r="AY77" i="9"/>
  <c r="AY60" i="9"/>
  <c r="AY57" i="9"/>
  <c r="AY55" i="9"/>
  <c r="AY76" i="9"/>
  <c r="AY93" i="9"/>
  <c r="AY56" i="9"/>
  <c r="AY75" i="9"/>
  <c r="AY58" i="9"/>
  <c r="AY79" i="9"/>
  <c r="AY74" i="9"/>
  <c r="AY84" i="9"/>
  <c r="AY69" i="9"/>
  <c r="AY59" i="9"/>
  <c r="AY63" i="9"/>
  <c r="AY61" i="9"/>
  <c r="AY65" i="9"/>
  <c r="AZ5" i="9"/>
  <c r="R196" i="7"/>
  <c r="R195" i="7"/>
  <c r="R197" i="7"/>
  <c r="S193" i="7" s="1"/>
  <c r="Q163" i="7"/>
  <c r="Q143" i="7"/>
  <c r="R41" i="7"/>
  <c r="H46" i="7"/>
  <c r="I209" i="7" s="1"/>
  <c r="I213" i="7" s="1"/>
  <c r="T51" i="7"/>
  <c r="T58" i="7" s="1"/>
  <c r="S170" i="7"/>
  <c r="S16" i="7"/>
  <c r="T16" i="7" s="1"/>
  <c r="S130" i="7"/>
  <c r="S150" i="7"/>
  <c r="AX27" i="9" a="1"/>
  <c r="AX27" i="9" s="1"/>
  <c r="AX26" i="9" a="1"/>
  <c r="AX26" i="9" s="1"/>
  <c r="AX23" i="9" a="1"/>
  <c r="AX23" i="9" s="1"/>
  <c r="AX21" i="9" a="1"/>
  <c r="AX21" i="9" s="1"/>
  <c r="AX25" i="9" a="1"/>
  <c r="AX25" i="9" s="1"/>
  <c r="AX16" i="9" a="1"/>
  <c r="AX16" i="9" s="1"/>
  <c r="AX24" i="9" a="1"/>
  <c r="AX24" i="9" s="1"/>
  <c r="I66" i="7"/>
  <c r="I64" i="7" s="1"/>
  <c r="I61" i="7" s="1"/>
  <c r="M177" i="7"/>
  <c r="M137" i="7"/>
  <c r="M79" i="7"/>
  <c r="M157" i="7"/>
  <c r="N35" i="7"/>
  <c r="S61" i="7"/>
  <c r="S77" i="7" s="1"/>
  <c r="G55" i="7"/>
  <c r="G81" i="7"/>
  <c r="G82" i="7"/>
  <c r="T19" i="7"/>
  <c r="I171" i="7"/>
  <c r="I131" i="7"/>
  <c r="I151" i="7"/>
  <c r="J29" i="7"/>
  <c r="I222" i="7" l="1"/>
  <c r="I214" i="7"/>
  <c r="I77" i="7"/>
  <c r="T75" i="7"/>
  <c r="S196" i="7"/>
  <c r="S195" i="7"/>
  <c r="S197" i="7"/>
  <c r="T193" i="7" s="1"/>
  <c r="T131" i="7"/>
  <c r="AY26" i="9" a="1"/>
  <c r="AY26" i="9" s="1"/>
  <c r="AY25" i="9" a="1"/>
  <c r="AY25" i="9" s="1"/>
  <c r="AY27" i="9" a="1"/>
  <c r="AY27" i="9" s="1"/>
  <c r="AY21" i="9" a="1"/>
  <c r="AY21" i="9" s="1"/>
  <c r="AY24" i="9" a="1"/>
  <c r="AY24" i="9" s="1"/>
  <c r="AY23" i="9" a="1"/>
  <c r="AY23" i="9" s="1"/>
  <c r="AY16" i="9" a="1"/>
  <c r="AY16" i="9" s="1"/>
  <c r="O140" i="7"/>
  <c r="O160" i="7"/>
  <c r="P38" i="7"/>
  <c r="U51" i="7"/>
  <c r="U58" i="7" s="1"/>
  <c r="S4" i="9"/>
  <c r="S3" i="9" s="1"/>
  <c r="U5" i="8"/>
  <c r="V4" i="8"/>
  <c r="AZ114" i="9"/>
  <c r="AZ112" i="9"/>
  <c r="AZ110" i="9"/>
  <c r="AZ108" i="9"/>
  <c r="AZ106" i="9"/>
  <c r="AZ104" i="9"/>
  <c r="AZ103" i="9"/>
  <c r="AZ100" i="9"/>
  <c r="AZ96" i="9"/>
  <c r="AZ92" i="9"/>
  <c r="AZ102" i="9"/>
  <c r="AZ86" i="9"/>
  <c r="AZ84" i="9"/>
  <c r="AZ82" i="9"/>
  <c r="AZ99" i="9"/>
  <c r="AZ113" i="9"/>
  <c r="AZ111" i="9"/>
  <c r="AZ109" i="9"/>
  <c r="AZ107" i="9"/>
  <c r="AZ105" i="9"/>
  <c r="AZ95" i="9"/>
  <c r="AZ91" i="9"/>
  <c r="AZ87" i="9"/>
  <c r="AZ97" i="9"/>
  <c r="AZ94" i="9"/>
  <c r="AZ101" i="9"/>
  <c r="AZ83" i="9"/>
  <c r="AZ81" i="9"/>
  <c r="AZ89" i="9"/>
  <c r="AZ98" i="9"/>
  <c r="AZ71" i="9"/>
  <c r="AZ70" i="9"/>
  <c r="AZ68" i="9"/>
  <c r="AZ66" i="9"/>
  <c r="AZ64" i="9"/>
  <c r="AZ62" i="9"/>
  <c r="AZ60" i="9"/>
  <c r="AZ77" i="9"/>
  <c r="AZ75" i="9"/>
  <c r="AZ93" i="9"/>
  <c r="AZ90" i="9"/>
  <c r="AZ88" i="9"/>
  <c r="AZ85" i="9"/>
  <c r="AZ80" i="9"/>
  <c r="AZ72" i="9"/>
  <c r="AZ78" i="9"/>
  <c r="AZ57" i="9"/>
  <c r="AZ55" i="9"/>
  <c r="AZ76" i="9"/>
  <c r="AZ67" i="9"/>
  <c r="AZ56" i="9"/>
  <c r="AZ58" i="9"/>
  <c r="AZ79" i="9"/>
  <c r="AZ74" i="9"/>
  <c r="AZ65" i="9"/>
  <c r="AZ63" i="9"/>
  <c r="AZ61" i="9"/>
  <c r="AZ73" i="9"/>
  <c r="AZ59" i="9"/>
  <c r="AZ69" i="9"/>
  <c r="BA5" i="9"/>
  <c r="T21" i="7"/>
  <c r="R144" i="7"/>
  <c r="R164" i="7"/>
  <c r="Q144" i="7"/>
  <c r="Q164" i="7"/>
  <c r="T130" i="7"/>
  <c r="T171" i="7"/>
  <c r="I24" i="7"/>
  <c r="I27" i="7" s="1"/>
  <c r="I17" i="7"/>
  <c r="H59" i="7"/>
  <c r="J152" i="7"/>
  <c r="J132" i="7"/>
  <c r="J172" i="7"/>
  <c r="K30" i="7"/>
  <c r="U170" i="7"/>
  <c r="U153" i="7"/>
  <c r="U107" i="7"/>
  <c r="U105" i="7"/>
  <c r="U151" i="7"/>
  <c r="U133" i="7"/>
  <c r="U131" i="7"/>
  <c r="U106" i="7"/>
  <c r="U68" i="7" a="1"/>
  <c r="U68" i="7" s="1"/>
  <c r="U104" i="7"/>
  <c r="U103" i="7" s="1"/>
  <c r="U93" i="7"/>
  <c r="U100" i="7"/>
  <c r="U99" i="7" s="1"/>
  <c r="U30" i="7"/>
  <c r="U173" i="7" s="1"/>
  <c r="U28" i="7"/>
  <c r="U171" i="7" s="1"/>
  <c r="U24" i="7"/>
  <c r="U20" i="7"/>
  <c r="U21" i="7" s="1"/>
  <c r="U13" i="7"/>
  <c r="U202" i="7" s="1"/>
  <c r="U11" i="7"/>
  <c r="V19" i="7" s="1"/>
  <c r="U29" i="7"/>
  <c r="U152" i="7" s="1"/>
  <c r="U17" i="7"/>
  <c r="U12" i="7"/>
  <c r="U66" i="7"/>
  <c r="U64" i="7" s="1"/>
  <c r="U27" i="7"/>
  <c r="U14" i="7"/>
  <c r="V5" i="7"/>
  <c r="U6" i="7"/>
  <c r="U18" i="7" s="1"/>
  <c r="T103" i="7"/>
  <c r="L135" i="7"/>
  <c r="L175" i="7"/>
  <c r="L155" i="7"/>
  <c r="M33" i="7"/>
  <c r="N178" i="7"/>
  <c r="O179" i="7" s="1"/>
  <c r="N158" i="7"/>
  <c r="N138" i="7"/>
  <c r="O36" i="7"/>
  <c r="M136" i="7" l="1"/>
  <c r="M156" i="7"/>
  <c r="M176" i="7"/>
  <c r="N34" i="7"/>
  <c r="H76" i="7"/>
  <c r="H57" i="7"/>
  <c r="BA114" i="9"/>
  <c r="BA112" i="9"/>
  <c r="BA110" i="9"/>
  <c r="BA108" i="9"/>
  <c r="BA106" i="9"/>
  <c r="BA104" i="9"/>
  <c r="BA102" i="9"/>
  <c r="BA100" i="9"/>
  <c r="BA98" i="9"/>
  <c r="BA96" i="9"/>
  <c r="BA94" i="9"/>
  <c r="BA92" i="9"/>
  <c r="BA90" i="9"/>
  <c r="BA88" i="9"/>
  <c r="BA86" i="9"/>
  <c r="BA97" i="9"/>
  <c r="BA93" i="9"/>
  <c r="BA103" i="9"/>
  <c r="BA101" i="9"/>
  <c r="BA83" i="9"/>
  <c r="BA81" i="9"/>
  <c r="BA107" i="9"/>
  <c r="BA91" i="9"/>
  <c r="BA89" i="9"/>
  <c r="BA73" i="9"/>
  <c r="BA71" i="9"/>
  <c r="BA109" i="9"/>
  <c r="BA87" i="9"/>
  <c r="BA76" i="9"/>
  <c r="BA105" i="9"/>
  <c r="BA111" i="9"/>
  <c r="BA99" i="9"/>
  <c r="BA70" i="9"/>
  <c r="BA68" i="9"/>
  <c r="BA66" i="9"/>
  <c r="BA64" i="9"/>
  <c r="BA62" i="9"/>
  <c r="BA82" i="9"/>
  <c r="BA77" i="9"/>
  <c r="BA75" i="9"/>
  <c r="BA95" i="9"/>
  <c r="BA79" i="9"/>
  <c r="BA60" i="9"/>
  <c r="BA72" i="9"/>
  <c r="BA63" i="9"/>
  <c r="BA61" i="9"/>
  <c r="BA78" i="9"/>
  <c r="BA57" i="9"/>
  <c r="BA58" i="9"/>
  <c r="BA74" i="9"/>
  <c r="BA65" i="9"/>
  <c r="BA113" i="9"/>
  <c r="BA84" i="9"/>
  <c r="BA85" i="9"/>
  <c r="BA80" i="9"/>
  <c r="BA67" i="9"/>
  <c r="BA56" i="9"/>
  <c r="BA59" i="9"/>
  <c r="BA55" i="9"/>
  <c r="BA69" i="9"/>
  <c r="BB5" i="9"/>
  <c r="O159" i="7"/>
  <c r="O139" i="7"/>
  <c r="P37" i="7"/>
  <c r="K173" i="7"/>
  <c r="K133" i="7"/>
  <c r="K153" i="7"/>
  <c r="L31" i="7"/>
  <c r="J20" i="7"/>
  <c r="J19" i="7"/>
  <c r="U75" i="7"/>
  <c r="T195" i="7"/>
  <c r="T196" i="7"/>
  <c r="T197" i="7"/>
  <c r="U193" i="7" s="1"/>
  <c r="I44" i="7"/>
  <c r="J51" i="7"/>
  <c r="J58" i="7" s="1"/>
  <c r="I130" i="7"/>
  <c r="I145" i="7" s="1"/>
  <c r="I146" i="7" s="1"/>
  <c r="I183" i="7" s="1" a="1"/>
  <c r="I183" i="7" s="1"/>
  <c r="I150" i="7"/>
  <c r="I165" i="7" s="1"/>
  <c r="I166" i="7" s="1"/>
  <c r="I45" i="7" a="1"/>
  <c r="I45" i="7" s="1"/>
  <c r="J66" i="7" s="1"/>
  <c r="J64" i="7" s="1"/>
  <c r="I170" i="7"/>
  <c r="I180" i="7" s="1"/>
  <c r="I181" i="7" s="1"/>
  <c r="J28" i="7"/>
  <c r="J18" i="7"/>
  <c r="J62" i="7" s="1"/>
  <c r="U16" i="7"/>
  <c r="U132" i="7"/>
  <c r="AZ24" i="9" a="1"/>
  <c r="AZ24" i="9" s="1"/>
  <c r="AZ23" i="9" a="1"/>
  <c r="AZ23" i="9" s="1"/>
  <c r="AZ25" i="9" a="1"/>
  <c r="AZ25" i="9" s="1"/>
  <c r="AZ26" i="9" a="1"/>
  <c r="AZ26" i="9" s="1"/>
  <c r="AZ27" i="9" a="1"/>
  <c r="AZ27" i="9" s="1"/>
  <c r="AZ16" i="9" a="1"/>
  <c r="AZ16" i="9" s="1"/>
  <c r="AZ21" i="9" a="1"/>
  <c r="AZ21" i="9" s="1"/>
  <c r="T4" i="9"/>
  <c r="T3" i="9" s="1"/>
  <c r="W4" i="8"/>
  <c r="V5" i="8"/>
  <c r="P141" i="7"/>
  <c r="P161" i="7"/>
  <c r="Q39" i="7"/>
  <c r="U172" i="7"/>
  <c r="V51" i="7"/>
  <c r="V58" i="7" s="1"/>
  <c r="U130" i="7"/>
  <c r="U150" i="7"/>
  <c r="U62" i="7"/>
  <c r="U61" i="7" s="1"/>
  <c r="U77" i="7" s="1"/>
  <c r="V174" i="7"/>
  <c r="V173" i="7"/>
  <c r="V104" i="7"/>
  <c r="V93" i="7"/>
  <c r="V134" i="7"/>
  <c r="V100" i="7"/>
  <c r="V99" i="7" s="1"/>
  <c r="V152" i="7"/>
  <c r="V106" i="7"/>
  <c r="V154" i="7"/>
  <c r="V24" i="7"/>
  <c r="V20" i="7"/>
  <c r="V21" i="7" s="1"/>
  <c r="V153" i="7"/>
  <c r="V105" i="7"/>
  <c r="V16" i="7"/>
  <c r="V13" i="7"/>
  <c r="V202" i="7" s="1"/>
  <c r="V68" i="7" a="1"/>
  <c r="V68" i="7" s="1"/>
  <c r="V11" i="7"/>
  <c r="V107" i="7"/>
  <c r="V30" i="7"/>
  <c r="V133" i="7" s="1"/>
  <c r="V28" i="7"/>
  <c r="V151" i="7" s="1"/>
  <c r="V29" i="7"/>
  <c r="V172" i="7" s="1"/>
  <c r="V17" i="7"/>
  <c r="V66" i="7"/>
  <c r="V64" i="7" s="1"/>
  <c r="V12" i="7"/>
  <c r="V27" i="7"/>
  <c r="V170" i="7" s="1"/>
  <c r="V31" i="7"/>
  <c r="V14" i="7"/>
  <c r="W5" i="7"/>
  <c r="V6" i="7"/>
  <c r="V18" i="7" s="1"/>
  <c r="V62" i="7" s="1"/>
  <c r="V61" i="7" s="1"/>
  <c r="V77" i="7" s="1"/>
  <c r="I223" i="7"/>
  <c r="J221" i="7"/>
  <c r="Q162" i="7" l="1"/>
  <c r="Q142" i="7"/>
  <c r="R40" i="7"/>
  <c r="V171" i="7"/>
  <c r="J209" i="7"/>
  <c r="J213" i="7" s="1"/>
  <c r="I46" i="7"/>
  <c r="H55" i="7"/>
  <c r="H81" i="7"/>
  <c r="H82" i="7"/>
  <c r="W51" i="7"/>
  <c r="W58" i="7" s="1"/>
  <c r="J171" i="7"/>
  <c r="J151" i="7"/>
  <c r="J131" i="7"/>
  <c r="K29" i="7"/>
  <c r="J21" i="7"/>
  <c r="L174" i="7"/>
  <c r="L134" i="7"/>
  <c r="L78" i="7"/>
  <c r="L154" i="7"/>
  <c r="M32" i="7"/>
  <c r="BB114" i="9"/>
  <c r="BB86" i="9"/>
  <c r="BB84" i="9"/>
  <c r="BB82" i="9"/>
  <c r="BB80" i="9"/>
  <c r="BB78" i="9"/>
  <c r="BB76" i="9"/>
  <c r="BB102" i="9"/>
  <c r="BB97" i="9"/>
  <c r="BB93" i="9"/>
  <c r="BB99" i="9"/>
  <c r="BB101" i="9"/>
  <c r="BB100" i="9"/>
  <c r="BB96" i="9"/>
  <c r="BB92" i="9"/>
  <c r="BB108" i="9"/>
  <c r="BB107" i="9"/>
  <c r="BB91" i="9"/>
  <c r="BB89" i="9"/>
  <c r="BB73" i="9"/>
  <c r="BB109" i="9"/>
  <c r="BB106" i="9"/>
  <c r="BB87" i="9"/>
  <c r="BB75" i="9"/>
  <c r="BB110" i="9"/>
  <c r="BB105" i="9"/>
  <c r="BB77" i="9"/>
  <c r="BB111" i="9"/>
  <c r="BB104" i="9"/>
  <c r="BB112" i="9"/>
  <c r="BB90" i="9"/>
  <c r="BB98" i="9"/>
  <c r="BB71" i="9"/>
  <c r="BB95" i="9"/>
  <c r="BB94" i="9"/>
  <c r="BB79" i="9"/>
  <c r="BB88" i="9"/>
  <c r="BB74" i="9"/>
  <c r="BB83" i="9"/>
  <c r="BB70" i="9"/>
  <c r="BB68" i="9"/>
  <c r="BB66" i="9"/>
  <c r="BB64" i="9"/>
  <c r="BB72" i="9"/>
  <c r="BB81" i="9"/>
  <c r="BB63" i="9"/>
  <c r="BB61" i="9"/>
  <c r="BB85" i="9"/>
  <c r="BB62" i="9"/>
  <c r="BB58" i="9"/>
  <c r="BB113" i="9"/>
  <c r="BB103" i="9"/>
  <c r="BB65" i="9"/>
  <c r="BB60" i="9"/>
  <c r="BB69" i="9"/>
  <c r="BB59" i="9"/>
  <c r="BB55" i="9"/>
  <c r="BB57" i="9"/>
  <c r="BB56" i="9"/>
  <c r="BB67" i="9"/>
  <c r="BC5" i="9"/>
  <c r="H74" i="7"/>
  <c r="H72" i="7" s="1"/>
  <c r="H71" i="7" s="1"/>
  <c r="I47" i="7"/>
  <c r="I50" i="7"/>
  <c r="U196" i="7"/>
  <c r="U195" i="7"/>
  <c r="U197" i="7"/>
  <c r="V193" i="7" s="1"/>
  <c r="BA26" i="9" a="1"/>
  <c r="BA26" i="9" s="1"/>
  <c r="BA21" i="9" a="1"/>
  <c r="BA21" i="9" s="1"/>
  <c r="BA27" i="9" a="1"/>
  <c r="BA27" i="9" s="1"/>
  <c r="BA24" i="9" a="1"/>
  <c r="BA24" i="9" s="1"/>
  <c r="BA23" i="9" a="1"/>
  <c r="BA23" i="9" s="1"/>
  <c r="BA25" i="9" a="1"/>
  <c r="BA25" i="9" s="1"/>
  <c r="BA16" i="9" a="1"/>
  <c r="BA16" i="9" s="1"/>
  <c r="N137" i="7"/>
  <c r="N177" i="7"/>
  <c r="N79" i="7"/>
  <c r="N157" i="7"/>
  <c r="O35" i="7"/>
  <c r="V75" i="7"/>
  <c r="J61" i="7"/>
  <c r="U4" i="9"/>
  <c r="U3" i="9" s="1"/>
  <c r="X4" i="8"/>
  <c r="W5" i="8"/>
  <c r="W19" i="7"/>
  <c r="W21" i="7" s="1"/>
  <c r="V132" i="7"/>
  <c r="V150" i="7"/>
  <c r="W172" i="7"/>
  <c r="W173" i="7"/>
  <c r="W175" i="7"/>
  <c r="W153" i="7"/>
  <c r="W150" i="7"/>
  <c r="W100" i="7"/>
  <c r="W99" i="7" s="1"/>
  <c r="W132" i="7"/>
  <c r="W107" i="7"/>
  <c r="W104" i="7"/>
  <c r="W103" i="7" s="1"/>
  <c r="W93" i="7"/>
  <c r="W105" i="7"/>
  <c r="W68" i="7" a="1"/>
  <c r="W68" i="7" s="1"/>
  <c r="W13" i="7"/>
  <c r="W202" i="7" s="1"/>
  <c r="W152" i="7"/>
  <c r="W11" i="7"/>
  <c r="X19" i="7" s="1"/>
  <c r="W29" i="7"/>
  <c r="W27" i="7"/>
  <c r="W170" i="7" s="1"/>
  <c r="W133" i="7"/>
  <c r="W130" i="7"/>
  <c r="W106" i="7"/>
  <c r="W32" i="7"/>
  <c r="W155" i="7" s="1"/>
  <c r="W24" i="7"/>
  <c r="W20" i="7"/>
  <c r="W17" i="7"/>
  <c r="X5" i="7"/>
  <c r="W66" i="7"/>
  <c r="W64" i="7" s="1"/>
  <c r="W12" i="7"/>
  <c r="W30" i="7"/>
  <c r="W31" i="7"/>
  <c r="W174" i="7" s="1"/>
  <c r="W14" i="7"/>
  <c r="W28" i="7"/>
  <c r="W171" i="7" s="1"/>
  <c r="W6" i="7"/>
  <c r="W18" i="7" s="1"/>
  <c r="V130" i="7"/>
  <c r="V103" i="7"/>
  <c r="V131" i="7"/>
  <c r="J75" i="7"/>
  <c r="P160" i="7"/>
  <c r="P140" i="7"/>
  <c r="Q38" i="7"/>
  <c r="J24" i="7" l="1"/>
  <c r="J27" i="7" s="1"/>
  <c r="J17" i="7"/>
  <c r="W75" i="7"/>
  <c r="H189" i="7"/>
  <c r="H187" i="7"/>
  <c r="H188" i="7"/>
  <c r="J214" i="7"/>
  <c r="J222" i="7"/>
  <c r="R143" i="7"/>
  <c r="R163" i="7"/>
  <c r="S41" i="7"/>
  <c r="X176" i="7"/>
  <c r="X173" i="7"/>
  <c r="X175" i="7"/>
  <c r="X171" i="7"/>
  <c r="X155" i="7"/>
  <c r="X154" i="7"/>
  <c r="X156" i="7"/>
  <c r="X107" i="7"/>
  <c r="X105" i="7"/>
  <c r="X150" i="7"/>
  <c r="X134" i="7"/>
  <c r="X131" i="7"/>
  <c r="X100" i="7"/>
  <c r="X99" i="7" s="1"/>
  <c r="X152" i="7"/>
  <c r="X11" i="7"/>
  <c r="Y19" i="7" s="1"/>
  <c r="X29" i="7"/>
  <c r="X172" i="7" s="1"/>
  <c r="X27" i="7"/>
  <c r="X133" i="7"/>
  <c r="X33" i="7"/>
  <c r="X31" i="7"/>
  <c r="X174" i="7" s="1"/>
  <c r="X17" i="7"/>
  <c r="Y5" i="7"/>
  <c r="X104" i="7"/>
  <c r="X93" i="7"/>
  <c r="X130" i="7"/>
  <c r="X136" i="7"/>
  <c r="X13" i="7"/>
  <c r="X202" i="7" s="1"/>
  <c r="X66" i="7"/>
  <c r="X64" i="7" s="1"/>
  <c r="X12" i="7"/>
  <c r="X45" i="7" a="1"/>
  <c r="X45" i="7" s="1"/>
  <c r="X30" i="7"/>
  <c r="X153" i="7" s="1"/>
  <c r="X24" i="7"/>
  <c r="X14" i="7"/>
  <c r="X106" i="7"/>
  <c r="X28" i="7"/>
  <c r="X151" i="7" s="1"/>
  <c r="X32" i="7"/>
  <c r="X135" i="7" s="1"/>
  <c r="X20" i="7"/>
  <c r="X21" i="7" s="1"/>
  <c r="X6" i="7"/>
  <c r="X18" i="7" s="1"/>
  <c r="X62" i="7" s="1"/>
  <c r="V4" i="9"/>
  <c r="V3" i="9" s="1"/>
  <c r="Y4" i="8"/>
  <c r="X5" i="8"/>
  <c r="V195" i="7"/>
  <c r="V196" i="7"/>
  <c r="V197" i="7"/>
  <c r="W193" i="7" s="1"/>
  <c r="Q161" i="7"/>
  <c r="Q141" i="7"/>
  <c r="R39" i="7"/>
  <c r="W135" i="7"/>
  <c r="BC113" i="9"/>
  <c r="BC111" i="9"/>
  <c r="BC109" i="9"/>
  <c r="BC107" i="9"/>
  <c r="BC105" i="9"/>
  <c r="BC103" i="9"/>
  <c r="BC101" i="9"/>
  <c r="BC99" i="9"/>
  <c r="BC97" i="9"/>
  <c r="BC95" i="9"/>
  <c r="BC93" i="9"/>
  <c r="BC91" i="9"/>
  <c r="BC114" i="9"/>
  <c r="BC112" i="9"/>
  <c r="BC110" i="9"/>
  <c r="BC108" i="9"/>
  <c r="BC106" i="9"/>
  <c r="BC104" i="9"/>
  <c r="BC102" i="9"/>
  <c r="BC100" i="9"/>
  <c r="BC98" i="9"/>
  <c r="BC94" i="9"/>
  <c r="BC86" i="9"/>
  <c r="BC84" i="9"/>
  <c r="BC87" i="9"/>
  <c r="BC75" i="9"/>
  <c r="BC77" i="9"/>
  <c r="BC76" i="9"/>
  <c r="BC79" i="9"/>
  <c r="BC78" i="9"/>
  <c r="BC96" i="9"/>
  <c r="BC92" i="9"/>
  <c r="BC88" i="9"/>
  <c r="BC85" i="9"/>
  <c r="BC82" i="9"/>
  <c r="BC74" i="9"/>
  <c r="BC90" i="9"/>
  <c r="BC89" i="9"/>
  <c r="BC69" i="9"/>
  <c r="BC67" i="9"/>
  <c r="BC65" i="9"/>
  <c r="BC63" i="9"/>
  <c r="BC61" i="9"/>
  <c r="BC71" i="9"/>
  <c r="BC81" i="9"/>
  <c r="BC68" i="9"/>
  <c r="BC64" i="9"/>
  <c r="BC66" i="9"/>
  <c r="BC62" i="9"/>
  <c r="BC58" i="9"/>
  <c r="BC56" i="9"/>
  <c r="BC83" i="9"/>
  <c r="BC72" i="9"/>
  <c r="BC70" i="9"/>
  <c r="BC60" i="9"/>
  <c r="BC59" i="9"/>
  <c r="BC55" i="9"/>
  <c r="BC80" i="9"/>
  <c r="BC73" i="9"/>
  <c r="BC57" i="9"/>
  <c r="BD5" i="9"/>
  <c r="M175" i="7"/>
  <c r="M135" i="7"/>
  <c r="M155" i="7"/>
  <c r="N33" i="7"/>
  <c r="K172" i="7"/>
  <c r="K152" i="7"/>
  <c r="K132" i="7"/>
  <c r="L30" i="7"/>
  <c r="O178" i="7"/>
  <c r="P179" i="7" s="1"/>
  <c r="O138" i="7"/>
  <c r="O158" i="7"/>
  <c r="P36" i="7"/>
  <c r="W154" i="7"/>
  <c r="W134" i="7"/>
  <c r="J77" i="7"/>
  <c r="X51" i="7"/>
  <c r="X58" i="7" s="1"/>
  <c r="W151" i="7"/>
  <c r="W131" i="7"/>
  <c r="I59" i="7"/>
  <c r="W62" i="7"/>
  <c r="W61" i="7" s="1"/>
  <c r="W77" i="7" s="1"/>
  <c r="W16" i="7"/>
  <c r="X16" i="7" s="1"/>
  <c r="BB27" i="9" a="1"/>
  <c r="BB27" i="9" s="1"/>
  <c r="BB21" i="9" a="1"/>
  <c r="BB21" i="9" s="1"/>
  <c r="BB24" i="9" a="1"/>
  <c r="BB24" i="9" s="1"/>
  <c r="BB23" i="9" a="1"/>
  <c r="BB23" i="9" s="1"/>
  <c r="BB26" i="9" a="1"/>
  <c r="BB26" i="9" s="1"/>
  <c r="BB16" i="9" a="1"/>
  <c r="BB16" i="9" s="1"/>
  <c r="BB25" i="9" a="1"/>
  <c r="BB25" i="9" s="1"/>
  <c r="K51" i="7" l="1"/>
  <c r="K58" i="7" s="1"/>
  <c r="J44" i="7"/>
  <c r="J130" i="7"/>
  <c r="J145" i="7" s="1"/>
  <c r="J146" i="7" s="1"/>
  <c r="J183" i="7" s="1" a="1"/>
  <c r="J183" i="7" s="1"/>
  <c r="J150" i="7"/>
  <c r="J165" i="7" s="1"/>
  <c r="J166" i="7" s="1"/>
  <c r="J45" i="7" a="1"/>
  <c r="J45" i="7" s="1"/>
  <c r="J170" i="7"/>
  <c r="J180" i="7" s="1"/>
  <c r="J181" i="7" s="1"/>
  <c r="K28" i="7"/>
  <c r="K66" i="7"/>
  <c r="K64" i="7" s="1"/>
  <c r="K18" i="7"/>
  <c r="K62" i="7" s="1"/>
  <c r="BD113" i="9"/>
  <c r="BD111" i="9"/>
  <c r="BD109" i="9"/>
  <c r="BD107" i="9"/>
  <c r="BD105" i="9"/>
  <c r="BD114" i="9"/>
  <c r="BD102" i="9"/>
  <c r="BD97" i="9"/>
  <c r="BD93" i="9"/>
  <c r="BD99" i="9"/>
  <c r="BD94" i="9"/>
  <c r="BD90" i="9"/>
  <c r="BD89" i="9"/>
  <c r="BD85" i="9"/>
  <c r="BD83" i="9"/>
  <c r="BD81" i="9"/>
  <c r="BD112" i="9"/>
  <c r="BD110" i="9"/>
  <c r="BD108" i="9"/>
  <c r="BD106" i="9"/>
  <c r="BD104" i="9"/>
  <c r="BD98" i="9"/>
  <c r="BD95" i="9"/>
  <c r="BD77" i="9"/>
  <c r="BD76" i="9"/>
  <c r="BD79" i="9"/>
  <c r="BD78" i="9"/>
  <c r="BD96" i="9"/>
  <c r="BD82" i="9"/>
  <c r="BD80" i="9"/>
  <c r="BD100" i="9"/>
  <c r="BD103" i="9"/>
  <c r="BD101" i="9"/>
  <c r="BD87" i="9"/>
  <c r="BD75" i="9"/>
  <c r="BD74" i="9"/>
  <c r="BD88" i="9"/>
  <c r="BD69" i="9"/>
  <c r="BD67" i="9"/>
  <c r="BD65" i="9"/>
  <c r="BD63" i="9"/>
  <c r="BD61" i="9"/>
  <c r="BD59" i="9"/>
  <c r="BD92" i="9"/>
  <c r="BD91" i="9"/>
  <c r="BD86" i="9"/>
  <c r="BD66" i="9"/>
  <c r="BD62" i="9"/>
  <c r="BD58" i="9"/>
  <c r="BD56" i="9"/>
  <c r="BD84" i="9"/>
  <c r="BD71" i="9"/>
  <c r="BD72" i="9"/>
  <c r="BD70" i="9"/>
  <c r="BD60" i="9"/>
  <c r="BD68" i="9"/>
  <c r="BD55" i="9"/>
  <c r="BD64" i="9"/>
  <c r="BD73" i="9"/>
  <c r="BD57" i="9"/>
  <c r="BE5" i="9"/>
  <c r="X61" i="7"/>
  <c r="X77" i="7" s="1"/>
  <c r="X103" i="7"/>
  <c r="W195" i="7"/>
  <c r="W196" i="7"/>
  <c r="W197" i="7"/>
  <c r="X193" i="7" s="1"/>
  <c r="J223" i="7"/>
  <c r="K221" i="7"/>
  <c r="X75" i="7"/>
  <c r="N156" i="7"/>
  <c r="N136" i="7"/>
  <c r="N176" i="7"/>
  <c r="O34" i="7"/>
  <c r="BC27" i="9" a="1"/>
  <c r="BC27" i="9" s="1"/>
  <c r="BC26" i="9" a="1"/>
  <c r="BC26" i="9" s="1"/>
  <c r="BC25" i="9" a="1"/>
  <c r="BC25" i="9" s="1"/>
  <c r="BC24" i="9" a="1"/>
  <c r="BC24" i="9" s="1"/>
  <c r="BC23" i="9" a="1"/>
  <c r="BC23" i="9" s="1"/>
  <c r="BC16" i="9" a="1"/>
  <c r="BC16" i="9" s="1"/>
  <c r="BC21" i="9" a="1"/>
  <c r="BC21" i="9" s="1"/>
  <c r="X132" i="7"/>
  <c r="S144" i="7"/>
  <c r="S164" i="7"/>
  <c r="L133" i="7"/>
  <c r="L153" i="7"/>
  <c r="L173" i="7"/>
  <c r="M31" i="7"/>
  <c r="Y51" i="7"/>
  <c r="Y58" i="7" s="1"/>
  <c r="X170" i="7"/>
  <c r="Y180" i="7"/>
  <c r="Y178" i="7"/>
  <c r="Y176" i="7"/>
  <c r="Y174" i="7"/>
  <c r="Y172" i="7"/>
  <c r="Y170" i="7"/>
  <c r="Y165" i="7"/>
  <c r="Y163" i="7"/>
  <c r="Y161" i="7"/>
  <c r="Y159" i="7"/>
  <c r="Y157" i="7"/>
  <c r="Y155" i="7"/>
  <c r="Y153" i="7"/>
  <c r="Y151" i="7"/>
  <c r="Y175" i="7"/>
  <c r="Y156" i="7"/>
  <c r="Y181" i="7"/>
  <c r="Y179" i="7"/>
  <c r="Y171" i="7"/>
  <c r="Y154" i="7"/>
  <c r="Y106" i="7"/>
  <c r="Y104" i="7"/>
  <c r="Y103" i="7" s="1"/>
  <c r="Y100" i="7"/>
  <c r="Y99" i="7" s="1"/>
  <c r="Y152" i="7"/>
  <c r="Y146" i="7"/>
  <c r="Y183" i="7" s="1" a="1"/>
  <c r="Y183" i="7" s="1"/>
  <c r="Y144" i="7"/>
  <c r="Y142" i="7"/>
  <c r="Y140" i="7"/>
  <c r="Y138" i="7"/>
  <c r="Y136" i="7"/>
  <c r="Y134" i="7"/>
  <c r="Y132" i="7"/>
  <c r="Y130" i="7"/>
  <c r="Y177" i="7"/>
  <c r="Y173" i="7"/>
  <c r="Y158" i="7"/>
  <c r="Y145" i="7"/>
  <c r="Y137" i="7"/>
  <c r="Y107" i="7"/>
  <c r="Y68" i="7" a="1"/>
  <c r="Y68" i="7" s="1"/>
  <c r="Y66" i="7"/>
  <c r="Y64" i="7" s="1"/>
  <c r="Y105" i="7"/>
  <c r="Y197" i="7"/>
  <c r="Z193" i="7" s="1"/>
  <c r="Y143" i="7"/>
  <c r="Y135" i="7"/>
  <c r="Y164" i="7"/>
  <c r="Y166" i="7"/>
  <c r="Y79" i="7"/>
  <c r="Y29" i="7"/>
  <c r="Y27" i="7"/>
  <c r="Y150" i="7"/>
  <c r="Y133" i="7"/>
  <c r="Y41" i="7"/>
  <c r="Y39" i="7"/>
  <c r="Y37" i="7"/>
  <c r="Y35" i="7"/>
  <c r="Y33" i="7"/>
  <c r="Y31" i="7"/>
  <c r="Y17" i="7"/>
  <c r="Z5" i="7"/>
  <c r="Y93" i="7"/>
  <c r="Y45" i="7" a="1"/>
  <c r="Y45" i="7" s="1"/>
  <c r="Y14" i="7"/>
  <c r="Y12" i="7"/>
  <c r="Y139" i="7"/>
  <c r="Y78" i="7"/>
  <c r="Y160" i="7"/>
  <c r="Y141" i="7"/>
  <c r="Y162" i="7"/>
  <c r="Y131" i="7"/>
  <c r="Y81" i="7"/>
  <c r="Y11" i="7"/>
  <c r="Y30" i="7"/>
  <c r="Y38" i="7"/>
  <c r="Y34" i="7"/>
  <c r="Y24" i="7"/>
  <c r="Y13" i="7"/>
  <c r="Y202" i="7" s="1"/>
  <c r="Y82" i="7"/>
  <c r="Y28" i="7"/>
  <c r="Y50" i="7"/>
  <c r="Y59" i="7" s="1"/>
  <c r="Y76" i="7" s="1"/>
  <c r="Y40" i="7"/>
  <c r="Y36" i="7"/>
  <c r="Y32" i="7"/>
  <c r="Y20" i="7"/>
  <c r="Y21" i="7" s="1"/>
  <c r="Y16" i="7"/>
  <c r="Y6" i="7"/>
  <c r="Y18" i="7" s="1"/>
  <c r="Y62" i="7" s="1"/>
  <c r="Y61" i="7" s="1"/>
  <c r="Y77" i="7" s="1"/>
  <c r="I76" i="7"/>
  <c r="I57" i="7"/>
  <c r="P139" i="7"/>
  <c r="P159" i="7"/>
  <c r="Q37" i="7"/>
  <c r="R142" i="7"/>
  <c r="R162" i="7"/>
  <c r="S40" i="7"/>
  <c r="Y5" i="8"/>
  <c r="W4" i="9"/>
  <c r="W3" i="9" s="1"/>
  <c r="Z4" i="8"/>
  <c r="K19" i="7"/>
  <c r="K20" i="7"/>
  <c r="Q140" i="7" l="1"/>
  <c r="Q160" i="7"/>
  <c r="R38" i="7"/>
  <c r="Z51" i="7"/>
  <c r="Z58" i="7" s="1"/>
  <c r="Y44" i="7"/>
  <c r="Z19" i="7"/>
  <c r="Z21" i="7" s="1"/>
  <c r="S143" i="7"/>
  <c r="S163" i="7"/>
  <c r="T41" i="7"/>
  <c r="M78" i="7"/>
  <c r="M174" i="7"/>
  <c r="M134" i="7"/>
  <c r="M154" i="7"/>
  <c r="N32" i="7"/>
  <c r="BE113" i="9"/>
  <c r="BE111" i="9"/>
  <c r="BE109" i="9"/>
  <c r="BE107" i="9"/>
  <c r="BE105" i="9"/>
  <c r="BE103" i="9"/>
  <c r="BE101" i="9"/>
  <c r="BE99" i="9"/>
  <c r="BE97" i="9"/>
  <c r="BE95" i="9"/>
  <c r="BE93" i="9"/>
  <c r="BE91" i="9"/>
  <c r="BE89" i="9"/>
  <c r="BE87" i="9"/>
  <c r="BE94" i="9"/>
  <c r="BE114" i="9"/>
  <c r="BE90" i="9"/>
  <c r="BE88" i="9"/>
  <c r="BE112" i="9"/>
  <c r="BE110" i="9"/>
  <c r="BE108" i="9"/>
  <c r="BE96" i="9"/>
  <c r="BE102" i="9"/>
  <c r="BE106" i="9"/>
  <c r="BE79" i="9"/>
  <c r="BE78" i="9"/>
  <c r="BE82" i="9"/>
  <c r="BE80" i="9"/>
  <c r="BE74" i="9"/>
  <c r="BE72" i="9"/>
  <c r="BE104" i="9"/>
  <c r="BE100" i="9"/>
  <c r="BE92" i="9"/>
  <c r="BE98" i="9"/>
  <c r="BE77" i="9"/>
  <c r="BE69" i="9"/>
  <c r="BE67" i="9"/>
  <c r="BE65" i="9"/>
  <c r="BE63" i="9"/>
  <c r="BE61" i="9"/>
  <c r="BE73" i="9"/>
  <c r="BE84" i="9"/>
  <c r="BE75" i="9"/>
  <c r="BE86" i="9"/>
  <c r="BE76" i="9"/>
  <c r="BE85" i="9"/>
  <c r="BE71" i="9"/>
  <c r="BE59" i="9"/>
  <c r="BE81" i="9"/>
  <c r="BE66" i="9"/>
  <c r="BE58" i="9"/>
  <c r="BE68" i="9"/>
  <c r="BE55" i="9"/>
  <c r="BE64" i="9"/>
  <c r="BE57" i="9"/>
  <c r="BE83" i="9"/>
  <c r="BE70" i="9"/>
  <c r="BE62" i="9"/>
  <c r="BE60" i="9"/>
  <c r="BE56" i="9"/>
  <c r="BF5" i="9"/>
  <c r="Y47" i="7"/>
  <c r="J46" i="7"/>
  <c r="O177" i="7"/>
  <c r="O157" i="7"/>
  <c r="O137" i="7"/>
  <c r="O79" i="7"/>
  <c r="P35" i="7"/>
  <c r="X195" i="7"/>
  <c r="X196" i="7"/>
  <c r="X197" i="7"/>
  <c r="Y193" i="7" s="1"/>
  <c r="K61" i="7"/>
  <c r="K75" i="7"/>
  <c r="K21" i="7"/>
  <c r="Z5" i="8"/>
  <c r="AA4" i="8"/>
  <c r="X4" i="9"/>
  <c r="X3" i="9" s="1"/>
  <c r="Z177" i="7"/>
  <c r="Z172" i="7"/>
  <c r="Z180" i="7"/>
  <c r="Z175" i="7"/>
  <c r="Z181" i="7"/>
  <c r="Z174" i="7"/>
  <c r="Z179" i="7"/>
  <c r="Z163" i="7"/>
  <c r="Z166" i="7"/>
  <c r="Z197" i="7"/>
  <c r="AA193" i="7" s="1"/>
  <c r="Z159" i="7"/>
  <c r="Z155" i="7"/>
  <c r="Z152" i="7"/>
  <c r="Z146" i="7"/>
  <c r="Z183" i="7" s="1" a="1"/>
  <c r="Z183" i="7" s="1"/>
  <c r="Z144" i="7"/>
  <c r="Z142" i="7"/>
  <c r="Z140" i="7"/>
  <c r="Z138" i="7"/>
  <c r="Z136" i="7"/>
  <c r="Z134" i="7"/>
  <c r="Z132" i="7"/>
  <c r="Z130" i="7"/>
  <c r="Z176" i="7"/>
  <c r="Z150" i="7"/>
  <c r="Z173" i="7"/>
  <c r="Z162" i="7"/>
  <c r="Z158" i="7"/>
  <c r="Z156" i="7"/>
  <c r="Z105" i="7"/>
  <c r="Z161" i="7"/>
  <c r="Z143" i="7"/>
  <c r="Z135" i="7"/>
  <c r="Z81" i="7"/>
  <c r="Z165" i="7"/>
  <c r="Z164" i="7"/>
  <c r="Z178" i="7"/>
  <c r="Z154" i="7"/>
  <c r="Z171" i="7"/>
  <c r="Z157" i="7"/>
  <c r="Z153" i="7"/>
  <c r="Z170" i="7"/>
  <c r="Z145" i="7"/>
  <c r="Z137" i="7"/>
  <c r="Z107" i="7"/>
  <c r="Z133" i="7"/>
  <c r="Z41" i="7"/>
  <c r="Z39" i="7"/>
  <c r="Z37" i="7"/>
  <c r="Z35" i="7"/>
  <c r="Z33" i="7"/>
  <c r="Z31" i="7"/>
  <c r="Z17" i="7"/>
  <c r="AA5" i="7"/>
  <c r="Z151" i="7"/>
  <c r="Z93" i="7"/>
  <c r="Z14" i="7"/>
  <c r="Z12" i="7"/>
  <c r="Z139" i="7"/>
  <c r="Z104" i="7"/>
  <c r="Z103" i="7" s="1"/>
  <c r="Z78" i="7"/>
  <c r="Z66" i="7"/>
  <c r="Z64" i="7" s="1"/>
  <c r="Z68" i="7" a="1"/>
  <c r="Z68" i="7" s="1"/>
  <c r="Z160" i="7"/>
  <c r="Z141" i="7"/>
  <c r="Z82" i="7"/>
  <c r="Z106" i="7"/>
  <c r="Z131" i="7"/>
  <c r="Z100" i="7"/>
  <c r="Z99" i="7" s="1"/>
  <c r="Z29" i="7"/>
  <c r="Z27" i="7"/>
  <c r="Z79" i="7"/>
  <c r="Z30" i="7"/>
  <c r="Z38" i="7"/>
  <c r="Z34" i="7"/>
  <c r="Z24" i="7"/>
  <c r="Z13" i="7"/>
  <c r="Z202" i="7" s="1"/>
  <c r="Z28" i="7"/>
  <c r="Z50" i="7"/>
  <c r="Z59" i="7" s="1"/>
  <c r="Z76" i="7" s="1"/>
  <c r="Z40" i="7"/>
  <c r="Z36" i="7"/>
  <c r="Z32" i="7"/>
  <c r="Z20" i="7"/>
  <c r="Z16" i="7"/>
  <c r="Z11" i="7"/>
  <c r="AA19" i="7" s="1"/>
  <c r="Z6" i="7"/>
  <c r="Z18" i="7" s="1"/>
  <c r="Z195" i="7"/>
  <c r="Z196" i="7"/>
  <c r="BD25" i="9" a="1"/>
  <c r="BD25" i="9" s="1"/>
  <c r="BD24" i="9" a="1"/>
  <c r="BD24" i="9" s="1"/>
  <c r="BD26" i="9" a="1"/>
  <c r="BD26" i="9" s="1"/>
  <c r="BD27" i="9" a="1"/>
  <c r="BD27" i="9" s="1"/>
  <c r="BD23" i="9" a="1"/>
  <c r="BD23" i="9" s="1"/>
  <c r="BD21" i="9" a="1"/>
  <c r="BD21" i="9" s="1"/>
  <c r="BD16" i="9" a="1"/>
  <c r="BD16" i="9" s="1"/>
  <c r="K171" i="7"/>
  <c r="K131" i="7"/>
  <c r="K151" i="7"/>
  <c r="L29" i="7"/>
  <c r="Y75" i="7"/>
  <c r="Y74" i="7" s="1"/>
  <c r="Y72" i="7" s="1"/>
  <c r="Y57" i="7"/>
  <c r="Y55" i="7" s="1"/>
  <c r="I55" i="7"/>
  <c r="I82" i="7"/>
  <c r="I81" i="7"/>
  <c r="I74" i="7" s="1"/>
  <c r="I72" i="7" s="1"/>
  <c r="I71" i="7" s="1"/>
  <c r="J47" i="7"/>
  <c r="K209" i="7" s="1"/>
  <c r="K213" i="7" s="1"/>
  <c r="J50" i="7"/>
  <c r="K222" i="7" l="1"/>
  <c r="K214" i="7"/>
  <c r="L152" i="7"/>
  <c r="L172" i="7"/>
  <c r="L132" i="7"/>
  <c r="M30" i="7"/>
  <c r="P178" i="7"/>
  <c r="Q179" i="7" s="1"/>
  <c r="P158" i="7"/>
  <c r="P138" i="7"/>
  <c r="Q36" i="7"/>
  <c r="T164" i="7"/>
  <c r="T144" i="7"/>
  <c r="K77" i="7"/>
  <c r="Y195" i="7"/>
  <c r="Y196" i="7"/>
  <c r="BF114" i="9"/>
  <c r="BF99" i="9"/>
  <c r="BF90" i="9"/>
  <c r="BF85" i="9"/>
  <c r="BF83" i="9"/>
  <c r="BF81" i="9"/>
  <c r="BF79" i="9"/>
  <c r="BF77" i="9"/>
  <c r="BF75" i="9"/>
  <c r="BF89" i="9"/>
  <c r="BF88" i="9"/>
  <c r="BF112" i="9"/>
  <c r="BF110" i="9"/>
  <c r="BF108" i="9"/>
  <c r="BF106" i="9"/>
  <c r="BF104" i="9"/>
  <c r="BF101" i="9"/>
  <c r="BF98" i="9"/>
  <c r="BF87" i="9"/>
  <c r="BF113" i="9"/>
  <c r="BF111" i="9"/>
  <c r="BF109" i="9"/>
  <c r="BF107" i="9"/>
  <c r="BF105" i="9"/>
  <c r="BF103" i="9"/>
  <c r="BF100" i="9"/>
  <c r="BF97" i="9"/>
  <c r="BF94" i="9"/>
  <c r="BF93" i="9"/>
  <c r="BF82" i="9"/>
  <c r="BF80" i="9"/>
  <c r="BF74" i="9"/>
  <c r="BF72" i="9"/>
  <c r="BF96" i="9"/>
  <c r="BF92" i="9"/>
  <c r="BF95" i="9"/>
  <c r="BF86" i="9"/>
  <c r="BF73" i="9"/>
  <c r="BF91" i="9"/>
  <c r="BF84" i="9"/>
  <c r="BF102" i="9"/>
  <c r="BF69" i="9"/>
  <c r="BF67" i="9"/>
  <c r="BF65" i="9"/>
  <c r="BF63" i="9"/>
  <c r="BF71" i="9"/>
  <c r="BF61" i="9"/>
  <c r="BF59" i="9"/>
  <c r="BF57" i="9"/>
  <c r="BF78" i="9"/>
  <c r="BF76" i="9"/>
  <c r="BF68" i="9"/>
  <c r="BF55" i="9"/>
  <c r="BF64" i="9"/>
  <c r="BF56" i="9"/>
  <c r="BF66" i="9"/>
  <c r="BF58" i="9"/>
  <c r="BF70" i="9"/>
  <c r="BF62" i="9"/>
  <c r="BF60" i="9"/>
  <c r="BG5" i="9"/>
  <c r="BE24" i="9" a="1"/>
  <c r="BE24" i="9" s="1"/>
  <c r="BE27" i="9" a="1"/>
  <c r="BE27" i="9" s="1"/>
  <c r="BE25" i="9" a="1"/>
  <c r="BE25" i="9" s="1"/>
  <c r="BE21" i="9" a="1"/>
  <c r="BE21" i="9" s="1"/>
  <c r="BE26" i="9" a="1"/>
  <c r="BE26" i="9" s="1"/>
  <c r="BE23" i="9" a="1"/>
  <c r="BE23" i="9" s="1"/>
  <c r="BE16" i="9" a="1"/>
  <c r="BE16" i="9" s="1"/>
  <c r="N175" i="7"/>
  <c r="N135" i="7"/>
  <c r="N155" i="7"/>
  <c r="O33" i="7"/>
  <c r="R161" i="7"/>
  <c r="R141" i="7"/>
  <c r="S39" i="7"/>
  <c r="J59" i="7"/>
  <c r="AA196" i="7"/>
  <c r="AA195" i="7"/>
  <c r="I189" i="7"/>
  <c r="I187" i="7"/>
  <c r="I188" i="7"/>
  <c r="AA51" i="7"/>
  <c r="AA58" i="7" s="1"/>
  <c r="Z44" i="7"/>
  <c r="Z96" i="7" s="1"/>
  <c r="Z95" i="7" s="1"/>
  <c r="Z62" i="7"/>
  <c r="Z61" i="7" s="1"/>
  <c r="Z77" i="7" s="1"/>
  <c r="AA197" i="7"/>
  <c r="AB193" i="7" s="1"/>
  <c r="AA181" i="7"/>
  <c r="AA179" i="7"/>
  <c r="AA177" i="7"/>
  <c r="AA175" i="7"/>
  <c r="AA170" i="7"/>
  <c r="AA165" i="7"/>
  <c r="AA173" i="7"/>
  <c r="AA166" i="7"/>
  <c r="AA161" i="7"/>
  <c r="AA178" i="7"/>
  <c r="AA176" i="7"/>
  <c r="AA163" i="7"/>
  <c r="AA150" i="7"/>
  <c r="AA164" i="7"/>
  <c r="AA160" i="7"/>
  <c r="AA156" i="7"/>
  <c r="AA174" i="7"/>
  <c r="AA171" i="7"/>
  <c r="AA154" i="7"/>
  <c r="AA146" i="7"/>
  <c r="AA183" i="7" s="1" a="1"/>
  <c r="AA183" i="7" s="1"/>
  <c r="AA143" i="7"/>
  <c r="AA140" i="7"/>
  <c r="AA135" i="7"/>
  <c r="AA132" i="7"/>
  <c r="AA81" i="7"/>
  <c r="AA78" i="7"/>
  <c r="AA180" i="7"/>
  <c r="AA159" i="7"/>
  <c r="AA141" i="7"/>
  <c r="AA138" i="7"/>
  <c r="AA133" i="7"/>
  <c r="AA130" i="7"/>
  <c r="AA157" i="7"/>
  <c r="AA153" i="7"/>
  <c r="AA162" i="7"/>
  <c r="AA152" i="7"/>
  <c r="AA144" i="7"/>
  <c r="AA158" i="7"/>
  <c r="AA105" i="7"/>
  <c r="AA155" i="7"/>
  <c r="AA151" i="7"/>
  <c r="AA93" i="7"/>
  <c r="AA14" i="7"/>
  <c r="AA12" i="7"/>
  <c r="AA139" i="7"/>
  <c r="AA104" i="7"/>
  <c r="AA68" i="7" a="1"/>
  <c r="AA68" i="7" s="1"/>
  <c r="AA66" i="7"/>
  <c r="AA64" i="7" s="1"/>
  <c r="AA30" i="7"/>
  <c r="AA28" i="7"/>
  <c r="AA134" i="7"/>
  <c r="AA107" i="7"/>
  <c r="AA82" i="7"/>
  <c r="AA145" i="7"/>
  <c r="AA106" i="7"/>
  <c r="AA136" i="7"/>
  <c r="AA131" i="7"/>
  <c r="AA172" i="7"/>
  <c r="AA142" i="7"/>
  <c r="AA137" i="7"/>
  <c r="AA41" i="7"/>
  <c r="AA39" i="7"/>
  <c r="AA37" i="7"/>
  <c r="AA35" i="7"/>
  <c r="AA33" i="7"/>
  <c r="AA31" i="7"/>
  <c r="AA17" i="7"/>
  <c r="AB5" i="7"/>
  <c r="AA38" i="7"/>
  <c r="AA34" i="7"/>
  <c r="AA24" i="7"/>
  <c r="AA20" i="7"/>
  <c r="AA6" i="7"/>
  <c r="AA18" i="7" s="1"/>
  <c r="AA100" i="7"/>
  <c r="AA99" i="7" s="1"/>
  <c r="AA13" i="7"/>
  <c r="AA202" i="7" s="1"/>
  <c r="AA27" i="7"/>
  <c r="AA45" i="7" s="1" a="1"/>
  <c r="AA45" i="7" s="1"/>
  <c r="AA50" i="7"/>
  <c r="AA59" i="7" s="1"/>
  <c r="AA76" i="7" s="1"/>
  <c r="AA40" i="7"/>
  <c r="AA36" i="7"/>
  <c r="AA32" i="7"/>
  <c r="AA16" i="7"/>
  <c r="AA11" i="7"/>
  <c r="AA79" i="7"/>
  <c r="AA29" i="7"/>
  <c r="Z45" i="7" a="1"/>
  <c r="Z45" i="7" s="1"/>
  <c r="Z47" i="7" s="1"/>
  <c r="Y4" i="9"/>
  <c r="Y3" i="9" s="1"/>
  <c r="AB4" i="8"/>
  <c r="AA5" i="8"/>
  <c r="K24" i="7"/>
  <c r="K27" i="7" s="1"/>
  <c r="K17" i="7"/>
  <c r="Y46" i="7"/>
  <c r="Z209" i="7" s="1"/>
  <c r="Z213" i="7" s="1"/>
  <c r="AA21" i="7"/>
  <c r="Z75" i="7"/>
  <c r="Z57" i="7"/>
  <c r="Y96" i="7"/>
  <c r="Y95" i="7" s="1"/>
  <c r="Y71" i="7" s="1"/>
  <c r="Z214" i="7" l="1"/>
  <c r="Z222" i="7"/>
  <c r="Y189" i="7"/>
  <c r="Y187" i="7"/>
  <c r="Y188" i="7"/>
  <c r="AB196" i="7"/>
  <c r="AB195" i="7"/>
  <c r="J76" i="7"/>
  <c r="J57" i="7"/>
  <c r="AB5" i="8"/>
  <c r="AC4" i="8"/>
  <c r="Z4" i="9"/>
  <c r="Z3" i="9" s="1"/>
  <c r="O136" i="7"/>
  <c r="O176" i="7"/>
  <c r="O156" i="7"/>
  <c r="P34" i="7"/>
  <c r="AB180" i="7"/>
  <c r="AB178" i="7"/>
  <c r="AB171" i="7"/>
  <c r="AB197" i="7"/>
  <c r="AC193" i="7" s="1"/>
  <c r="AB179" i="7"/>
  <c r="AB181" i="7"/>
  <c r="AB159" i="7"/>
  <c r="AB164" i="7"/>
  <c r="AB160" i="7"/>
  <c r="AB156" i="7"/>
  <c r="AB172" i="7"/>
  <c r="AB166" i="7"/>
  <c r="AB155" i="7"/>
  <c r="AB152" i="7"/>
  <c r="AB146" i="7"/>
  <c r="AB183" i="7" s="1" a="1"/>
  <c r="AB183" i="7" s="1"/>
  <c r="AB176" i="7"/>
  <c r="AB175" i="7"/>
  <c r="AB173" i="7"/>
  <c r="AB161" i="7"/>
  <c r="AB78" i="7"/>
  <c r="AB165" i="7"/>
  <c r="AB141" i="7"/>
  <c r="AB138" i="7"/>
  <c r="AB133" i="7"/>
  <c r="AB130" i="7"/>
  <c r="AB157" i="7"/>
  <c r="AB154" i="7"/>
  <c r="AB153" i="7"/>
  <c r="AB106" i="7"/>
  <c r="P55" i="4" s="1"/>
  <c r="AB93" i="7"/>
  <c r="AB162" i="7"/>
  <c r="AB177" i="7"/>
  <c r="AB174" i="7"/>
  <c r="AB151" i="7"/>
  <c r="AB163" i="7"/>
  <c r="AB143" i="7"/>
  <c r="AB140" i="7"/>
  <c r="AB135" i="7"/>
  <c r="AB132" i="7"/>
  <c r="AB81" i="7"/>
  <c r="AB150" i="7"/>
  <c r="AB139" i="7"/>
  <c r="AB104" i="7"/>
  <c r="AB66" i="7"/>
  <c r="AB64" i="7" s="1"/>
  <c r="AB30" i="7"/>
  <c r="AB28" i="7"/>
  <c r="AB134" i="7"/>
  <c r="AB107" i="7"/>
  <c r="P56" i="4" s="1"/>
  <c r="AB82" i="7"/>
  <c r="AB50" i="7"/>
  <c r="AB59" i="7" s="1"/>
  <c r="AB76" i="7" s="1"/>
  <c r="AB40" i="7"/>
  <c r="AB38" i="7"/>
  <c r="AB36" i="7"/>
  <c r="AB34" i="7"/>
  <c r="AB32" i="7"/>
  <c r="AB24" i="7"/>
  <c r="AB20" i="7"/>
  <c r="AB158" i="7"/>
  <c r="AB145" i="7"/>
  <c r="AB144" i="7"/>
  <c r="AB136" i="7"/>
  <c r="AB131" i="7"/>
  <c r="AB79" i="7"/>
  <c r="AB142" i="7"/>
  <c r="AB137" i="7"/>
  <c r="AB170" i="7"/>
  <c r="AB105" i="7"/>
  <c r="P54" i="4" s="1"/>
  <c r="AB68" i="7" a="1"/>
  <c r="AB68" i="7" s="1"/>
  <c r="AB14" i="7"/>
  <c r="AB12" i="7"/>
  <c r="AB100" i="7"/>
  <c r="AB99" i="7" s="1"/>
  <c r="P51" i="4" s="1"/>
  <c r="AB13" i="7"/>
  <c r="AB202" i="7" s="1"/>
  <c r="AB16" i="7"/>
  <c r="AB27" i="7"/>
  <c r="AB45" i="7" s="1" a="1"/>
  <c r="AB45" i="7" s="1"/>
  <c r="AB39" i="7"/>
  <c r="AB35" i="7"/>
  <c r="AB31" i="7"/>
  <c r="AC5" i="7"/>
  <c r="AB11" i="7"/>
  <c r="AB29" i="7"/>
  <c r="AB41" i="7"/>
  <c r="AB37" i="7"/>
  <c r="AB33" i="7"/>
  <c r="AB17" i="7"/>
  <c r="AB6" i="7"/>
  <c r="AB18" i="7" s="1"/>
  <c r="K223" i="7"/>
  <c r="L221" i="7"/>
  <c r="AA103" i="7"/>
  <c r="AA44" i="7"/>
  <c r="AB51" i="7"/>
  <c r="AB58" i="7" s="1"/>
  <c r="Z55" i="7"/>
  <c r="K44" i="7"/>
  <c r="L51" i="7"/>
  <c r="L58" i="7" s="1"/>
  <c r="K150" i="7"/>
  <c r="K165" i="7" s="1"/>
  <c r="K166" i="7" s="1"/>
  <c r="K170" i="7"/>
  <c r="K180" i="7" s="1"/>
  <c r="K181" i="7" s="1"/>
  <c r="K130" i="7"/>
  <c r="K145" i="7" s="1"/>
  <c r="K146" i="7" s="1"/>
  <c r="K183" i="7" s="1" a="1"/>
  <c r="K183" i="7" s="1"/>
  <c r="K45" i="7" a="1"/>
  <c r="K45" i="7" s="1"/>
  <c r="L66" i="7" s="1"/>
  <c r="L64" i="7" s="1"/>
  <c r="L28" i="7"/>
  <c r="L18" i="7"/>
  <c r="L62" i="7" s="1"/>
  <c r="AB19" i="7"/>
  <c r="AB21" i="7" s="1"/>
  <c r="Z46" i="7"/>
  <c r="AA209" i="7" s="1"/>
  <c r="AA213" i="7" s="1"/>
  <c r="S142" i="7"/>
  <c r="S162" i="7"/>
  <c r="T40" i="7"/>
  <c r="BG114" i="9"/>
  <c r="BG112" i="9"/>
  <c r="BG110" i="9"/>
  <c r="BG108" i="9"/>
  <c r="BG106" i="9"/>
  <c r="BG104" i="9"/>
  <c r="BG102" i="9"/>
  <c r="BG100" i="9"/>
  <c r="BG98" i="9"/>
  <c r="BG96" i="9"/>
  <c r="BG94" i="9"/>
  <c r="BG92" i="9"/>
  <c r="BG113" i="9"/>
  <c r="BG111" i="9"/>
  <c r="BG109" i="9"/>
  <c r="BG107" i="9"/>
  <c r="BG105" i="9"/>
  <c r="BG103" i="9"/>
  <c r="BG101" i="9"/>
  <c r="BG99" i="9"/>
  <c r="BG89" i="9"/>
  <c r="BG88" i="9"/>
  <c r="BG87" i="9"/>
  <c r="BG95" i="9"/>
  <c r="BG91" i="9"/>
  <c r="BG90" i="9"/>
  <c r="BG85" i="9"/>
  <c r="BG84" i="9"/>
  <c r="BG97" i="9"/>
  <c r="BG79" i="9"/>
  <c r="BG73" i="9"/>
  <c r="BG93" i="9"/>
  <c r="BG81" i="9"/>
  <c r="BG76" i="9"/>
  <c r="BG72" i="9"/>
  <c r="BG70" i="9"/>
  <c r="BG68" i="9"/>
  <c r="BG66" i="9"/>
  <c r="BG64" i="9"/>
  <c r="BG62" i="9"/>
  <c r="BG82" i="9"/>
  <c r="BG77" i="9"/>
  <c r="BG74" i="9"/>
  <c r="BG63" i="9"/>
  <c r="BG59" i="9"/>
  <c r="BG57" i="9"/>
  <c r="BG55" i="9"/>
  <c r="BG80" i="9"/>
  <c r="BG75" i="9"/>
  <c r="BG69" i="9"/>
  <c r="BG60" i="9"/>
  <c r="BG86" i="9"/>
  <c r="BG65" i="9"/>
  <c r="BG71" i="9"/>
  <c r="BG61" i="9"/>
  <c r="BG56" i="9"/>
  <c r="BG83" i="9"/>
  <c r="BG78" i="9"/>
  <c r="BG67" i="9"/>
  <c r="BG58" i="9"/>
  <c r="BH5" i="9"/>
  <c r="BF21" i="9" a="1"/>
  <c r="BF21" i="9" s="1"/>
  <c r="BF25" i="9" a="1"/>
  <c r="BF25" i="9" s="1"/>
  <c r="BF27" i="9" a="1"/>
  <c r="BF27" i="9" s="1"/>
  <c r="BF24" i="9" a="1"/>
  <c r="BF24" i="9" s="1"/>
  <c r="BF26" i="9" a="1"/>
  <c r="BF26" i="9" s="1"/>
  <c r="BF23" i="9" a="1"/>
  <c r="BF23" i="9" s="1"/>
  <c r="BF16" i="9" a="1"/>
  <c r="BF16" i="9" s="1"/>
  <c r="Q159" i="7"/>
  <c r="Q139" i="7"/>
  <c r="R37" i="7"/>
  <c r="M173" i="7"/>
  <c r="M133" i="7"/>
  <c r="M153" i="7"/>
  <c r="N31" i="7"/>
  <c r="L20" i="7"/>
  <c r="L19" i="7"/>
  <c r="L21" i="7" s="1"/>
  <c r="L24" i="7" s="1"/>
  <c r="Z74" i="7"/>
  <c r="Z72" i="7" s="1"/>
  <c r="Z71" i="7" s="1"/>
  <c r="AA62" i="7"/>
  <c r="AA61" i="7" s="1"/>
  <c r="AA77" i="7" s="1"/>
  <c r="AA57" i="7"/>
  <c r="AA55" i="7" s="1"/>
  <c r="AA75" i="7"/>
  <c r="AA74" i="7" s="1"/>
  <c r="AA72" i="7" s="1"/>
  <c r="AA222" i="7" l="1"/>
  <c r="AA214" i="7"/>
  <c r="BG27" i="9" a="1"/>
  <c r="BG27" i="9" s="1"/>
  <c r="BG26" i="9" a="1"/>
  <c r="BG26" i="9" s="1"/>
  <c r="BG23" i="9" a="1"/>
  <c r="BG23" i="9" s="1"/>
  <c r="BG25" i="9" a="1"/>
  <c r="BG25" i="9" s="1"/>
  <c r="BG21" i="9" a="1"/>
  <c r="BG21" i="9" s="1"/>
  <c r="BG24" i="9" a="1"/>
  <c r="BG24" i="9" s="1"/>
  <c r="BG16" i="9" a="1"/>
  <c r="BG16" i="9" s="1"/>
  <c r="L61" i="7"/>
  <c r="K46" i="7"/>
  <c r="L209" i="7" s="1"/>
  <c r="L213" i="7" s="1"/>
  <c r="L27" i="7"/>
  <c r="Z188" i="7"/>
  <c r="Z189" i="7"/>
  <c r="Z187" i="7"/>
  <c r="P137" i="7"/>
  <c r="P177" i="7"/>
  <c r="P157" i="7"/>
  <c r="P79" i="7"/>
  <c r="Q35" i="7"/>
  <c r="R140" i="7"/>
  <c r="R160" i="7"/>
  <c r="S38" i="7"/>
  <c r="N78" i="7"/>
  <c r="N174" i="7"/>
  <c r="N134" i="7"/>
  <c r="N154" i="7"/>
  <c r="O32" i="7"/>
  <c r="BH114" i="9"/>
  <c r="BH112" i="9"/>
  <c r="BH110" i="9"/>
  <c r="BH108" i="9"/>
  <c r="BH106" i="9"/>
  <c r="BH104" i="9"/>
  <c r="BH87" i="9"/>
  <c r="BH101" i="9"/>
  <c r="BH98" i="9"/>
  <c r="BH95" i="9"/>
  <c r="BH91" i="9"/>
  <c r="BH96" i="9"/>
  <c r="BH92" i="9"/>
  <c r="BH86" i="9"/>
  <c r="BH84" i="9"/>
  <c r="BH82" i="9"/>
  <c r="BH80" i="9"/>
  <c r="BH113" i="9"/>
  <c r="BH111" i="9"/>
  <c r="BH109" i="9"/>
  <c r="BH99" i="9"/>
  <c r="BH89" i="9"/>
  <c r="BH88" i="9"/>
  <c r="BH105" i="9"/>
  <c r="BH100" i="9"/>
  <c r="BH90" i="9"/>
  <c r="BH85" i="9"/>
  <c r="BH103" i="9"/>
  <c r="BH93" i="9"/>
  <c r="BH107" i="9"/>
  <c r="BH94" i="9"/>
  <c r="BH81" i="9"/>
  <c r="BH76" i="9"/>
  <c r="BH72" i="9"/>
  <c r="BH70" i="9"/>
  <c r="BH68" i="9"/>
  <c r="BH66" i="9"/>
  <c r="BH64" i="9"/>
  <c r="BH62" i="9"/>
  <c r="BH60" i="9"/>
  <c r="BH102" i="9"/>
  <c r="BH78" i="9"/>
  <c r="BH71" i="9"/>
  <c r="BH83" i="9"/>
  <c r="BH79" i="9"/>
  <c r="BH73" i="9"/>
  <c r="BH77" i="9"/>
  <c r="BH57" i="9"/>
  <c r="BH55" i="9"/>
  <c r="BH75" i="9"/>
  <c r="BH69" i="9"/>
  <c r="BH65" i="9"/>
  <c r="BH97" i="9"/>
  <c r="BH74" i="9"/>
  <c r="BH61" i="9"/>
  <c r="BH59" i="9"/>
  <c r="BH56" i="9"/>
  <c r="BH63" i="9"/>
  <c r="BH67" i="9"/>
  <c r="BH58" i="9"/>
  <c r="BI5" i="9"/>
  <c r="L171" i="7"/>
  <c r="L131" i="7"/>
  <c r="L151" i="7"/>
  <c r="M29" i="7"/>
  <c r="AB75" i="7"/>
  <c r="AB57" i="7"/>
  <c r="AC196" i="7"/>
  <c r="AC195" i="7"/>
  <c r="AA46" i="7"/>
  <c r="AA96" i="7"/>
  <c r="AA95" i="7" s="1"/>
  <c r="AA71" i="7" s="1"/>
  <c r="AB44" i="7"/>
  <c r="AB96" i="7" s="1"/>
  <c r="AB95" i="7" s="1"/>
  <c r="AC51" i="7"/>
  <c r="AC58" i="7" s="1"/>
  <c r="AB103" i="7"/>
  <c r="P53" i="4"/>
  <c r="T163" i="7"/>
  <c r="T143" i="7"/>
  <c r="U41" i="7"/>
  <c r="J55" i="7"/>
  <c r="J81" i="7"/>
  <c r="J74" i="7" s="1"/>
  <c r="J72" i="7" s="1"/>
  <c r="J71" i="7" s="1"/>
  <c r="J82" i="7"/>
  <c r="Z223" i="7"/>
  <c r="AA221" i="7"/>
  <c r="L17" i="7"/>
  <c r="AC19" i="7"/>
  <c r="AC21" i="7" s="1"/>
  <c r="K47" i="7"/>
  <c r="K50" i="7"/>
  <c r="L75" i="7"/>
  <c r="AB62" i="7"/>
  <c r="AB61" i="7" s="1"/>
  <c r="AB77" i="7" s="1"/>
  <c r="AC197" i="7"/>
  <c r="AD193" i="7" s="1"/>
  <c r="AC181" i="7"/>
  <c r="AC179" i="7"/>
  <c r="AC177" i="7"/>
  <c r="AC175" i="7"/>
  <c r="AC173" i="7"/>
  <c r="AC171" i="7"/>
  <c r="AC166" i="7"/>
  <c r="AC164" i="7"/>
  <c r="AC162" i="7"/>
  <c r="AC160" i="7"/>
  <c r="AC158" i="7"/>
  <c r="AC156" i="7"/>
  <c r="AC154" i="7"/>
  <c r="AC152" i="7"/>
  <c r="AC150" i="7"/>
  <c r="AC178" i="7"/>
  <c r="AC157" i="7"/>
  <c r="AC180" i="7"/>
  <c r="AC107" i="7"/>
  <c r="AC105" i="7"/>
  <c r="AC165" i="7"/>
  <c r="AC153" i="7"/>
  <c r="AC145" i="7"/>
  <c r="AC143" i="7"/>
  <c r="AC141" i="7"/>
  <c r="AC139" i="7"/>
  <c r="AC137" i="7"/>
  <c r="AC135" i="7"/>
  <c r="AC133" i="7"/>
  <c r="AC131" i="7"/>
  <c r="AC176" i="7"/>
  <c r="AC163" i="7"/>
  <c r="AC159" i="7"/>
  <c r="AC138" i="7"/>
  <c r="AC130" i="7"/>
  <c r="AC68" i="7" a="1"/>
  <c r="AC68" i="7" s="1"/>
  <c r="AC106" i="7"/>
  <c r="AC93" i="7"/>
  <c r="AC144" i="7"/>
  <c r="AC136" i="7"/>
  <c r="AC104" i="7"/>
  <c r="AC82" i="7"/>
  <c r="AC174" i="7"/>
  <c r="AC151" i="7"/>
  <c r="AC172" i="7"/>
  <c r="AC155" i="7"/>
  <c r="AC161" i="7"/>
  <c r="AC146" i="7"/>
  <c r="AC183" i="7" s="1" a="1"/>
  <c r="AC183" i="7" s="1"/>
  <c r="AC78" i="7"/>
  <c r="AC30" i="7"/>
  <c r="AC28" i="7"/>
  <c r="AC134" i="7"/>
  <c r="AC50" i="7"/>
  <c r="AC40" i="7"/>
  <c r="AC38" i="7"/>
  <c r="AC36" i="7"/>
  <c r="AC34" i="7"/>
  <c r="AC32" i="7"/>
  <c r="AC24" i="7"/>
  <c r="AC20" i="7"/>
  <c r="AC16" i="7"/>
  <c r="AC13" i="7"/>
  <c r="AC202" i="7" s="1"/>
  <c r="AC140" i="7"/>
  <c r="AC79" i="7"/>
  <c r="AC100" i="7"/>
  <c r="AC99" i="7" s="1"/>
  <c r="AC142" i="7"/>
  <c r="AC170" i="7"/>
  <c r="AC132" i="7"/>
  <c r="AC66" i="7"/>
  <c r="AC64" i="7" s="1"/>
  <c r="AC27" i="7"/>
  <c r="AC39" i="7"/>
  <c r="AC35" i="7"/>
  <c r="AC31" i="7"/>
  <c r="AD5" i="7"/>
  <c r="AC14" i="7"/>
  <c r="AC11" i="7"/>
  <c r="AC29" i="7"/>
  <c r="AC81" i="7"/>
  <c r="AC41" i="7"/>
  <c r="AC37" i="7"/>
  <c r="AC33" i="7"/>
  <c r="AC17" i="7"/>
  <c r="AC12" i="7"/>
  <c r="AC6" i="7"/>
  <c r="AC18" i="7" s="1"/>
  <c r="AC62" i="7" s="1"/>
  <c r="AA4" i="9"/>
  <c r="AA3" i="9" s="1"/>
  <c r="AC5" i="8"/>
  <c r="AD4" i="8"/>
  <c r="AA47" i="7"/>
  <c r="AB209" i="7" s="1"/>
  <c r="AB213" i="7" s="1"/>
  <c r="AA188" i="7" l="1"/>
  <c r="AA189" i="7"/>
  <c r="AA187" i="7"/>
  <c r="L214" i="7"/>
  <c r="L222" i="7"/>
  <c r="AB214" i="7"/>
  <c r="AB222" i="7"/>
  <c r="AD178" i="7"/>
  <c r="AD175" i="7"/>
  <c r="AD173" i="7"/>
  <c r="AD181" i="7"/>
  <c r="AD176" i="7"/>
  <c r="AD164" i="7"/>
  <c r="AD155" i="7"/>
  <c r="AD170" i="7"/>
  <c r="AD165" i="7"/>
  <c r="AD153" i="7"/>
  <c r="AD145" i="7"/>
  <c r="AD143" i="7"/>
  <c r="AD141" i="7"/>
  <c r="AD139" i="7"/>
  <c r="AD137" i="7"/>
  <c r="AD135" i="7"/>
  <c r="AD133" i="7"/>
  <c r="AD131" i="7"/>
  <c r="AD161" i="7"/>
  <c r="AD157" i="7"/>
  <c r="AD151" i="7"/>
  <c r="AD150" i="7"/>
  <c r="AD106" i="7"/>
  <c r="AD93" i="7"/>
  <c r="AD197" i="7"/>
  <c r="AE193" i="7" s="1"/>
  <c r="AD180" i="7"/>
  <c r="AD159" i="7"/>
  <c r="AD154" i="7"/>
  <c r="AD144" i="7"/>
  <c r="AD136" i="7"/>
  <c r="AD104" i="7"/>
  <c r="AD82" i="7"/>
  <c r="AD179" i="7"/>
  <c r="AD174" i="7"/>
  <c r="AD162" i="7"/>
  <c r="AD100" i="7"/>
  <c r="AD99" i="7" s="1"/>
  <c r="AD177" i="7"/>
  <c r="AD172" i="7"/>
  <c r="AD171" i="7"/>
  <c r="AD166" i="7"/>
  <c r="AD152" i="7"/>
  <c r="AD160" i="7"/>
  <c r="AD156" i="7"/>
  <c r="AD138" i="7"/>
  <c r="AD130" i="7"/>
  <c r="AD134" i="7"/>
  <c r="AD50" i="7"/>
  <c r="AD59" i="7" s="1"/>
  <c r="AD76" i="7" s="1"/>
  <c r="AD40" i="7"/>
  <c r="AD38" i="7"/>
  <c r="AD36" i="7"/>
  <c r="AD34" i="7"/>
  <c r="AD32" i="7"/>
  <c r="AD24" i="7"/>
  <c r="AD20" i="7"/>
  <c r="AD107" i="7"/>
  <c r="AD78" i="7"/>
  <c r="AD16" i="7"/>
  <c r="AD13" i="7"/>
  <c r="AD202" i="7" s="1"/>
  <c r="AD158" i="7"/>
  <c r="AD140" i="7"/>
  <c r="AD79" i="7"/>
  <c r="AD11" i="7"/>
  <c r="AE19" i="7" s="1"/>
  <c r="AD142" i="7"/>
  <c r="AD68" i="7" a="1"/>
  <c r="AD68" i="7" s="1"/>
  <c r="AD146" i="7"/>
  <c r="AD183" i="7" s="1" a="1"/>
  <c r="AD183" i="7" s="1"/>
  <c r="AD132" i="7"/>
  <c r="AD163" i="7"/>
  <c r="AD30" i="7"/>
  <c r="AD28" i="7"/>
  <c r="AD27" i="7"/>
  <c r="AD39" i="7"/>
  <c r="AD35" i="7"/>
  <c r="AD31" i="7"/>
  <c r="AE5" i="7"/>
  <c r="AD14" i="7"/>
  <c r="AD29" i="7"/>
  <c r="AD81" i="7"/>
  <c r="AD41" i="7"/>
  <c r="AD37" i="7"/>
  <c r="AD33" i="7"/>
  <c r="AD45" i="7" s="1" a="1"/>
  <c r="AD45" i="7" s="1"/>
  <c r="AD17" i="7"/>
  <c r="AD105" i="7"/>
  <c r="AD12" i="7"/>
  <c r="AD66" i="7"/>
  <c r="AD64" i="7" s="1"/>
  <c r="AD6" i="7"/>
  <c r="AD18" i="7" s="1"/>
  <c r="AD62" i="7" s="1"/>
  <c r="AD61" i="7" s="1"/>
  <c r="AD77" i="7" s="1"/>
  <c r="U164" i="7"/>
  <c r="U144" i="7"/>
  <c r="L44" i="7"/>
  <c r="M51" i="7"/>
  <c r="M58" i="7" s="1"/>
  <c r="L150" i="7"/>
  <c r="L165" i="7" s="1"/>
  <c r="L166" i="7" s="1"/>
  <c r="L45" i="7" a="1"/>
  <c r="L45" i="7" s="1"/>
  <c r="L170" i="7"/>
  <c r="L180" i="7" s="1"/>
  <c r="L181" i="7" s="1"/>
  <c r="L130" i="7"/>
  <c r="L145" i="7" s="1"/>
  <c r="L146" i="7" s="1"/>
  <c r="L183" i="7" s="1" a="1"/>
  <c r="L183" i="7" s="1"/>
  <c r="M28" i="7"/>
  <c r="M18" i="7"/>
  <c r="M62" i="7" s="1"/>
  <c r="O135" i="7"/>
  <c r="O155" i="7"/>
  <c r="O175" i="7"/>
  <c r="P33" i="7"/>
  <c r="S161" i="7"/>
  <c r="S141" i="7"/>
  <c r="T39" i="7"/>
  <c r="M132" i="7"/>
  <c r="M152" i="7"/>
  <c r="M172" i="7"/>
  <c r="N30" i="7"/>
  <c r="AB47" i="7"/>
  <c r="K59" i="7"/>
  <c r="AC75" i="7"/>
  <c r="AC57" i="7"/>
  <c r="AB55" i="7"/>
  <c r="AC103" i="7"/>
  <c r="AC44" i="7"/>
  <c r="AC96" i="7" s="1"/>
  <c r="AD51" i="7"/>
  <c r="AD58" i="7" s="1"/>
  <c r="AD196" i="7"/>
  <c r="AD195" i="7"/>
  <c r="J189" i="7"/>
  <c r="J187" i="7"/>
  <c r="J188" i="7"/>
  <c r="AC61" i="7"/>
  <c r="AD19" i="7"/>
  <c r="AD21" i="7" s="1"/>
  <c r="AC45" i="7" a="1"/>
  <c r="AC45" i="7" s="1"/>
  <c r="AC59" i="7"/>
  <c r="AB46" i="7"/>
  <c r="AC209" i="7" s="1"/>
  <c r="AC213" i="7" s="1"/>
  <c r="AB74" i="7"/>
  <c r="AB72" i="7" s="1"/>
  <c r="AB71" i="7" s="1"/>
  <c r="L77" i="7"/>
  <c r="AE4" i="8"/>
  <c r="AB4" i="9"/>
  <c r="AB3" i="9" s="1"/>
  <c r="AD5" i="8"/>
  <c r="M19" i="7"/>
  <c r="M21" i="7" s="1"/>
  <c r="M24" i="7" s="1"/>
  <c r="M20" i="7"/>
  <c r="M17" i="7"/>
  <c r="P52" i="4"/>
  <c r="BH26" i="9" a="1"/>
  <c r="BH26" i="9" s="1"/>
  <c r="BH25" i="9" a="1"/>
  <c r="BH25" i="9" s="1"/>
  <c r="BH24" i="9" a="1"/>
  <c r="BH24" i="9" s="1"/>
  <c r="BH27" i="9" a="1"/>
  <c r="BH27" i="9" s="1"/>
  <c r="BH23" i="9" a="1"/>
  <c r="BH23" i="9" s="1"/>
  <c r="BH16" i="9" a="1"/>
  <c r="BH16" i="9" s="1"/>
  <c r="BH21" i="9" a="1"/>
  <c r="BH21" i="9" s="1"/>
  <c r="BI114" i="9"/>
  <c r="BI112" i="9"/>
  <c r="BI110" i="9"/>
  <c r="BI108" i="9"/>
  <c r="BI106" i="9"/>
  <c r="BI104" i="9"/>
  <c r="BI102" i="9"/>
  <c r="BI100" i="9"/>
  <c r="BI98" i="9"/>
  <c r="BI96" i="9"/>
  <c r="BI94" i="9"/>
  <c r="BI92" i="9"/>
  <c r="BI90" i="9"/>
  <c r="BI88" i="9"/>
  <c r="BI101" i="9"/>
  <c r="BI95" i="9"/>
  <c r="BI91" i="9"/>
  <c r="BI86" i="9"/>
  <c r="BI113" i="9"/>
  <c r="BI111" i="9"/>
  <c r="BI109" i="9"/>
  <c r="BI107" i="9"/>
  <c r="BI105" i="9"/>
  <c r="BI103" i="9"/>
  <c r="BI97" i="9"/>
  <c r="BI87" i="9"/>
  <c r="BI85" i="9"/>
  <c r="BI84" i="9"/>
  <c r="BI73" i="9"/>
  <c r="BI71" i="9"/>
  <c r="BI83" i="9"/>
  <c r="BI81" i="9"/>
  <c r="BI99" i="9"/>
  <c r="BI76" i="9"/>
  <c r="BI72" i="9"/>
  <c r="BI70" i="9"/>
  <c r="BI68" i="9"/>
  <c r="BI66" i="9"/>
  <c r="BI64" i="9"/>
  <c r="BI62" i="9"/>
  <c r="BI93" i="9"/>
  <c r="BI89" i="9"/>
  <c r="BI78" i="9"/>
  <c r="BI75" i="9"/>
  <c r="BI69" i="9"/>
  <c r="BI80" i="9"/>
  <c r="BI65" i="9"/>
  <c r="BI60" i="9"/>
  <c r="BI67" i="9"/>
  <c r="BI74" i="9"/>
  <c r="BI61" i="9"/>
  <c r="BI59" i="9"/>
  <c r="BI56" i="9"/>
  <c r="BI82" i="9"/>
  <c r="BI79" i="9"/>
  <c r="BI63" i="9"/>
  <c r="BI57" i="9"/>
  <c r="BI77" i="9"/>
  <c r="BI58" i="9"/>
  <c r="BI55" i="9"/>
  <c r="Q158" i="7"/>
  <c r="Q178" i="7"/>
  <c r="R179" i="7" s="1"/>
  <c r="Q138" i="7"/>
  <c r="R36" i="7"/>
  <c r="AA223" i="7"/>
  <c r="AB221" i="7"/>
  <c r="AC95" i="7" l="1"/>
  <c r="AC222" i="7"/>
  <c r="AC214" i="7"/>
  <c r="AE180" i="7"/>
  <c r="AE178" i="7"/>
  <c r="AE176" i="7"/>
  <c r="AE171" i="7"/>
  <c r="AE166" i="7"/>
  <c r="AE164" i="7"/>
  <c r="AE197" i="7"/>
  <c r="AF193" i="7" s="1"/>
  <c r="AE174" i="7"/>
  <c r="AE181" i="7"/>
  <c r="AE170" i="7"/>
  <c r="AE162" i="7"/>
  <c r="AE177" i="7"/>
  <c r="AE172" i="7"/>
  <c r="AE179" i="7"/>
  <c r="AE161" i="7"/>
  <c r="AE157" i="7"/>
  <c r="AE151" i="7"/>
  <c r="AE160" i="7"/>
  <c r="AE156" i="7"/>
  <c r="AE165" i="7"/>
  <c r="AE159" i="7"/>
  <c r="AE154" i="7"/>
  <c r="AE144" i="7"/>
  <c r="AE141" i="7"/>
  <c r="AE136" i="7"/>
  <c r="AE133" i="7"/>
  <c r="AE104" i="7"/>
  <c r="AE82" i="7"/>
  <c r="AE50" i="7"/>
  <c r="AE153" i="7"/>
  <c r="AE100" i="7"/>
  <c r="AE99" i="7" s="1"/>
  <c r="AE79" i="7"/>
  <c r="AE152" i="7"/>
  <c r="AE142" i="7"/>
  <c r="AE139" i="7"/>
  <c r="AE134" i="7"/>
  <c r="AE131" i="7"/>
  <c r="AE155" i="7"/>
  <c r="AE158" i="7"/>
  <c r="AE150" i="7"/>
  <c r="AE145" i="7"/>
  <c r="AE175" i="7"/>
  <c r="AE173" i="7"/>
  <c r="AE106" i="7"/>
  <c r="AE93" i="7"/>
  <c r="AE107" i="7"/>
  <c r="AE78" i="7"/>
  <c r="AE16" i="7"/>
  <c r="AE13" i="7"/>
  <c r="AE202" i="7" s="1"/>
  <c r="AE140" i="7"/>
  <c r="AE11" i="7"/>
  <c r="AF19" i="7" s="1"/>
  <c r="AE68" i="7" a="1"/>
  <c r="AE68" i="7" s="1"/>
  <c r="AE29" i="7"/>
  <c r="AE27" i="7"/>
  <c r="AE135" i="7"/>
  <c r="AE130" i="7"/>
  <c r="AE146" i="7"/>
  <c r="AE183" i="7" s="1" a="1"/>
  <c r="AE183" i="7" s="1"/>
  <c r="AE81" i="7"/>
  <c r="AE137" i="7"/>
  <c r="AE132" i="7"/>
  <c r="AE105" i="7"/>
  <c r="AE163" i="7"/>
  <c r="AE143" i="7"/>
  <c r="AE138" i="7"/>
  <c r="AE40" i="7"/>
  <c r="AE38" i="7"/>
  <c r="AE36" i="7"/>
  <c r="AE34" i="7"/>
  <c r="AE32" i="7"/>
  <c r="AE24" i="7"/>
  <c r="AE20" i="7"/>
  <c r="AE39" i="7"/>
  <c r="AE35" i="7"/>
  <c r="AE31" i="7"/>
  <c r="AE45" i="7" s="1" a="1"/>
  <c r="AE45" i="7" s="1"/>
  <c r="AF5" i="7"/>
  <c r="AE17" i="7"/>
  <c r="AE14" i="7"/>
  <c r="AE28" i="7"/>
  <c r="AE41" i="7"/>
  <c r="AE37" i="7"/>
  <c r="AE33" i="7"/>
  <c r="AE12" i="7"/>
  <c r="AE66" i="7"/>
  <c r="AE64" i="7" s="1"/>
  <c r="AE30" i="7"/>
  <c r="AE6" i="7"/>
  <c r="AE18" i="7" s="1"/>
  <c r="AE62" i="7" s="1"/>
  <c r="AC77" i="7"/>
  <c r="AB189" i="7"/>
  <c r="AB187" i="7"/>
  <c r="AB188" i="7"/>
  <c r="L47" i="7"/>
  <c r="L50" i="7"/>
  <c r="M221" i="7"/>
  <c r="L223" i="7"/>
  <c r="P21" i="4"/>
  <c r="M75" i="7"/>
  <c r="AE195" i="7"/>
  <c r="AE196" i="7"/>
  <c r="AC55" i="7"/>
  <c r="L46" i="7"/>
  <c r="M209" i="7" s="1"/>
  <c r="M213" i="7" s="1"/>
  <c r="M27" i="7"/>
  <c r="AD44" i="7"/>
  <c r="AE51" i="7"/>
  <c r="AE58" i="7" s="1"/>
  <c r="AE21" i="7"/>
  <c r="N20" i="7"/>
  <c r="N19" i="7"/>
  <c r="BI24" i="9" a="1"/>
  <c r="BI24" i="9" s="1"/>
  <c r="BI23" i="9" a="1"/>
  <c r="BI23" i="9" s="1"/>
  <c r="BI25" i="9" a="1"/>
  <c r="BI25" i="9" s="1"/>
  <c r="BI26" i="9" a="1"/>
  <c r="BI26" i="9" s="1"/>
  <c r="BI21" i="9" a="1"/>
  <c r="BI21" i="9" s="1"/>
  <c r="BI27" i="9" a="1"/>
  <c r="BI27" i="9" s="1"/>
  <c r="BI16" i="9" a="1"/>
  <c r="BI16" i="9" s="1"/>
  <c r="AD75" i="7"/>
  <c r="AD74" i="7" s="1"/>
  <c r="AD72" i="7" s="1"/>
  <c r="AD57" i="7"/>
  <c r="AD55" i="7" s="1"/>
  <c r="P176" i="7"/>
  <c r="P156" i="7"/>
  <c r="P136" i="7"/>
  <c r="Q34" i="7"/>
  <c r="M151" i="7"/>
  <c r="M171" i="7"/>
  <c r="M131" i="7"/>
  <c r="N29" i="7"/>
  <c r="AD103" i="7"/>
  <c r="AC221" i="7"/>
  <c r="AB223" i="7"/>
  <c r="AC4" i="9"/>
  <c r="AC3" i="9" s="1"/>
  <c r="AE5" i="8"/>
  <c r="AF4" i="8"/>
  <c r="AD209" i="7"/>
  <c r="AD213" i="7" s="1"/>
  <c r="AC46" i="7"/>
  <c r="T142" i="7"/>
  <c r="T162" i="7"/>
  <c r="U40" i="7"/>
  <c r="M66" i="7"/>
  <c r="M64" i="7" s="1"/>
  <c r="M61" i="7" s="1"/>
  <c r="R139" i="7"/>
  <c r="R159" i="7"/>
  <c r="S37" i="7"/>
  <c r="K76" i="7"/>
  <c r="K57" i="7"/>
  <c r="AC76" i="7"/>
  <c r="AC74" i="7" s="1"/>
  <c r="AC47" i="7"/>
  <c r="N153" i="7"/>
  <c r="N173" i="7"/>
  <c r="N133" i="7"/>
  <c r="O31" i="7"/>
  <c r="AC72" i="7" l="1"/>
  <c r="AC71" i="7" s="1"/>
  <c r="M222" i="7"/>
  <c r="M214" i="7"/>
  <c r="M77" i="7"/>
  <c r="O174" i="7"/>
  <c r="O154" i="7"/>
  <c r="O78" i="7"/>
  <c r="O134" i="7"/>
  <c r="P32" i="7"/>
  <c r="AG4" i="8"/>
  <c r="AD4" i="9"/>
  <c r="AD3" i="9" s="1"/>
  <c r="AF5" i="8"/>
  <c r="N152" i="7"/>
  <c r="N132" i="7"/>
  <c r="N172" i="7"/>
  <c r="O30" i="7"/>
  <c r="Q177" i="7"/>
  <c r="Q79" i="7"/>
  <c r="Q157" i="7"/>
  <c r="Q137" i="7"/>
  <c r="R35" i="7"/>
  <c r="AE59" i="7"/>
  <c r="AE75" i="7"/>
  <c r="AE57" i="7"/>
  <c r="AF181" i="7"/>
  <c r="AF179" i="7"/>
  <c r="AF172" i="7"/>
  <c r="AF178" i="7"/>
  <c r="AF177" i="7"/>
  <c r="AF160" i="7"/>
  <c r="AF171" i="7"/>
  <c r="AF180" i="7"/>
  <c r="AF158" i="7"/>
  <c r="AF165" i="7"/>
  <c r="AF153" i="7"/>
  <c r="AF197" i="7"/>
  <c r="AG193" i="7" s="1"/>
  <c r="AF100" i="7"/>
  <c r="AF99" i="7" s="1"/>
  <c r="AF79" i="7"/>
  <c r="AF174" i="7"/>
  <c r="AF164" i="7"/>
  <c r="AF162" i="7"/>
  <c r="AF157" i="7"/>
  <c r="AF152" i="7"/>
  <c r="AF142" i="7"/>
  <c r="AF139" i="7"/>
  <c r="AF134" i="7"/>
  <c r="AF131" i="7"/>
  <c r="AF166" i="7"/>
  <c r="AF155" i="7"/>
  <c r="AF151" i="7"/>
  <c r="AF107" i="7"/>
  <c r="AF150" i="7"/>
  <c r="AF176" i="7"/>
  <c r="AF170" i="7"/>
  <c r="AF163" i="7"/>
  <c r="AF146" i="7"/>
  <c r="AF183" i="7" s="1" a="1"/>
  <c r="AF183" i="7" s="1"/>
  <c r="AF159" i="7"/>
  <c r="AF154" i="7"/>
  <c r="AF144" i="7"/>
  <c r="AF141" i="7"/>
  <c r="AF136" i="7"/>
  <c r="AF133" i="7"/>
  <c r="AF104" i="7"/>
  <c r="AF82" i="7"/>
  <c r="AF140" i="7"/>
  <c r="AF68" i="7" a="1"/>
  <c r="AF68" i="7" s="1"/>
  <c r="AF11" i="7"/>
  <c r="AG19" i="7" s="1"/>
  <c r="AF156" i="7"/>
  <c r="AF29" i="7"/>
  <c r="AF27" i="7"/>
  <c r="AF145" i="7"/>
  <c r="AF135" i="7"/>
  <c r="AF130" i="7"/>
  <c r="AF41" i="7"/>
  <c r="AF39" i="7"/>
  <c r="AF37" i="7"/>
  <c r="AF35" i="7"/>
  <c r="AF33" i="7"/>
  <c r="AF31" i="7"/>
  <c r="AF17" i="7"/>
  <c r="AG5" i="7"/>
  <c r="AF173" i="7"/>
  <c r="AF106" i="7"/>
  <c r="AF81" i="7"/>
  <c r="AF137" i="7"/>
  <c r="AF132" i="7"/>
  <c r="AF105" i="7"/>
  <c r="AF175" i="7"/>
  <c r="AF161" i="7"/>
  <c r="AF143" i="7"/>
  <c r="AF138" i="7"/>
  <c r="AF93" i="7"/>
  <c r="AF78" i="7"/>
  <c r="AF50" i="7"/>
  <c r="AF59" i="7" s="1"/>
  <c r="AF76" i="7" s="1"/>
  <c r="AF16" i="7"/>
  <c r="AF13" i="7"/>
  <c r="AF202" i="7" s="1"/>
  <c r="AF14" i="7"/>
  <c r="AF28" i="7"/>
  <c r="AF40" i="7"/>
  <c r="AF36" i="7"/>
  <c r="AF32" i="7"/>
  <c r="AF20" i="7"/>
  <c r="AF12" i="7"/>
  <c r="AF66" i="7"/>
  <c r="AF64" i="7" s="1"/>
  <c r="AF30" i="7"/>
  <c r="AF38" i="7"/>
  <c r="AF34" i="7"/>
  <c r="AF24" i="7"/>
  <c r="AF6" i="7"/>
  <c r="AF18" i="7" s="1"/>
  <c r="AF62" i="7" s="1"/>
  <c r="AF61" i="7" s="1"/>
  <c r="AF77" i="7" s="1"/>
  <c r="AF21" i="7"/>
  <c r="AD46" i="7"/>
  <c r="AE209" i="7" s="1"/>
  <c r="AE213" i="7" s="1"/>
  <c r="AE103" i="7"/>
  <c r="AC223" i="7"/>
  <c r="AD221" i="7"/>
  <c r="AC188" i="7"/>
  <c r="AC189" i="7"/>
  <c r="AC187" i="7"/>
  <c r="AD96" i="7"/>
  <c r="S140" i="7"/>
  <c r="S160" i="7"/>
  <c r="T38" i="7"/>
  <c r="AD47" i="7"/>
  <c r="U143" i="7"/>
  <c r="U163" i="7"/>
  <c r="V41" i="7"/>
  <c r="M44" i="7"/>
  <c r="N51" i="7"/>
  <c r="N58" i="7" s="1"/>
  <c r="M150" i="7"/>
  <c r="M165" i="7" s="1"/>
  <c r="M166" i="7" s="1"/>
  <c r="M170" i="7"/>
  <c r="M180" i="7" s="1"/>
  <c r="M181" i="7" s="1"/>
  <c r="M130" i="7"/>
  <c r="M145" i="7" s="1"/>
  <c r="M146" i="7" s="1"/>
  <c r="M183" i="7" s="1" a="1"/>
  <c r="M183" i="7" s="1"/>
  <c r="M45" i="7" a="1"/>
  <c r="M45" i="7" s="1"/>
  <c r="N28" i="7"/>
  <c r="N66" i="7"/>
  <c r="N64" i="7" s="1"/>
  <c r="N18" i="7"/>
  <c r="N62" i="7" s="1"/>
  <c r="K55" i="7"/>
  <c r="K82" i="7"/>
  <c r="K81" i="7"/>
  <c r="K74" i="7" s="1"/>
  <c r="K72" i="7" s="1"/>
  <c r="K71" i="7" s="1"/>
  <c r="N21" i="7"/>
  <c r="L59" i="7"/>
  <c r="AE61" i="7"/>
  <c r="AF51" i="7"/>
  <c r="AF58" i="7" s="1"/>
  <c r="AE44" i="7"/>
  <c r="AE96" i="7" s="1"/>
  <c r="AE95" i="7" s="1"/>
  <c r="AF195" i="7"/>
  <c r="AF196" i="7"/>
  <c r="AD214" i="7"/>
  <c r="AD222" i="7"/>
  <c r="AE222" i="7" l="1"/>
  <c r="AE214" i="7"/>
  <c r="AF96" i="7"/>
  <c r="AF95" i="7" s="1"/>
  <c r="AF75" i="7"/>
  <c r="AF74" i="7" s="1"/>
  <c r="AF72" i="7" s="1"/>
  <c r="AF57" i="7"/>
  <c r="AF55" i="7" s="1"/>
  <c r="M47" i="7"/>
  <c r="M50" i="7"/>
  <c r="V164" i="7"/>
  <c r="V144" i="7"/>
  <c r="AG51" i="7"/>
  <c r="AG58" i="7" s="1"/>
  <c r="AF44" i="7"/>
  <c r="AE55" i="7"/>
  <c r="AE47" i="7"/>
  <c r="AE4" i="9"/>
  <c r="AE3" i="9" s="1"/>
  <c r="AG5" i="8"/>
  <c r="AH4" i="8"/>
  <c r="AD95" i="7"/>
  <c r="AD71" i="7" s="1"/>
  <c r="O133" i="7"/>
  <c r="O173" i="7"/>
  <c r="O153" i="7"/>
  <c r="P31" i="7"/>
  <c r="M223" i="7"/>
  <c r="N221" i="7"/>
  <c r="AE77" i="7"/>
  <c r="AG195" i="7"/>
  <c r="AG196" i="7"/>
  <c r="AE221" i="7"/>
  <c r="AD223" i="7"/>
  <c r="N75" i="7"/>
  <c r="AF45" i="7" a="1"/>
  <c r="AF45" i="7" s="1"/>
  <c r="AF47" i="7" s="1"/>
  <c r="R178" i="7"/>
  <c r="S179" i="7" s="1"/>
  <c r="R138" i="7"/>
  <c r="R158" i="7"/>
  <c r="S36" i="7"/>
  <c r="N61" i="7"/>
  <c r="M46" i="7"/>
  <c r="N209" i="7" s="1"/>
  <c r="N213" i="7" s="1"/>
  <c r="N27" i="7"/>
  <c r="AG180" i="7"/>
  <c r="AG178" i="7"/>
  <c r="AG176" i="7"/>
  <c r="AG174" i="7"/>
  <c r="AG172" i="7"/>
  <c r="AG170" i="7"/>
  <c r="AG197" i="7"/>
  <c r="AH193" i="7" s="1"/>
  <c r="AG165" i="7"/>
  <c r="AG163" i="7"/>
  <c r="AG161" i="7"/>
  <c r="AG159" i="7"/>
  <c r="AG157" i="7"/>
  <c r="AG155" i="7"/>
  <c r="AG153" i="7"/>
  <c r="AG151" i="7"/>
  <c r="AG181" i="7"/>
  <c r="AG177" i="7"/>
  <c r="AG171" i="7"/>
  <c r="AG158" i="7"/>
  <c r="AG173" i="7"/>
  <c r="AG106" i="7"/>
  <c r="AG104" i="7"/>
  <c r="AG100" i="7"/>
  <c r="AG99" i="7" s="1"/>
  <c r="AG162" i="7"/>
  <c r="AG154" i="7"/>
  <c r="AG146" i="7"/>
  <c r="AG183" i="7" s="1" a="1"/>
  <c r="AG183" i="7" s="1"/>
  <c r="AG144" i="7"/>
  <c r="AG142" i="7"/>
  <c r="AG140" i="7"/>
  <c r="AG138" i="7"/>
  <c r="AG136" i="7"/>
  <c r="AG134" i="7"/>
  <c r="AG132" i="7"/>
  <c r="AG130" i="7"/>
  <c r="AG164" i="7"/>
  <c r="AG152" i="7"/>
  <c r="AG139" i="7"/>
  <c r="AG131" i="7"/>
  <c r="AG68" i="7" a="1"/>
  <c r="AG68" i="7" s="1"/>
  <c r="AG66" i="7"/>
  <c r="AG64" i="7" s="1"/>
  <c r="AG179" i="7"/>
  <c r="AG166" i="7"/>
  <c r="AG107" i="7"/>
  <c r="AG150" i="7"/>
  <c r="AG145" i="7"/>
  <c r="AG137" i="7"/>
  <c r="AG105" i="7"/>
  <c r="AG160" i="7"/>
  <c r="AG79" i="7"/>
  <c r="AG156" i="7"/>
  <c r="AG29" i="7"/>
  <c r="AG27" i="7"/>
  <c r="AG135" i="7"/>
  <c r="AG82" i="7"/>
  <c r="AG41" i="7"/>
  <c r="AG39" i="7"/>
  <c r="AG37" i="7"/>
  <c r="AG35" i="7"/>
  <c r="AG33" i="7"/>
  <c r="AG31" i="7"/>
  <c r="AG17" i="7"/>
  <c r="AH5" i="7"/>
  <c r="AG81" i="7"/>
  <c r="AG14" i="7"/>
  <c r="AG12" i="7"/>
  <c r="AG141" i="7"/>
  <c r="AG175" i="7"/>
  <c r="AG143" i="7"/>
  <c r="AG133" i="7"/>
  <c r="AG11" i="7"/>
  <c r="AG78" i="7"/>
  <c r="AG28" i="7"/>
  <c r="AG40" i="7"/>
  <c r="AG36" i="7"/>
  <c r="AG32" i="7"/>
  <c r="AG20" i="7"/>
  <c r="AG21" i="7" s="1"/>
  <c r="AG93" i="7"/>
  <c r="AG50" i="7"/>
  <c r="AG59" i="7" s="1"/>
  <c r="AG76" i="7" s="1"/>
  <c r="AG30" i="7"/>
  <c r="AG38" i="7"/>
  <c r="AG34" i="7"/>
  <c r="AG24" i="7"/>
  <c r="AG13" i="7"/>
  <c r="AG202" i="7" s="1"/>
  <c r="AG16" i="7"/>
  <c r="AG6" i="7"/>
  <c r="AG18" i="7" s="1"/>
  <c r="AG62" i="7" s="1"/>
  <c r="AE76" i="7"/>
  <c r="AE74" i="7" s="1"/>
  <c r="K188" i="7"/>
  <c r="K189" i="7"/>
  <c r="K187" i="7"/>
  <c r="P175" i="7"/>
  <c r="P155" i="7"/>
  <c r="P135" i="7"/>
  <c r="Q33" i="7"/>
  <c r="L76" i="7"/>
  <c r="L57" i="7"/>
  <c r="AF209" i="7"/>
  <c r="AF213" i="7" s="1"/>
  <c r="AE46" i="7"/>
  <c r="N24" i="7"/>
  <c r="N17" i="7"/>
  <c r="N131" i="7"/>
  <c r="N151" i="7"/>
  <c r="N171" i="7"/>
  <c r="O29" i="7"/>
  <c r="T161" i="7"/>
  <c r="T141" i="7"/>
  <c r="U39" i="7"/>
  <c r="AF103" i="7"/>
  <c r="N214" i="7" l="1"/>
  <c r="N222" i="7"/>
  <c r="AG96" i="7"/>
  <c r="AE72" i="7"/>
  <c r="AE71" i="7" s="1"/>
  <c r="AH51" i="7"/>
  <c r="AH58" i="7" s="1"/>
  <c r="AG44" i="7"/>
  <c r="O20" i="7"/>
  <c r="O19" i="7"/>
  <c r="O21" i="7" s="1"/>
  <c r="N77" i="7"/>
  <c r="AF188" i="7"/>
  <c r="AF189" i="7"/>
  <c r="AF187" i="7"/>
  <c r="AF71" i="7"/>
  <c r="L55" i="7"/>
  <c r="L81" i="7"/>
  <c r="L82" i="7"/>
  <c r="L74" i="7" s="1"/>
  <c r="L72" i="7" s="1"/>
  <c r="L71" i="7" s="1"/>
  <c r="AG45" i="7" a="1"/>
  <c r="AG45" i="7" s="1"/>
  <c r="AG47" i="7" s="1"/>
  <c r="AH19" i="7"/>
  <c r="O172" i="7"/>
  <c r="O132" i="7"/>
  <c r="O152" i="7"/>
  <c r="P30" i="7"/>
  <c r="AF222" i="7"/>
  <c r="AF214" i="7"/>
  <c r="AG61" i="7"/>
  <c r="AH179" i="7"/>
  <c r="AH176" i="7"/>
  <c r="AH174" i="7"/>
  <c r="AH177" i="7"/>
  <c r="AH170" i="7"/>
  <c r="AH197" i="7"/>
  <c r="AI193" i="7" s="1"/>
  <c r="AH171" i="7"/>
  <c r="AH173" i="7"/>
  <c r="AH172" i="7"/>
  <c r="AH165" i="7"/>
  <c r="AH156" i="7"/>
  <c r="AH180" i="7"/>
  <c r="AH162" i="7"/>
  <c r="AH158" i="7"/>
  <c r="AH154" i="7"/>
  <c r="AH146" i="7"/>
  <c r="AH183" i="7" s="1" a="1"/>
  <c r="AH183" i="7" s="1"/>
  <c r="AH144" i="7"/>
  <c r="AH142" i="7"/>
  <c r="AH140" i="7"/>
  <c r="AH138" i="7"/>
  <c r="AH136" i="7"/>
  <c r="AH134" i="7"/>
  <c r="AH132" i="7"/>
  <c r="AH130" i="7"/>
  <c r="AH175" i="7"/>
  <c r="AH152" i="7"/>
  <c r="AH161" i="7"/>
  <c r="AH157" i="7"/>
  <c r="AH151" i="7"/>
  <c r="AH166" i="7"/>
  <c r="AH164" i="7"/>
  <c r="AH153" i="7"/>
  <c r="AH107" i="7"/>
  <c r="AH155" i="7"/>
  <c r="AH150" i="7"/>
  <c r="AH145" i="7"/>
  <c r="AH137" i="7"/>
  <c r="AH105" i="7"/>
  <c r="AH81" i="7"/>
  <c r="AH181" i="7"/>
  <c r="AH178" i="7"/>
  <c r="AH160" i="7"/>
  <c r="AH163" i="7"/>
  <c r="AH139" i="7"/>
  <c r="AH131" i="7"/>
  <c r="AH100" i="7"/>
  <c r="AH99" i="7" s="1"/>
  <c r="AH135" i="7"/>
  <c r="AH82" i="7"/>
  <c r="AH41" i="7"/>
  <c r="AH39" i="7"/>
  <c r="AH37" i="7"/>
  <c r="AH35" i="7"/>
  <c r="AH33" i="7"/>
  <c r="AH31" i="7"/>
  <c r="AH17" i="7"/>
  <c r="AI5" i="7"/>
  <c r="AH79" i="7"/>
  <c r="AH14" i="7"/>
  <c r="AH12" i="7"/>
  <c r="AH141" i="7"/>
  <c r="AH106" i="7"/>
  <c r="AH159" i="7"/>
  <c r="AH143" i="7"/>
  <c r="AH133" i="7"/>
  <c r="AH104" i="7"/>
  <c r="AH29" i="7"/>
  <c r="AH27" i="7"/>
  <c r="AH28" i="7"/>
  <c r="AH40" i="7"/>
  <c r="AH36" i="7"/>
  <c r="AH32" i="7"/>
  <c r="AH20" i="7"/>
  <c r="AH93" i="7"/>
  <c r="AH50" i="7"/>
  <c r="AH16" i="7"/>
  <c r="AH68" i="7" a="1"/>
  <c r="AH68" i="7" s="1"/>
  <c r="AH66" i="7"/>
  <c r="AH64" i="7" s="1"/>
  <c r="AH30" i="7"/>
  <c r="AH38" i="7"/>
  <c r="AH34" i="7"/>
  <c r="AH45" i="7" s="1" a="1"/>
  <c r="AH45" i="7" s="1"/>
  <c r="AH24" i="7"/>
  <c r="AH13" i="7"/>
  <c r="AH202" i="7" s="1"/>
  <c r="AH78" i="7"/>
  <c r="AH11" i="7"/>
  <c r="AH6" i="7"/>
  <c r="AH18" i="7" s="1"/>
  <c r="AH196" i="7"/>
  <c r="AH195" i="7"/>
  <c r="AD188" i="7"/>
  <c r="AD189" i="7"/>
  <c r="AD187" i="7"/>
  <c r="O51" i="7"/>
  <c r="O58" i="7" s="1"/>
  <c r="N44" i="7"/>
  <c r="N130" i="7"/>
  <c r="N145" i="7" s="1"/>
  <c r="N146" i="7" s="1"/>
  <c r="N183" i="7" s="1" a="1"/>
  <c r="N183" i="7" s="1"/>
  <c r="N150" i="7"/>
  <c r="N165" i="7" s="1"/>
  <c r="N166" i="7" s="1"/>
  <c r="N45" i="7" a="1"/>
  <c r="N45" i="7" s="1"/>
  <c r="N170" i="7"/>
  <c r="N180" i="7" s="1"/>
  <c r="N181" i="7" s="1"/>
  <c r="O28" i="7"/>
  <c r="O66" i="7"/>
  <c r="O64" i="7" s="1"/>
  <c r="O18" i="7"/>
  <c r="O62" i="7" s="1"/>
  <c r="S139" i="7"/>
  <c r="S159" i="7"/>
  <c r="T37" i="7"/>
  <c r="AH5" i="8"/>
  <c r="AF4" i="9"/>
  <c r="AF3" i="9" s="1"/>
  <c r="AI4" i="8"/>
  <c r="AE189" i="7"/>
  <c r="AE187" i="7"/>
  <c r="AE188" i="7"/>
  <c r="AE223" i="7"/>
  <c r="AF221" i="7"/>
  <c r="P174" i="7"/>
  <c r="P78" i="7"/>
  <c r="P154" i="7"/>
  <c r="P134" i="7"/>
  <c r="Q32" i="7"/>
  <c r="AF46" i="7"/>
  <c r="AG209" i="7" s="1"/>
  <c r="AG213" i="7" s="1"/>
  <c r="M59" i="7"/>
  <c r="AG103" i="7"/>
  <c r="AG75" i="7"/>
  <c r="AG57" i="7"/>
  <c r="U142" i="7"/>
  <c r="U162" i="7"/>
  <c r="V40" i="7"/>
  <c r="Q156" i="7"/>
  <c r="Q176" i="7"/>
  <c r="Q136" i="7"/>
  <c r="R34" i="7"/>
  <c r="AG222" i="7" l="1"/>
  <c r="AG214" i="7"/>
  <c r="AH47" i="7"/>
  <c r="AG4" i="9"/>
  <c r="AG3" i="9" s="1"/>
  <c r="AI5" i="8"/>
  <c r="AJ4" i="8"/>
  <c r="Q135" i="7"/>
  <c r="Q175" i="7"/>
  <c r="Q155" i="7"/>
  <c r="R33" i="7"/>
  <c r="N47" i="7"/>
  <c r="N50" i="7"/>
  <c r="AI51" i="7"/>
  <c r="AI58" i="7" s="1"/>
  <c r="AH44" i="7"/>
  <c r="AG221" i="7"/>
  <c r="AF223" i="7"/>
  <c r="AH21" i="7"/>
  <c r="AH75" i="7"/>
  <c r="AG55" i="7"/>
  <c r="AH59" i="7"/>
  <c r="AH57" i="7" s="1"/>
  <c r="V143" i="7"/>
  <c r="V163" i="7"/>
  <c r="W41" i="7"/>
  <c r="T160" i="7"/>
  <c r="T140" i="7"/>
  <c r="U38" i="7"/>
  <c r="AH103" i="7"/>
  <c r="P173" i="7"/>
  <c r="P133" i="7"/>
  <c r="P153" i="7"/>
  <c r="Q31" i="7"/>
  <c r="O209" i="7"/>
  <c r="O213" i="7" s="1"/>
  <c r="N46" i="7"/>
  <c r="AI197" i="7"/>
  <c r="AJ193" i="7" s="1"/>
  <c r="AI181" i="7"/>
  <c r="AI179" i="7"/>
  <c r="AI177" i="7"/>
  <c r="AI175" i="7"/>
  <c r="AI172" i="7"/>
  <c r="AI165" i="7"/>
  <c r="AI173" i="7"/>
  <c r="AI163" i="7"/>
  <c r="AI180" i="7"/>
  <c r="AI176" i="7"/>
  <c r="AI174" i="7"/>
  <c r="AI178" i="7"/>
  <c r="AI152" i="7"/>
  <c r="AI170" i="7"/>
  <c r="AI166" i="7"/>
  <c r="AI159" i="7"/>
  <c r="AI155" i="7"/>
  <c r="AI150" i="7"/>
  <c r="AI162" i="7"/>
  <c r="AI157" i="7"/>
  <c r="AI145" i="7"/>
  <c r="AI142" i="7"/>
  <c r="AI137" i="7"/>
  <c r="AI134" i="7"/>
  <c r="AI105" i="7"/>
  <c r="AI81" i="7"/>
  <c r="AI160" i="7"/>
  <c r="AI151" i="7"/>
  <c r="AI78" i="7"/>
  <c r="AI171" i="7"/>
  <c r="AI143" i="7"/>
  <c r="AI140" i="7"/>
  <c r="AI135" i="7"/>
  <c r="AI132" i="7"/>
  <c r="AI158" i="7"/>
  <c r="AI156" i="7"/>
  <c r="AI164" i="7"/>
  <c r="AI153" i="7"/>
  <c r="AI107" i="7"/>
  <c r="AI79" i="7"/>
  <c r="AI14" i="7"/>
  <c r="AI12" i="7"/>
  <c r="AI141" i="7"/>
  <c r="AI130" i="7"/>
  <c r="AI106" i="7"/>
  <c r="AI66" i="7"/>
  <c r="AI64" i="7" s="1"/>
  <c r="AI30" i="7"/>
  <c r="AI28" i="7"/>
  <c r="AI45" i="7" s="1" a="1"/>
  <c r="AI45" i="7" s="1"/>
  <c r="AI146" i="7"/>
  <c r="AI183" i="7" s="1" a="1"/>
  <c r="AI183" i="7" s="1"/>
  <c r="AI144" i="7"/>
  <c r="AI136" i="7"/>
  <c r="AI131" i="7"/>
  <c r="AI100" i="7"/>
  <c r="AI99" i="7" s="1"/>
  <c r="AI68" i="7" a="1"/>
  <c r="AI68" i="7" s="1"/>
  <c r="AI161" i="7"/>
  <c r="AI93" i="7"/>
  <c r="AI138" i="7"/>
  <c r="AI133" i="7"/>
  <c r="AI154" i="7"/>
  <c r="AI139" i="7"/>
  <c r="AI82" i="7"/>
  <c r="AI41" i="7"/>
  <c r="AI39" i="7"/>
  <c r="AI37" i="7"/>
  <c r="AI35" i="7"/>
  <c r="AI33" i="7"/>
  <c r="AI31" i="7"/>
  <c r="AI17" i="7"/>
  <c r="AJ5" i="7"/>
  <c r="AI40" i="7"/>
  <c r="AI36" i="7"/>
  <c r="AI32" i="7"/>
  <c r="AI20" i="7"/>
  <c r="AI104" i="7"/>
  <c r="AI50" i="7"/>
  <c r="AI59" i="7" s="1"/>
  <c r="AI76" i="7" s="1"/>
  <c r="AI16" i="7"/>
  <c r="AI11" i="7"/>
  <c r="AI29" i="7"/>
  <c r="AI38" i="7"/>
  <c r="AI34" i="7"/>
  <c r="AI24" i="7"/>
  <c r="AI13" i="7"/>
  <c r="AI202" i="7" s="1"/>
  <c r="AI27" i="7"/>
  <c r="AI6" i="7"/>
  <c r="AI18" i="7" s="1"/>
  <c r="O61" i="7"/>
  <c r="O75" i="7"/>
  <c r="O24" i="7"/>
  <c r="O27" i="7" s="1"/>
  <c r="O17" i="7"/>
  <c r="AG95" i="7"/>
  <c r="O131" i="7"/>
  <c r="O151" i="7"/>
  <c r="O171" i="7"/>
  <c r="P29" i="7"/>
  <c r="AH62" i="7"/>
  <c r="AG77" i="7"/>
  <c r="AG74" i="7" s="1"/>
  <c r="L187" i="7"/>
  <c r="L189" i="7"/>
  <c r="L188" i="7"/>
  <c r="O221" i="7"/>
  <c r="N223" i="7"/>
  <c r="R79" i="7"/>
  <c r="R157" i="7"/>
  <c r="R137" i="7"/>
  <c r="R177" i="7"/>
  <c r="S35" i="7"/>
  <c r="M76" i="7"/>
  <c r="M57" i="7"/>
  <c r="AI19" i="7"/>
  <c r="AI196" i="7"/>
  <c r="AI195" i="7"/>
  <c r="AH209" i="7"/>
  <c r="AH213" i="7" s="1"/>
  <c r="AG46" i="7"/>
  <c r="AG72" i="7" l="1"/>
  <c r="AG71" i="7" s="1"/>
  <c r="P51" i="7"/>
  <c r="P58" i="7" s="1"/>
  <c r="O44" i="7"/>
  <c r="O130" i="7"/>
  <c r="O145" i="7" s="1"/>
  <c r="O146" i="7" s="1"/>
  <c r="O183" i="7" s="1" a="1"/>
  <c r="O183" i="7" s="1"/>
  <c r="O170" i="7"/>
  <c r="O180" i="7" s="1"/>
  <c r="O181" i="7" s="1"/>
  <c r="O45" i="7" a="1"/>
  <c r="O45" i="7" s="1"/>
  <c r="O150" i="7"/>
  <c r="O165" i="7" s="1"/>
  <c r="O166" i="7" s="1"/>
  <c r="P66" i="7"/>
  <c r="P64" i="7" s="1"/>
  <c r="P28" i="7"/>
  <c r="P18" i="7"/>
  <c r="P62" i="7" s="1"/>
  <c r="S138" i="7"/>
  <c r="S158" i="7"/>
  <c r="S178" i="7"/>
  <c r="T179" i="7" s="1"/>
  <c r="T36" i="7"/>
  <c r="W164" i="7"/>
  <c r="W144" i="7"/>
  <c r="AJ5" i="8"/>
  <c r="AK4" i="8"/>
  <c r="AH4" i="9"/>
  <c r="AH3" i="9" s="1"/>
  <c r="AH222" i="7"/>
  <c r="AH214" i="7"/>
  <c r="AI103" i="7"/>
  <c r="R136" i="7"/>
  <c r="R176" i="7"/>
  <c r="R156" i="7"/>
  <c r="S34" i="7"/>
  <c r="AI21" i="7"/>
  <c r="AH61" i="7"/>
  <c r="P20" i="7"/>
  <c r="P19" i="7"/>
  <c r="P21" i="7" s="1"/>
  <c r="P24" i="7" s="1"/>
  <c r="AJ196" i="7"/>
  <c r="AJ195" i="7"/>
  <c r="U161" i="7"/>
  <c r="U141" i="7"/>
  <c r="V39" i="7"/>
  <c r="AH76" i="7"/>
  <c r="P152" i="7"/>
  <c r="P132" i="7"/>
  <c r="P172" i="7"/>
  <c r="Q30" i="7"/>
  <c r="O77" i="7"/>
  <c r="AH46" i="7"/>
  <c r="AI209" i="7" s="1"/>
  <c r="AI213" i="7" s="1"/>
  <c r="AH96" i="7"/>
  <c r="AG223" i="7"/>
  <c r="AH221" i="7"/>
  <c r="AI62" i="7"/>
  <c r="AI61" i="7" s="1"/>
  <c r="AI77" i="7" s="1"/>
  <c r="AJ19" i="7"/>
  <c r="AJ170" i="7"/>
  <c r="AJ180" i="7"/>
  <c r="AJ173" i="7"/>
  <c r="AJ172" i="7"/>
  <c r="AJ176" i="7"/>
  <c r="AJ174" i="7"/>
  <c r="AJ161" i="7"/>
  <c r="AJ175" i="7"/>
  <c r="AJ166" i="7"/>
  <c r="AJ181" i="7"/>
  <c r="AJ159" i="7"/>
  <c r="AJ155" i="7"/>
  <c r="AJ150" i="7"/>
  <c r="AJ197" i="7"/>
  <c r="AK193" i="7" s="1"/>
  <c r="AJ179" i="7"/>
  <c r="AJ163" i="7"/>
  <c r="AJ162" i="7"/>
  <c r="AJ158" i="7"/>
  <c r="AJ154" i="7"/>
  <c r="AJ146" i="7"/>
  <c r="AJ183" i="7" s="1" a="1"/>
  <c r="AJ183" i="7" s="1"/>
  <c r="AJ160" i="7"/>
  <c r="AJ151" i="7"/>
  <c r="AJ78" i="7"/>
  <c r="AJ178" i="7"/>
  <c r="AJ171" i="7"/>
  <c r="AJ143" i="7"/>
  <c r="AJ140" i="7"/>
  <c r="AJ135" i="7"/>
  <c r="AJ132" i="7"/>
  <c r="AJ177" i="7"/>
  <c r="AJ93" i="7"/>
  <c r="AJ156" i="7"/>
  <c r="AJ165" i="7"/>
  <c r="AJ157" i="7"/>
  <c r="AJ152" i="7"/>
  <c r="AJ145" i="7"/>
  <c r="AJ142" i="7"/>
  <c r="AJ137" i="7"/>
  <c r="AJ134" i="7"/>
  <c r="AJ105" i="7"/>
  <c r="AJ81" i="7"/>
  <c r="AJ141" i="7"/>
  <c r="AJ130" i="7"/>
  <c r="AJ106" i="7"/>
  <c r="AJ68" i="7" a="1"/>
  <c r="AJ68" i="7" s="1"/>
  <c r="AJ66" i="7"/>
  <c r="AJ64" i="7" s="1"/>
  <c r="AJ30" i="7"/>
  <c r="AJ28" i="7"/>
  <c r="AJ144" i="7"/>
  <c r="AJ136" i="7"/>
  <c r="AJ131" i="7"/>
  <c r="AJ100" i="7"/>
  <c r="AJ99" i="7" s="1"/>
  <c r="AJ40" i="7"/>
  <c r="AJ38" i="7"/>
  <c r="AJ36" i="7"/>
  <c r="AJ34" i="7"/>
  <c r="AJ32" i="7"/>
  <c r="AJ24" i="7"/>
  <c r="AJ20" i="7"/>
  <c r="AJ138" i="7"/>
  <c r="AJ133" i="7"/>
  <c r="AJ104" i="7"/>
  <c r="AJ103" i="7" s="1"/>
  <c r="AJ139" i="7"/>
  <c r="AJ164" i="7"/>
  <c r="AJ153" i="7"/>
  <c r="AJ107" i="7"/>
  <c r="AJ79" i="7"/>
  <c r="AJ14" i="7"/>
  <c r="AJ12" i="7"/>
  <c r="AJ50" i="7"/>
  <c r="AJ16" i="7"/>
  <c r="AJ13" i="7"/>
  <c r="AJ202" i="7" s="1"/>
  <c r="AJ11" i="7"/>
  <c r="AJ29" i="7"/>
  <c r="AJ41" i="7"/>
  <c r="AJ37" i="7"/>
  <c r="AJ33" i="7"/>
  <c r="AJ17" i="7"/>
  <c r="AJ82" i="7"/>
  <c r="AJ27" i="7"/>
  <c r="AJ45" i="7" s="1" a="1"/>
  <c r="AJ45" i="7" s="1"/>
  <c r="AJ39" i="7"/>
  <c r="AJ35" i="7"/>
  <c r="AJ31" i="7"/>
  <c r="AK5" i="7"/>
  <c r="AJ6" i="7"/>
  <c r="AJ18" i="7" s="1"/>
  <c r="AJ62" i="7" s="1"/>
  <c r="AJ61" i="7" s="1"/>
  <c r="AJ77" i="7" s="1"/>
  <c r="O222" i="7"/>
  <c r="O214" i="7"/>
  <c r="AG189" i="7"/>
  <c r="AG187" i="7"/>
  <c r="AG188" i="7"/>
  <c r="AI57" i="7"/>
  <c r="AI75" i="7"/>
  <c r="M55" i="7"/>
  <c r="M82" i="7"/>
  <c r="M81" i="7"/>
  <c r="M74" i="7" s="1"/>
  <c r="M72" i="7" s="1"/>
  <c r="M71" i="7" s="1"/>
  <c r="AI44" i="7"/>
  <c r="AJ51" i="7"/>
  <c r="AJ58" i="7" s="1"/>
  <c r="Q174" i="7"/>
  <c r="Q134" i="7"/>
  <c r="Q78" i="7"/>
  <c r="Q154" i="7"/>
  <c r="R32" i="7"/>
  <c r="N59" i="7"/>
  <c r="AI222" i="7" l="1"/>
  <c r="AI214" i="7"/>
  <c r="AK197" i="7"/>
  <c r="AL193" i="7" s="1"/>
  <c r="AK181" i="7"/>
  <c r="AK179" i="7"/>
  <c r="AK177" i="7"/>
  <c r="AK175" i="7"/>
  <c r="AK173" i="7"/>
  <c r="AK171" i="7"/>
  <c r="AK166" i="7"/>
  <c r="AK164" i="7"/>
  <c r="AK162" i="7"/>
  <c r="AK160" i="7"/>
  <c r="AK158" i="7"/>
  <c r="AK156" i="7"/>
  <c r="AK154" i="7"/>
  <c r="AK152" i="7"/>
  <c r="AK150" i="7"/>
  <c r="AK176" i="7"/>
  <c r="AK174" i="7"/>
  <c r="AK180" i="7"/>
  <c r="AK159" i="7"/>
  <c r="AK170" i="7"/>
  <c r="AK163" i="7"/>
  <c r="AK107" i="7"/>
  <c r="AK105" i="7"/>
  <c r="AK178" i="7"/>
  <c r="AK145" i="7"/>
  <c r="AK143" i="7"/>
  <c r="AK141" i="7"/>
  <c r="AK139" i="7"/>
  <c r="AK137" i="7"/>
  <c r="AK135" i="7"/>
  <c r="AK133" i="7"/>
  <c r="AK131" i="7"/>
  <c r="AK155" i="7"/>
  <c r="AK140" i="7"/>
  <c r="AK132" i="7"/>
  <c r="AK68" i="7" a="1"/>
  <c r="AK68" i="7" s="1"/>
  <c r="AK93" i="7"/>
  <c r="AK172" i="7"/>
  <c r="AK146" i="7"/>
  <c r="AK183" i="7" s="1" a="1"/>
  <c r="AK183" i="7" s="1"/>
  <c r="AK138" i="7"/>
  <c r="AK130" i="7"/>
  <c r="AK106" i="7"/>
  <c r="AK82" i="7"/>
  <c r="AK161" i="7"/>
  <c r="AK144" i="7"/>
  <c r="AK151" i="7"/>
  <c r="AK78" i="7"/>
  <c r="AK66" i="7"/>
  <c r="AK64" i="7" s="1"/>
  <c r="AK30" i="7"/>
  <c r="AK28" i="7"/>
  <c r="AK165" i="7"/>
  <c r="AK157" i="7"/>
  <c r="AK136" i="7"/>
  <c r="AK100" i="7"/>
  <c r="AK99" i="7" s="1"/>
  <c r="AK81" i="7"/>
  <c r="AK40" i="7"/>
  <c r="AK38" i="7"/>
  <c r="AK36" i="7"/>
  <c r="AK34" i="7"/>
  <c r="AK32" i="7"/>
  <c r="AK24" i="7"/>
  <c r="AK20" i="7"/>
  <c r="AK50" i="7"/>
  <c r="AK59" i="7" s="1"/>
  <c r="AK76" i="7" s="1"/>
  <c r="AK16" i="7"/>
  <c r="AK13" i="7"/>
  <c r="AK202" i="7" s="1"/>
  <c r="AK142" i="7"/>
  <c r="AK104" i="7"/>
  <c r="AK153" i="7"/>
  <c r="AK134" i="7"/>
  <c r="AK11" i="7"/>
  <c r="AL19" i="7" s="1"/>
  <c r="AK29" i="7"/>
  <c r="AK41" i="7"/>
  <c r="AK37" i="7"/>
  <c r="AK33" i="7"/>
  <c r="AK17" i="7"/>
  <c r="AK27" i="7"/>
  <c r="AK45" i="7" s="1" a="1"/>
  <c r="AK45" i="7" s="1"/>
  <c r="AK79" i="7"/>
  <c r="AK39" i="7"/>
  <c r="AK35" i="7"/>
  <c r="AK31" i="7"/>
  <c r="AK14" i="7"/>
  <c r="AK12" i="7"/>
  <c r="AL5" i="7"/>
  <c r="AK6" i="7"/>
  <c r="AK18" i="7" s="1"/>
  <c r="AK62" i="7" s="1"/>
  <c r="AK61" i="7" s="1"/>
  <c r="AK77" i="7" s="1"/>
  <c r="AK195" i="7"/>
  <c r="AK196" i="7"/>
  <c r="O46" i="7"/>
  <c r="P27" i="7"/>
  <c r="V142" i="7"/>
  <c r="V162" i="7"/>
  <c r="W40" i="7"/>
  <c r="T159" i="7"/>
  <c r="T139" i="7"/>
  <c r="U37" i="7"/>
  <c r="P61" i="7"/>
  <c r="O35" i="4"/>
  <c r="P75" i="7"/>
  <c r="O32" i="4"/>
  <c r="AI46" i="7"/>
  <c r="AJ209" i="7" s="1"/>
  <c r="AJ213" i="7" s="1"/>
  <c r="Q173" i="7"/>
  <c r="Q133" i="7"/>
  <c r="Q153" i="7"/>
  <c r="R31" i="7"/>
  <c r="AH77" i="7"/>
  <c r="AH74" i="7" s="1"/>
  <c r="P171" i="7"/>
  <c r="P151" i="7"/>
  <c r="P131" i="7"/>
  <c r="Q29" i="7"/>
  <c r="O223" i="7"/>
  <c r="P221" i="7"/>
  <c r="AH223" i="7"/>
  <c r="AI221" i="7"/>
  <c r="O37" i="4"/>
  <c r="S177" i="7"/>
  <c r="S137" i="7"/>
  <c r="S79" i="7"/>
  <c r="S157" i="7"/>
  <c r="T35" i="7"/>
  <c r="AI96" i="7"/>
  <c r="AI95" i="7" s="1"/>
  <c r="M188" i="7"/>
  <c r="M187" i="7"/>
  <c r="M189" i="7"/>
  <c r="AH95" i="7"/>
  <c r="R175" i="7"/>
  <c r="R135" i="7"/>
  <c r="R155" i="7"/>
  <c r="S33" i="7"/>
  <c r="AI74" i="7"/>
  <c r="AI72" i="7" s="1"/>
  <c r="AI71" i="7" s="1"/>
  <c r="N76" i="7"/>
  <c r="N57" i="7"/>
  <c r="AI55" i="7"/>
  <c r="AI4" i="9"/>
  <c r="AI3" i="9" s="1"/>
  <c r="AL4" i="8"/>
  <c r="AK5" i="8"/>
  <c r="O47" i="7"/>
  <c r="P209" i="7" s="1"/>
  <c r="P213" i="7" s="1"/>
  <c r="O50" i="7"/>
  <c r="AI47" i="7"/>
  <c r="AJ75" i="7"/>
  <c r="AJ57" i="7"/>
  <c r="AJ55" i="7" s="1"/>
  <c r="AJ44" i="7"/>
  <c r="AJ47" i="7" s="1"/>
  <c r="AK51" i="7"/>
  <c r="AK58" i="7" s="1"/>
  <c r="AK19" i="7"/>
  <c r="AK21" i="7" s="1"/>
  <c r="AJ21" i="7"/>
  <c r="AJ59" i="7"/>
  <c r="P17" i="7"/>
  <c r="AH55" i="7"/>
  <c r="AJ214" i="7" l="1"/>
  <c r="AJ222" i="7"/>
  <c r="AH72" i="7"/>
  <c r="AH71" i="7" s="1"/>
  <c r="P222" i="7"/>
  <c r="P214" i="7"/>
  <c r="AL195" i="7"/>
  <c r="AL196" i="7"/>
  <c r="AK75" i="7"/>
  <c r="AK74" i="7" s="1"/>
  <c r="AK72" i="7" s="1"/>
  <c r="AK57" i="7"/>
  <c r="AK55" i="7" s="1"/>
  <c r="N55" i="7"/>
  <c r="N81" i="7"/>
  <c r="N82" i="7"/>
  <c r="S156" i="7"/>
  <c r="S136" i="7"/>
  <c r="S176" i="7"/>
  <c r="T34" i="7"/>
  <c r="P77" i="7"/>
  <c r="O34" i="4"/>
  <c r="AJ96" i="7"/>
  <c r="AJ95" i="7" s="1"/>
  <c r="U160" i="7"/>
  <c r="U140" i="7"/>
  <c r="V38" i="7"/>
  <c r="AK44" i="7"/>
  <c r="AL51" i="7"/>
  <c r="AL58" i="7" s="1"/>
  <c r="AL180" i="7"/>
  <c r="AL177" i="7"/>
  <c r="AL178" i="7"/>
  <c r="AL175" i="7"/>
  <c r="AL171" i="7"/>
  <c r="AL181" i="7"/>
  <c r="AL166" i="7"/>
  <c r="AL157" i="7"/>
  <c r="AL197" i="7"/>
  <c r="AM193" i="7" s="1"/>
  <c r="AL179" i="7"/>
  <c r="AL145" i="7"/>
  <c r="AL143" i="7"/>
  <c r="AL141" i="7"/>
  <c r="AL139" i="7"/>
  <c r="AL137" i="7"/>
  <c r="AL135" i="7"/>
  <c r="AL133" i="7"/>
  <c r="AL131" i="7"/>
  <c r="AL174" i="7"/>
  <c r="AL160" i="7"/>
  <c r="AL156" i="7"/>
  <c r="AL153" i="7"/>
  <c r="AL155" i="7"/>
  <c r="AL152" i="7"/>
  <c r="AL150" i="7"/>
  <c r="AL93" i="7"/>
  <c r="AL172" i="7"/>
  <c r="AL146" i="7"/>
  <c r="AL183" i="7" s="1" a="1"/>
  <c r="AL183" i="7" s="1"/>
  <c r="AL138" i="7"/>
  <c r="AL130" i="7"/>
  <c r="AL106" i="7"/>
  <c r="AL82" i="7"/>
  <c r="AL163" i="7"/>
  <c r="AL158" i="7"/>
  <c r="AL104" i="7"/>
  <c r="AL176" i="7"/>
  <c r="AL170" i="7"/>
  <c r="AL161" i="7"/>
  <c r="AL162" i="7"/>
  <c r="AL140" i="7"/>
  <c r="AL132" i="7"/>
  <c r="AL165" i="7"/>
  <c r="AL136" i="7"/>
  <c r="AL100" i="7"/>
  <c r="AL99" i="7" s="1"/>
  <c r="AL81" i="7"/>
  <c r="AL40" i="7"/>
  <c r="AL38" i="7"/>
  <c r="AL36" i="7"/>
  <c r="AL34" i="7"/>
  <c r="AL32" i="7"/>
  <c r="AL24" i="7"/>
  <c r="AL20" i="7"/>
  <c r="AL21" i="7" s="1"/>
  <c r="AL144" i="7"/>
  <c r="AL50" i="7"/>
  <c r="AL59" i="7" s="1"/>
  <c r="AL76" i="7" s="1"/>
  <c r="AL16" i="7"/>
  <c r="AL13" i="7"/>
  <c r="AL202" i="7" s="1"/>
  <c r="AL173" i="7"/>
  <c r="AL159" i="7"/>
  <c r="AL142" i="7"/>
  <c r="AL11" i="7"/>
  <c r="AL105" i="7"/>
  <c r="AL78" i="7"/>
  <c r="AL164" i="7"/>
  <c r="AL154" i="7"/>
  <c r="AL134" i="7"/>
  <c r="AL151" i="7"/>
  <c r="AL66" i="7"/>
  <c r="AL64" i="7" s="1"/>
  <c r="AL30" i="7"/>
  <c r="AL28" i="7"/>
  <c r="AL29" i="7"/>
  <c r="AL41" i="7"/>
  <c r="AL37" i="7"/>
  <c r="AL33" i="7"/>
  <c r="AL17" i="7"/>
  <c r="AL68" i="7" a="1"/>
  <c r="AL68" i="7" s="1"/>
  <c r="AL12" i="7"/>
  <c r="AL27" i="7"/>
  <c r="AL79" i="7"/>
  <c r="AL39" i="7"/>
  <c r="AL35" i="7"/>
  <c r="AL31" i="7"/>
  <c r="AL14" i="7"/>
  <c r="AL107" i="7"/>
  <c r="AM5" i="7"/>
  <c r="AL6" i="7"/>
  <c r="AL18" i="7" s="1"/>
  <c r="AL62" i="7" s="1"/>
  <c r="AL61" i="7" s="1"/>
  <c r="AL77" i="7" s="1"/>
  <c r="AM4" i="8"/>
  <c r="AL5" i="8"/>
  <c r="AJ4" i="9"/>
  <c r="AJ3" i="9" s="1"/>
  <c r="N74" i="7"/>
  <c r="N72" i="7" s="1"/>
  <c r="N71" i="7" s="1"/>
  <c r="Q20" i="7"/>
  <c r="Q19" i="7"/>
  <c r="AJ189" i="7"/>
  <c r="AJ187" i="7"/>
  <c r="AJ188" i="7"/>
  <c r="AJ74" i="7"/>
  <c r="AJ72" i="7" s="1"/>
  <c r="AJ71" i="7" s="1"/>
  <c r="AI188" i="7"/>
  <c r="AI187" i="7"/>
  <c r="AI189" i="7"/>
  <c r="AK103" i="7"/>
  <c r="AI223" i="7"/>
  <c r="AJ221" i="7"/>
  <c r="R174" i="7"/>
  <c r="R134" i="7"/>
  <c r="R154" i="7"/>
  <c r="R78" i="7"/>
  <c r="S32" i="7"/>
  <c r="AK209" i="7"/>
  <c r="AK213" i="7" s="1"/>
  <c r="AJ46" i="7"/>
  <c r="Q172" i="7"/>
  <c r="Q132" i="7"/>
  <c r="Q152" i="7"/>
  <c r="R30" i="7"/>
  <c r="AH187" i="7"/>
  <c r="AH188" i="7"/>
  <c r="AH189" i="7"/>
  <c r="AJ76" i="7"/>
  <c r="T138" i="7"/>
  <c r="T158" i="7"/>
  <c r="T178" i="7"/>
  <c r="U179" i="7" s="1"/>
  <c r="U36" i="7"/>
  <c r="W163" i="7"/>
  <c r="W143" i="7"/>
  <c r="X41" i="7"/>
  <c r="Q51" i="7"/>
  <c r="Q58" i="7" s="1"/>
  <c r="P44" i="7"/>
  <c r="P170" i="7"/>
  <c r="P180" i="7" s="1"/>
  <c r="P181" i="7" s="1"/>
  <c r="P45" i="7" a="1"/>
  <c r="P45" i="7" s="1"/>
  <c r="P150" i="7"/>
  <c r="P165" i="7" s="1"/>
  <c r="P166" i="7" s="1"/>
  <c r="P130" i="7"/>
  <c r="P145" i="7" s="1"/>
  <c r="P146" i="7" s="1"/>
  <c r="P183" i="7" s="1" a="1"/>
  <c r="P183" i="7" s="1"/>
  <c r="Q28" i="7"/>
  <c r="Q66" i="7"/>
  <c r="Q64" i="7" s="1"/>
  <c r="Q18" i="7"/>
  <c r="Q62" i="7" s="1"/>
  <c r="O59" i="7"/>
  <c r="P46" i="7" l="1"/>
  <c r="Q209" i="7" s="1"/>
  <c r="Q213" i="7" s="1"/>
  <c r="X164" i="7"/>
  <c r="X144" i="7"/>
  <c r="U139" i="7"/>
  <c r="U159" i="7"/>
  <c r="V37" i="7"/>
  <c r="AL103" i="7"/>
  <c r="Q61" i="7"/>
  <c r="P35" i="4"/>
  <c r="Q75" i="7"/>
  <c r="O14" i="4"/>
  <c r="T79" i="7"/>
  <c r="T177" i="7"/>
  <c r="T157" i="7"/>
  <c r="T137" i="7"/>
  <c r="U35" i="7"/>
  <c r="AK222" i="7"/>
  <c r="AK214" i="7"/>
  <c r="AM195" i="7"/>
  <c r="AM196" i="7"/>
  <c r="V161" i="7"/>
  <c r="V141" i="7"/>
  <c r="W39" i="7"/>
  <c r="N188" i="7"/>
  <c r="N189" i="7"/>
  <c r="N187" i="7"/>
  <c r="Q221" i="7"/>
  <c r="P223" i="7"/>
  <c r="Q171" i="7"/>
  <c r="Q131" i="7"/>
  <c r="Q151" i="7"/>
  <c r="R29" i="7"/>
  <c r="AN4" i="8"/>
  <c r="AM5" i="8"/>
  <c r="AK4" i="9"/>
  <c r="AK3" i="9" s="1"/>
  <c r="AL75" i="7"/>
  <c r="AL74" i="7" s="1"/>
  <c r="AL72" i="7" s="1"/>
  <c r="AL57" i="7"/>
  <c r="AL55" i="7" s="1"/>
  <c r="O39" i="4"/>
  <c r="AL44" i="7"/>
  <c r="AM51" i="7"/>
  <c r="AM58" i="7" s="1"/>
  <c r="AK46" i="7"/>
  <c r="AL209" i="7" s="1"/>
  <c r="AL213" i="7" s="1"/>
  <c r="AK96" i="7"/>
  <c r="AK95" i="7" s="1"/>
  <c r="AK71" i="7" s="1"/>
  <c r="O76" i="7"/>
  <c r="O57" i="7"/>
  <c r="R153" i="7"/>
  <c r="R133" i="7"/>
  <c r="R173" i="7"/>
  <c r="S31" i="7"/>
  <c r="AM180" i="7"/>
  <c r="AM178" i="7"/>
  <c r="AM176" i="7"/>
  <c r="AM173" i="7"/>
  <c r="AM166" i="7"/>
  <c r="AM164" i="7"/>
  <c r="AM197" i="7"/>
  <c r="AN193" i="7" s="1"/>
  <c r="AM175" i="7"/>
  <c r="AM155" i="7"/>
  <c r="AM179" i="7"/>
  <c r="AM177" i="7"/>
  <c r="AM174" i="7"/>
  <c r="AM160" i="7"/>
  <c r="AM156" i="7"/>
  <c r="AM153" i="7"/>
  <c r="AM172" i="7"/>
  <c r="AM151" i="7"/>
  <c r="AM170" i="7"/>
  <c r="AM163" i="7"/>
  <c r="AM159" i="7"/>
  <c r="AM150" i="7"/>
  <c r="AM171" i="7"/>
  <c r="AM146" i="7"/>
  <c r="AM183" i="7" s="1" a="1"/>
  <c r="AM183" i="7" s="1"/>
  <c r="AM143" i="7"/>
  <c r="AM138" i="7"/>
  <c r="AM135" i="7"/>
  <c r="AM130" i="7"/>
  <c r="AM106" i="7"/>
  <c r="AM82" i="7"/>
  <c r="AM50" i="7"/>
  <c r="AM59" i="7" s="1"/>
  <c r="AM76" i="7" s="1"/>
  <c r="AM181" i="7"/>
  <c r="AM158" i="7"/>
  <c r="AM104" i="7"/>
  <c r="AM103" i="7" s="1"/>
  <c r="AM79" i="7"/>
  <c r="AM161" i="7"/>
  <c r="AM144" i="7"/>
  <c r="AM141" i="7"/>
  <c r="AM136" i="7"/>
  <c r="AM133" i="7"/>
  <c r="AM100" i="7"/>
  <c r="AM99" i="7" s="1"/>
  <c r="AM165" i="7"/>
  <c r="AM154" i="7"/>
  <c r="AM93" i="7"/>
  <c r="AM157" i="7"/>
  <c r="AM16" i="7"/>
  <c r="AM13" i="7"/>
  <c r="AM202" i="7" s="1"/>
  <c r="AM145" i="7"/>
  <c r="AM142" i="7"/>
  <c r="AM131" i="7"/>
  <c r="AM11" i="7"/>
  <c r="AN19" i="7" s="1"/>
  <c r="AM105" i="7"/>
  <c r="AM29" i="7"/>
  <c r="AM27" i="7"/>
  <c r="AM137" i="7"/>
  <c r="AM132" i="7"/>
  <c r="AM78" i="7"/>
  <c r="AM68" i="7" a="1"/>
  <c r="AM68" i="7" s="1"/>
  <c r="AM162" i="7"/>
  <c r="AM139" i="7"/>
  <c r="AM134" i="7"/>
  <c r="AM107" i="7"/>
  <c r="AM152" i="7"/>
  <c r="AM140" i="7"/>
  <c r="AM81" i="7"/>
  <c r="AM40" i="7"/>
  <c r="AM38" i="7"/>
  <c r="AM36" i="7"/>
  <c r="AM34" i="7"/>
  <c r="AM32" i="7"/>
  <c r="AM24" i="7"/>
  <c r="AM20" i="7"/>
  <c r="AM41" i="7"/>
  <c r="AM37" i="7"/>
  <c r="AM33" i="7"/>
  <c r="AM17" i="7"/>
  <c r="AM12" i="7"/>
  <c r="AN5" i="7"/>
  <c r="AM66" i="7"/>
  <c r="AM64" i="7" s="1"/>
  <c r="AM39" i="7"/>
  <c r="AM35" i="7"/>
  <c r="AM45" i="7" s="1" a="1"/>
  <c r="AM45" i="7" s="1"/>
  <c r="AM31" i="7"/>
  <c r="AM14" i="7"/>
  <c r="AM28" i="7"/>
  <c r="AM30" i="7"/>
  <c r="AM6" i="7"/>
  <c r="AM18" i="7" s="1"/>
  <c r="AM62" i="7" s="1"/>
  <c r="AL45" i="7" a="1"/>
  <c r="AL45" i="7" s="1"/>
  <c r="AL47" i="7" s="1"/>
  <c r="AK221" i="7"/>
  <c r="AJ223" i="7"/>
  <c r="P47" i="7"/>
  <c r="P50" i="7"/>
  <c r="S175" i="7"/>
  <c r="S155" i="7"/>
  <c r="S135" i="7"/>
  <c r="T33" i="7"/>
  <c r="Q21" i="7"/>
  <c r="AM19" i="7"/>
  <c r="AK47" i="7"/>
  <c r="AK189" i="7" l="1"/>
  <c r="AK188" i="7"/>
  <c r="AK187" i="7"/>
  <c r="AL214" i="7"/>
  <c r="AL222" i="7"/>
  <c r="Q222" i="7"/>
  <c r="Q214" i="7"/>
  <c r="AM75" i="7"/>
  <c r="AM57" i="7"/>
  <c r="AK223" i="7"/>
  <c r="AL221" i="7"/>
  <c r="Q77" i="7"/>
  <c r="AL46" i="7"/>
  <c r="AM209" i="7" s="1"/>
  <c r="AM213" i="7" s="1"/>
  <c r="R152" i="7"/>
  <c r="R172" i="7"/>
  <c r="R132" i="7"/>
  <c r="S30" i="7"/>
  <c r="W162" i="7"/>
  <c r="W142" i="7"/>
  <c r="X40" i="7"/>
  <c r="O55" i="7"/>
  <c r="O82" i="7"/>
  <c r="O81" i="7"/>
  <c r="AM21" i="7"/>
  <c r="P59" i="7"/>
  <c r="O29" i="4"/>
  <c r="O11" i="4" s="1"/>
  <c r="AN175" i="7"/>
  <c r="AN171" i="7"/>
  <c r="AN181" i="7"/>
  <c r="AN174" i="7"/>
  <c r="AN180" i="7"/>
  <c r="AN197" i="7"/>
  <c r="AO193" i="7" s="1"/>
  <c r="AN179" i="7"/>
  <c r="AN162" i="7"/>
  <c r="AN178" i="7"/>
  <c r="AN172" i="7"/>
  <c r="AN166" i="7"/>
  <c r="AN151" i="7"/>
  <c r="AN173" i="7"/>
  <c r="AN165" i="7"/>
  <c r="AN164" i="7"/>
  <c r="AN161" i="7"/>
  <c r="AN157" i="7"/>
  <c r="AN145" i="7"/>
  <c r="AN158" i="7"/>
  <c r="AN104" i="7"/>
  <c r="AN79" i="7"/>
  <c r="AN177" i="7"/>
  <c r="AN163" i="7"/>
  <c r="AN144" i="7"/>
  <c r="AN141" i="7"/>
  <c r="AN136" i="7"/>
  <c r="AN133" i="7"/>
  <c r="AN100" i="7"/>
  <c r="AN99" i="7" s="1"/>
  <c r="Q51" i="4" s="1"/>
  <c r="AN176" i="7"/>
  <c r="AN170" i="7"/>
  <c r="AN156" i="7"/>
  <c r="AN154" i="7"/>
  <c r="AN159" i="7"/>
  <c r="AN153" i="7"/>
  <c r="AN160" i="7"/>
  <c r="AN155" i="7"/>
  <c r="AN150" i="7"/>
  <c r="AN146" i="7"/>
  <c r="AN183" i="7" s="1" a="1"/>
  <c r="AN183" i="7" s="1"/>
  <c r="Q39" i="4" s="1"/>
  <c r="Q16" i="4" s="1"/>
  <c r="AN143" i="7"/>
  <c r="AN138" i="7"/>
  <c r="AN135" i="7"/>
  <c r="AN130" i="7"/>
  <c r="AN106" i="7"/>
  <c r="Q55" i="4" s="1"/>
  <c r="AN82" i="7"/>
  <c r="AN142" i="7"/>
  <c r="AN131" i="7"/>
  <c r="AN50" i="7"/>
  <c r="AN11" i="7"/>
  <c r="AO19" i="7" s="1"/>
  <c r="AN105" i="7"/>
  <c r="Q54" i="4" s="1"/>
  <c r="AN29" i="7"/>
  <c r="AN27" i="7"/>
  <c r="AN137" i="7"/>
  <c r="AN132" i="7"/>
  <c r="AN78" i="7"/>
  <c r="AN68" i="7" a="1"/>
  <c r="AN68" i="7" s="1"/>
  <c r="Q38" i="4" s="1"/>
  <c r="Q15" i="4" s="1"/>
  <c r="AN41" i="7"/>
  <c r="AN39" i="7"/>
  <c r="AN37" i="7"/>
  <c r="AN35" i="7"/>
  <c r="AN33" i="7"/>
  <c r="AN31" i="7"/>
  <c r="AN17" i="7"/>
  <c r="AO5" i="7"/>
  <c r="AN93" i="7"/>
  <c r="AN139" i="7"/>
  <c r="AN134" i="7"/>
  <c r="AN107" i="7"/>
  <c r="Q56" i="4" s="1"/>
  <c r="AN152" i="7"/>
  <c r="AN140" i="7"/>
  <c r="AN16" i="7"/>
  <c r="AN13" i="7"/>
  <c r="AN202" i="7" s="1"/>
  <c r="AN12" i="7"/>
  <c r="AN14" i="7"/>
  <c r="AN66" i="7"/>
  <c r="AN64" i="7" s="1"/>
  <c r="Q37" i="4" s="1"/>
  <c r="AN30" i="7"/>
  <c r="AN38" i="7"/>
  <c r="AN34" i="7"/>
  <c r="AN24" i="7"/>
  <c r="AN81" i="7"/>
  <c r="AN28" i="7"/>
  <c r="AN45" i="7" s="1" a="1"/>
  <c r="AN45" i="7" s="1"/>
  <c r="AN40" i="7"/>
  <c r="AN36" i="7"/>
  <c r="AN32" i="7"/>
  <c r="AN20" i="7"/>
  <c r="AN21" i="7" s="1"/>
  <c r="AN6" i="7"/>
  <c r="AN18" i="7" s="1"/>
  <c r="S174" i="7"/>
  <c r="S154" i="7"/>
  <c r="S78" i="7"/>
  <c r="S134" i="7"/>
  <c r="T32" i="7"/>
  <c r="AO4" i="8"/>
  <c r="AN5" i="8"/>
  <c r="AL4" i="9"/>
  <c r="AL3" i="9" s="1"/>
  <c r="T176" i="7"/>
  <c r="T156" i="7"/>
  <c r="T136" i="7"/>
  <c r="U34" i="7"/>
  <c r="AM61" i="7"/>
  <c r="AM77" i="7" s="1"/>
  <c r="AN195" i="7"/>
  <c r="AN196" i="7"/>
  <c r="O74" i="7"/>
  <c r="O72" i="7" s="1"/>
  <c r="O71" i="7" s="1"/>
  <c r="O16" i="4"/>
  <c r="Q24" i="7"/>
  <c r="Q27" i="7" s="1"/>
  <c r="Q17" i="7"/>
  <c r="AM44" i="7"/>
  <c r="AN51" i="7"/>
  <c r="AN58" i="7" s="1"/>
  <c r="U138" i="7"/>
  <c r="U178" i="7"/>
  <c r="V179" i="7" s="1"/>
  <c r="U158" i="7"/>
  <c r="V36" i="7"/>
  <c r="V140" i="7"/>
  <c r="V160" i="7"/>
  <c r="W38" i="7"/>
  <c r="AL96" i="7"/>
  <c r="AL95" i="7" s="1"/>
  <c r="AL71" i="7" s="1"/>
  <c r="AM222" i="7" l="1"/>
  <c r="AM214" i="7"/>
  <c r="AL187" i="7"/>
  <c r="AL188" i="7"/>
  <c r="AL189" i="7"/>
  <c r="Q44" i="7"/>
  <c r="R51" i="7"/>
  <c r="R58" i="7" s="1"/>
  <c r="Q45" i="7" a="1"/>
  <c r="Q45" i="7" s="1"/>
  <c r="Q150" i="7"/>
  <c r="Q165" i="7" s="1"/>
  <c r="Q166" i="7" s="1"/>
  <c r="Q130" i="7"/>
  <c r="Q145" i="7" s="1"/>
  <c r="Q146" i="7" s="1"/>
  <c r="Q183" i="7" s="1" a="1"/>
  <c r="Q183" i="7" s="1"/>
  <c r="Q170" i="7"/>
  <c r="Q180" i="7" s="1"/>
  <c r="Q181" i="7" s="1"/>
  <c r="R66" i="7"/>
  <c r="R64" i="7" s="1"/>
  <c r="R28" i="7"/>
  <c r="T175" i="7"/>
  <c r="T135" i="7"/>
  <c r="T155" i="7"/>
  <c r="U33" i="7"/>
  <c r="AO51" i="7"/>
  <c r="AO58" i="7" s="1"/>
  <c r="AN44" i="7"/>
  <c r="AN103" i="7"/>
  <c r="Q53" i="4"/>
  <c r="Q223" i="7"/>
  <c r="R221" i="7"/>
  <c r="V139" i="7"/>
  <c r="V159" i="7"/>
  <c r="W37" i="7"/>
  <c r="U157" i="7"/>
  <c r="U137" i="7"/>
  <c r="U177" i="7"/>
  <c r="U79" i="7"/>
  <c r="V35" i="7"/>
  <c r="AM221" i="7"/>
  <c r="AL223" i="7"/>
  <c r="S133" i="7"/>
  <c r="S173" i="7"/>
  <c r="S153" i="7"/>
  <c r="T31" i="7"/>
  <c r="X163" i="7"/>
  <c r="X143" i="7"/>
  <c r="W161" i="7"/>
  <c r="W141" i="7"/>
  <c r="X39" i="7"/>
  <c r="AO180" i="7"/>
  <c r="AO178" i="7"/>
  <c r="AO176" i="7"/>
  <c r="AO174" i="7"/>
  <c r="AO172" i="7"/>
  <c r="AO170" i="7"/>
  <c r="AO197" i="7"/>
  <c r="AP193" i="7" s="1"/>
  <c r="AO165" i="7"/>
  <c r="AO163" i="7"/>
  <c r="AO161" i="7"/>
  <c r="AO159" i="7"/>
  <c r="AO157" i="7"/>
  <c r="AO155" i="7"/>
  <c r="AO153" i="7"/>
  <c r="AO151" i="7"/>
  <c r="AO179" i="7"/>
  <c r="AO175" i="7"/>
  <c r="AO164" i="7"/>
  <c r="AO160" i="7"/>
  <c r="AO173" i="7"/>
  <c r="AO106" i="7"/>
  <c r="AO104" i="7"/>
  <c r="AO100" i="7"/>
  <c r="AO99" i="7" s="1"/>
  <c r="AO181" i="7"/>
  <c r="AO177" i="7"/>
  <c r="AO171" i="7"/>
  <c r="AO146" i="7"/>
  <c r="AO183" i="7" s="1" a="1"/>
  <c r="AO183" i="7" s="1"/>
  <c r="AO144" i="7"/>
  <c r="AO142" i="7"/>
  <c r="AO140" i="7"/>
  <c r="AO138" i="7"/>
  <c r="AO136" i="7"/>
  <c r="AO134" i="7"/>
  <c r="AO132" i="7"/>
  <c r="AO130" i="7"/>
  <c r="AO156" i="7"/>
  <c r="AO141" i="7"/>
  <c r="AO133" i="7"/>
  <c r="AO68" i="7" a="1"/>
  <c r="AO68" i="7" s="1"/>
  <c r="AO66" i="7"/>
  <c r="AO64" i="7" s="1"/>
  <c r="AO154" i="7"/>
  <c r="AO139" i="7"/>
  <c r="AO131" i="7"/>
  <c r="AO107" i="7"/>
  <c r="AO152" i="7"/>
  <c r="AO166" i="7"/>
  <c r="AO158" i="7"/>
  <c r="AO79" i="7"/>
  <c r="AO145" i="7"/>
  <c r="AO105" i="7"/>
  <c r="AO29" i="7"/>
  <c r="AO27" i="7"/>
  <c r="AO137" i="7"/>
  <c r="AO78" i="7"/>
  <c r="AO41" i="7"/>
  <c r="AO39" i="7"/>
  <c r="AO37" i="7"/>
  <c r="AO35" i="7"/>
  <c r="AO33" i="7"/>
  <c r="AO31" i="7"/>
  <c r="AO17" i="7"/>
  <c r="AP5" i="7"/>
  <c r="AO93" i="7"/>
  <c r="AO14" i="7"/>
  <c r="AO12" i="7"/>
  <c r="AO143" i="7"/>
  <c r="AO162" i="7"/>
  <c r="AO150" i="7"/>
  <c r="AO135" i="7"/>
  <c r="AO50" i="7"/>
  <c r="AO11" i="7"/>
  <c r="AP19" i="7" s="1"/>
  <c r="AO30" i="7"/>
  <c r="AO38" i="7"/>
  <c r="AO34" i="7"/>
  <c r="AO24" i="7"/>
  <c r="AO82" i="7"/>
  <c r="AO81" i="7"/>
  <c r="AO28" i="7"/>
  <c r="AO45" i="7" s="1" a="1"/>
  <c r="AO45" i="7" s="1"/>
  <c r="AO40" i="7"/>
  <c r="AO36" i="7"/>
  <c r="AO32" i="7"/>
  <c r="AO20" i="7"/>
  <c r="AO21" i="7" s="1"/>
  <c r="AO16" i="7"/>
  <c r="AO13" i="7"/>
  <c r="AO202" i="7" s="1"/>
  <c r="AO6" i="7"/>
  <c r="AO18" i="7" s="1"/>
  <c r="AO62" i="7" s="1"/>
  <c r="AN59" i="7"/>
  <c r="Q29" i="4"/>
  <c r="Q11" i="4" s="1"/>
  <c r="AN75" i="7"/>
  <c r="Q32" i="4"/>
  <c r="AN62" i="7"/>
  <c r="O189" i="7"/>
  <c r="O187" i="7"/>
  <c r="O188" i="7"/>
  <c r="AM55" i="7"/>
  <c r="AM46" i="7"/>
  <c r="AN209" i="7" s="1"/>
  <c r="AN213" i="7" s="1"/>
  <c r="AM96" i="7"/>
  <c r="AM95" i="7" s="1"/>
  <c r="AO195" i="7"/>
  <c r="AO196" i="7"/>
  <c r="P76" i="7"/>
  <c r="O33" i="4"/>
  <c r="P57" i="7"/>
  <c r="AM74" i="7"/>
  <c r="AM72" i="7" s="1"/>
  <c r="R19" i="7"/>
  <c r="R21" i="7" s="1"/>
  <c r="R24" i="7" s="1"/>
  <c r="R17" i="7"/>
  <c r="S19" i="7" s="1"/>
  <c r="S21" i="7" s="1"/>
  <c r="R20" i="7"/>
  <c r="AM4" i="9"/>
  <c r="AM3" i="9" s="1"/>
  <c r="AO5" i="8"/>
  <c r="AP4" i="8"/>
  <c r="AM47" i="7"/>
  <c r="AN214" i="7" l="1"/>
  <c r="AN222" i="7"/>
  <c r="AO96" i="7"/>
  <c r="AO61" i="7"/>
  <c r="AP181" i="7"/>
  <c r="AP178" i="7"/>
  <c r="AP179" i="7"/>
  <c r="AP176" i="7"/>
  <c r="AP172" i="7"/>
  <c r="AP197" i="7"/>
  <c r="AQ193" i="7" s="1"/>
  <c r="AP158" i="7"/>
  <c r="AP170" i="7"/>
  <c r="AP177" i="7"/>
  <c r="AP175" i="7"/>
  <c r="AP171" i="7"/>
  <c r="AP165" i="7"/>
  <c r="AP164" i="7"/>
  <c r="AP161" i="7"/>
  <c r="AP157" i="7"/>
  <c r="AP146" i="7"/>
  <c r="AP183" i="7" s="1" a="1"/>
  <c r="AP183" i="7" s="1"/>
  <c r="AP144" i="7"/>
  <c r="AP142" i="7"/>
  <c r="AP140" i="7"/>
  <c r="AP138" i="7"/>
  <c r="AP136" i="7"/>
  <c r="AP134" i="7"/>
  <c r="AP132" i="7"/>
  <c r="AP130" i="7"/>
  <c r="AP154" i="7"/>
  <c r="AP166" i="7"/>
  <c r="AP160" i="7"/>
  <c r="AP153" i="7"/>
  <c r="AP180" i="7"/>
  <c r="AP174" i="7"/>
  <c r="AP173" i="7"/>
  <c r="AP163" i="7"/>
  <c r="AP100" i="7"/>
  <c r="AP99" i="7" s="1"/>
  <c r="AP156" i="7"/>
  <c r="AP139" i="7"/>
  <c r="AP131" i="7"/>
  <c r="AP107" i="7"/>
  <c r="AP81" i="7"/>
  <c r="AP105" i="7"/>
  <c r="AP159" i="7"/>
  <c r="AP152" i="7"/>
  <c r="AP162" i="7"/>
  <c r="AP145" i="7"/>
  <c r="AP141" i="7"/>
  <c r="AP133" i="7"/>
  <c r="AP104" i="7"/>
  <c r="AP137" i="7"/>
  <c r="AP78" i="7"/>
  <c r="AP68" i="7" a="1"/>
  <c r="AP68" i="7" s="1"/>
  <c r="AP41" i="7"/>
  <c r="AP39" i="7"/>
  <c r="AP37" i="7"/>
  <c r="AP35" i="7"/>
  <c r="AP33" i="7"/>
  <c r="AP31" i="7"/>
  <c r="AP17" i="7"/>
  <c r="AQ5" i="7"/>
  <c r="AP93" i="7"/>
  <c r="AP14" i="7"/>
  <c r="AP12" i="7"/>
  <c r="AP143" i="7"/>
  <c r="AP82" i="7"/>
  <c r="AP79" i="7"/>
  <c r="AP151" i="7"/>
  <c r="AP150" i="7"/>
  <c r="AP135" i="7"/>
  <c r="AP155" i="7"/>
  <c r="AP106" i="7"/>
  <c r="AP29" i="7"/>
  <c r="AP27" i="7"/>
  <c r="AP30" i="7"/>
  <c r="AP66" i="7"/>
  <c r="AP64" i="7" s="1"/>
  <c r="AP38" i="7"/>
  <c r="AP34" i="7"/>
  <c r="AP24" i="7"/>
  <c r="AP13" i="7"/>
  <c r="AP202" i="7" s="1"/>
  <c r="AP28" i="7"/>
  <c r="AP40" i="7"/>
  <c r="AP36" i="7"/>
  <c r="AP32" i="7"/>
  <c r="AP20" i="7"/>
  <c r="AP16" i="7"/>
  <c r="AP50" i="7"/>
  <c r="AP59" i="7" s="1"/>
  <c r="AP76" i="7" s="1"/>
  <c r="AP11" i="7"/>
  <c r="AP6" i="7"/>
  <c r="AP18" i="7" s="1"/>
  <c r="AP62" i="7" s="1"/>
  <c r="AP61" i="7" s="1"/>
  <c r="AP77" i="7" s="1"/>
  <c r="AP196" i="7"/>
  <c r="AP195" i="7"/>
  <c r="R75" i="7"/>
  <c r="P32" i="4"/>
  <c r="W140" i="7"/>
  <c r="W160" i="7"/>
  <c r="X38" i="7"/>
  <c r="Q46" i="7"/>
  <c r="P55" i="7"/>
  <c r="P81" i="7"/>
  <c r="P82" i="7"/>
  <c r="P74" i="7" s="1"/>
  <c r="P72" i="7" s="1"/>
  <c r="P71" i="7" s="1"/>
  <c r="O31" i="4"/>
  <c r="AO103" i="7"/>
  <c r="AN61" i="7"/>
  <c r="Q35" i="4"/>
  <c r="AP51" i="7"/>
  <c r="AP58" i="7" s="1"/>
  <c r="AO44" i="7"/>
  <c r="AN46" i="7"/>
  <c r="AN96" i="7"/>
  <c r="R45" i="7" a="1"/>
  <c r="R45" i="7" s="1"/>
  <c r="R171" i="7"/>
  <c r="R180" i="7" s="1"/>
  <c r="R181" i="7" s="1"/>
  <c r="R151" i="7"/>
  <c r="R165" i="7" s="1"/>
  <c r="R166" i="7" s="1"/>
  <c r="R131" i="7"/>
  <c r="R145" i="7" s="1"/>
  <c r="R146" i="7" s="1"/>
  <c r="R183" i="7" s="1" a="1"/>
  <c r="R183" i="7" s="1"/>
  <c r="S29" i="7"/>
  <c r="S51" i="7"/>
  <c r="S58" i="7" s="1"/>
  <c r="R44" i="7"/>
  <c r="X162" i="7"/>
  <c r="X142" i="7"/>
  <c r="V138" i="7"/>
  <c r="V178" i="7"/>
  <c r="W179" i="7" s="1"/>
  <c r="V158" i="7"/>
  <c r="W36" i="7"/>
  <c r="AO75" i="7"/>
  <c r="R61" i="7"/>
  <c r="P37" i="4"/>
  <c r="AP5" i="8"/>
  <c r="AN4" i="9"/>
  <c r="AN3" i="9" s="1"/>
  <c r="AQ4" i="8"/>
  <c r="AN76" i="7"/>
  <c r="Q33" i="4"/>
  <c r="AO59" i="7"/>
  <c r="AO57" i="7" s="1"/>
  <c r="AN57" i="7"/>
  <c r="T134" i="7"/>
  <c r="T78" i="7"/>
  <c r="T174" i="7"/>
  <c r="T154" i="7"/>
  <c r="U32" i="7"/>
  <c r="AM189" i="7"/>
  <c r="AM187" i="7"/>
  <c r="AM188" i="7"/>
  <c r="AM71" i="7"/>
  <c r="U136" i="7"/>
  <c r="U176" i="7"/>
  <c r="U156" i="7"/>
  <c r="V34" i="7"/>
  <c r="AN47" i="7"/>
  <c r="AO209" i="7" s="1"/>
  <c r="AO213" i="7" s="1"/>
  <c r="AP21" i="7"/>
  <c r="Q52" i="4"/>
  <c r="Q47" i="7"/>
  <c r="R209" i="7" s="1"/>
  <c r="R213" i="7" s="1"/>
  <c r="R50" i="7"/>
  <c r="R59" i="7" s="1"/>
  <c r="R76" i="7" s="1"/>
  <c r="Q50" i="7"/>
  <c r="AN221" i="7"/>
  <c r="AM223" i="7"/>
  <c r="R214" i="7" l="1"/>
  <c r="R222" i="7"/>
  <c r="AO55" i="7"/>
  <c r="AO222" i="7"/>
  <c r="AO214" i="7"/>
  <c r="S75" i="7"/>
  <c r="AO77" i="7"/>
  <c r="AQ196" i="7"/>
  <c r="AQ195" i="7"/>
  <c r="AO95" i="7"/>
  <c r="S132" i="7"/>
  <c r="S145" i="7" s="1"/>
  <c r="S146" i="7" s="1"/>
  <c r="S183" i="7" s="1" a="1"/>
  <c r="S183" i="7" s="1"/>
  <c r="S152" i="7"/>
  <c r="S165" i="7" s="1"/>
  <c r="S166" i="7" s="1"/>
  <c r="S172" i="7"/>
  <c r="S180" i="7" s="1"/>
  <c r="S181" i="7" s="1"/>
  <c r="S45" i="7" a="1"/>
  <c r="S45" i="7" s="1"/>
  <c r="T30" i="7"/>
  <c r="S44" i="7"/>
  <c r="AQ51" i="7"/>
  <c r="AQ58" i="7" s="1"/>
  <c r="AP44" i="7"/>
  <c r="AP103" i="7"/>
  <c r="V157" i="7"/>
  <c r="V137" i="7"/>
  <c r="V177" i="7"/>
  <c r="V79" i="7"/>
  <c r="W35" i="7"/>
  <c r="O13" i="4"/>
  <c r="O12" i="4" s="1"/>
  <c r="R47" i="7"/>
  <c r="R57" i="7"/>
  <c r="AN223" i="7"/>
  <c r="AO221" i="7"/>
  <c r="X141" i="7"/>
  <c r="X161" i="7"/>
  <c r="Q59" i="7"/>
  <c r="AN55" i="7"/>
  <c r="Q31" i="4"/>
  <c r="Q13" i="4" s="1"/>
  <c r="Q12" i="4" s="1"/>
  <c r="AO46" i="7"/>
  <c r="AP209" i="7" s="1"/>
  <c r="AP213" i="7" s="1"/>
  <c r="AQ19" i="7"/>
  <c r="U135" i="7"/>
  <c r="U155" i="7"/>
  <c r="U175" i="7"/>
  <c r="V33" i="7"/>
  <c r="AP57" i="7"/>
  <c r="AP55" i="7" s="1"/>
  <c r="AP75" i="7"/>
  <c r="AP74" i="7" s="1"/>
  <c r="AP72" i="7" s="1"/>
  <c r="Q21" i="4"/>
  <c r="AO74" i="7"/>
  <c r="AN95" i="7"/>
  <c r="Q49" i="4"/>
  <c r="Q48" i="4" s="1"/>
  <c r="Q20" i="4" s="1"/>
  <c r="AN77" i="7"/>
  <c r="AN74" i="7" s="1"/>
  <c r="Q34" i="4"/>
  <c r="Q14" i="4" s="1"/>
  <c r="P188" i="7"/>
  <c r="P187" i="7"/>
  <c r="P189" i="7"/>
  <c r="O30" i="4"/>
  <c r="AQ197" i="7"/>
  <c r="AR193" i="7" s="1"/>
  <c r="AQ181" i="7"/>
  <c r="AQ179" i="7"/>
  <c r="AQ177" i="7"/>
  <c r="AQ175" i="7"/>
  <c r="AQ174" i="7"/>
  <c r="AQ165" i="7"/>
  <c r="AQ170" i="7"/>
  <c r="AQ156" i="7"/>
  <c r="AQ178" i="7"/>
  <c r="AQ171" i="7"/>
  <c r="AQ180" i="7"/>
  <c r="AQ154" i="7"/>
  <c r="AQ162" i="7"/>
  <c r="AQ158" i="7"/>
  <c r="AQ152" i="7"/>
  <c r="AQ173" i="7"/>
  <c r="AQ151" i="7"/>
  <c r="AQ172" i="7"/>
  <c r="AQ144" i="7"/>
  <c r="AQ139" i="7"/>
  <c r="AQ136" i="7"/>
  <c r="AQ131" i="7"/>
  <c r="AQ107" i="7"/>
  <c r="AQ81" i="7"/>
  <c r="AQ176" i="7"/>
  <c r="AQ161" i="7"/>
  <c r="AQ105" i="7"/>
  <c r="AQ78" i="7"/>
  <c r="AQ159" i="7"/>
  <c r="AQ142" i="7"/>
  <c r="AQ137" i="7"/>
  <c r="AQ134" i="7"/>
  <c r="AQ153" i="7"/>
  <c r="AQ164" i="7"/>
  <c r="AQ157" i="7"/>
  <c r="AQ150" i="7"/>
  <c r="AQ163" i="7"/>
  <c r="AQ100" i="7"/>
  <c r="AQ99" i="7" s="1"/>
  <c r="AQ93" i="7"/>
  <c r="AQ14" i="7"/>
  <c r="AQ12" i="7"/>
  <c r="AQ143" i="7"/>
  <c r="AQ132" i="7"/>
  <c r="AQ146" i="7"/>
  <c r="AQ183" i="7" s="1" a="1"/>
  <c r="AQ183" i="7" s="1"/>
  <c r="AQ30" i="7"/>
  <c r="AQ28" i="7"/>
  <c r="AQ166" i="7"/>
  <c r="AQ160" i="7"/>
  <c r="AQ138" i="7"/>
  <c r="AQ133" i="7"/>
  <c r="AQ104" i="7"/>
  <c r="AQ82" i="7"/>
  <c r="AQ79" i="7"/>
  <c r="AQ140" i="7"/>
  <c r="AQ135" i="7"/>
  <c r="AQ155" i="7"/>
  <c r="AQ145" i="7"/>
  <c r="AQ141" i="7"/>
  <c r="AQ130" i="7"/>
  <c r="AQ41" i="7"/>
  <c r="AQ39" i="7"/>
  <c r="AQ37" i="7"/>
  <c r="AQ35" i="7"/>
  <c r="AQ33" i="7"/>
  <c r="AQ31" i="7"/>
  <c r="AQ17" i="7"/>
  <c r="AR5" i="7"/>
  <c r="AQ68" i="7" a="1"/>
  <c r="AQ68" i="7" s="1"/>
  <c r="AQ66" i="7"/>
  <c r="AQ64" i="7" s="1"/>
  <c r="AQ38" i="7"/>
  <c r="AQ34" i="7"/>
  <c r="AQ24" i="7"/>
  <c r="AQ13" i="7"/>
  <c r="AQ202" i="7" s="1"/>
  <c r="AQ106" i="7"/>
  <c r="AQ27" i="7"/>
  <c r="AQ45" i="7" s="1" a="1"/>
  <c r="AQ45" i="7" s="1"/>
  <c r="AQ6" i="7"/>
  <c r="AQ18" i="7" s="1"/>
  <c r="AQ62" i="7" s="1"/>
  <c r="AQ40" i="7"/>
  <c r="AQ36" i="7"/>
  <c r="AQ32" i="7"/>
  <c r="AQ20" i="7"/>
  <c r="AQ16" i="7"/>
  <c r="AQ50" i="7"/>
  <c r="AQ11" i="7"/>
  <c r="AQ29" i="7"/>
  <c r="AP45" i="7" a="1"/>
  <c r="AP45" i="7" s="1"/>
  <c r="R77" i="7"/>
  <c r="P34" i="4"/>
  <c r="AO76" i="7"/>
  <c r="AO4" i="9"/>
  <c r="AO3" i="9" s="1"/>
  <c r="AQ5" i="8"/>
  <c r="AR4" i="8"/>
  <c r="W139" i="7"/>
  <c r="W159" i="7"/>
  <c r="X37" i="7"/>
  <c r="R46" i="7"/>
  <c r="S209" i="7" s="1"/>
  <c r="S213" i="7" s="1"/>
  <c r="AO47" i="7"/>
  <c r="S214" i="7" l="1"/>
  <c r="S222" i="7"/>
  <c r="AP214" i="7"/>
  <c r="AP222" i="7"/>
  <c r="AP46" i="7"/>
  <c r="AP96" i="7"/>
  <c r="AQ57" i="7"/>
  <c r="AQ75" i="7"/>
  <c r="X140" i="7"/>
  <c r="X160" i="7"/>
  <c r="P14" i="4"/>
  <c r="AN72" i="7"/>
  <c r="AN71" i="7" s="1"/>
  <c r="AN187" i="7" s="1"/>
  <c r="Q43" i="4"/>
  <c r="Q41" i="4" s="1"/>
  <c r="W178" i="7"/>
  <c r="X179" i="7" s="1"/>
  <c r="W138" i="7"/>
  <c r="W158" i="7"/>
  <c r="X36" i="7"/>
  <c r="S46" i="7"/>
  <c r="S96" i="7"/>
  <c r="AO223" i="7"/>
  <c r="AP221" i="7"/>
  <c r="AR5" i="8"/>
  <c r="AP4" i="9"/>
  <c r="AP3" i="9" s="1"/>
  <c r="AS4" i="8"/>
  <c r="AQ59" i="7"/>
  <c r="AR195" i="7"/>
  <c r="AR196" i="7"/>
  <c r="Q30" i="4"/>
  <c r="R55" i="7"/>
  <c r="R81" i="7"/>
  <c r="R74" i="7" s="1"/>
  <c r="R72" i="7" s="1"/>
  <c r="R71" i="7" s="1"/>
  <c r="R82" i="7"/>
  <c r="S47" i="7"/>
  <c r="T209" i="7" s="1"/>
  <c r="T213" i="7" s="1"/>
  <c r="AO72" i="7"/>
  <c r="AO71" i="7" s="1"/>
  <c r="AO188" i="7" s="1"/>
  <c r="Q76" i="7"/>
  <c r="Q57" i="7"/>
  <c r="AQ61" i="7"/>
  <c r="S50" i="7"/>
  <c r="R223" i="7"/>
  <c r="S221" i="7"/>
  <c r="V136" i="7"/>
  <c r="V176" i="7"/>
  <c r="V156" i="7"/>
  <c r="W34" i="7"/>
  <c r="T153" i="7"/>
  <c r="T165" i="7" s="1"/>
  <c r="T166" i="7" s="1"/>
  <c r="T133" i="7"/>
  <c r="T145" i="7" s="1"/>
  <c r="T146" i="7" s="1"/>
  <c r="T183" i="7" s="1" a="1"/>
  <c r="T183" i="7" s="1"/>
  <c r="T173" i="7"/>
  <c r="T180" i="7" s="1"/>
  <c r="T181" i="7" s="1"/>
  <c r="T45" i="7" a="1"/>
  <c r="T45" i="7" s="1"/>
  <c r="T44" i="7"/>
  <c r="U31" i="7"/>
  <c r="AP47" i="7"/>
  <c r="AQ209" i="7" s="1"/>
  <c r="AQ213" i="7" s="1"/>
  <c r="AR19" i="7"/>
  <c r="AR51" i="7"/>
  <c r="AR58" i="7" s="1"/>
  <c r="AQ44" i="7"/>
  <c r="AR197" i="7"/>
  <c r="AS193" i="7" s="1"/>
  <c r="AR176" i="7"/>
  <c r="AR172" i="7"/>
  <c r="AR181" i="7"/>
  <c r="AR178" i="7"/>
  <c r="AR171" i="7"/>
  <c r="AR170" i="7"/>
  <c r="AR163" i="7"/>
  <c r="AR154" i="7"/>
  <c r="AR177" i="7"/>
  <c r="AR173" i="7"/>
  <c r="AR162" i="7"/>
  <c r="AR158" i="7"/>
  <c r="AR152" i="7"/>
  <c r="AR150" i="7"/>
  <c r="AR180" i="7"/>
  <c r="AR174" i="7"/>
  <c r="AR164" i="7"/>
  <c r="AR161" i="7"/>
  <c r="AR157" i="7"/>
  <c r="AR146" i="7"/>
  <c r="AR183" i="7" s="1" a="1"/>
  <c r="AR183" i="7" s="1"/>
  <c r="AR179" i="7"/>
  <c r="AR175" i="7"/>
  <c r="AR156" i="7"/>
  <c r="AR105" i="7"/>
  <c r="AR78" i="7"/>
  <c r="AR159" i="7"/>
  <c r="AR142" i="7"/>
  <c r="AR137" i="7"/>
  <c r="AR134" i="7"/>
  <c r="AR153" i="7"/>
  <c r="AR145" i="7"/>
  <c r="AR93" i="7"/>
  <c r="AR165" i="7"/>
  <c r="AR155" i="7"/>
  <c r="AR151" i="7"/>
  <c r="AR144" i="7"/>
  <c r="AR139" i="7"/>
  <c r="AR136" i="7"/>
  <c r="AR131" i="7"/>
  <c r="AR107" i="7"/>
  <c r="AR81" i="7"/>
  <c r="AR143" i="7"/>
  <c r="AR132" i="7"/>
  <c r="AR30" i="7"/>
  <c r="AR28" i="7"/>
  <c r="AR166" i="7"/>
  <c r="AR160" i="7"/>
  <c r="AR138" i="7"/>
  <c r="AR133" i="7"/>
  <c r="AR104" i="7"/>
  <c r="AR82" i="7"/>
  <c r="AR79" i="7"/>
  <c r="AR66" i="7"/>
  <c r="AR64" i="7" s="1"/>
  <c r="AR40" i="7"/>
  <c r="AR38" i="7"/>
  <c r="AR36" i="7"/>
  <c r="AR34" i="7"/>
  <c r="AR32" i="7"/>
  <c r="AR24" i="7"/>
  <c r="AR20" i="7"/>
  <c r="AR140" i="7"/>
  <c r="AR135" i="7"/>
  <c r="AR68" i="7" a="1"/>
  <c r="AR68" i="7" s="1"/>
  <c r="AR106" i="7"/>
  <c r="AR141" i="7"/>
  <c r="AR130" i="7"/>
  <c r="AR100" i="7"/>
  <c r="AR99" i="7" s="1"/>
  <c r="AR14" i="7"/>
  <c r="AR12" i="7"/>
  <c r="AR13" i="7"/>
  <c r="AR202" i="7" s="1"/>
  <c r="AR27" i="7"/>
  <c r="AR39" i="7"/>
  <c r="AR35" i="7"/>
  <c r="AR31" i="7"/>
  <c r="AR16" i="7"/>
  <c r="AR50" i="7"/>
  <c r="AR59" i="7" s="1"/>
  <c r="AR76" i="7" s="1"/>
  <c r="AR11" i="7"/>
  <c r="AR29" i="7"/>
  <c r="AR41" i="7"/>
  <c r="AR37" i="7"/>
  <c r="AR33" i="7"/>
  <c r="AR17" i="7"/>
  <c r="AS5" i="7"/>
  <c r="AR6" i="7"/>
  <c r="AR18" i="7" s="1"/>
  <c r="AR62" i="7" s="1"/>
  <c r="AQ103" i="7"/>
  <c r="AQ21" i="7"/>
  <c r="T214" i="7" l="1"/>
  <c r="T222" i="7"/>
  <c r="AQ222" i="7"/>
  <c r="AQ214" i="7"/>
  <c r="AO187" i="7"/>
  <c r="Q55" i="7"/>
  <c r="Q81" i="7"/>
  <c r="Q74" i="7" s="1"/>
  <c r="Q82" i="7"/>
  <c r="AR103" i="7"/>
  <c r="U154" i="7"/>
  <c r="U165" i="7" s="1"/>
  <c r="U166" i="7" s="1"/>
  <c r="U174" i="7"/>
  <c r="U180" i="7" s="1"/>
  <c r="U181" i="7" s="1"/>
  <c r="U134" i="7"/>
  <c r="U145" i="7" s="1"/>
  <c r="U146" i="7" s="1"/>
  <c r="U183" i="7" s="1" a="1"/>
  <c r="U183" i="7" s="1"/>
  <c r="U78" i="7"/>
  <c r="U44" i="7"/>
  <c r="U45" i="7" a="1"/>
  <c r="U45" i="7" s="1"/>
  <c r="V32" i="7"/>
  <c r="V78" i="7"/>
  <c r="AO189" i="7"/>
  <c r="S95" i="7"/>
  <c r="T46" i="7"/>
  <c r="U209" i="7" s="1"/>
  <c r="U213" i="7" s="1"/>
  <c r="T96" i="7"/>
  <c r="T95" i="7" s="1"/>
  <c r="AQ4" i="9"/>
  <c r="AQ3" i="9" s="1"/>
  <c r="AS5" i="8"/>
  <c r="AT4" i="8"/>
  <c r="T47" i="7"/>
  <c r="R189" i="7"/>
  <c r="R187" i="7"/>
  <c r="R188" i="7"/>
  <c r="Q18" i="4"/>
  <c r="Q17" i="4" s="1"/>
  <c r="Q22" i="4" s="1"/>
  <c r="Q23" i="4" s="1"/>
  <c r="Q40" i="4"/>
  <c r="AQ55" i="7"/>
  <c r="AP223" i="7"/>
  <c r="AQ221" i="7"/>
  <c r="AR44" i="7"/>
  <c r="AS51" i="7"/>
  <c r="AS58" i="7" s="1"/>
  <c r="AS196" i="7"/>
  <c r="AS195" i="7"/>
  <c r="X139" i="7"/>
  <c r="X159" i="7"/>
  <c r="AS19" i="7"/>
  <c r="AR209" i="7"/>
  <c r="AR213" i="7" s="1"/>
  <c r="AQ46" i="7"/>
  <c r="AQ96" i="7"/>
  <c r="AQ95" i="7" s="1"/>
  <c r="S59" i="7"/>
  <c r="AN188" i="7"/>
  <c r="AQ76" i="7"/>
  <c r="AQ74" i="7" s="1"/>
  <c r="S223" i="7"/>
  <c r="T221" i="7"/>
  <c r="AR61" i="7"/>
  <c r="AR77" i="7" s="1"/>
  <c r="AR45" i="7" a="1"/>
  <c r="AR45" i="7" s="1"/>
  <c r="AR47" i="7" s="1"/>
  <c r="AR75" i="7"/>
  <c r="AR57" i="7"/>
  <c r="AN189" i="7"/>
  <c r="Q57" i="4" s="1"/>
  <c r="AP95" i="7"/>
  <c r="AP71" i="7" s="1"/>
  <c r="AS197" i="7"/>
  <c r="AT193" i="7" s="1"/>
  <c r="AS181" i="7"/>
  <c r="AS179" i="7"/>
  <c r="AS177" i="7"/>
  <c r="AS175" i="7"/>
  <c r="AS173" i="7"/>
  <c r="AS171" i="7"/>
  <c r="AS170" i="7"/>
  <c r="AS166" i="7"/>
  <c r="AS164" i="7"/>
  <c r="AS162" i="7"/>
  <c r="AS160" i="7"/>
  <c r="AS158" i="7"/>
  <c r="AS156" i="7"/>
  <c r="AS154" i="7"/>
  <c r="AS152" i="7"/>
  <c r="AS150" i="7"/>
  <c r="AS178" i="7"/>
  <c r="AS165" i="7"/>
  <c r="AS161" i="7"/>
  <c r="AS172" i="7"/>
  <c r="AS107" i="7"/>
  <c r="AS105" i="7"/>
  <c r="AS176" i="7"/>
  <c r="AS159" i="7"/>
  <c r="AS155" i="7"/>
  <c r="AS145" i="7"/>
  <c r="AS143" i="7"/>
  <c r="AS141" i="7"/>
  <c r="AS139" i="7"/>
  <c r="AS137" i="7"/>
  <c r="AS135" i="7"/>
  <c r="AS133" i="7"/>
  <c r="AS131" i="7"/>
  <c r="AS180" i="7"/>
  <c r="AS174" i="7"/>
  <c r="AS142" i="7"/>
  <c r="AS134" i="7"/>
  <c r="AS68" i="7" a="1"/>
  <c r="AS68" i="7" s="1"/>
  <c r="AS153" i="7"/>
  <c r="AS93" i="7"/>
  <c r="AS140" i="7"/>
  <c r="AS132" i="7"/>
  <c r="AS82" i="7"/>
  <c r="AS157" i="7"/>
  <c r="AS151" i="7"/>
  <c r="AS78" i="7"/>
  <c r="AS144" i="7"/>
  <c r="AS30" i="7"/>
  <c r="AS28" i="7"/>
  <c r="AS45" i="7" s="1" a="1"/>
  <c r="AS45" i="7" s="1"/>
  <c r="AS146" i="7"/>
  <c r="AS183" i="7" s="1" a="1"/>
  <c r="AS183" i="7" s="1"/>
  <c r="AS138" i="7"/>
  <c r="AS104" i="7"/>
  <c r="AS79" i="7"/>
  <c r="AS66" i="7"/>
  <c r="AS64" i="7" s="1"/>
  <c r="AS40" i="7"/>
  <c r="AS38" i="7"/>
  <c r="AS36" i="7"/>
  <c r="AS34" i="7"/>
  <c r="AS32" i="7"/>
  <c r="AS24" i="7"/>
  <c r="AS20" i="7"/>
  <c r="AS16" i="7"/>
  <c r="AS13" i="7"/>
  <c r="AS202" i="7" s="1"/>
  <c r="AS106" i="7"/>
  <c r="AS81" i="7"/>
  <c r="AS163" i="7"/>
  <c r="AS130" i="7"/>
  <c r="AS136" i="7"/>
  <c r="AS11" i="7"/>
  <c r="AS27" i="7"/>
  <c r="AS39" i="7"/>
  <c r="AS35" i="7"/>
  <c r="AS31" i="7"/>
  <c r="AT5" i="7"/>
  <c r="AS50" i="7"/>
  <c r="AS29" i="7"/>
  <c r="AS41" i="7"/>
  <c r="AS37" i="7"/>
  <c r="AS33" i="7"/>
  <c r="AS17" i="7"/>
  <c r="AS100" i="7"/>
  <c r="AS99" i="7" s="1"/>
  <c r="AS12" i="7"/>
  <c r="AS14" i="7"/>
  <c r="AS6" i="7"/>
  <c r="AS18" i="7" s="1"/>
  <c r="AS62" i="7" s="1"/>
  <c r="AS61" i="7" s="1"/>
  <c r="AS77" i="7" s="1"/>
  <c r="AR21" i="7"/>
  <c r="W157" i="7"/>
  <c r="W137" i="7"/>
  <c r="W79" i="7"/>
  <c r="W177" i="7"/>
  <c r="X35" i="7"/>
  <c r="AQ77" i="7"/>
  <c r="T50" i="7"/>
  <c r="T59" i="7" s="1"/>
  <c r="AQ47" i="7"/>
  <c r="Q72" i="7" l="1"/>
  <c r="Q71" i="7" s="1"/>
  <c r="U222" i="7"/>
  <c r="U214" i="7"/>
  <c r="AS47" i="7"/>
  <c r="AQ72" i="7"/>
  <c r="AQ71" i="7" s="1"/>
  <c r="AQ187" i="7" s="1"/>
  <c r="S76" i="7"/>
  <c r="S57" i="7"/>
  <c r="AS44" i="7"/>
  <c r="AT51" i="7"/>
  <c r="AT58" i="7" s="1"/>
  <c r="AT196" i="7"/>
  <c r="AT195" i="7"/>
  <c r="AS75" i="7"/>
  <c r="T76" i="7"/>
  <c r="T57" i="7"/>
  <c r="AT19" i="7"/>
  <c r="AT21" i="7" s="1"/>
  <c r="AR46" i="7"/>
  <c r="AS209" i="7" s="1"/>
  <c r="AS213" i="7" s="1"/>
  <c r="AR96" i="7"/>
  <c r="AR95" i="7" s="1"/>
  <c r="V175" i="7"/>
  <c r="V180" i="7" s="1"/>
  <c r="V181" i="7" s="1"/>
  <c r="V155" i="7"/>
  <c r="V165" i="7" s="1"/>
  <c r="V166" i="7" s="1"/>
  <c r="V135" i="7"/>
  <c r="V145" i="7" s="1"/>
  <c r="V146" i="7" s="1"/>
  <c r="V183" i="7" s="1" a="1"/>
  <c r="V183" i="7" s="1"/>
  <c r="V44" i="7"/>
  <c r="W33" i="7"/>
  <c r="V45" i="7" a="1"/>
  <c r="V45" i="7" s="1"/>
  <c r="AP189" i="7"/>
  <c r="AP187" i="7"/>
  <c r="AP188" i="7"/>
  <c r="AR222" i="7"/>
  <c r="AR214" i="7"/>
  <c r="U47" i="7"/>
  <c r="V50" i="7"/>
  <c r="V59" i="7" s="1"/>
  <c r="AQ223" i="7"/>
  <c r="AR221" i="7"/>
  <c r="AS59" i="7"/>
  <c r="AS21" i="7"/>
  <c r="U50" i="7"/>
  <c r="U46" i="7"/>
  <c r="V209" i="7" s="1"/>
  <c r="V213" i="7" s="1"/>
  <c r="U96" i="7"/>
  <c r="U95" i="7" s="1"/>
  <c r="X158" i="7"/>
  <c r="X178" i="7"/>
  <c r="X138" i="7"/>
  <c r="AT179" i="7"/>
  <c r="AT180" i="7"/>
  <c r="AT177" i="7"/>
  <c r="AT173" i="7"/>
  <c r="AT197" i="7"/>
  <c r="AU193" i="7" s="1"/>
  <c r="AT171" i="7"/>
  <c r="AT172" i="7"/>
  <c r="AT159" i="7"/>
  <c r="AT174" i="7"/>
  <c r="AT181" i="7"/>
  <c r="AT176" i="7"/>
  <c r="AT155" i="7"/>
  <c r="AT150" i="7"/>
  <c r="AT145" i="7"/>
  <c r="AT143" i="7"/>
  <c r="AT141" i="7"/>
  <c r="AT139" i="7"/>
  <c r="AT137" i="7"/>
  <c r="AT135" i="7"/>
  <c r="AT133" i="7"/>
  <c r="AT131" i="7"/>
  <c r="AT163" i="7"/>
  <c r="AT175" i="7"/>
  <c r="AT165" i="7"/>
  <c r="AT178" i="7"/>
  <c r="AT161" i="7"/>
  <c r="AT153" i="7"/>
  <c r="AT93" i="7"/>
  <c r="AT170" i="7"/>
  <c r="AT154" i="7"/>
  <c r="AT140" i="7"/>
  <c r="AT132" i="7"/>
  <c r="AT82" i="7"/>
  <c r="AT157" i="7"/>
  <c r="AT152" i="7"/>
  <c r="AT151" i="7"/>
  <c r="AT106" i="7"/>
  <c r="AT164" i="7"/>
  <c r="AT162" i="7"/>
  <c r="AT166" i="7"/>
  <c r="AT160" i="7"/>
  <c r="AT146" i="7"/>
  <c r="AT183" i="7" s="1" a="1"/>
  <c r="AT183" i="7" s="1"/>
  <c r="AT156" i="7"/>
  <c r="AT142" i="7"/>
  <c r="AT134" i="7"/>
  <c r="AT105" i="7"/>
  <c r="AT138" i="7"/>
  <c r="AT104" i="7"/>
  <c r="AT103" i="7" s="1"/>
  <c r="AT79" i="7"/>
  <c r="AT66" i="7"/>
  <c r="AT64" i="7" s="1"/>
  <c r="AT40" i="7"/>
  <c r="AT38" i="7"/>
  <c r="AT36" i="7"/>
  <c r="AT34" i="7"/>
  <c r="AT32" i="7"/>
  <c r="AT24" i="7"/>
  <c r="AT20" i="7"/>
  <c r="AT158" i="7"/>
  <c r="AT16" i="7"/>
  <c r="AT13" i="7"/>
  <c r="AT202" i="7" s="1"/>
  <c r="AT68" i="7" a="1"/>
  <c r="AT68" i="7" s="1"/>
  <c r="AT50" i="7"/>
  <c r="AT59" i="7" s="1"/>
  <c r="AT76" i="7" s="1"/>
  <c r="AT11" i="7"/>
  <c r="AT107" i="7"/>
  <c r="AT81" i="7"/>
  <c r="AT130" i="7"/>
  <c r="AT100" i="7"/>
  <c r="AT99" i="7" s="1"/>
  <c r="AT136" i="7"/>
  <c r="AT144" i="7"/>
  <c r="AT78" i="7"/>
  <c r="AT30" i="7"/>
  <c r="AT28" i="7"/>
  <c r="AT27" i="7"/>
  <c r="AT39" i="7"/>
  <c r="AT35" i="7"/>
  <c r="AT31" i="7"/>
  <c r="AU5" i="7"/>
  <c r="AT14" i="7"/>
  <c r="AT29" i="7"/>
  <c r="AT41" i="7"/>
  <c r="AT37" i="7"/>
  <c r="AT33" i="7"/>
  <c r="AT17" i="7"/>
  <c r="AT12" i="7"/>
  <c r="AT6" i="7"/>
  <c r="AT18" i="7" s="1"/>
  <c r="AS103" i="7"/>
  <c r="AR55" i="7"/>
  <c r="AR74" i="7"/>
  <c r="AR72" i="7" s="1"/>
  <c r="AR71" i="7" s="1"/>
  <c r="Q189" i="7"/>
  <c r="Q187" i="7"/>
  <c r="Q188" i="7"/>
  <c r="U221" i="7"/>
  <c r="T223" i="7"/>
  <c r="AU4" i="8"/>
  <c r="AR4" i="9"/>
  <c r="AR3" i="9" s="1"/>
  <c r="AT5" i="8"/>
  <c r="AS222" i="7" l="1"/>
  <c r="AS214" i="7"/>
  <c r="V214" i="7"/>
  <c r="V222" i="7"/>
  <c r="AR187" i="7"/>
  <c r="AR188" i="7"/>
  <c r="AR189" i="7"/>
  <c r="AU19" i="7"/>
  <c r="AU21" i="7" s="1"/>
  <c r="W156" i="7"/>
  <c r="W165" i="7" s="1"/>
  <c r="W166" i="7" s="1"/>
  <c r="W136" i="7"/>
  <c r="W145" i="7" s="1"/>
  <c r="W146" i="7" s="1"/>
  <c r="W183" i="7" s="1" a="1"/>
  <c r="W183" i="7" s="1"/>
  <c r="W176" i="7"/>
  <c r="W180" i="7" s="1"/>
  <c r="W181" i="7" s="1"/>
  <c r="X78" i="7"/>
  <c r="W45" i="7" a="1"/>
  <c r="W45" i="7" s="1"/>
  <c r="X34" i="7"/>
  <c r="W44" i="7"/>
  <c r="AS74" i="7"/>
  <c r="AS221" i="7"/>
  <c r="AR223" i="7"/>
  <c r="AT75" i="7"/>
  <c r="AT57" i="7"/>
  <c r="AT209" i="7"/>
  <c r="AT213" i="7" s="1"/>
  <c r="AS46" i="7"/>
  <c r="AS96" i="7"/>
  <c r="AV4" i="8"/>
  <c r="AU5" i="8"/>
  <c r="AS4" i="9"/>
  <c r="AS3" i="9" s="1"/>
  <c r="V46" i="7"/>
  <c r="W209" i="7" s="1"/>
  <c r="W213" i="7" s="1"/>
  <c r="V96" i="7"/>
  <c r="AU180" i="7"/>
  <c r="AU178" i="7"/>
  <c r="AU176" i="7"/>
  <c r="AU166" i="7"/>
  <c r="AU164" i="7"/>
  <c r="AU171" i="7"/>
  <c r="AU172" i="7"/>
  <c r="AU177" i="7"/>
  <c r="AU174" i="7"/>
  <c r="AU173" i="7"/>
  <c r="AU157" i="7"/>
  <c r="AU181" i="7"/>
  <c r="AU179" i="7"/>
  <c r="AU197" i="7"/>
  <c r="AV193" i="7" s="1"/>
  <c r="AU163" i="7"/>
  <c r="AU159" i="7"/>
  <c r="AU153" i="7"/>
  <c r="AU162" i="7"/>
  <c r="AU158" i="7"/>
  <c r="AU154" i="7"/>
  <c r="AU152" i="7"/>
  <c r="AU170" i="7"/>
  <c r="AU140" i="7"/>
  <c r="AU137" i="7"/>
  <c r="AU132" i="7"/>
  <c r="AU82" i="7"/>
  <c r="AU50" i="7"/>
  <c r="AU59" i="7" s="1"/>
  <c r="AU76" i="7" s="1"/>
  <c r="AU151" i="7"/>
  <c r="AU145" i="7"/>
  <c r="AU106" i="7"/>
  <c r="AU79" i="7"/>
  <c r="AU165" i="7"/>
  <c r="AU143" i="7"/>
  <c r="AU138" i="7"/>
  <c r="AU135" i="7"/>
  <c r="AU130" i="7"/>
  <c r="AU104" i="7"/>
  <c r="AU103" i="7" s="1"/>
  <c r="AU160" i="7"/>
  <c r="AU155" i="7"/>
  <c r="AU150" i="7"/>
  <c r="AU175" i="7"/>
  <c r="AU144" i="7"/>
  <c r="AU161" i="7"/>
  <c r="AU93" i="7"/>
  <c r="AU146" i="7"/>
  <c r="AU183" i="7" s="1" a="1"/>
  <c r="AU183" i="7" s="1"/>
  <c r="AU68" i="7" a="1"/>
  <c r="AU68" i="7" s="1"/>
  <c r="AU16" i="7"/>
  <c r="AU13" i="7"/>
  <c r="AU202" i="7" s="1"/>
  <c r="AU133" i="7"/>
  <c r="AU11" i="7"/>
  <c r="AU107" i="7"/>
  <c r="AU81" i="7"/>
  <c r="AU29" i="7"/>
  <c r="AU27" i="7"/>
  <c r="AU139" i="7"/>
  <c r="AU134" i="7"/>
  <c r="AU100" i="7"/>
  <c r="AU99" i="7" s="1"/>
  <c r="AU141" i="7"/>
  <c r="AU136" i="7"/>
  <c r="AU156" i="7"/>
  <c r="AU142" i="7"/>
  <c r="AU131" i="7"/>
  <c r="AU105" i="7"/>
  <c r="AU66" i="7"/>
  <c r="AU64" i="7" s="1"/>
  <c r="AU40" i="7"/>
  <c r="AU38" i="7"/>
  <c r="AU36" i="7"/>
  <c r="AU34" i="7"/>
  <c r="AU32" i="7"/>
  <c r="AU24" i="7"/>
  <c r="AU20" i="7"/>
  <c r="AU39" i="7"/>
  <c r="AU35" i="7"/>
  <c r="AU31" i="7"/>
  <c r="AV5" i="7"/>
  <c r="AU14" i="7"/>
  <c r="AU28" i="7"/>
  <c r="AU17" i="7"/>
  <c r="AU41" i="7"/>
  <c r="AU37" i="7"/>
  <c r="AU33" i="7"/>
  <c r="AU12" i="7"/>
  <c r="AU78" i="7"/>
  <c r="AU30" i="7"/>
  <c r="AU6" i="7"/>
  <c r="AU18" i="7" s="1"/>
  <c r="AU62" i="7" s="1"/>
  <c r="AU61" i="7" s="1"/>
  <c r="AU77" i="7" s="1"/>
  <c r="AS76" i="7"/>
  <c r="AQ188" i="7"/>
  <c r="U223" i="7"/>
  <c r="V221" i="7"/>
  <c r="AT62" i="7"/>
  <c r="T55" i="7"/>
  <c r="T81" i="7"/>
  <c r="T82" i="7"/>
  <c r="AQ189" i="7"/>
  <c r="AT44" i="7"/>
  <c r="AU51" i="7"/>
  <c r="AU58" i="7" s="1"/>
  <c r="AT45" i="7" a="1"/>
  <c r="AT45" i="7" s="1"/>
  <c r="AT47" i="7" s="1"/>
  <c r="V76" i="7"/>
  <c r="V57" i="7"/>
  <c r="W78" i="7"/>
  <c r="S55" i="7"/>
  <c r="S81" i="7"/>
  <c r="S82" i="7"/>
  <c r="T74" i="7"/>
  <c r="T72" i="7" s="1"/>
  <c r="T71" i="7" s="1"/>
  <c r="AU195" i="7"/>
  <c r="AU196" i="7"/>
  <c r="U59" i="7"/>
  <c r="V47" i="7"/>
  <c r="W50" i="7"/>
  <c r="W59" i="7" s="1"/>
  <c r="AS57" i="7"/>
  <c r="S74" i="7"/>
  <c r="W222" i="7" l="1"/>
  <c r="W214" i="7"/>
  <c r="AV196" i="7"/>
  <c r="AV195" i="7"/>
  <c r="V55" i="7"/>
  <c r="V81" i="7"/>
  <c r="V82" i="7"/>
  <c r="W221" i="7"/>
  <c r="V223" i="7"/>
  <c r="AT55" i="7"/>
  <c r="AS72" i="7"/>
  <c r="W76" i="7"/>
  <c r="W57" i="7"/>
  <c r="V74" i="7"/>
  <c r="V72" i="7" s="1"/>
  <c r="AV19" i="7"/>
  <c r="AW4" i="8"/>
  <c r="AT4" i="9"/>
  <c r="AT3" i="9" s="1"/>
  <c r="AV5" i="8"/>
  <c r="AU75" i="7"/>
  <c r="AU74" i="7" s="1"/>
  <c r="AU72" i="7" s="1"/>
  <c r="AU57" i="7"/>
  <c r="AU55" i="7" s="1"/>
  <c r="T189" i="7"/>
  <c r="T187" i="7"/>
  <c r="T188" i="7"/>
  <c r="AS95" i="7"/>
  <c r="W46" i="7"/>
  <c r="W96" i="7"/>
  <c r="W95" i="7" s="1"/>
  <c r="S72" i="7"/>
  <c r="S71" i="7" s="1"/>
  <c r="AS55" i="7"/>
  <c r="AV177" i="7"/>
  <c r="AV173" i="7"/>
  <c r="AV175" i="7"/>
  <c r="AV181" i="7"/>
  <c r="AV174" i="7"/>
  <c r="AV155" i="7"/>
  <c r="AV176" i="7"/>
  <c r="AV166" i="7"/>
  <c r="AV197" i="7"/>
  <c r="AW193" i="7" s="1"/>
  <c r="AV178" i="7"/>
  <c r="AV153" i="7"/>
  <c r="AV160" i="7"/>
  <c r="AV156" i="7"/>
  <c r="AV151" i="7"/>
  <c r="AV179" i="7"/>
  <c r="AV172" i="7"/>
  <c r="AV150" i="7"/>
  <c r="AV145" i="7"/>
  <c r="AV159" i="7"/>
  <c r="AV154" i="7"/>
  <c r="AV106" i="7"/>
  <c r="AV79" i="7"/>
  <c r="AV165" i="7"/>
  <c r="AV157" i="7"/>
  <c r="AV152" i="7"/>
  <c r="AV143" i="7"/>
  <c r="AV138" i="7"/>
  <c r="AV135" i="7"/>
  <c r="AV130" i="7"/>
  <c r="AV104" i="7"/>
  <c r="AV164" i="7"/>
  <c r="AV162" i="7"/>
  <c r="AV146" i="7"/>
  <c r="AV183" i="7" s="1" a="1"/>
  <c r="AV183" i="7" s="1"/>
  <c r="AV100" i="7"/>
  <c r="AV99" i="7" s="1"/>
  <c r="AV180" i="7"/>
  <c r="AV171" i="7"/>
  <c r="AV170" i="7"/>
  <c r="AV140" i="7"/>
  <c r="AV137" i="7"/>
  <c r="AV132" i="7"/>
  <c r="AV82" i="7"/>
  <c r="AV158" i="7"/>
  <c r="AV133" i="7"/>
  <c r="AV11" i="7"/>
  <c r="AV107" i="7"/>
  <c r="AV81" i="7"/>
  <c r="AV50" i="7"/>
  <c r="AV59" i="7" s="1"/>
  <c r="AV76" i="7" s="1"/>
  <c r="AV29" i="7"/>
  <c r="AV27" i="7"/>
  <c r="AV139" i="7"/>
  <c r="AV134" i="7"/>
  <c r="AV41" i="7"/>
  <c r="AV39" i="7"/>
  <c r="AV37" i="7"/>
  <c r="AV35" i="7"/>
  <c r="AV33" i="7"/>
  <c r="AV31" i="7"/>
  <c r="AV17" i="7"/>
  <c r="AW5" i="7"/>
  <c r="AV161" i="7"/>
  <c r="AV163" i="7"/>
  <c r="AV141" i="7"/>
  <c r="AV136" i="7"/>
  <c r="AV144" i="7"/>
  <c r="AV142" i="7"/>
  <c r="AV131" i="7"/>
  <c r="AV93" i="7"/>
  <c r="AV16" i="7"/>
  <c r="AV13" i="7"/>
  <c r="AV202" i="7" s="1"/>
  <c r="AV14" i="7"/>
  <c r="AV45" i="7" a="1"/>
  <c r="AV45" i="7" s="1"/>
  <c r="AV28" i="7"/>
  <c r="AV40" i="7"/>
  <c r="AV36" i="7"/>
  <c r="AV20" i="7"/>
  <c r="AV6" i="7"/>
  <c r="AV18" i="7" s="1"/>
  <c r="AV32" i="7"/>
  <c r="AV12" i="7"/>
  <c r="AV105" i="7"/>
  <c r="AV78" i="7"/>
  <c r="AV68" i="7" a="1"/>
  <c r="AV68" i="7" s="1"/>
  <c r="AV66" i="7"/>
  <c r="AV64" i="7" s="1"/>
  <c r="AV38" i="7"/>
  <c r="AV34" i="7"/>
  <c r="AV24" i="7"/>
  <c r="U76" i="7"/>
  <c r="U57" i="7"/>
  <c r="AU209" i="7"/>
  <c r="AU213" i="7" s="1"/>
  <c r="AT46" i="7"/>
  <c r="AT96" i="7"/>
  <c r="AT95" i="7" s="1"/>
  <c r="AT61" i="7"/>
  <c r="X137" i="7"/>
  <c r="X145" i="7" s="1"/>
  <c r="X146" i="7" s="1"/>
  <c r="X183" i="7" s="1" a="1"/>
  <c r="X183" i="7" s="1"/>
  <c r="P39" i="4" s="1"/>
  <c r="X177" i="7"/>
  <c r="X157" i="7"/>
  <c r="X79" i="7"/>
  <c r="X44" i="7"/>
  <c r="AV51" i="7"/>
  <c r="AV58" i="7" s="1"/>
  <c r="AU44" i="7"/>
  <c r="S188" i="7"/>
  <c r="S187" i="7"/>
  <c r="S189" i="7"/>
  <c r="AU45" i="7" a="1"/>
  <c r="AU45" i="7" s="1"/>
  <c r="V95" i="7"/>
  <c r="AT214" i="7"/>
  <c r="AT222" i="7"/>
  <c r="W47" i="7"/>
  <c r="X209" i="7" s="1"/>
  <c r="X213" i="7" s="1"/>
  <c r="X50" i="7"/>
  <c r="X59" i="7" s="1"/>
  <c r="AS223" i="7"/>
  <c r="AT221" i="7"/>
  <c r="X222" i="7" l="1"/>
  <c r="X214" i="7"/>
  <c r="AU222" i="7"/>
  <c r="AU214" i="7"/>
  <c r="AW51" i="7"/>
  <c r="AW58" i="7" s="1"/>
  <c r="AV44" i="7"/>
  <c r="V188" i="7"/>
  <c r="X76" i="7"/>
  <c r="X57" i="7"/>
  <c r="P31" i="4" s="1"/>
  <c r="P33" i="4"/>
  <c r="AW195" i="7"/>
  <c r="AW196" i="7"/>
  <c r="P29" i="4"/>
  <c r="P11" i="4" s="1"/>
  <c r="U55" i="7"/>
  <c r="U82" i="7"/>
  <c r="U81" i="7"/>
  <c r="U74" i="7" s="1"/>
  <c r="AV47" i="7"/>
  <c r="AS71" i="7"/>
  <c r="AU221" i="7"/>
  <c r="AT223" i="7"/>
  <c r="AS188" i="7"/>
  <c r="AS187" i="7"/>
  <c r="AS189" i="7"/>
  <c r="AV103" i="7"/>
  <c r="AV209" i="7"/>
  <c r="AV213" i="7" s="1"/>
  <c r="AU46" i="7"/>
  <c r="AT77" i="7"/>
  <c r="AT74" i="7" s="1"/>
  <c r="AV62" i="7"/>
  <c r="AV61" i="7" s="1"/>
  <c r="AV77" i="7" s="1"/>
  <c r="AW19" i="7"/>
  <c r="AW21" i="7" s="1"/>
  <c r="AV21" i="7"/>
  <c r="P16" i="4"/>
  <c r="AX4" i="8"/>
  <c r="AW5" i="8"/>
  <c r="AU4" i="9"/>
  <c r="AU3" i="9" s="1"/>
  <c r="AV75" i="7"/>
  <c r="AV74" i="7" s="1"/>
  <c r="AV72" i="7" s="1"/>
  <c r="AV57" i="7"/>
  <c r="AW180" i="7"/>
  <c r="AW178" i="7"/>
  <c r="AW176" i="7"/>
  <c r="AW174" i="7"/>
  <c r="AW172" i="7"/>
  <c r="AW170" i="7"/>
  <c r="AW171" i="7"/>
  <c r="AW165" i="7"/>
  <c r="AW163" i="7"/>
  <c r="AW161" i="7"/>
  <c r="AW159" i="7"/>
  <c r="AW157" i="7"/>
  <c r="AW155" i="7"/>
  <c r="AW153" i="7"/>
  <c r="AW151" i="7"/>
  <c r="AW146" i="7"/>
  <c r="AW183" i="7" s="1" a="1"/>
  <c r="AW183" i="7" s="1"/>
  <c r="AW197" i="7"/>
  <c r="AX193" i="7" s="1"/>
  <c r="AW177" i="7"/>
  <c r="AW173" i="7"/>
  <c r="AW181" i="7"/>
  <c r="AW166" i="7"/>
  <c r="AW162" i="7"/>
  <c r="AW160" i="7"/>
  <c r="AW156" i="7"/>
  <c r="AW106" i="7"/>
  <c r="AW104" i="7"/>
  <c r="AW100" i="7"/>
  <c r="AW99" i="7" s="1"/>
  <c r="AW144" i="7"/>
  <c r="AW142" i="7"/>
  <c r="AW140" i="7"/>
  <c r="AW138" i="7"/>
  <c r="AW136" i="7"/>
  <c r="AW134" i="7"/>
  <c r="AW132" i="7"/>
  <c r="AW130" i="7"/>
  <c r="AW179" i="7"/>
  <c r="AW152" i="7"/>
  <c r="AW145" i="7"/>
  <c r="AW143" i="7"/>
  <c r="AW135" i="7"/>
  <c r="AW68" i="7" a="1"/>
  <c r="AW68" i="7" s="1"/>
  <c r="AW66" i="7"/>
  <c r="AW64" i="7" s="1"/>
  <c r="AW164" i="7"/>
  <c r="AW150" i="7"/>
  <c r="AW141" i="7"/>
  <c r="AW133" i="7"/>
  <c r="AW175" i="7"/>
  <c r="AW158" i="7"/>
  <c r="AW154" i="7"/>
  <c r="AW79" i="7"/>
  <c r="AW107" i="7"/>
  <c r="AW81" i="7"/>
  <c r="AW50" i="7"/>
  <c r="AW59" i="7" s="1"/>
  <c r="AW76" i="7" s="1"/>
  <c r="AW29" i="7"/>
  <c r="AW27" i="7"/>
  <c r="AW139" i="7"/>
  <c r="AW82" i="7"/>
  <c r="AW41" i="7"/>
  <c r="AW39" i="7"/>
  <c r="AW37" i="7"/>
  <c r="AW35" i="7"/>
  <c r="AW33" i="7"/>
  <c r="AW31" i="7"/>
  <c r="AW17" i="7"/>
  <c r="AX5" i="7"/>
  <c r="AW14" i="7"/>
  <c r="AW12" i="7"/>
  <c r="AW78" i="7"/>
  <c r="AW131" i="7"/>
  <c r="AW105" i="7"/>
  <c r="AW137" i="7"/>
  <c r="AW11" i="7"/>
  <c r="AX19" i="7" s="1"/>
  <c r="AW93" i="7"/>
  <c r="AW28" i="7"/>
  <c r="AW45" i="7" s="1" a="1"/>
  <c r="AW45" i="7" s="1"/>
  <c r="AW40" i="7"/>
  <c r="AW36" i="7"/>
  <c r="AW32" i="7"/>
  <c r="AW20" i="7"/>
  <c r="AW38" i="7"/>
  <c r="AW34" i="7"/>
  <c r="AW30" i="7"/>
  <c r="AW24" i="7"/>
  <c r="AW13" i="7"/>
  <c r="AW202" i="7" s="1"/>
  <c r="AW16" i="7"/>
  <c r="AW6" i="7"/>
  <c r="AW18" i="7" s="1"/>
  <c r="V71" i="7"/>
  <c r="V187" i="7" s="1"/>
  <c r="W223" i="7"/>
  <c r="X221" i="7"/>
  <c r="AU47" i="7"/>
  <c r="Y209" i="7"/>
  <c r="Y213" i="7" s="1"/>
  <c r="X46" i="7"/>
  <c r="X180" i="7"/>
  <c r="X165" i="7"/>
  <c r="X166" i="7" s="1"/>
  <c r="X47" i="7"/>
  <c r="X96" i="7"/>
  <c r="W55" i="7"/>
  <c r="W82" i="7"/>
  <c r="W81" i="7"/>
  <c r="W74" i="7" s="1"/>
  <c r="W72" i="7" s="1"/>
  <c r="W71" i="7" s="1"/>
  <c r="AU96" i="7"/>
  <c r="U72" i="7" l="1"/>
  <c r="U71" i="7" s="1"/>
  <c r="P13" i="4"/>
  <c r="X181" i="7"/>
  <c r="X68" i="7" a="1"/>
  <c r="X68" i="7" s="1"/>
  <c r="AT72" i="7"/>
  <c r="AT71" i="7" s="1"/>
  <c r="AW103" i="7"/>
  <c r="X95" i="7"/>
  <c r="P49" i="4"/>
  <c r="W189" i="7"/>
  <c r="W187" i="7"/>
  <c r="W188" i="7"/>
  <c r="AX5" i="8"/>
  <c r="AY4" i="8"/>
  <c r="AV4" i="9"/>
  <c r="AV3" i="9" s="1"/>
  <c r="AV46" i="7"/>
  <c r="AW209" i="7" s="1"/>
  <c r="AW213" i="7" s="1"/>
  <c r="X55" i="7"/>
  <c r="X82" i="7"/>
  <c r="X74" i="7" s="1"/>
  <c r="X81" i="7"/>
  <c r="AW75" i="7"/>
  <c r="AW57" i="7"/>
  <c r="U188" i="7"/>
  <c r="U189" i="7"/>
  <c r="U187" i="7"/>
  <c r="P30" i="4"/>
  <c r="V189" i="7"/>
  <c r="AU223" i="7"/>
  <c r="AV221" i="7"/>
  <c r="Y222" i="7"/>
  <c r="Y214" i="7"/>
  <c r="AV222" i="7"/>
  <c r="AV214" i="7"/>
  <c r="AX180" i="7"/>
  <c r="AX175" i="7"/>
  <c r="AX181" i="7"/>
  <c r="AX178" i="7"/>
  <c r="AX174" i="7"/>
  <c r="AX176" i="7"/>
  <c r="AX160" i="7"/>
  <c r="AX151" i="7"/>
  <c r="AX144" i="7"/>
  <c r="AX142" i="7"/>
  <c r="AX140" i="7"/>
  <c r="AX138" i="7"/>
  <c r="AX136" i="7"/>
  <c r="AX134" i="7"/>
  <c r="AX132" i="7"/>
  <c r="AX130" i="7"/>
  <c r="AX170" i="7"/>
  <c r="AX146" i="7"/>
  <c r="AX183" i="7" s="1" a="1"/>
  <c r="AX183" i="7" s="1"/>
  <c r="AX171" i="7"/>
  <c r="AX163" i="7"/>
  <c r="AX159" i="7"/>
  <c r="AX155" i="7"/>
  <c r="AX197" i="7"/>
  <c r="AY193" i="7" s="1"/>
  <c r="AX177" i="7"/>
  <c r="AX172" i="7"/>
  <c r="AX165" i="7"/>
  <c r="AX164" i="7"/>
  <c r="AX157" i="7"/>
  <c r="AX104" i="7"/>
  <c r="AX162" i="7"/>
  <c r="AX150" i="7"/>
  <c r="AX141" i="7"/>
  <c r="AX133" i="7"/>
  <c r="AX100" i="7"/>
  <c r="AX99" i="7" s="1"/>
  <c r="AX81" i="7"/>
  <c r="AX107" i="7"/>
  <c r="AX166" i="7"/>
  <c r="AX158" i="7"/>
  <c r="AX173" i="7"/>
  <c r="AX179" i="7"/>
  <c r="AX153" i="7"/>
  <c r="AX152" i="7"/>
  <c r="AX145" i="7"/>
  <c r="AX143" i="7"/>
  <c r="AX135" i="7"/>
  <c r="AX106" i="7"/>
  <c r="AX139" i="7"/>
  <c r="AX82" i="7"/>
  <c r="AX41" i="7"/>
  <c r="AX39" i="7"/>
  <c r="AX37" i="7"/>
  <c r="AX35" i="7"/>
  <c r="AX33" i="7"/>
  <c r="AX31" i="7"/>
  <c r="AX17" i="7"/>
  <c r="AY5" i="7"/>
  <c r="AX14" i="7"/>
  <c r="AX12" i="7"/>
  <c r="AX161" i="7"/>
  <c r="AX78" i="7"/>
  <c r="AX131" i="7"/>
  <c r="AX105" i="7"/>
  <c r="AX68" i="7" a="1"/>
  <c r="AX68" i="7" s="1"/>
  <c r="AX154" i="7"/>
  <c r="AX156" i="7"/>
  <c r="AX137" i="7"/>
  <c r="AX79" i="7"/>
  <c r="AX50" i="7"/>
  <c r="AX59" i="7" s="1"/>
  <c r="AX76" i="7" s="1"/>
  <c r="AX29" i="7"/>
  <c r="AX27" i="7"/>
  <c r="AX93" i="7"/>
  <c r="AX28" i="7"/>
  <c r="AX40" i="7"/>
  <c r="AX36" i="7"/>
  <c r="AX32" i="7"/>
  <c r="AX20" i="7"/>
  <c r="AX21" i="7" s="1"/>
  <c r="AX16" i="7"/>
  <c r="AX11" i="7"/>
  <c r="AY19" i="7" s="1"/>
  <c r="AX38" i="7"/>
  <c r="AX34" i="7"/>
  <c r="AX30" i="7"/>
  <c r="AX24" i="7"/>
  <c r="AX66" i="7"/>
  <c r="AX64" i="7" s="1"/>
  <c r="AX13" i="7"/>
  <c r="AX202" i="7" s="1"/>
  <c r="AX6" i="7"/>
  <c r="AX18" i="7" s="1"/>
  <c r="AX62" i="7" s="1"/>
  <c r="AX61" i="7" s="1"/>
  <c r="AX77" i="7" s="1"/>
  <c r="AX196" i="7"/>
  <c r="AX195" i="7"/>
  <c r="AU95" i="7"/>
  <c r="AU71" i="7" s="1"/>
  <c r="AX51" i="7"/>
  <c r="AX58" i="7" s="1"/>
  <c r="AW44" i="7"/>
  <c r="Y221" i="7"/>
  <c r="X223" i="7"/>
  <c r="AW62" i="7"/>
  <c r="AW61" i="7" s="1"/>
  <c r="AW77" i="7" s="1"/>
  <c r="AV55" i="7"/>
  <c r="AV96" i="7"/>
  <c r="AV95" i="7" s="1"/>
  <c r="AV71" i="7" s="1"/>
  <c r="AW222" i="7" l="1"/>
  <c r="AW214" i="7"/>
  <c r="X72" i="7"/>
  <c r="X71" i="7" s="1"/>
  <c r="P43" i="4"/>
  <c r="P41" i="4" s="1"/>
  <c r="AY51" i="7"/>
  <c r="AY58" i="7" s="1"/>
  <c r="AX44" i="7"/>
  <c r="AY196" i="7"/>
  <c r="AY195" i="7"/>
  <c r="X188" i="7"/>
  <c r="X187" i="7"/>
  <c r="X189" i="7"/>
  <c r="P38" i="4"/>
  <c r="AW221" i="7"/>
  <c r="AV223" i="7"/>
  <c r="P57" i="4"/>
  <c r="AX209" i="7"/>
  <c r="AX213" i="7" s="1"/>
  <c r="AW46" i="7"/>
  <c r="AW96" i="7"/>
  <c r="AW95" i="7" s="1"/>
  <c r="AX103" i="7"/>
  <c r="P48" i="4"/>
  <c r="AX57" i="7"/>
  <c r="AX55" i="7" s="1"/>
  <c r="AX75" i="7"/>
  <c r="AX74" i="7" s="1"/>
  <c r="AX72" i="7" s="1"/>
  <c r="Y223" i="7"/>
  <c r="Z221" i="7"/>
  <c r="AW55" i="7"/>
  <c r="AW47" i="7"/>
  <c r="AU187" i="7"/>
  <c r="AU188" i="7"/>
  <c r="AU189" i="7"/>
  <c r="AY197" i="7"/>
  <c r="AZ193" i="7" s="1"/>
  <c r="AY181" i="7"/>
  <c r="AY179" i="7"/>
  <c r="AY177" i="7"/>
  <c r="AY175" i="7"/>
  <c r="AY165" i="7"/>
  <c r="AY172" i="7"/>
  <c r="AY176" i="7"/>
  <c r="AY164" i="7"/>
  <c r="AY158" i="7"/>
  <c r="AY180" i="7"/>
  <c r="AY170" i="7"/>
  <c r="AY146" i="7"/>
  <c r="AY183" i="7" s="1" a="1"/>
  <c r="AY183" i="7" s="1"/>
  <c r="AY166" i="7"/>
  <c r="AY161" i="7"/>
  <c r="AY157" i="7"/>
  <c r="AY178" i="7"/>
  <c r="AY156" i="7"/>
  <c r="AY153" i="7"/>
  <c r="AY162" i="7"/>
  <c r="AY151" i="7"/>
  <c r="AY150" i="7"/>
  <c r="AY141" i="7"/>
  <c r="AY138" i="7"/>
  <c r="AY133" i="7"/>
  <c r="AY130" i="7"/>
  <c r="AY100" i="7"/>
  <c r="AY99" i="7" s="1"/>
  <c r="AY81" i="7"/>
  <c r="AY107" i="7"/>
  <c r="AY78" i="7"/>
  <c r="AY160" i="7"/>
  <c r="AY155" i="7"/>
  <c r="AY144" i="7"/>
  <c r="AY139" i="7"/>
  <c r="AY136" i="7"/>
  <c r="AY131" i="7"/>
  <c r="AY105" i="7"/>
  <c r="AY173" i="7"/>
  <c r="AY163" i="7"/>
  <c r="AY174" i="7"/>
  <c r="AY159" i="7"/>
  <c r="AY104" i="7"/>
  <c r="AY14" i="7"/>
  <c r="AY12" i="7"/>
  <c r="AY171" i="7"/>
  <c r="AY134" i="7"/>
  <c r="AY68" i="7" a="1"/>
  <c r="AY68" i="7" s="1"/>
  <c r="AY28" i="7"/>
  <c r="AY140" i="7"/>
  <c r="AY135" i="7"/>
  <c r="AY106" i="7"/>
  <c r="AY154" i="7"/>
  <c r="AY93" i="7"/>
  <c r="AY152" i="7"/>
  <c r="AY142" i="7"/>
  <c r="AY137" i="7"/>
  <c r="AY145" i="7"/>
  <c r="AY143" i="7"/>
  <c r="AY132" i="7"/>
  <c r="AY82" i="7"/>
  <c r="AY41" i="7"/>
  <c r="AY39" i="7"/>
  <c r="AY37" i="7"/>
  <c r="AY35" i="7"/>
  <c r="AY33" i="7"/>
  <c r="AY31" i="7"/>
  <c r="AY17" i="7"/>
  <c r="AZ5" i="7"/>
  <c r="AY40" i="7"/>
  <c r="AY36" i="7"/>
  <c r="AY32" i="7"/>
  <c r="AY20" i="7"/>
  <c r="AY21" i="7" s="1"/>
  <c r="AY16" i="7"/>
  <c r="AY11" i="7"/>
  <c r="AY29" i="7"/>
  <c r="AY45" i="7" s="1" a="1"/>
  <c r="AY45" i="7" s="1"/>
  <c r="AY50" i="7"/>
  <c r="AY59" i="7" s="1"/>
  <c r="AY76" i="7" s="1"/>
  <c r="AY79" i="7"/>
  <c r="AY38" i="7"/>
  <c r="AY34" i="7"/>
  <c r="AY30" i="7"/>
  <c r="AY24" i="7"/>
  <c r="AY66" i="7"/>
  <c r="AY64" i="7" s="1"/>
  <c r="AY13" i="7"/>
  <c r="AY202" i="7" s="1"/>
  <c r="AY27" i="7"/>
  <c r="AY6" i="7"/>
  <c r="AY18" i="7" s="1"/>
  <c r="AX45" i="7" a="1"/>
  <c r="AX45" i="7" s="1"/>
  <c r="AX47" i="7" s="1"/>
  <c r="AW74" i="7"/>
  <c r="AW4" i="9"/>
  <c r="AW3" i="9" s="1"/>
  <c r="AY5" i="8"/>
  <c r="AZ4" i="8"/>
  <c r="AV188" i="7"/>
  <c r="AV189" i="7"/>
  <c r="AV187" i="7"/>
  <c r="AT188" i="7"/>
  <c r="AT189" i="7"/>
  <c r="AT187" i="7"/>
  <c r="AY96" i="7" l="1"/>
  <c r="AY95" i="7" s="1"/>
  <c r="AZ19" i="7"/>
  <c r="AZ21" i="7" s="1"/>
  <c r="AZ51" i="7"/>
  <c r="AZ58" i="7" s="1"/>
  <c r="AY44" i="7"/>
  <c r="AZ178" i="7"/>
  <c r="AZ174" i="7"/>
  <c r="AZ197" i="7"/>
  <c r="BA193" i="7" s="1"/>
  <c r="AZ176" i="7"/>
  <c r="AZ170" i="7"/>
  <c r="AZ181" i="7"/>
  <c r="AZ180" i="7"/>
  <c r="AZ156" i="7"/>
  <c r="AZ179" i="7"/>
  <c r="AZ175" i="7"/>
  <c r="AZ177" i="7"/>
  <c r="AZ166" i="7"/>
  <c r="AZ161" i="7"/>
  <c r="AZ157" i="7"/>
  <c r="AZ164" i="7"/>
  <c r="AZ154" i="7"/>
  <c r="AZ152" i="7"/>
  <c r="AZ160" i="7"/>
  <c r="AZ151" i="7"/>
  <c r="AZ107" i="7"/>
  <c r="R56" i="4" s="1"/>
  <c r="AZ78" i="7"/>
  <c r="AZ155" i="7"/>
  <c r="AZ146" i="7"/>
  <c r="AZ183" i="7" s="1" a="1"/>
  <c r="AZ183" i="7" s="1"/>
  <c r="R39" i="4" s="1"/>
  <c r="AZ144" i="7"/>
  <c r="AZ139" i="7"/>
  <c r="AZ136" i="7"/>
  <c r="AZ131" i="7"/>
  <c r="AZ105" i="7"/>
  <c r="R54" i="4" s="1"/>
  <c r="AZ173" i="7"/>
  <c r="AZ158" i="7"/>
  <c r="AZ93" i="7"/>
  <c r="AZ163" i="7"/>
  <c r="AZ172" i="7"/>
  <c r="AZ165" i="7"/>
  <c r="AZ162" i="7"/>
  <c r="AZ150" i="7"/>
  <c r="AZ141" i="7"/>
  <c r="AZ138" i="7"/>
  <c r="AZ133" i="7"/>
  <c r="AZ130" i="7"/>
  <c r="AZ100" i="7"/>
  <c r="AZ99" i="7" s="1"/>
  <c r="R51" i="4" s="1"/>
  <c r="AZ81" i="7"/>
  <c r="AZ171" i="7"/>
  <c r="AZ134" i="7"/>
  <c r="AZ68" i="7" a="1"/>
  <c r="AZ68" i="7" s="1"/>
  <c r="AZ159" i="7"/>
  <c r="AZ28" i="7"/>
  <c r="AZ140" i="7"/>
  <c r="AZ135" i="7"/>
  <c r="AZ106" i="7"/>
  <c r="R55" i="4" s="1"/>
  <c r="AZ40" i="7"/>
  <c r="AZ38" i="7"/>
  <c r="AZ36" i="7"/>
  <c r="AZ34" i="7"/>
  <c r="AZ32" i="7"/>
  <c r="AZ30" i="7"/>
  <c r="AZ24" i="7"/>
  <c r="AZ20" i="7"/>
  <c r="AZ142" i="7"/>
  <c r="AZ137" i="7"/>
  <c r="AZ153" i="7"/>
  <c r="AZ145" i="7"/>
  <c r="AZ143" i="7"/>
  <c r="AZ132" i="7"/>
  <c r="AZ104" i="7"/>
  <c r="AZ14" i="7"/>
  <c r="AZ12" i="7"/>
  <c r="AZ16" i="7"/>
  <c r="AZ11" i="7"/>
  <c r="AZ82" i="7"/>
  <c r="AZ50" i="7"/>
  <c r="AZ29" i="7"/>
  <c r="AZ41" i="7"/>
  <c r="AZ37" i="7"/>
  <c r="AZ33" i="7"/>
  <c r="AZ13" i="7"/>
  <c r="AZ202" i="7" s="1"/>
  <c r="AZ79" i="7"/>
  <c r="AZ66" i="7"/>
  <c r="AZ64" i="7" s="1"/>
  <c r="R37" i="4" s="1"/>
  <c r="AZ27" i="7"/>
  <c r="AZ39" i="7"/>
  <c r="AZ35" i="7"/>
  <c r="AZ31" i="7"/>
  <c r="AZ45" i="7" s="1" a="1"/>
  <c r="AZ45" i="7" s="1"/>
  <c r="BA5" i="7"/>
  <c r="AZ17" i="7"/>
  <c r="AZ6" i="7"/>
  <c r="AZ18" i="7" s="1"/>
  <c r="AY209" i="7"/>
  <c r="AY213" i="7" s="1"/>
  <c r="AX46" i="7"/>
  <c r="AX96" i="7"/>
  <c r="AX95" i="7" s="1"/>
  <c r="AZ5" i="8"/>
  <c r="AX4" i="9"/>
  <c r="AX3" i="9" s="1"/>
  <c r="BA4" i="8"/>
  <c r="AW189" i="7"/>
  <c r="AW187" i="7"/>
  <c r="AW188" i="7"/>
  <c r="AX214" i="7"/>
  <c r="AX222" i="7"/>
  <c r="AY57" i="7"/>
  <c r="AY55" i="7" s="1"/>
  <c r="AY75" i="7"/>
  <c r="AY74" i="7" s="1"/>
  <c r="AY72" i="7" s="1"/>
  <c r="AY71" i="7" s="1"/>
  <c r="AX71" i="7"/>
  <c r="AX187" i="7" s="1"/>
  <c r="P40" i="4"/>
  <c r="P18" i="4"/>
  <c r="P17" i="4" s="1"/>
  <c r="AY103" i="7"/>
  <c r="AW72" i="7"/>
  <c r="AW71" i="7" s="1"/>
  <c r="AZ196" i="7"/>
  <c r="AZ195" i="7"/>
  <c r="P15" i="4"/>
  <c r="P12" i="4" s="1"/>
  <c r="P20" i="4"/>
  <c r="AX189" i="7"/>
  <c r="AY62" i="7"/>
  <c r="AY61" i="7" s="1"/>
  <c r="AY77" i="7" s="1"/>
  <c r="AW223" i="7"/>
  <c r="AX221" i="7"/>
  <c r="AX188" i="7" l="1"/>
  <c r="AZ62" i="7"/>
  <c r="P22" i="4"/>
  <c r="P23" i="4" s="1"/>
  <c r="BA19" i="7"/>
  <c r="BA21" i="7" s="1"/>
  <c r="R38" i="4"/>
  <c r="AY46" i="7"/>
  <c r="AZ209" i="7" s="1"/>
  <c r="AZ213" i="7" s="1"/>
  <c r="AY4" i="9"/>
  <c r="AY3" i="9" s="1"/>
  <c r="BA5" i="8"/>
  <c r="BB4" i="8"/>
  <c r="BA197" i="7"/>
  <c r="BB193" i="7" s="1"/>
  <c r="BA181" i="7"/>
  <c r="BA179" i="7"/>
  <c r="BA177" i="7"/>
  <c r="BA175" i="7"/>
  <c r="BA173" i="7"/>
  <c r="BA171" i="7"/>
  <c r="BA172" i="7"/>
  <c r="BA166" i="7"/>
  <c r="BA164" i="7"/>
  <c r="BA162" i="7"/>
  <c r="BA160" i="7"/>
  <c r="BA158" i="7"/>
  <c r="BA156" i="7"/>
  <c r="BA154" i="7"/>
  <c r="BA152" i="7"/>
  <c r="BA150" i="7"/>
  <c r="BA180" i="7"/>
  <c r="BA163" i="7"/>
  <c r="BA107" i="7"/>
  <c r="BA105" i="7"/>
  <c r="BA165" i="7"/>
  <c r="BA145" i="7"/>
  <c r="BA143" i="7"/>
  <c r="BA141" i="7"/>
  <c r="BA139" i="7"/>
  <c r="BA137" i="7"/>
  <c r="BA135" i="7"/>
  <c r="BA133" i="7"/>
  <c r="BA131" i="7"/>
  <c r="BA146" i="7"/>
  <c r="BA183" i="7" s="1" a="1"/>
  <c r="BA183" i="7" s="1"/>
  <c r="BA176" i="7"/>
  <c r="BA178" i="7"/>
  <c r="BA155" i="7"/>
  <c r="BA144" i="7"/>
  <c r="BA136" i="7"/>
  <c r="BA68" i="7" a="1"/>
  <c r="BA68" i="7" s="1"/>
  <c r="BA93" i="7"/>
  <c r="BA142" i="7"/>
  <c r="BA134" i="7"/>
  <c r="BA82" i="7"/>
  <c r="BA161" i="7"/>
  <c r="BA157" i="7"/>
  <c r="BA151" i="7"/>
  <c r="BA78" i="7"/>
  <c r="BA159" i="7"/>
  <c r="BA28" i="7"/>
  <c r="BA140" i="7"/>
  <c r="BA106" i="7"/>
  <c r="BA40" i="7"/>
  <c r="BA38" i="7"/>
  <c r="BA36" i="7"/>
  <c r="BA34" i="7"/>
  <c r="BA32" i="7"/>
  <c r="BA30" i="7"/>
  <c r="BA24" i="7"/>
  <c r="BA20" i="7"/>
  <c r="BA66" i="7"/>
  <c r="BA64" i="7" s="1"/>
  <c r="BA16" i="7"/>
  <c r="BA13" i="7"/>
  <c r="BA202" i="7" s="1"/>
  <c r="BA130" i="7"/>
  <c r="BA100" i="7"/>
  <c r="BA99" i="7" s="1"/>
  <c r="BA153" i="7"/>
  <c r="BA79" i="7"/>
  <c r="BA170" i="7"/>
  <c r="BA132" i="7"/>
  <c r="BA174" i="7"/>
  <c r="BA138" i="7"/>
  <c r="BA81" i="7"/>
  <c r="BA104" i="7"/>
  <c r="BA11" i="7"/>
  <c r="BB19" i="7" s="1"/>
  <c r="BA50" i="7"/>
  <c r="BA29" i="7"/>
  <c r="BA41" i="7"/>
  <c r="BA37" i="7"/>
  <c r="BA33" i="7"/>
  <c r="BA17" i="7"/>
  <c r="BA12" i="7"/>
  <c r="BA27" i="7"/>
  <c r="BA45" i="7" s="1" a="1"/>
  <c r="BA45" i="7" s="1"/>
  <c r="BA39" i="7"/>
  <c r="BA35" i="7"/>
  <c r="BA31" i="7"/>
  <c r="BA14" i="7"/>
  <c r="BB5" i="7"/>
  <c r="BA6" i="7"/>
  <c r="BA18" i="7" s="1"/>
  <c r="AZ75" i="7"/>
  <c r="R32" i="4"/>
  <c r="BA196" i="7"/>
  <c r="BA195" i="7"/>
  <c r="AY221" i="7"/>
  <c r="AX223" i="7"/>
  <c r="AZ103" i="7"/>
  <c r="R53" i="4"/>
  <c r="BA51" i="7"/>
  <c r="BA58" i="7" s="1"/>
  <c r="AZ44" i="7"/>
  <c r="AY188" i="7"/>
  <c r="AY189" i="7"/>
  <c r="AY187" i="7"/>
  <c r="AY222" i="7"/>
  <c r="AY214" i="7"/>
  <c r="AZ59" i="7"/>
  <c r="R29" i="4"/>
  <c r="R11" i="4" s="1"/>
  <c r="R16" i="4"/>
  <c r="AY47" i="7"/>
  <c r="AZ214" i="7" l="1"/>
  <c r="AZ222" i="7"/>
  <c r="R15" i="4"/>
  <c r="AZ46" i="7"/>
  <c r="BA209" i="7" s="1"/>
  <c r="BA213" i="7" s="1"/>
  <c r="BB181" i="7"/>
  <c r="BB176" i="7"/>
  <c r="BB170" i="7"/>
  <c r="BB179" i="7"/>
  <c r="BB175" i="7"/>
  <c r="BB161" i="7"/>
  <c r="BB154" i="7"/>
  <c r="BB165" i="7"/>
  <c r="BB164" i="7"/>
  <c r="BB152" i="7"/>
  <c r="BB145" i="7"/>
  <c r="BB143" i="7"/>
  <c r="BB141" i="7"/>
  <c r="BB139" i="7"/>
  <c r="BB137" i="7"/>
  <c r="BB135" i="7"/>
  <c r="BB133" i="7"/>
  <c r="BB131" i="7"/>
  <c r="BB162" i="7"/>
  <c r="BB158" i="7"/>
  <c r="BB150" i="7"/>
  <c r="BB197" i="7"/>
  <c r="BC193" i="7" s="1"/>
  <c r="BB177" i="7"/>
  <c r="BB157" i="7"/>
  <c r="BB146" i="7"/>
  <c r="BB183" i="7" s="1" a="1"/>
  <c r="BB183" i="7" s="1"/>
  <c r="BB105" i="7"/>
  <c r="BB93" i="7"/>
  <c r="BB173" i="7"/>
  <c r="BB160" i="7"/>
  <c r="BB142" i="7"/>
  <c r="BB134" i="7"/>
  <c r="BB82" i="7"/>
  <c r="BB166" i="7"/>
  <c r="BB163" i="7"/>
  <c r="BB171" i="7"/>
  <c r="BB159" i="7"/>
  <c r="BB156" i="7"/>
  <c r="BB153" i="7"/>
  <c r="BB178" i="7"/>
  <c r="BB155" i="7"/>
  <c r="BB144" i="7"/>
  <c r="BB136" i="7"/>
  <c r="BB107" i="7"/>
  <c r="BB140" i="7"/>
  <c r="BB106" i="7"/>
  <c r="BB40" i="7"/>
  <c r="BB38" i="7"/>
  <c r="BB45" i="7" s="1" a="1"/>
  <c r="BB45" i="7" s="1"/>
  <c r="BB36" i="7"/>
  <c r="BB34" i="7"/>
  <c r="BB32" i="7"/>
  <c r="BB30" i="7"/>
  <c r="BB24" i="7"/>
  <c r="BB20" i="7"/>
  <c r="BB21" i="7" s="1"/>
  <c r="BB180" i="7"/>
  <c r="BB66" i="7"/>
  <c r="BB64" i="7" s="1"/>
  <c r="BB16" i="7"/>
  <c r="BB13" i="7"/>
  <c r="BB202" i="7" s="1"/>
  <c r="BB130" i="7"/>
  <c r="BB100" i="7"/>
  <c r="BB99" i="7" s="1"/>
  <c r="BB78" i="7"/>
  <c r="BB11" i="7"/>
  <c r="BC19" i="7" s="1"/>
  <c r="BB79" i="7"/>
  <c r="BB132" i="7"/>
  <c r="BB172" i="7"/>
  <c r="BB151" i="7"/>
  <c r="BB104" i="7"/>
  <c r="BB174" i="7"/>
  <c r="BB138" i="7"/>
  <c r="BB28" i="7"/>
  <c r="BB50" i="7"/>
  <c r="BB59" i="7" s="1"/>
  <c r="BB76" i="7" s="1"/>
  <c r="BB29" i="7"/>
  <c r="BB41" i="7"/>
  <c r="BB37" i="7"/>
  <c r="BB33" i="7"/>
  <c r="BB17" i="7"/>
  <c r="BB81" i="7"/>
  <c r="BB12" i="7"/>
  <c r="BB68" i="7" a="1"/>
  <c r="BB68" i="7" s="1"/>
  <c r="BB27" i="7"/>
  <c r="BB39" i="7"/>
  <c r="BB35" i="7"/>
  <c r="BB31" i="7"/>
  <c r="BB14" i="7"/>
  <c r="BC5" i="7"/>
  <c r="BB6" i="7"/>
  <c r="BB18" i="7" s="1"/>
  <c r="AZ61" i="7"/>
  <c r="R35" i="4"/>
  <c r="AZ76" i="7"/>
  <c r="R33" i="4"/>
  <c r="BA59" i="7"/>
  <c r="BA57" i="7" s="1"/>
  <c r="BA44" i="7"/>
  <c r="BA96" i="7" s="1"/>
  <c r="BB51" i="7"/>
  <c r="BB58" i="7" s="1"/>
  <c r="BB196" i="7"/>
  <c r="BB195" i="7"/>
  <c r="BA75" i="7"/>
  <c r="R52" i="4"/>
  <c r="AY223" i="7"/>
  <c r="AZ221" i="7"/>
  <c r="AZ57" i="7"/>
  <c r="BA103" i="7"/>
  <c r="BC4" i="8"/>
  <c r="AZ4" i="9"/>
  <c r="AZ3" i="9" s="1"/>
  <c r="BB5" i="8"/>
  <c r="AZ47" i="7"/>
  <c r="BA62" i="7"/>
  <c r="AZ96" i="7"/>
  <c r="BA95" i="7" l="1"/>
  <c r="BA55" i="7"/>
  <c r="BA222" i="7"/>
  <c r="BA214" i="7"/>
  <c r="BA61" i="7"/>
  <c r="AZ55" i="7"/>
  <c r="R31" i="4"/>
  <c r="BB44" i="7"/>
  <c r="BC51" i="7"/>
  <c r="BC58" i="7" s="1"/>
  <c r="AZ77" i="7"/>
  <c r="AZ74" i="7" s="1"/>
  <c r="R34" i="4"/>
  <c r="BB62" i="7"/>
  <c r="BB61" i="7" s="1"/>
  <c r="BB77" i="7" s="1"/>
  <c r="BC195" i="7"/>
  <c r="BC196" i="7"/>
  <c r="BA221" i="7"/>
  <c r="AZ223" i="7"/>
  <c r="BA76" i="7"/>
  <c r="BC180" i="7"/>
  <c r="BC178" i="7"/>
  <c r="BC176" i="7"/>
  <c r="BC197" i="7"/>
  <c r="BD193" i="7" s="1"/>
  <c r="BC166" i="7"/>
  <c r="BC164" i="7"/>
  <c r="BC173" i="7"/>
  <c r="BC181" i="7"/>
  <c r="BC175" i="7"/>
  <c r="BC179" i="7"/>
  <c r="BC165" i="7"/>
  <c r="BC159" i="7"/>
  <c r="BC171" i="7"/>
  <c r="BC170" i="7"/>
  <c r="BC162" i="7"/>
  <c r="BC158" i="7"/>
  <c r="BC154" i="7"/>
  <c r="BC150" i="7"/>
  <c r="BC174" i="7"/>
  <c r="BC155" i="7"/>
  <c r="BC161" i="7"/>
  <c r="BC177" i="7"/>
  <c r="BC160" i="7"/>
  <c r="BC142" i="7"/>
  <c r="BC139" i="7"/>
  <c r="BC134" i="7"/>
  <c r="BC131" i="7"/>
  <c r="BC82" i="7"/>
  <c r="BC50" i="7"/>
  <c r="BC59" i="7" s="1"/>
  <c r="BC76" i="7" s="1"/>
  <c r="BC163" i="7"/>
  <c r="BC79" i="7"/>
  <c r="BC140" i="7"/>
  <c r="BC137" i="7"/>
  <c r="BC132" i="7"/>
  <c r="BC106" i="7"/>
  <c r="BC156" i="7"/>
  <c r="BC153" i="7"/>
  <c r="BC145" i="7"/>
  <c r="BC143" i="7"/>
  <c r="BC146" i="7"/>
  <c r="BC183" i="7" s="1" a="1"/>
  <c r="BC183" i="7" s="1"/>
  <c r="BC105" i="7"/>
  <c r="BC93" i="7"/>
  <c r="BC66" i="7"/>
  <c r="BC64" i="7" s="1"/>
  <c r="BC16" i="7"/>
  <c r="BC13" i="7"/>
  <c r="BC202" i="7" s="1"/>
  <c r="BC135" i="7"/>
  <c r="BC130" i="7"/>
  <c r="BC100" i="7"/>
  <c r="BC99" i="7" s="1"/>
  <c r="BC78" i="7"/>
  <c r="BC11" i="7"/>
  <c r="BC29" i="7"/>
  <c r="BC27" i="7"/>
  <c r="BC141" i="7"/>
  <c r="BC136" i="7"/>
  <c r="BC172" i="7"/>
  <c r="BC152" i="7"/>
  <c r="BC151" i="7"/>
  <c r="BC104" i="7"/>
  <c r="BC68" i="7" a="1"/>
  <c r="BC68" i="7" s="1"/>
  <c r="BC144" i="7"/>
  <c r="BC138" i="7"/>
  <c r="BC157" i="7"/>
  <c r="BC133" i="7"/>
  <c r="BC107" i="7"/>
  <c r="BC40" i="7"/>
  <c r="BC38" i="7"/>
  <c r="BC36" i="7"/>
  <c r="BC34" i="7"/>
  <c r="BC32" i="7"/>
  <c r="BC30" i="7"/>
  <c r="BC24" i="7"/>
  <c r="BC20" i="7"/>
  <c r="BC21" i="7" s="1"/>
  <c r="BC41" i="7"/>
  <c r="BC37" i="7"/>
  <c r="BC33" i="7"/>
  <c r="BC17" i="7"/>
  <c r="BD5" i="7"/>
  <c r="BC81" i="7"/>
  <c r="BC12" i="7"/>
  <c r="BC39" i="7"/>
  <c r="BC35" i="7"/>
  <c r="BC31" i="7"/>
  <c r="BC14" i="7"/>
  <c r="BC28" i="7"/>
  <c r="BC45" i="7" a="1"/>
  <c r="BC45" i="7" s="1"/>
  <c r="BC6" i="7"/>
  <c r="BC18" i="7" s="1"/>
  <c r="AZ95" i="7"/>
  <c r="R49" i="4"/>
  <c r="BA4" i="9"/>
  <c r="BA3" i="9" s="1"/>
  <c r="BC5" i="8"/>
  <c r="BD4" i="8"/>
  <c r="R21" i="4"/>
  <c r="BB75" i="7"/>
  <c r="BB74" i="7" s="1"/>
  <c r="BB72" i="7" s="1"/>
  <c r="BB57" i="7"/>
  <c r="BB55" i="7" s="1"/>
  <c r="BB103" i="7"/>
  <c r="BA46" i="7"/>
  <c r="BB209" i="7" s="1"/>
  <c r="BB213" i="7" s="1"/>
  <c r="BA47" i="7"/>
  <c r="BB214" i="7" l="1"/>
  <c r="BB222" i="7"/>
  <c r="BA74" i="7"/>
  <c r="BC75" i="7"/>
  <c r="BC57" i="7"/>
  <c r="BA223" i="7"/>
  <c r="BB221" i="7"/>
  <c r="BC62" i="7"/>
  <c r="BC61" i="7" s="1"/>
  <c r="BC77" i="7" s="1"/>
  <c r="BC209" i="7"/>
  <c r="BC213" i="7" s="1"/>
  <c r="BB46" i="7"/>
  <c r="BB96" i="7"/>
  <c r="R13" i="4"/>
  <c r="R12" i="4" s="1"/>
  <c r="BD179" i="7"/>
  <c r="BD177" i="7"/>
  <c r="BD171" i="7"/>
  <c r="BD197" i="7"/>
  <c r="BE193" i="7" s="1"/>
  <c r="BD170" i="7"/>
  <c r="BD157" i="7"/>
  <c r="BD178" i="7"/>
  <c r="BD172" i="7"/>
  <c r="BD180" i="7"/>
  <c r="BD176" i="7"/>
  <c r="BD174" i="7"/>
  <c r="BD165" i="7"/>
  <c r="BD155" i="7"/>
  <c r="BD173" i="7"/>
  <c r="BD163" i="7"/>
  <c r="BD159" i="7"/>
  <c r="BD153" i="7"/>
  <c r="BD166" i="7"/>
  <c r="BD152" i="7"/>
  <c r="BD145" i="7"/>
  <c r="BD181" i="7"/>
  <c r="BD79" i="7"/>
  <c r="BD158" i="7"/>
  <c r="BD140" i="7"/>
  <c r="BD137" i="7"/>
  <c r="BD132" i="7"/>
  <c r="BD106" i="7"/>
  <c r="BD175" i="7"/>
  <c r="BD156" i="7"/>
  <c r="BD104" i="7"/>
  <c r="BD103" i="7" s="1"/>
  <c r="BD161" i="7"/>
  <c r="BD154" i="7"/>
  <c r="BD151" i="7"/>
  <c r="BD164" i="7"/>
  <c r="BD160" i="7"/>
  <c r="BD142" i="7"/>
  <c r="BD139" i="7"/>
  <c r="BD134" i="7"/>
  <c r="BD131" i="7"/>
  <c r="BD82" i="7"/>
  <c r="BD135" i="7"/>
  <c r="BD130" i="7"/>
  <c r="BD100" i="7"/>
  <c r="BD99" i="7" s="1"/>
  <c r="BD78" i="7"/>
  <c r="BD11" i="7"/>
  <c r="BD29" i="7"/>
  <c r="BD27" i="7"/>
  <c r="BD45" i="7" s="1" a="1"/>
  <c r="BD45" i="7" s="1"/>
  <c r="BD141" i="7"/>
  <c r="BD136" i="7"/>
  <c r="BD68" i="7" a="1"/>
  <c r="BD68" i="7" s="1"/>
  <c r="BD50" i="7"/>
  <c r="BD59" i="7" s="1"/>
  <c r="BD76" i="7" s="1"/>
  <c r="BD41" i="7"/>
  <c r="BD39" i="7"/>
  <c r="BD37" i="7"/>
  <c r="BD35" i="7"/>
  <c r="BD33" i="7"/>
  <c r="BD31" i="7"/>
  <c r="BD17" i="7"/>
  <c r="BE5" i="7"/>
  <c r="BD162" i="7"/>
  <c r="BD105" i="7"/>
  <c r="BD93" i="7"/>
  <c r="BD144" i="7"/>
  <c r="BD138" i="7"/>
  <c r="BD81" i="7"/>
  <c r="BD150" i="7"/>
  <c r="BD143" i="7"/>
  <c r="BD133" i="7"/>
  <c r="BD146" i="7"/>
  <c r="BD183" i="7" s="1" a="1"/>
  <c r="BD183" i="7" s="1"/>
  <c r="BD66" i="7"/>
  <c r="BD64" i="7" s="1"/>
  <c r="BD16" i="7"/>
  <c r="BD13" i="7"/>
  <c r="BD202" i="7" s="1"/>
  <c r="BD12" i="7"/>
  <c r="BD34" i="7"/>
  <c r="BD30" i="7"/>
  <c r="BD24" i="7"/>
  <c r="BD14" i="7"/>
  <c r="BD38" i="7"/>
  <c r="BD107" i="7"/>
  <c r="BD28" i="7"/>
  <c r="BD40" i="7"/>
  <c r="BD36" i="7"/>
  <c r="BD32" i="7"/>
  <c r="BD20" i="7"/>
  <c r="BD6" i="7"/>
  <c r="BD18" i="7" s="1"/>
  <c r="BD62" i="7" s="1"/>
  <c r="BD61" i="7" s="1"/>
  <c r="BD77" i="7" s="1"/>
  <c r="R14" i="4"/>
  <c r="AZ189" i="7"/>
  <c r="R57" i="4" s="1"/>
  <c r="AZ187" i="7"/>
  <c r="R30" i="4"/>
  <c r="BD195" i="7"/>
  <c r="BD196" i="7"/>
  <c r="AZ72" i="7"/>
  <c r="AZ71" i="7" s="1"/>
  <c r="AZ188" i="7" s="1"/>
  <c r="R43" i="4"/>
  <c r="R41" i="4" s="1"/>
  <c r="BA77" i="7"/>
  <c r="BE4" i="8"/>
  <c r="BB4" i="9"/>
  <c r="BB3" i="9" s="1"/>
  <c r="BD5" i="8"/>
  <c r="BC44" i="7"/>
  <c r="BD51" i="7"/>
  <c r="BD58" i="7" s="1"/>
  <c r="BC103" i="7"/>
  <c r="BD19" i="7"/>
  <c r="BD21" i="7" s="1"/>
  <c r="BB47" i="7"/>
  <c r="R48" i="4"/>
  <c r="R20" i="4" l="1"/>
  <c r="BB95" i="7"/>
  <c r="BB71" i="7" s="1"/>
  <c r="BC74" i="7"/>
  <c r="BC72" i="7" s="1"/>
  <c r="BC222" i="7"/>
  <c r="BC214" i="7"/>
  <c r="BA72" i="7"/>
  <c r="BA71" i="7" s="1"/>
  <c r="BD44" i="7"/>
  <c r="BE51" i="7"/>
  <c r="BE58" i="7" s="1"/>
  <c r="R18" i="4"/>
  <c r="R40" i="4"/>
  <c r="BE19" i="7"/>
  <c r="BE21" i="7" s="1"/>
  <c r="BC221" i="7"/>
  <c r="BB223" i="7"/>
  <c r="BD75" i="7"/>
  <c r="BD74" i="7" s="1"/>
  <c r="BD72" i="7" s="1"/>
  <c r="BD57" i="7"/>
  <c r="BC46" i="7"/>
  <c r="BD209" i="7" s="1"/>
  <c r="BD213" i="7" s="1"/>
  <c r="BC96" i="7"/>
  <c r="BC95" i="7" s="1"/>
  <c r="BC4" i="9"/>
  <c r="BC3" i="9" s="1"/>
  <c r="BF4" i="8"/>
  <c r="BE5" i="8"/>
  <c r="BE195" i="7"/>
  <c r="BE196" i="7"/>
  <c r="BC47" i="7"/>
  <c r="BE180" i="7"/>
  <c r="BE178" i="7"/>
  <c r="BE176" i="7"/>
  <c r="BE174" i="7"/>
  <c r="BE172" i="7"/>
  <c r="BE170" i="7"/>
  <c r="BE173" i="7"/>
  <c r="BE165" i="7"/>
  <c r="BE163" i="7"/>
  <c r="BE161" i="7"/>
  <c r="BE159" i="7"/>
  <c r="BE157" i="7"/>
  <c r="BE155" i="7"/>
  <c r="BE153" i="7"/>
  <c r="BE151" i="7"/>
  <c r="BE146" i="7"/>
  <c r="BE183" i="7" s="1" a="1"/>
  <c r="BE183" i="7" s="1"/>
  <c r="BE179" i="7"/>
  <c r="BE171" i="7"/>
  <c r="BE181" i="7"/>
  <c r="BE106" i="7"/>
  <c r="BE104" i="7"/>
  <c r="BE100" i="7"/>
  <c r="BE99" i="7" s="1"/>
  <c r="BE144" i="7"/>
  <c r="BE142" i="7"/>
  <c r="BE140" i="7"/>
  <c r="BE138" i="7"/>
  <c r="BE136" i="7"/>
  <c r="BE134" i="7"/>
  <c r="BE132" i="7"/>
  <c r="BE130" i="7"/>
  <c r="BE164" i="7"/>
  <c r="BE162" i="7"/>
  <c r="BE158" i="7"/>
  <c r="BE154" i="7"/>
  <c r="BE150" i="7"/>
  <c r="BE137" i="7"/>
  <c r="BE68" i="7" a="1"/>
  <c r="BE68" i="7" s="1"/>
  <c r="BE66" i="7"/>
  <c r="BE64" i="7" s="1"/>
  <c r="BE175" i="7"/>
  <c r="BE166" i="7"/>
  <c r="BE156" i="7"/>
  <c r="BE143" i="7"/>
  <c r="BE135" i="7"/>
  <c r="BE152" i="7"/>
  <c r="BE197" i="7"/>
  <c r="BF193" i="7" s="1"/>
  <c r="BE177" i="7"/>
  <c r="BE79" i="7"/>
  <c r="BE29" i="7"/>
  <c r="BE27" i="7"/>
  <c r="BE160" i="7"/>
  <c r="BE141" i="7"/>
  <c r="BE50" i="7"/>
  <c r="BE59" i="7" s="1"/>
  <c r="BE41" i="7"/>
  <c r="BE39" i="7"/>
  <c r="BE37" i="7"/>
  <c r="BE35" i="7"/>
  <c r="BE33" i="7"/>
  <c r="BE31" i="7"/>
  <c r="BE45" i="7" s="1" a="1"/>
  <c r="BE45" i="7" s="1"/>
  <c r="BE17" i="7"/>
  <c r="BF5" i="7"/>
  <c r="BE105" i="7"/>
  <c r="BE93" i="7"/>
  <c r="BE14" i="7"/>
  <c r="BE12" i="7"/>
  <c r="BE131" i="7"/>
  <c r="BE81" i="7"/>
  <c r="BE145" i="7"/>
  <c r="BE133" i="7"/>
  <c r="BE107" i="7"/>
  <c r="BE139" i="7"/>
  <c r="BE78" i="7"/>
  <c r="BE11" i="7"/>
  <c r="BE82" i="7"/>
  <c r="BE38" i="7"/>
  <c r="BE34" i="7"/>
  <c r="BE30" i="7"/>
  <c r="BE24" i="7"/>
  <c r="BE13" i="7"/>
  <c r="BE202" i="7" s="1"/>
  <c r="BE28" i="7"/>
  <c r="BE40" i="7"/>
  <c r="BE36" i="7"/>
  <c r="BE32" i="7"/>
  <c r="BE20" i="7"/>
  <c r="BE6" i="7"/>
  <c r="BE18" i="7" s="1"/>
  <c r="BE16" i="7"/>
  <c r="BC55" i="7"/>
  <c r="BD222" i="7" l="1"/>
  <c r="BD214" i="7"/>
  <c r="BF19" i="7"/>
  <c r="BE44" i="7"/>
  <c r="BF51" i="7"/>
  <c r="BF58" i="7" s="1"/>
  <c r="S32" i="4" s="1"/>
  <c r="N32" i="4" s="1"/>
  <c r="BF5" i="8"/>
  <c r="BG4" i="8"/>
  <c r="BD4" i="9"/>
  <c r="BD3" i="9" s="1"/>
  <c r="BD46" i="7"/>
  <c r="BE209" i="7" s="1"/>
  <c r="BE213" i="7" s="1"/>
  <c r="BB187" i="7"/>
  <c r="BB188" i="7"/>
  <c r="BB189" i="7"/>
  <c r="BE75" i="7"/>
  <c r="BE57" i="7"/>
  <c r="BA188" i="7"/>
  <c r="BA189" i="7"/>
  <c r="BA187" i="7"/>
  <c r="BE62" i="7"/>
  <c r="BF195" i="7"/>
  <c r="BF196" i="7"/>
  <c r="BF177" i="7"/>
  <c r="BF171" i="7"/>
  <c r="BF180" i="7"/>
  <c r="BF175" i="7"/>
  <c r="BF181" i="7"/>
  <c r="BF178" i="7"/>
  <c r="BF172" i="7"/>
  <c r="BF162" i="7"/>
  <c r="BF155" i="7"/>
  <c r="BF197" i="7"/>
  <c r="BF174" i="7"/>
  <c r="BF173" i="7"/>
  <c r="BF166" i="7"/>
  <c r="BF163" i="7"/>
  <c r="BF159" i="7"/>
  <c r="BF153" i="7"/>
  <c r="BF144" i="7"/>
  <c r="BF142" i="7"/>
  <c r="BF140" i="7"/>
  <c r="BF138" i="7"/>
  <c r="BF136" i="7"/>
  <c r="BF134" i="7"/>
  <c r="BF132" i="7"/>
  <c r="BF130" i="7"/>
  <c r="BF160" i="7"/>
  <c r="BF156" i="7"/>
  <c r="BF151" i="7"/>
  <c r="BF176" i="7"/>
  <c r="BF170" i="7"/>
  <c r="BF158" i="7"/>
  <c r="BF106" i="7"/>
  <c r="S55" i="4" s="1"/>
  <c r="N55" i="4" s="1"/>
  <c r="BF143" i="7"/>
  <c r="BF135" i="7"/>
  <c r="BF104" i="7"/>
  <c r="BF81" i="7"/>
  <c r="BF161" i="7"/>
  <c r="BF145" i="7"/>
  <c r="BF100" i="7"/>
  <c r="BF99" i="7" s="1"/>
  <c r="S51" i="4" s="1"/>
  <c r="N51" i="4" s="1"/>
  <c r="BF154" i="7"/>
  <c r="BF152" i="7"/>
  <c r="BF137" i="7"/>
  <c r="BF141" i="7"/>
  <c r="BF68" i="7" a="1"/>
  <c r="BF68" i="7" s="1"/>
  <c r="BF50" i="7"/>
  <c r="BF41" i="7"/>
  <c r="BF39" i="7"/>
  <c r="BF37" i="7"/>
  <c r="BF35" i="7"/>
  <c r="BF33" i="7"/>
  <c r="BF31" i="7"/>
  <c r="BF17" i="7"/>
  <c r="BG5" i="7"/>
  <c r="BF105" i="7"/>
  <c r="S54" i="4" s="1"/>
  <c r="N54" i="4" s="1"/>
  <c r="BF93" i="7"/>
  <c r="BF14" i="7"/>
  <c r="BF12" i="7"/>
  <c r="BF131" i="7"/>
  <c r="BF79" i="7"/>
  <c r="BF179" i="7"/>
  <c r="BF150" i="7"/>
  <c r="BF133" i="7"/>
  <c r="BF107" i="7"/>
  <c r="S56" i="4" s="1"/>
  <c r="N56" i="4" s="1"/>
  <c r="BF82" i="7"/>
  <c r="BF164" i="7"/>
  <c r="BF157" i="7"/>
  <c r="BF146" i="7"/>
  <c r="BF183" i="7" s="1" a="1"/>
  <c r="BF183" i="7" s="1"/>
  <c r="S39" i="4" s="1"/>
  <c r="BF139" i="7"/>
  <c r="BF165" i="7"/>
  <c r="BF29" i="7"/>
  <c r="BF45" i="7" s="1" a="1"/>
  <c r="BF45" i="7" s="1"/>
  <c r="BF27" i="7"/>
  <c r="BF38" i="7"/>
  <c r="BF34" i="7"/>
  <c r="BF30" i="7"/>
  <c r="BF24" i="7"/>
  <c r="BF13" i="7"/>
  <c r="BF202" i="7" s="1"/>
  <c r="BF66" i="7"/>
  <c r="BF64" i="7" s="1"/>
  <c r="S37" i="4" s="1"/>
  <c r="N37" i="4" s="1"/>
  <c r="BF78" i="7"/>
  <c r="BF28" i="7"/>
  <c r="BF40" i="7"/>
  <c r="BF36" i="7"/>
  <c r="BF32" i="7"/>
  <c r="BF20" i="7"/>
  <c r="BF16" i="7"/>
  <c r="BF11" i="7"/>
  <c r="BF6" i="7"/>
  <c r="BF18" i="7" s="1"/>
  <c r="BF62" i="7" s="1"/>
  <c r="BF61" i="7" s="1"/>
  <c r="BF77" i="7" s="1"/>
  <c r="BE76" i="7"/>
  <c r="BE103" i="7"/>
  <c r="BC223" i="7"/>
  <c r="BD221" i="7"/>
  <c r="BD47" i="7"/>
  <c r="BC189" i="7"/>
  <c r="BC187" i="7"/>
  <c r="S38" i="4"/>
  <c r="BD55" i="7"/>
  <c r="R17" i="4"/>
  <c r="R22" i="4" s="1"/>
  <c r="R23" i="4" s="1"/>
  <c r="BC71" i="7"/>
  <c r="BC188" i="7" s="1"/>
  <c r="BD96" i="7"/>
  <c r="U55" i="4" l="1"/>
  <c r="U56" i="4"/>
  <c r="T56" i="4"/>
  <c r="U51" i="4"/>
  <c r="T51" i="4"/>
  <c r="U32" i="4"/>
  <c r="BE222" i="7"/>
  <c r="BE214" i="7"/>
  <c r="BE4" i="9"/>
  <c r="BE3" i="9" s="1"/>
  <c r="BH4" i="8"/>
  <c r="BG5" i="8"/>
  <c r="BG19" i="7"/>
  <c r="U37" i="4"/>
  <c r="T54" i="4"/>
  <c r="U54" i="4"/>
  <c r="BE46" i="7"/>
  <c r="BF209" i="7" s="1"/>
  <c r="BF213" i="7" s="1"/>
  <c r="BE96" i="7"/>
  <c r="BE95" i="7" s="1"/>
  <c r="BF21" i="7"/>
  <c r="BD189" i="7"/>
  <c r="BE61" i="7"/>
  <c r="S35" i="4"/>
  <c r="N35" i="4" s="1"/>
  <c r="BF59" i="7"/>
  <c r="N29" i="4"/>
  <c r="S29" i="4"/>
  <c r="S11" i="4" s="1"/>
  <c r="BF103" i="7"/>
  <c r="S53" i="4"/>
  <c r="BE47" i="7"/>
  <c r="BG181" i="7"/>
  <c r="BG179" i="7"/>
  <c r="BG177" i="7"/>
  <c r="BG175" i="7"/>
  <c r="BG165" i="7"/>
  <c r="BG174" i="7"/>
  <c r="BG178" i="7"/>
  <c r="BG172" i="7"/>
  <c r="BG171" i="7"/>
  <c r="BG173" i="7"/>
  <c r="BG166" i="7"/>
  <c r="BG160" i="7"/>
  <c r="BG156" i="7"/>
  <c r="BG151" i="7"/>
  <c r="BG146" i="7"/>
  <c r="BG183" i="7" s="1" a="1"/>
  <c r="BG183" i="7" s="1"/>
  <c r="BG176" i="7"/>
  <c r="BG163" i="7"/>
  <c r="BG143" i="7"/>
  <c r="BG140" i="7"/>
  <c r="BG135" i="7"/>
  <c r="BG132" i="7"/>
  <c r="BG104" i="7"/>
  <c r="BG81" i="7"/>
  <c r="BG161" i="7"/>
  <c r="BG145" i="7"/>
  <c r="BG100" i="7"/>
  <c r="BG99" i="7" s="1"/>
  <c r="BG78" i="7"/>
  <c r="BG154" i="7"/>
  <c r="BG153" i="7"/>
  <c r="BG152" i="7"/>
  <c r="BG141" i="7"/>
  <c r="BG138" i="7"/>
  <c r="BG133" i="7"/>
  <c r="BG130" i="7"/>
  <c r="BG107" i="7"/>
  <c r="BG159" i="7"/>
  <c r="BG157" i="7"/>
  <c r="BG150" i="7"/>
  <c r="BG144" i="7"/>
  <c r="BG158" i="7"/>
  <c r="BG106" i="7"/>
  <c r="BG180" i="7"/>
  <c r="BG105" i="7"/>
  <c r="BG93" i="7"/>
  <c r="BG14" i="7"/>
  <c r="BG12" i="7"/>
  <c r="BG136" i="7"/>
  <c r="BG131" i="7"/>
  <c r="BG79" i="7"/>
  <c r="BG162" i="7"/>
  <c r="BG28" i="7"/>
  <c r="BG142" i="7"/>
  <c r="BG137" i="7"/>
  <c r="BG82" i="7"/>
  <c r="BG170" i="7"/>
  <c r="BG164" i="7"/>
  <c r="BG155" i="7"/>
  <c r="BG139" i="7"/>
  <c r="BG134" i="7"/>
  <c r="BG50" i="7"/>
  <c r="BG59" i="7" s="1"/>
  <c r="BG76" i="7" s="1"/>
  <c r="BG41" i="7"/>
  <c r="BG39" i="7"/>
  <c r="BG37" i="7"/>
  <c r="BG35" i="7"/>
  <c r="BG33" i="7"/>
  <c r="BG31" i="7"/>
  <c r="BG17" i="7"/>
  <c r="BH5" i="7"/>
  <c r="BG38" i="7"/>
  <c r="BG34" i="7"/>
  <c r="BG30" i="7"/>
  <c r="BG24" i="7"/>
  <c r="BG6" i="7"/>
  <c r="BG18" i="7" s="1"/>
  <c r="BG62" i="7" s="1"/>
  <c r="BG61" i="7" s="1"/>
  <c r="BG77" i="7" s="1"/>
  <c r="BG13" i="7"/>
  <c r="BG68" i="7" a="1"/>
  <c r="BG68" i="7" s="1"/>
  <c r="BG66" i="7"/>
  <c r="BG64" i="7" s="1"/>
  <c r="BG27" i="7"/>
  <c r="BG40" i="7"/>
  <c r="BG36" i="7"/>
  <c r="BG32" i="7"/>
  <c r="BG20" i="7"/>
  <c r="BG16" i="7"/>
  <c r="BG11" i="7"/>
  <c r="BG29" i="7"/>
  <c r="BF75" i="7"/>
  <c r="S16" i="4"/>
  <c r="N39" i="4"/>
  <c r="S15" i="4"/>
  <c r="N38" i="4"/>
  <c r="BD95" i="7"/>
  <c r="BD71" i="7" s="1"/>
  <c r="BD188" i="7" s="1"/>
  <c r="BG51" i="7"/>
  <c r="BG58" i="7" s="1"/>
  <c r="BF44" i="7"/>
  <c r="BF46" i="7" s="1"/>
  <c r="BE55" i="7"/>
  <c r="BE221" i="7"/>
  <c r="BD223" i="7"/>
  <c r="BF214" i="7" l="1"/>
  <c r="BF222" i="7"/>
  <c r="BF223" i="7" s="1"/>
  <c r="U29" i="4"/>
  <c r="N11" i="4"/>
  <c r="T36" i="4"/>
  <c r="T47" i="4"/>
  <c r="T50" i="4"/>
  <c r="T44" i="4"/>
  <c r="T46" i="4"/>
  <c r="T45" i="4"/>
  <c r="T42" i="4"/>
  <c r="BH5" i="8"/>
  <c r="BI4" i="8"/>
  <c r="BF4" i="9"/>
  <c r="BF3" i="9" s="1"/>
  <c r="N16" i="4"/>
  <c r="U39" i="4"/>
  <c r="T39" i="4"/>
  <c r="D108" i="4" s="1"/>
  <c r="D107" i="4"/>
  <c r="U35" i="4"/>
  <c r="T35" i="4"/>
  <c r="BF96" i="7"/>
  <c r="BF76" i="7"/>
  <c r="S33" i="4"/>
  <c r="N33" i="4" s="1"/>
  <c r="BG57" i="7"/>
  <c r="BG55" i="7" s="1"/>
  <c r="BG75" i="7"/>
  <c r="BG74" i="7" s="1"/>
  <c r="BG72" i="7" s="1"/>
  <c r="BF74" i="7"/>
  <c r="BF72" i="7" s="1"/>
  <c r="BH51" i="7"/>
  <c r="BH58" i="7" s="1"/>
  <c r="BG44" i="7"/>
  <c r="BG103" i="7"/>
  <c r="S52" i="4"/>
  <c r="N53" i="4"/>
  <c r="BD187" i="7"/>
  <c r="BE223" i="7"/>
  <c r="BF221" i="7"/>
  <c r="BF57" i="7"/>
  <c r="BE77" i="7"/>
  <c r="BE74" i="7" s="1"/>
  <c r="S34" i="4"/>
  <c r="BG45" i="7" a="1"/>
  <c r="BG45" i="7" s="1"/>
  <c r="BH180" i="7"/>
  <c r="BH178" i="7"/>
  <c r="BH172" i="7"/>
  <c r="BH173" i="7"/>
  <c r="BH174" i="7"/>
  <c r="BH158" i="7"/>
  <c r="BH177" i="7"/>
  <c r="BH179" i="7"/>
  <c r="BH160" i="7"/>
  <c r="BH146" i="7"/>
  <c r="BH183" i="7" s="1" a="1"/>
  <c r="BH183" i="7" s="1"/>
  <c r="BH175" i="7"/>
  <c r="BH181" i="7"/>
  <c r="BH165" i="7"/>
  <c r="BH163" i="7"/>
  <c r="BH159" i="7"/>
  <c r="BH155" i="7"/>
  <c r="BH153" i="7"/>
  <c r="BH166" i="7"/>
  <c r="BH161" i="7"/>
  <c r="BH156" i="7"/>
  <c r="BH145" i="7"/>
  <c r="BH100" i="7"/>
  <c r="BH99" i="7" s="1"/>
  <c r="BH78" i="7"/>
  <c r="BH154" i="7"/>
  <c r="BH152" i="7"/>
  <c r="BH141" i="7"/>
  <c r="BH138" i="7"/>
  <c r="BH133" i="7"/>
  <c r="BH130" i="7"/>
  <c r="BH107" i="7"/>
  <c r="BH105" i="7"/>
  <c r="BH93" i="7"/>
  <c r="BH171" i="7"/>
  <c r="BH157" i="7"/>
  <c r="BH151" i="7"/>
  <c r="BH150" i="7"/>
  <c r="BH170" i="7"/>
  <c r="BH164" i="7"/>
  <c r="BH162" i="7"/>
  <c r="BH176" i="7"/>
  <c r="BH143" i="7"/>
  <c r="BH140" i="7"/>
  <c r="BH135" i="7"/>
  <c r="BH132" i="7"/>
  <c r="BH104" i="7"/>
  <c r="BH81" i="7"/>
  <c r="BH136" i="7"/>
  <c r="BH131" i="7"/>
  <c r="BH79" i="7"/>
  <c r="BH28" i="7"/>
  <c r="BH142" i="7"/>
  <c r="BH137" i="7"/>
  <c r="BH82" i="7"/>
  <c r="BH40" i="7"/>
  <c r="BH38" i="7"/>
  <c r="BH36" i="7"/>
  <c r="BH34" i="7"/>
  <c r="BH32" i="7"/>
  <c r="BH30" i="7"/>
  <c r="BH24" i="7"/>
  <c r="BH20" i="7"/>
  <c r="BH144" i="7"/>
  <c r="BH139" i="7"/>
  <c r="BH68" i="7" a="1"/>
  <c r="BH68" i="7" s="1"/>
  <c r="BH134" i="7"/>
  <c r="BH106" i="7"/>
  <c r="BH14" i="7"/>
  <c r="BH12" i="7"/>
  <c r="BH13" i="7"/>
  <c r="BH16" i="7"/>
  <c r="BH66" i="7"/>
  <c r="BH64" i="7" s="1"/>
  <c r="BH27" i="7"/>
  <c r="BH39" i="7"/>
  <c r="BH35" i="7"/>
  <c r="BH31" i="7"/>
  <c r="BH45" i="7" a="1"/>
  <c r="BH45" i="7" s="1"/>
  <c r="BH11" i="7"/>
  <c r="BH29" i="7"/>
  <c r="BH50" i="7"/>
  <c r="BH59" i="7" s="1"/>
  <c r="BH76" i="7" s="1"/>
  <c r="BH41" i="7"/>
  <c r="BH37" i="7"/>
  <c r="BH33" i="7"/>
  <c r="BH17" i="7"/>
  <c r="BI5" i="7"/>
  <c r="BH6" i="7"/>
  <c r="BH18" i="7" s="1"/>
  <c r="T37" i="4"/>
  <c r="BF47" i="7"/>
  <c r="T55" i="4"/>
  <c r="N15" i="4"/>
  <c r="U38" i="4"/>
  <c r="T38" i="4"/>
  <c r="BH19" i="7"/>
  <c r="BH21" i="7" s="1"/>
  <c r="BG21" i="7"/>
  <c r="T32" i="4"/>
  <c r="T15" i="4" l="1"/>
  <c r="U15" i="4"/>
  <c r="BG46" i="7"/>
  <c r="BG96" i="7"/>
  <c r="BG95" i="7" s="1"/>
  <c r="BH62" i="7"/>
  <c r="BH61" i="7" s="1"/>
  <c r="BH77" i="7" s="1"/>
  <c r="BI19" i="7"/>
  <c r="BH103" i="7"/>
  <c r="S14" i="4"/>
  <c r="N34" i="4"/>
  <c r="BI181" i="7"/>
  <c r="BI179" i="7"/>
  <c r="BI177" i="7"/>
  <c r="BI175" i="7"/>
  <c r="BI173" i="7"/>
  <c r="BI171" i="7"/>
  <c r="BI174" i="7"/>
  <c r="BI170" i="7"/>
  <c r="BI166" i="7"/>
  <c r="BI164" i="7"/>
  <c r="BI162" i="7"/>
  <c r="BI160" i="7"/>
  <c r="BI158" i="7"/>
  <c r="BI156" i="7"/>
  <c r="BI154" i="7"/>
  <c r="BI152" i="7"/>
  <c r="BI150" i="7"/>
  <c r="BI176" i="7"/>
  <c r="BI107" i="7"/>
  <c r="BI105" i="7"/>
  <c r="BI180" i="7"/>
  <c r="BI172" i="7"/>
  <c r="BI161" i="7"/>
  <c r="BI157" i="7"/>
  <c r="BI145" i="7"/>
  <c r="BI143" i="7"/>
  <c r="BI141" i="7"/>
  <c r="BI139" i="7"/>
  <c r="BI137" i="7"/>
  <c r="BI135" i="7"/>
  <c r="BI133" i="7"/>
  <c r="BI131" i="7"/>
  <c r="BI151" i="7"/>
  <c r="BI138" i="7"/>
  <c r="BI130" i="7"/>
  <c r="BI68" i="7" a="1"/>
  <c r="BI68" i="7" s="1"/>
  <c r="BI153" i="7"/>
  <c r="BI93" i="7"/>
  <c r="BI159" i="7"/>
  <c r="BI144" i="7"/>
  <c r="BI136" i="7"/>
  <c r="BI82" i="7"/>
  <c r="BI146" i="7"/>
  <c r="BI183" i="7" s="1" a="1"/>
  <c r="BI183" i="7" s="1"/>
  <c r="BI163" i="7"/>
  <c r="BI100" i="7"/>
  <c r="BI99" i="7" s="1"/>
  <c r="BI78" i="7"/>
  <c r="BI28" i="7"/>
  <c r="BI142" i="7"/>
  <c r="BI40" i="7"/>
  <c r="BI38" i="7"/>
  <c r="BI36" i="7"/>
  <c r="BI34" i="7"/>
  <c r="BI32" i="7"/>
  <c r="BI30" i="7"/>
  <c r="BI24" i="7"/>
  <c r="BI20" i="7"/>
  <c r="BI81" i="7"/>
  <c r="BI16" i="7"/>
  <c r="BI13" i="7"/>
  <c r="BI132" i="7"/>
  <c r="BI104" i="7"/>
  <c r="BI66" i="7"/>
  <c r="BI64" i="7" s="1"/>
  <c r="BI155" i="7"/>
  <c r="BI178" i="7"/>
  <c r="BI134" i="7"/>
  <c r="BI165" i="7"/>
  <c r="BI140" i="7"/>
  <c r="BI79" i="7"/>
  <c r="BI106" i="7"/>
  <c r="BI27" i="7"/>
  <c r="BI45" i="7" s="1" a="1"/>
  <c r="BI45" i="7" s="1"/>
  <c r="BI39" i="7"/>
  <c r="BI35" i="7"/>
  <c r="BI31" i="7"/>
  <c r="BJ5" i="7"/>
  <c r="BI11" i="7"/>
  <c r="BI29" i="7"/>
  <c r="BI50" i="7"/>
  <c r="BI59" i="7" s="1"/>
  <c r="BI76" i="7" s="1"/>
  <c r="BI41" i="7"/>
  <c r="BI37" i="7"/>
  <c r="BI33" i="7"/>
  <c r="BI17" i="7"/>
  <c r="BI12" i="7"/>
  <c r="BI14" i="7"/>
  <c r="BI6" i="7"/>
  <c r="BI18" i="7" s="1"/>
  <c r="BE72" i="7"/>
  <c r="BE71" i="7" s="1"/>
  <c r="S43" i="4"/>
  <c r="S41" i="4" s="1"/>
  <c r="T53" i="4"/>
  <c r="U53" i="4"/>
  <c r="U33" i="4"/>
  <c r="T33" i="4"/>
  <c r="U16" i="4"/>
  <c r="T16" i="4"/>
  <c r="BF55" i="7"/>
  <c r="S31" i="4"/>
  <c r="S21" i="4"/>
  <c r="N52" i="4"/>
  <c r="BF95" i="7"/>
  <c r="S49" i="4"/>
  <c r="BG4" i="9"/>
  <c r="BG3" i="9" s="1"/>
  <c r="BI5" i="8"/>
  <c r="BJ4" i="8"/>
  <c r="U11" i="4"/>
  <c r="T19" i="4"/>
  <c r="BI51" i="7"/>
  <c r="BI58" i="7" s="1"/>
  <c r="BH44" i="7"/>
  <c r="BH57" i="7"/>
  <c r="BH75" i="7"/>
  <c r="BG47" i="7"/>
  <c r="BF71" i="7"/>
  <c r="BG71" i="7"/>
  <c r="BG188" i="7" s="1"/>
  <c r="S13" i="4" l="1"/>
  <c r="S12" i="4" s="1"/>
  <c r="N31" i="4"/>
  <c r="BK4" i="8"/>
  <c r="BJ5" i="8"/>
  <c r="BH4" i="9"/>
  <c r="BH3" i="9" s="1"/>
  <c r="BH46" i="7"/>
  <c r="BH96" i="7"/>
  <c r="BH95" i="7" s="1"/>
  <c r="BJ178" i="7"/>
  <c r="BJ175" i="7"/>
  <c r="BJ172" i="7"/>
  <c r="BJ181" i="7"/>
  <c r="BJ176" i="7"/>
  <c r="BJ174" i="7"/>
  <c r="BJ177" i="7"/>
  <c r="BJ164" i="7"/>
  <c r="BJ163" i="7"/>
  <c r="BJ156" i="7"/>
  <c r="BJ180" i="7"/>
  <c r="BJ173" i="7"/>
  <c r="BJ161" i="7"/>
  <c r="BJ157" i="7"/>
  <c r="BJ145" i="7"/>
  <c r="BJ143" i="7"/>
  <c r="BJ141" i="7"/>
  <c r="BJ139" i="7"/>
  <c r="BJ137" i="7"/>
  <c r="BJ135" i="7"/>
  <c r="BJ133" i="7"/>
  <c r="BJ131" i="7"/>
  <c r="BJ171" i="7"/>
  <c r="BJ152" i="7"/>
  <c r="BJ146" i="7"/>
  <c r="BJ183" i="7" s="1" a="1"/>
  <c r="BJ183" i="7" s="1"/>
  <c r="BJ154" i="7"/>
  <c r="BJ153" i="7"/>
  <c r="BJ107" i="7"/>
  <c r="BJ93" i="7"/>
  <c r="BJ159" i="7"/>
  <c r="BJ144" i="7"/>
  <c r="BJ136" i="7"/>
  <c r="BJ105" i="7"/>
  <c r="BJ82" i="7"/>
  <c r="BJ151" i="7"/>
  <c r="BJ150" i="7"/>
  <c r="BJ170" i="7"/>
  <c r="BJ162" i="7"/>
  <c r="BJ165" i="7"/>
  <c r="BJ155" i="7"/>
  <c r="BJ166" i="7"/>
  <c r="BJ138" i="7"/>
  <c r="BJ130" i="7"/>
  <c r="BJ160" i="7"/>
  <c r="BJ142" i="7"/>
  <c r="BJ40" i="7"/>
  <c r="BJ38" i="7"/>
  <c r="BJ36" i="7"/>
  <c r="BJ34" i="7"/>
  <c r="BJ32" i="7"/>
  <c r="BJ30" i="7"/>
  <c r="BJ24" i="7"/>
  <c r="BJ20" i="7"/>
  <c r="BJ81" i="7"/>
  <c r="BJ16" i="7"/>
  <c r="BJ13" i="7"/>
  <c r="BJ179" i="7"/>
  <c r="BJ132" i="7"/>
  <c r="BJ104" i="7"/>
  <c r="BJ68" i="7" a="1"/>
  <c r="BJ68" i="7" s="1"/>
  <c r="BJ66" i="7"/>
  <c r="BJ64" i="7" s="1"/>
  <c r="BJ11" i="7"/>
  <c r="BJ134" i="7"/>
  <c r="BJ106" i="7"/>
  <c r="BJ140" i="7"/>
  <c r="BJ158" i="7"/>
  <c r="BJ100" i="7"/>
  <c r="BJ99" i="7" s="1"/>
  <c r="BJ28" i="7"/>
  <c r="BJ27" i="7"/>
  <c r="BJ39" i="7"/>
  <c r="BJ35" i="7"/>
  <c r="BJ31" i="7"/>
  <c r="BK5" i="7"/>
  <c r="BJ79" i="7"/>
  <c r="BJ14" i="7"/>
  <c r="BJ78" i="7"/>
  <c r="BJ29" i="7"/>
  <c r="BJ50" i="7"/>
  <c r="BJ59" i="7" s="1"/>
  <c r="BJ76" i="7" s="1"/>
  <c r="BJ41" i="7"/>
  <c r="BJ37" i="7"/>
  <c r="BJ33" i="7"/>
  <c r="BJ17" i="7"/>
  <c r="BJ12" i="7"/>
  <c r="BJ6" i="7"/>
  <c r="BJ18" i="7" s="1"/>
  <c r="BJ62" i="7" s="1"/>
  <c r="BJ61" i="7" s="1"/>
  <c r="BJ77" i="7" s="1"/>
  <c r="BI57" i="7"/>
  <c r="BI55" i="7" s="1"/>
  <c r="BI75" i="7"/>
  <c r="N21" i="4"/>
  <c r="U52" i="4"/>
  <c r="T52" i="4"/>
  <c r="BI21" i="7"/>
  <c r="S18" i="4"/>
  <c r="S40" i="4"/>
  <c r="BF188" i="7"/>
  <c r="BF189" i="7"/>
  <c r="BF187" i="7"/>
  <c r="S30" i="4"/>
  <c r="N30" i="4" s="1"/>
  <c r="BG189" i="7"/>
  <c r="BH47" i="7"/>
  <c r="BI103" i="7"/>
  <c r="BG187" i="7"/>
  <c r="BH74" i="7"/>
  <c r="BH72" i="7" s="1"/>
  <c r="BH71" i="7" s="1"/>
  <c r="BI62" i="7"/>
  <c r="BI61" i="7" s="1"/>
  <c r="BI77" i="7" s="1"/>
  <c r="BE187" i="7"/>
  <c r="BE189" i="7"/>
  <c r="BE188" i="7"/>
  <c r="BJ51" i="7"/>
  <c r="BJ58" i="7" s="1"/>
  <c r="BI44" i="7"/>
  <c r="BH55" i="7"/>
  <c r="S48" i="4"/>
  <c r="N49" i="4"/>
  <c r="BJ19" i="7"/>
  <c r="N14" i="4"/>
  <c r="U34" i="4"/>
  <c r="T34" i="4"/>
  <c r="U49" i="4" l="1"/>
  <c r="T49" i="4"/>
  <c r="BI74" i="7"/>
  <c r="BI72" i="7" s="1"/>
  <c r="BI71" i="7" s="1"/>
  <c r="BI188" i="7" s="1"/>
  <c r="BK19" i="7"/>
  <c r="BI46" i="7"/>
  <c r="BI96" i="7"/>
  <c r="BI95" i="7" s="1"/>
  <c r="BJ103" i="7"/>
  <c r="S20" i="4"/>
  <c r="N48" i="4"/>
  <c r="BK51" i="7"/>
  <c r="BK58" i="7" s="1"/>
  <c r="BJ44" i="7"/>
  <c r="BJ46" i="7" s="1"/>
  <c r="BJ45" i="7" a="1"/>
  <c r="BJ45" i="7" s="1"/>
  <c r="BI4" i="9"/>
  <c r="BK5" i="8"/>
  <c r="BL4" i="8"/>
  <c r="BL5" i="8" s="1"/>
  <c r="S17" i="4"/>
  <c r="S22" i="4" s="1"/>
  <c r="S23" i="4" s="1"/>
  <c r="BJ75" i="7"/>
  <c r="BJ74" i="7" s="1"/>
  <c r="BJ72" i="7" s="1"/>
  <c r="BJ57" i="7"/>
  <c r="BJ55" i="7" s="1"/>
  <c r="BK180" i="7"/>
  <c r="BK178" i="7"/>
  <c r="BK176" i="7"/>
  <c r="BK170" i="7"/>
  <c r="BK166" i="7"/>
  <c r="BK164" i="7"/>
  <c r="BK177" i="7"/>
  <c r="BK161" i="7"/>
  <c r="BK154" i="7"/>
  <c r="BK175" i="7"/>
  <c r="BK172" i="7"/>
  <c r="BK171" i="7"/>
  <c r="BK152" i="7"/>
  <c r="BK179" i="7"/>
  <c r="BK150" i="7"/>
  <c r="BK160" i="7"/>
  <c r="BK156" i="7"/>
  <c r="BK174" i="7"/>
  <c r="BK173" i="7"/>
  <c r="BK181" i="7"/>
  <c r="BK159" i="7"/>
  <c r="BK144" i="7"/>
  <c r="BK141" i="7"/>
  <c r="BK136" i="7"/>
  <c r="BK133" i="7"/>
  <c r="BK105" i="7"/>
  <c r="BK82" i="7"/>
  <c r="BK50" i="7"/>
  <c r="BK59" i="7" s="1"/>
  <c r="BK76" i="7" s="1"/>
  <c r="BK151" i="7"/>
  <c r="BK79" i="7"/>
  <c r="BK162" i="7"/>
  <c r="BK157" i="7"/>
  <c r="BK142" i="7"/>
  <c r="BK139" i="7"/>
  <c r="BK134" i="7"/>
  <c r="BK131" i="7"/>
  <c r="BK165" i="7"/>
  <c r="BK155" i="7"/>
  <c r="BK153" i="7"/>
  <c r="BK145" i="7"/>
  <c r="BK107" i="7"/>
  <c r="BK93" i="7"/>
  <c r="BK81" i="7"/>
  <c r="BK68" i="7" a="1"/>
  <c r="BK68" i="7" s="1"/>
  <c r="BK16" i="7"/>
  <c r="BK13" i="7"/>
  <c r="BK137" i="7"/>
  <c r="BK132" i="7"/>
  <c r="BK104" i="7"/>
  <c r="BK103" i="7" s="1"/>
  <c r="BK66" i="7"/>
  <c r="BK64" i="7" s="1"/>
  <c r="BK11" i="7"/>
  <c r="BK29" i="7"/>
  <c r="BK27" i="7"/>
  <c r="BK163" i="7"/>
  <c r="BK138" i="7"/>
  <c r="BK143" i="7"/>
  <c r="BK106" i="7"/>
  <c r="BK78" i="7"/>
  <c r="BK146" i="7"/>
  <c r="BK183" i="7" s="1" a="1"/>
  <c r="BK183" i="7" s="1"/>
  <c r="BK140" i="7"/>
  <c r="BK158" i="7"/>
  <c r="BK135" i="7"/>
  <c r="BK130" i="7"/>
  <c r="BK40" i="7"/>
  <c r="BK38" i="7"/>
  <c r="BK36" i="7"/>
  <c r="BK34" i="7"/>
  <c r="BK32" i="7"/>
  <c r="BK30" i="7"/>
  <c r="BK24" i="7"/>
  <c r="BK20" i="7"/>
  <c r="BK39" i="7"/>
  <c r="BK35" i="7"/>
  <c r="BK31" i="7"/>
  <c r="BL5" i="7"/>
  <c r="BK14" i="7"/>
  <c r="BK28" i="7"/>
  <c r="BK41" i="7"/>
  <c r="BK37" i="7"/>
  <c r="BK45" i="7" s="1" a="1"/>
  <c r="BK45" i="7" s="1"/>
  <c r="BK33" i="7"/>
  <c r="BK17" i="7"/>
  <c r="BK12" i="7"/>
  <c r="BK100" i="7"/>
  <c r="BK99" i="7" s="1"/>
  <c r="BK6" i="7"/>
  <c r="BK18" i="7" s="1"/>
  <c r="BK62" i="7" s="1"/>
  <c r="BK61" i="7" s="1"/>
  <c r="BK77" i="7" s="1"/>
  <c r="U31" i="4"/>
  <c r="N13" i="4"/>
  <c r="T31" i="4"/>
  <c r="T14" i="4"/>
  <c r="U14" i="4"/>
  <c r="S57" i="4"/>
  <c r="U30" i="4"/>
  <c r="T30" i="4"/>
  <c r="BH189" i="7"/>
  <c r="BH187" i="7"/>
  <c r="BH188" i="7"/>
  <c r="BJ21" i="7"/>
  <c r="U21" i="4"/>
  <c r="T21" i="4"/>
  <c r="BI47" i="7"/>
  <c r="BJ47" i="7" l="1"/>
  <c r="U13" i="4"/>
  <c r="T13" i="4"/>
  <c r="N12" i="4"/>
  <c r="BK75" i="7"/>
  <c r="BK74" i="7" s="1"/>
  <c r="BK72" i="7" s="1"/>
  <c r="BK57" i="7"/>
  <c r="BK55" i="7" s="1"/>
  <c r="BI189" i="7"/>
  <c r="BK21" i="7"/>
  <c r="BI187" i="7"/>
  <c r="BL51" i="7"/>
  <c r="BL58" i="7" s="1"/>
  <c r="BK44" i="7"/>
  <c r="G13" i="8"/>
  <c r="G14" i="8" s="1"/>
  <c r="H13" i="8"/>
  <c r="H14" i="8" s="1"/>
  <c r="F13" i="8"/>
  <c r="I13" i="8"/>
  <c r="I14" i="8" s="1"/>
  <c r="K13" i="8"/>
  <c r="K14" i="8" s="1"/>
  <c r="J13" i="8"/>
  <c r="J14" i="8" s="1"/>
  <c r="BL181" i="7"/>
  <c r="BL179" i="7"/>
  <c r="BL173" i="7"/>
  <c r="BL176" i="7"/>
  <c r="BL159" i="7"/>
  <c r="BL180" i="7"/>
  <c r="BL165" i="7"/>
  <c r="BL178" i="7"/>
  <c r="BL150" i="7"/>
  <c r="BL162" i="7"/>
  <c r="BL158" i="7"/>
  <c r="BL154" i="7"/>
  <c r="BL174" i="7"/>
  <c r="BL157" i="7"/>
  <c r="BL145" i="7"/>
  <c r="BL175" i="7"/>
  <c r="BL172" i="7"/>
  <c r="BL152" i="7"/>
  <c r="BL151" i="7"/>
  <c r="BL79" i="7"/>
  <c r="G80" i="7" s="1"/>
  <c r="G74" i="7" s="1"/>
  <c r="BL142" i="7"/>
  <c r="BL139" i="7"/>
  <c r="BL134" i="7"/>
  <c r="BL131" i="7"/>
  <c r="BL171" i="7"/>
  <c r="BL170" i="7"/>
  <c r="BL155" i="7"/>
  <c r="BL146" i="7"/>
  <c r="BL183" i="7" s="1" a="1"/>
  <c r="BL183" i="7" s="1"/>
  <c r="BL106" i="7"/>
  <c r="BL164" i="7"/>
  <c r="BL160" i="7"/>
  <c r="BL161" i="7"/>
  <c r="BL156" i="7"/>
  <c r="BL144" i="7"/>
  <c r="BL141" i="7"/>
  <c r="BL136" i="7"/>
  <c r="BL133" i="7"/>
  <c r="BL105" i="7"/>
  <c r="BL82" i="7"/>
  <c r="BL137" i="7"/>
  <c r="BL132" i="7"/>
  <c r="BL104" i="7"/>
  <c r="BL66" i="7"/>
  <c r="BL64" i="7" s="1"/>
  <c r="BL11" i="7"/>
  <c r="BL166" i="7"/>
  <c r="BL29" i="7"/>
  <c r="BL27" i="7"/>
  <c r="BL45" i="7" s="1" a="1"/>
  <c r="BL45" i="7" s="1"/>
  <c r="BL163" i="7"/>
  <c r="BL138" i="7"/>
  <c r="BL41" i="7"/>
  <c r="BL39" i="7"/>
  <c r="BL37" i="7"/>
  <c r="BL35" i="7"/>
  <c r="BL33" i="7"/>
  <c r="BL31" i="7"/>
  <c r="BL17" i="7"/>
  <c r="BL153" i="7"/>
  <c r="BL143" i="7"/>
  <c r="BL107" i="7"/>
  <c r="BL78" i="7"/>
  <c r="BL140" i="7"/>
  <c r="BL100" i="7"/>
  <c r="BL99" i="7" s="1"/>
  <c r="BL135" i="7"/>
  <c r="BL130" i="7"/>
  <c r="BL177" i="7"/>
  <c r="BL93" i="7"/>
  <c r="BL81" i="7"/>
  <c r="BL16" i="7"/>
  <c r="BL13" i="7"/>
  <c r="BL68" i="7" a="1"/>
  <c r="BL68" i="7" s="1"/>
  <c r="BL14" i="7"/>
  <c r="BL12" i="7"/>
  <c r="BL28" i="7"/>
  <c r="BL40" i="7"/>
  <c r="BL36" i="7"/>
  <c r="BL32" i="7"/>
  <c r="BL20" i="7"/>
  <c r="BL50" i="7"/>
  <c r="BL38" i="7"/>
  <c r="BL34" i="7"/>
  <c r="BL30" i="7"/>
  <c r="BL24" i="7"/>
  <c r="BL6" i="7"/>
  <c r="BL18" i="7" s="1"/>
  <c r="U48" i="4"/>
  <c r="T48" i="4"/>
  <c r="N20" i="4"/>
  <c r="BL19" i="7"/>
  <c r="BI3" i="9"/>
  <c r="K16" i="8"/>
  <c r="BJ96" i="7"/>
  <c r="BJ95" i="7" s="1"/>
  <c r="BJ71" i="7" s="1"/>
  <c r="BJ189" i="7" l="1"/>
  <c r="BJ187" i="7"/>
  <c r="BJ188" i="7"/>
  <c r="AL40" i="9" a="1"/>
  <c r="AL40" i="9" s="1"/>
  <c r="B40" i="9" a="1"/>
  <c r="B40" i="9" s="1"/>
  <c r="AA40" i="9" a="1"/>
  <c r="AA40" i="9" s="1"/>
  <c r="T40" i="9" a="1"/>
  <c r="T40" i="9" s="1"/>
  <c r="C40" i="9" a="1"/>
  <c r="C40" i="9" s="1"/>
  <c r="M40" i="9" a="1"/>
  <c r="M40" i="9" s="1"/>
  <c r="U40" i="9" a="1"/>
  <c r="U40" i="9" s="1"/>
  <c r="AB40" i="9" a="1"/>
  <c r="AB40" i="9" s="1"/>
  <c r="AH40" i="9" a="1"/>
  <c r="AH40" i="9" s="1"/>
  <c r="V40" i="9" a="1"/>
  <c r="V40" i="9" s="1"/>
  <c r="AK40" i="9" a="1"/>
  <c r="AK40" i="9" s="1"/>
  <c r="E40" i="9" a="1"/>
  <c r="E40" i="9" s="1"/>
  <c r="AF40" i="9" a="1"/>
  <c r="AF40" i="9" s="1"/>
  <c r="N40" i="9" a="1"/>
  <c r="N40" i="9" s="1"/>
  <c r="AC40" i="9" a="1"/>
  <c r="AC40" i="9" s="1"/>
  <c r="I40" i="9" a="1"/>
  <c r="I40" i="9" s="1"/>
  <c r="W40" i="9" a="1"/>
  <c r="W40" i="9" s="1"/>
  <c r="H40" i="9" a="1"/>
  <c r="H40" i="9" s="1"/>
  <c r="AM40" i="9" a="1"/>
  <c r="AM40" i="9" s="1"/>
  <c r="K40" i="9" a="1"/>
  <c r="K40" i="9" s="1"/>
  <c r="AI40" i="9" a="1"/>
  <c r="AI40" i="9" s="1"/>
  <c r="J40" i="9" a="1"/>
  <c r="J40" i="9" s="1"/>
  <c r="S40" i="9" a="1"/>
  <c r="S40" i="9" s="1"/>
  <c r="F40" i="9" a="1"/>
  <c r="F40" i="9" s="1"/>
  <c r="AE40" i="9" a="1"/>
  <c r="AE40" i="9" s="1"/>
  <c r="D40" i="9" a="1"/>
  <c r="D40" i="9" s="1"/>
  <c r="Q40" i="9" a="1"/>
  <c r="Q40" i="9" s="1"/>
  <c r="G40" i="9" a="1"/>
  <c r="G40" i="9" s="1"/>
  <c r="AJ40" i="9" a="1"/>
  <c r="AJ40" i="9" s="1"/>
  <c r="AG40" i="9" a="1"/>
  <c r="AG40" i="9" s="1"/>
  <c r="Z40" i="9" a="1"/>
  <c r="Z40" i="9" s="1"/>
  <c r="AN40" i="9" a="1"/>
  <c r="AN40" i="9" s="1"/>
  <c r="R40" i="9" a="1"/>
  <c r="R40" i="9" s="1"/>
  <c r="Y40" i="9" a="1"/>
  <c r="Y40" i="9" s="1"/>
  <c r="AD40" i="9" a="1"/>
  <c r="AD40" i="9" s="1"/>
  <c r="X40" i="9" a="1"/>
  <c r="X40" i="9" s="1"/>
  <c r="O40" i="9" a="1"/>
  <c r="O40" i="9" s="1"/>
  <c r="L40" i="9" a="1"/>
  <c r="L40" i="9" s="1"/>
  <c r="P40" i="9" a="1"/>
  <c r="P40" i="9" s="1"/>
  <c r="AQ40" i="9" a="1"/>
  <c r="AQ40" i="9" s="1"/>
  <c r="AP40" i="9" a="1"/>
  <c r="AP40" i="9" s="1"/>
  <c r="AO40" i="9" a="1"/>
  <c r="AO40" i="9" s="1"/>
  <c r="AR40" i="9" a="1"/>
  <c r="AR40" i="9" s="1"/>
  <c r="AS40" i="9" a="1"/>
  <c r="AS40" i="9" s="1"/>
  <c r="AU40" i="9" a="1"/>
  <c r="AU40" i="9" s="1"/>
  <c r="AT40" i="9" a="1"/>
  <c r="AT40" i="9" s="1"/>
  <c r="AV40" i="9" a="1"/>
  <c r="AV40" i="9" s="1"/>
  <c r="AX40" i="9" a="1"/>
  <c r="AX40" i="9" s="1"/>
  <c r="AW40" i="9" a="1"/>
  <c r="AW40" i="9" s="1"/>
  <c r="AY40" i="9" a="1"/>
  <c r="AY40" i="9" s="1"/>
  <c r="AZ40" i="9" a="1"/>
  <c r="AZ40" i="9" s="1"/>
  <c r="BB40" i="9" a="1"/>
  <c r="BB40" i="9" s="1"/>
  <c r="BF40" i="9" a="1"/>
  <c r="BF40" i="9" s="1"/>
  <c r="BC40" i="9" a="1"/>
  <c r="BC40" i="9" s="1"/>
  <c r="BA40" i="9" a="1"/>
  <c r="BA40" i="9" s="1"/>
  <c r="BD40" i="9" a="1"/>
  <c r="BD40" i="9" s="1"/>
  <c r="BE40" i="9" a="1"/>
  <c r="BE40" i="9" s="1"/>
  <c r="BI40" i="9" a="1"/>
  <c r="BI40" i="9" s="1"/>
  <c r="BH40" i="9" a="1"/>
  <c r="BH40" i="9" s="1"/>
  <c r="BG40" i="9" a="1"/>
  <c r="BG40" i="9" s="1"/>
  <c r="AL37" i="9" a="1"/>
  <c r="AL37" i="9" s="1"/>
  <c r="D37" i="9" a="1"/>
  <c r="D37" i="9" s="1"/>
  <c r="AH37" i="9" a="1"/>
  <c r="AH37" i="9" s="1"/>
  <c r="I37" i="9" a="1"/>
  <c r="I37" i="9" s="1"/>
  <c r="R37" i="9" a="1"/>
  <c r="R37" i="9" s="1"/>
  <c r="Z37" i="9" a="1"/>
  <c r="Z37" i="9" s="1"/>
  <c r="AG37" i="9" a="1"/>
  <c r="AG37" i="9" s="1"/>
  <c r="V37" i="9" a="1"/>
  <c r="V37" i="9" s="1"/>
  <c r="Q37" i="9" a="1"/>
  <c r="Q37" i="9" s="1"/>
  <c r="J37" i="9" a="1"/>
  <c r="J37" i="9" s="1"/>
  <c r="AD37" i="9" a="1"/>
  <c r="AD37" i="9" s="1"/>
  <c r="F37" i="9" a="1"/>
  <c r="F37" i="9" s="1"/>
  <c r="W37" i="9" a="1"/>
  <c r="W37" i="9" s="1"/>
  <c r="AI37" i="9" a="1"/>
  <c r="AI37" i="9" s="1"/>
  <c r="B37" i="9" a="1"/>
  <c r="B37" i="9" s="1"/>
  <c r="AM37" i="9" a="1"/>
  <c r="AM37" i="9" s="1"/>
  <c r="L37" i="9" a="1"/>
  <c r="L37" i="9" s="1"/>
  <c r="AO37" i="9" a="1"/>
  <c r="AO37" i="9" s="1"/>
  <c r="AF37" i="9" a="1"/>
  <c r="AF37" i="9" s="1"/>
  <c r="G37" i="9" a="1"/>
  <c r="G37" i="9" s="1"/>
  <c r="H37" i="9" a="1"/>
  <c r="H37" i="9" s="1"/>
  <c r="X37" i="9" a="1"/>
  <c r="X37" i="9" s="1"/>
  <c r="O37" i="9" a="1"/>
  <c r="O37" i="9" s="1"/>
  <c r="AB37" i="9" a="1"/>
  <c r="AB37" i="9" s="1"/>
  <c r="AJ37" i="9" a="1"/>
  <c r="AJ37" i="9" s="1"/>
  <c r="C37" i="9" a="1"/>
  <c r="C37" i="9" s="1"/>
  <c r="P37" i="9" a="1"/>
  <c r="P37" i="9" s="1"/>
  <c r="N37" i="9" a="1"/>
  <c r="N37" i="9" s="1"/>
  <c r="T37" i="9" a="1"/>
  <c r="T37" i="9" s="1"/>
  <c r="Y37" i="9" a="1"/>
  <c r="Y37" i="9" s="1"/>
  <c r="AA37" i="9" a="1"/>
  <c r="AA37" i="9" s="1"/>
  <c r="AC37" i="9" a="1"/>
  <c r="AC37" i="9" s="1"/>
  <c r="U37" i="9" a="1"/>
  <c r="U37" i="9" s="1"/>
  <c r="AN37" i="9" a="1"/>
  <c r="AN37" i="9" s="1"/>
  <c r="AE37" i="9" a="1"/>
  <c r="AE37" i="9" s="1"/>
  <c r="AK37" i="9" a="1"/>
  <c r="AK37" i="9" s="1"/>
  <c r="E37" i="9" a="1"/>
  <c r="E37" i="9" s="1"/>
  <c r="S37" i="9" a="1"/>
  <c r="S37" i="9" s="1"/>
  <c r="K37" i="9" a="1"/>
  <c r="K37" i="9" s="1"/>
  <c r="M37" i="9" a="1"/>
  <c r="M37" i="9" s="1"/>
  <c r="AP37" i="9" a="1"/>
  <c r="AP37" i="9" s="1"/>
  <c r="AQ37" i="9" a="1"/>
  <c r="AQ37" i="9" s="1"/>
  <c r="AS37" i="9" a="1"/>
  <c r="AS37" i="9" s="1"/>
  <c r="AR37" i="9" a="1"/>
  <c r="AR37" i="9" s="1"/>
  <c r="AW37" i="9" a="1"/>
  <c r="AW37" i="9" s="1"/>
  <c r="AV37" i="9" a="1"/>
  <c r="AV37" i="9" s="1"/>
  <c r="AT37" i="9" a="1"/>
  <c r="AT37" i="9" s="1"/>
  <c r="AU37" i="9" a="1"/>
  <c r="AU37" i="9" s="1"/>
  <c r="AX37" i="9" a="1"/>
  <c r="AX37" i="9" s="1"/>
  <c r="AY37" i="9" a="1"/>
  <c r="AY37" i="9" s="1"/>
  <c r="BB37" i="9" a="1"/>
  <c r="BB37" i="9" s="1"/>
  <c r="BA37" i="9" a="1"/>
  <c r="BA37" i="9" s="1"/>
  <c r="AZ37" i="9" a="1"/>
  <c r="AZ37" i="9" s="1"/>
  <c r="BE37" i="9" a="1"/>
  <c r="BE37" i="9" s="1"/>
  <c r="BD37" i="9" a="1"/>
  <c r="BD37" i="9" s="1"/>
  <c r="BC37" i="9" a="1"/>
  <c r="BC37" i="9" s="1"/>
  <c r="BG37" i="9" a="1"/>
  <c r="BG37" i="9" s="1"/>
  <c r="BF37" i="9" a="1"/>
  <c r="BF37" i="9" s="1"/>
  <c r="BI37" i="9" a="1"/>
  <c r="BI37" i="9" s="1"/>
  <c r="BH37" i="9" a="1"/>
  <c r="BH37" i="9" s="1"/>
  <c r="F26" i="8"/>
  <c r="I26" i="8"/>
  <c r="J26" i="8"/>
  <c r="H26" i="8"/>
  <c r="F27" i="8"/>
  <c r="E27" i="8" s="1"/>
  <c r="J27" i="8"/>
  <c r="H27" i="8"/>
  <c r="I27" i="8"/>
  <c r="K17" i="8"/>
  <c r="K21" i="8"/>
  <c r="K22" i="8"/>
  <c r="K29" i="8"/>
  <c r="K26" i="8"/>
  <c r="K19" i="8"/>
  <c r="K32" i="8" s="1"/>
  <c r="G26" i="8"/>
  <c r="K27" i="8"/>
  <c r="K28" i="8"/>
  <c r="G27" i="8"/>
  <c r="K20" i="8"/>
  <c r="K24" i="8"/>
  <c r="K25" i="8"/>
  <c r="K30" i="8"/>
  <c r="K23" i="8"/>
  <c r="K31" i="8"/>
  <c r="N43" i="9" a="1"/>
  <c r="N43" i="9" s="1"/>
  <c r="AJ43" i="9" a="1"/>
  <c r="AJ43" i="9" s="1"/>
  <c r="R43" i="9" a="1"/>
  <c r="R43" i="9" s="1"/>
  <c r="V43" i="9" a="1"/>
  <c r="V43" i="9" s="1"/>
  <c r="AG43" i="9" a="1"/>
  <c r="AG43" i="9" s="1"/>
  <c r="H43" i="9" a="1"/>
  <c r="H43" i="9" s="1"/>
  <c r="AK43" i="9" a="1"/>
  <c r="AK43" i="9" s="1"/>
  <c r="Z43" i="9" a="1"/>
  <c r="Z43" i="9" s="1"/>
  <c r="T43" i="9" a="1"/>
  <c r="T43" i="9" s="1"/>
  <c r="AE43" i="9" a="1"/>
  <c r="AE43" i="9" s="1"/>
  <c r="AH43" i="9" a="1"/>
  <c r="AH43" i="9" s="1"/>
  <c r="K43" i="9" a="1"/>
  <c r="K43" i="9" s="1"/>
  <c r="I43" i="9" a="1"/>
  <c r="I43" i="9" s="1"/>
  <c r="AD43" i="9" a="1"/>
  <c r="AD43" i="9" s="1"/>
  <c r="G43" i="9" a="1"/>
  <c r="G43" i="9" s="1"/>
  <c r="AA43" i="9" a="1"/>
  <c r="AA43" i="9" s="1"/>
  <c r="C43" i="9" a="1"/>
  <c r="C43" i="9" s="1"/>
  <c r="W43" i="9" a="1"/>
  <c r="W43" i="9" s="1"/>
  <c r="O43" i="9" a="1"/>
  <c r="O43" i="9" s="1"/>
  <c r="AI43" i="9" a="1"/>
  <c r="AI43" i="9" s="1"/>
  <c r="AC43" i="9" a="1"/>
  <c r="AC43" i="9" s="1"/>
  <c r="Y43" i="9" a="1"/>
  <c r="Y43" i="9" s="1"/>
  <c r="L43" i="9" a="1"/>
  <c r="L43" i="9" s="1"/>
  <c r="AF43" i="9" a="1"/>
  <c r="AF43" i="9" s="1"/>
  <c r="U43" i="9" a="1"/>
  <c r="U43" i="9" s="1"/>
  <c r="E43" i="9" a="1"/>
  <c r="E43" i="9" s="1"/>
  <c r="D43" i="9" a="1"/>
  <c r="D43" i="9" s="1"/>
  <c r="Q43" i="9" a="1"/>
  <c r="Q43" i="9" s="1"/>
  <c r="M43" i="9" a="1"/>
  <c r="M43" i="9" s="1"/>
  <c r="F43" i="9" a="1"/>
  <c r="F43" i="9" s="1"/>
  <c r="P43" i="9" a="1"/>
  <c r="P43" i="9" s="1"/>
  <c r="AO43" i="9" a="1"/>
  <c r="AO43" i="9" s="1"/>
  <c r="X43" i="9" a="1"/>
  <c r="X43" i="9" s="1"/>
  <c r="J43" i="9" a="1"/>
  <c r="J43" i="9" s="1"/>
  <c r="S43" i="9" a="1"/>
  <c r="S43" i="9" s="1"/>
  <c r="AL43" i="9" a="1"/>
  <c r="AL43" i="9" s="1"/>
  <c r="AB43" i="9" a="1"/>
  <c r="AB43" i="9" s="1"/>
  <c r="B43" i="9" a="1"/>
  <c r="B43" i="9" s="1"/>
  <c r="AM43" i="9" a="1"/>
  <c r="AM43" i="9" s="1"/>
  <c r="AN43" i="9" a="1"/>
  <c r="AN43" i="9" s="1"/>
  <c r="AP43" i="9" a="1"/>
  <c r="AP43" i="9" s="1"/>
  <c r="AU43" i="9" a="1"/>
  <c r="AU43" i="9" s="1"/>
  <c r="AS43" i="9" a="1"/>
  <c r="AS43" i="9" s="1"/>
  <c r="AQ43" i="9" a="1"/>
  <c r="AQ43" i="9" s="1"/>
  <c r="AR43" i="9" a="1"/>
  <c r="AR43" i="9" s="1"/>
  <c r="AT43" i="9" a="1"/>
  <c r="AT43" i="9" s="1"/>
  <c r="AW43" i="9" a="1"/>
  <c r="AW43" i="9" s="1"/>
  <c r="AV43" i="9" a="1"/>
  <c r="AV43" i="9" s="1"/>
  <c r="AY43" i="9" a="1"/>
  <c r="AY43" i="9" s="1"/>
  <c r="AX43" i="9" a="1"/>
  <c r="AX43" i="9" s="1"/>
  <c r="AZ43" i="9" a="1"/>
  <c r="AZ43" i="9" s="1"/>
  <c r="BA43" i="9" a="1"/>
  <c r="BA43" i="9" s="1"/>
  <c r="BC43" i="9" a="1"/>
  <c r="BC43" i="9" s="1"/>
  <c r="BB43" i="9" a="1"/>
  <c r="BB43" i="9" s="1"/>
  <c r="BE43" i="9" a="1"/>
  <c r="BE43" i="9" s="1"/>
  <c r="BD43" i="9" a="1"/>
  <c r="BD43" i="9" s="1"/>
  <c r="BH43" i="9" a="1"/>
  <c r="BH43" i="9" s="1"/>
  <c r="BI43" i="9" a="1"/>
  <c r="BI43" i="9" s="1"/>
  <c r="BG43" i="9" a="1"/>
  <c r="BG43" i="9" s="1"/>
  <c r="BF43" i="9" a="1"/>
  <c r="BF43" i="9" s="1"/>
  <c r="BL103" i="7"/>
  <c r="BK46" i="7"/>
  <c r="BK96" i="7"/>
  <c r="BK95" i="7" s="1"/>
  <c r="BL21" i="7"/>
  <c r="B47" i="9" a="1"/>
  <c r="B47" i="9" s="1"/>
  <c r="AD47" i="9" a="1"/>
  <c r="AD47" i="9" s="1"/>
  <c r="L47" i="9" a="1"/>
  <c r="L47" i="9" s="1"/>
  <c r="AL47" i="9" a="1"/>
  <c r="AL47" i="9" s="1"/>
  <c r="S47" i="9" a="1"/>
  <c r="S47" i="9" s="1"/>
  <c r="C47" i="9" a="1"/>
  <c r="C47" i="9" s="1"/>
  <c r="AE47" i="9" a="1"/>
  <c r="AE47" i="9" s="1"/>
  <c r="AK47" i="9" a="1"/>
  <c r="AK47" i="9" s="1"/>
  <c r="Y47" i="9" a="1"/>
  <c r="Y47" i="9" s="1"/>
  <c r="I47" i="9" a="1"/>
  <c r="I47" i="9" s="1"/>
  <c r="E47" i="9" a="1"/>
  <c r="E47" i="9" s="1"/>
  <c r="M47" i="9" a="1"/>
  <c r="M47" i="9" s="1"/>
  <c r="AJ47" i="9" a="1"/>
  <c r="AJ47" i="9" s="1"/>
  <c r="O47" i="9" a="1"/>
  <c r="O47" i="9" s="1"/>
  <c r="V47" i="9" a="1"/>
  <c r="V47" i="9" s="1"/>
  <c r="AI47" i="9" a="1"/>
  <c r="AI47" i="9" s="1"/>
  <c r="W47" i="9" a="1"/>
  <c r="W47" i="9" s="1"/>
  <c r="AG47" i="9" a="1"/>
  <c r="AG47" i="9" s="1"/>
  <c r="T47" i="9" a="1"/>
  <c r="T47" i="9" s="1"/>
  <c r="AA47" i="9" a="1"/>
  <c r="AA47" i="9" s="1"/>
  <c r="J47" i="9" a="1"/>
  <c r="J47" i="9" s="1"/>
  <c r="AC47" i="9" a="1"/>
  <c r="AC47" i="9" s="1"/>
  <c r="AF47" i="9" a="1"/>
  <c r="AF47" i="9" s="1"/>
  <c r="H47" i="9" a="1"/>
  <c r="H47" i="9" s="1"/>
  <c r="U47" i="9" a="1"/>
  <c r="U47" i="9" s="1"/>
  <c r="X47" i="9" a="1"/>
  <c r="X47" i="9" s="1"/>
  <c r="Q47" i="9" a="1"/>
  <c r="Q47" i="9" s="1"/>
  <c r="Z47" i="9" a="1"/>
  <c r="Z47" i="9" s="1"/>
  <c r="F47" i="9" a="1"/>
  <c r="F47" i="9" s="1"/>
  <c r="N47" i="9" a="1"/>
  <c r="N47" i="9" s="1"/>
  <c r="K47" i="9" a="1"/>
  <c r="K47" i="9" s="1"/>
  <c r="G47" i="9" a="1"/>
  <c r="G47" i="9" s="1"/>
  <c r="AB47" i="9" a="1"/>
  <c r="AB47" i="9" s="1"/>
  <c r="D47" i="9" a="1"/>
  <c r="D47" i="9" s="1"/>
  <c r="AH47" i="9" a="1"/>
  <c r="AH47" i="9" s="1"/>
  <c r="R47" i="9" a="1"/>
  <c r="R47" i="9" s="1"/>
  <c r="P47" i="9" a="1"/>
  <c r="P47" i="9" s="1"/>
  <c r="AO47" i="9" a="1"/>
  <c r="AO47" i="9" s="1"/>
  <c r="AM47" i="9" a="1"/>
  <c r="AM47" i="9" s="1"/>
  <c r="AN47" i="9" a="1"/>
  <c r="AN47" i="9" s="1"/>
  <c r="AP47" i="9" a="1"/>
  <c r="AP47" i="9" s="1"/>
  <c r="AR47" i="9" a="1"/>
  <c r="AR47" i="9" s="1"/>
  <c r="AQ47" i="9" a="1"/>
  <c r="AQ47" i="9" s="1"/>
  <c r="AY47" i="9" a="1"/>
  <c r="AY47" i="9" s="1"/>
  <c r="AT47" i="9" a="1"/>
  <c r="AT47" i="9" s="1"/>
  <c r="AS47" i="9" a="1"/>
  <c r="AS47" i="9" s="1"/>
  <c r="AX47" i="9" a="1"/>
  <c r="AX47" i="9" s="1"/>
  <c r="AV47" i="9" a="1"/>
  <c r="AV47" i="9" s="1"/>
  <c r="AU47" i="9" a="1"/>
  <c r="AU47" i="9" s="1"/>
  <c r="BA47" i="9" a="1"/>
  <c r="BA47" i="9" s="1"/>
  <c r="AW47" i="9" a="1"/>
  <c r="AW47" i="9" s="1"/>
  <c r="AZ47" i="9" a="1"/>
  <c r="AZ47" i="9" s="1"/>
  <c r="BB47" i="9" a="1"/>
  <c r="BB47" i="9" s="1"/>
  <c r="BC47" i="9" a="1"/>
  <c r="BC47" i="9" s="1"/>
  <c r="BD47" i="9" a="1"/>
  <c r="BD47" i="9" s="1"/>
  <c r="BF47" i="9" a="1"/>
  <c r="BF47" i="9" s="1"/>
  <c r="BE47" i="9" a="1"/>
  <c r="BE47" i="9" s="1"/>
  <c r="BG47" i="9" a="1"/>
  <c r="BG47" i="9" s="1"/>
  <c r="BH47" i="9" a="1"/>
  <c r="BH47" i="9" s="1"/>
  <c r="BI47" i="9" a="1"/>
  <c r="BI47" i="9" s="1"/>
  <c r="BL75" i="7"/>
  <c r="AL12" i="9" a="1"/>
  <c r="AL12" i="9" s="1"/>
  <c r="AO12" i="9" a="1"/>
  <c r="AO12" i="9" s="1"/>
  <c r="T12" i="9" a="1"/>
  <c r="T12" i="9" s="1"/>
  <c r="L12" i="9" a="1"/>
  <c r="L12" i="9" s="1"/>
  <c r="Q12" i="9" a="1"/>
  <c r="Q12" i="9" s="1"/>
  <c r="O12" i="9" a="1"/>
  <c r="O12" i="9" s="1"/>
  <c r="F12" i="9" a="1"/>
  <c r="F12" i="9" s="1"/>
  <c r="AJ12" i="9" a="1"/>
  <c r="AJ12" i="9" s="1"/>
  <c r="Y12" i="9" a="1"/>
  <c r="Y12" i="9" s="1"/>
  <c r="AF12" i="9" a="1"/>
  <c r="AF12" i="9" s="1"/>
  <c r="AC12" i="9" a="1"/>
  <c r="AC12" i="9" s="1"/>
  <c r="S12" i="9" a="1"/>
  <c r="S12" i="9" s="1"/>
  <c r="J12" i="9" a="1"/>
  <c r="J12" i="9" s="1"/>
  <c r="D12" i="9" a="1"/>
  <c r="D12" i="9" s="1"/>
  <c r="I12" i="9" a="1"/>
  <c r="I12" i="9" s="1"/>
  <c r="W12" i="9" a="1"/>
  <c r="W12" i="9" s="1"/>
  <c r="V12" i="9" a="1"/>
  <c r="V12" i="9" s="1"/>
  <c r="AG12" i="9" a="1"/>
  <c r="AG12" i="9" s="1"/>
  <c r="C12" i="9" a="1"/>
  <c r="C12" i="9" s="1"/>
  <c r="U12" i="9" a="1"/>
  <c r="U12" i="9" s="1"/>
  <c r="AN12" i="9" a="1"/>
  <c r="AN12" i="9" s="1"/>
  <c r="AK12" i="9" a="1"/>
  <c r="AK12" i="9" s="1"/>
  <c r="G12" i="9" a="1"/>
  <c r="G12" i="9" s="1"/>
  <c r="N12" i="9" a="1"/>
  <c r="N12" i="9" s="1"/>
  <c r="AH12" i="9" a="1"/>
  <c r="AH12" i="9" s="1"/>
  <c r="X12" i="9" a="1"/>
  <c r="X12" i="9" s="1"/>
  <c r="AA12" i="9" a="1"/>
  <c r="AA12" i="9" s="1"/>
  <c r="K12" i="9" a="1"/>
  <c r="K12" i="9" s="1"/>
  <c r="AM12" i="9" a="1"/>
  <c r="AM12" i="9" s="1"/>
  <c r="AB12" i="9" a="1"/>
  <c r="AB12" i="9" s="1"/>
  <c r="AI12" i="9" a="1"/>
  <c r="AI12" i="9" s="1"/>
  <c r="P12" i="9" a="1"/>
  <c r="P12" i="9" s="1"/>
  <c r="H12" i="9" a="1"/>
  <c r="H12" i="9" s="1"/>
  <c r="Z12" i="9" a="1"/>
  <c r="Z12" i="9" s="1"/>
  <c r="AE12" i="9" a="1"/>
  <c r="AE12" i="9" s="1"/>
  <c r="R12" i="9" a="1"/>
  <c r="R12" i="9" s="1"/>
  <c r="AD12" i="9" a="1"/>
  <c r="AD12" i="9" s="1"/>
  <c r="E12" i="9" a="1"/>
  <c r="E12" i="9" s="1"/>
  <c r="B12" i="9" a="1"/>
  <c r="B12" i="9" s="1"/>
  <c r="M12" i="9" a="1"/>
  <c r="M12" i="9" s="1"/>
  <c r="AP12" i="9" a="1"/>
  <c r="AP12" i="9" s="1"/>
  <c r="AQ12" i="9" a="1"/>
  <c r="AQ12" i="9" s="1"/>
  <c r="AS12" i="9" a="1"/>
  <c r="AS12" i="9" s="1"/>
  <c r="AR12" i="9" a="1"/>
  <c r="AR12" i="9" s="1"/>
  <c r="AU12" i="9" a="1"/>
  <c r="AU12" i="9" s="1"/>
  <c r="AW12" i="9" a="1"/>
  <c r="AW12" i="9" s="1"/>
  <c r="AV12" i="9" a="1"/>
  <c r="AV12" i="9" s="1"/>
  <c r="AT12" i="9" a="1"/>
  <c r="AT12" i="9" s="1"/>
  <c r="AY12" i="9" a="1"/>
  <c r="AY12" i="9" s="1"/>
  <c r="AX12" i="9" a="1"/>
  <c r="AX12" i="9" s="1"/>
  <c r="AZ12" i="9" a="1"/>
  <c r="AZ12" i="9" s="1"/>
  <c r="BB12" i="9" a="1"/>
  <c r="BB12" i="9" s="1"/>
  <c r="BA12" i="9" a="1"/>
  <c r="BA12" i="9" s="1"/>
  <c r="BC12" i="9" a="1"/>
  <c r="BC12" i="9" s="1"/>
  <c r="BD12" i="9" a="1"/>
  <c r="BD12" i="9" s="1"/>
  <c r="BE12" i="9" a="1"/>
  <c r="BE12" i="9" s="1"/>
  <c r="BF12" i="9" a="1"/>
  <c r="BF12" i="9" s="1"/>
  <c r="BG12" i="9" a="1"/>
  <c r="BG12" i="9" s="1"/>
  <c r="BI12" i="9" a="1"/>
  <c r="BI12" i="9" s="1"/>
  <c r="BH12" i="9" a="1"/>
  <c r="BH12" i="9" s="1"/>
  <c r="U12" i="4"/>
  <c r="T12" i="4"/>
  <c r="U20" i="4"/>
  <c r="T20" i="4"/>
  <c r="N29" i="9" a="1"/>
  <c r="N29" i="9" s="1"/>
  <c r="AJ29" i="9" a="1"/>
  <c r="AJ29" i="9" s="1"/>
  <c r="H29" i="8" s="1"/>
  <c r="F29" i="9" a="1"/>
  <c r="F29" i="9" s="1"/>
  <c r="T29" i="9" a="1"/>
  <c r="T29" i="9" s="1"/>
  <c r="Y29" i="9" a="1"/>
  <c r="Y29" i="9" s="1"/>
  <c r="W29" i="9" a="1"/>
  <c r="W29" i="9" s="1"/>
  <c r="G29" i="9" a="1"/>
  <c r="G29" i="9" s="1"/>
  <c r="AI29" i="9" a="1"/>
  <c r="AI29" i="9" s="1"/>
  <c r="AK29" i="9" a="1"/>
  <c r="AK29" i="9" s="1"/>
  <c r="U29" i="9" a="1"/>
  <c r="U29" i="9" s="1"/>
  <c r="AB29" i="9" a="1"/>
  <c r="AB29" i="9" s="1"/>
  <c r="AA29" i="9" a="1"/>
  <c r="AA29" i="9" s="1"/>
  <c r="B29" i="9" a="1"/>
  <c r="B29" i="9" s="1"/>
  <c r="X29" i="9" a="1"/>
  <c r="X29" i="9" s="1"/>
  <c r="AC29" i="9" a="1"/>
  <c r="AC29" i="9" s="1"/>
  <c r="C29" i="9" a="1"/>
  <c r="C29" i="9" s="1"/>
  <c r="AD29" i="9" a="1"/>
  <c r="AD29" i="9" s="1"/>
  <c r="E29" i="9" a="1"/>
  <c r="E29" i="9" s="1"/>
  <c r="H29" i="9" a="1"/>
  <c r="H29" i="9" s="1"/>
  <c r="O29" i="9" a="1"/>
  <c r="O29" i="9" s="1"/>
  <c r="S29" i="9" a="1"/>
  <c r="S29" i="9" s="1"/>
  <c r="Z29" i="9" a="1"/>
  <c r="Z29" i="9" s="1"/>
  <c r="P29" i="9" a="1"/>
  <c r="P29" i="9" s="1"/>
  <c r="G29" i="8" s="1"/>
  <c r="K29" i="9" a="1"/>
  <c r="K29" i="9" s="1"/>
  <c r="AH29" i="9" a="1"/>
  <c r="AH29" i="9" s="1"/>
  <c r="I29" i="9" a="1"/>
  <c r="I29" i="9" s="1"/>
  <c r="AG29" i="9" a="1"/>
  <c r="AG29" i="9" s="1"/>
  <c r="R29" i="9" a="1"/>
  <c r="R29" i="9" s="1"/>
  <c r="J29" i="9" a="1"/>
  <c r="J29" i="9" s="1"/>
  <c r="D29" i="9" a="1"/>
  <c r="D29" i="9" s="1"/>
  <c r="Q29" i="9" a="1"/>
  <c r="Q29" i="9" s="1"/>
  <c r="AE29" i="9" a="1"/>
  <c r="AE29" i="9" s="1"/>
  <c r="L29" i="9" a="1"/>
  <c r="L29" i="9" s="1"/>
  <c r="AL29" i="9" a="1"/>
  <c r="AL29" i="9" s="1"/>
  <c r="I29" i="8" s="1"/>
  <c r="V29" i="9" a="1"/>
  <c r="V29" i="9" s="1"/>
  <c r="AF29" i="9" a="1"/>
  <c r="AF29" i="9" s="1"/>
  <c r="AM29" i="9" a="1"/>
  <c r="AM29" i="9" s="1"/>
  <c r="M29" i="9" a="1"/>
  <c r="M29" i="9" s="1"/>
  <c r="AN29" i="9" a="1"/>
  <c r="AN29" i="9" s="1"/>
  <c r="AO29" i="9" a="1"/>
  <c r="AO29" i="9" s="1"/>
  <c r="AP29" i="9" a="1"/>
  <c r="AP29" i="9" s="1"/>
  <c r="AQ29" i="9" a="1"/>
  <c r="AQ29" i="9" s="1"/>
  <c r="AU29" i="9" a="1"/>
  <c r="AU29" i="9" s="1"/>
  <c r="AS29" i="9" a="1"/>
  <c r="AS29" i="9" s="1"/>
  <c r="AR29" i="9" a="1"/>
  <c r="AR29" i="9" s="1"/>
  <c r="AT29" i="9" a="1"/>
  <c r="AT29" i="9" s="1"/>
  <c r="AW29" i="9" a="1"/>
  <c r="AW29" i="9" s="1"/>
  <c r="AX29" i="9" a="1"/>
  <c r="AX29" i="9" s="1"/>
  <c r="AV29" i="9" a="1"/>
  <c r="AV29" i="9" s="1"/>
  <c r="AZ29" i="9" a="1"/>
  <c r="AZ29" i="9" s="1"/>
  <c r="J29" i="8" s="1"/>
  <c r="BA29" i="9" a="1"/>
  <c r="BA29" i="9" s="1"/>
  <c r="BC29" i="9" a="1"/>
  <c r="BC29" i="9" s="1"/>
  <c r="AY29" i="9" a="1"/>
  <c r="AY29" i="9" s="1"/>
  <c r="BB29" i="9" a="1"/>
  <c r="BB29" i="9" s="1"/>
  <c r="BE29" i="9" a="1"/>
  <c r="BE29" i="9" s="1"/>
  <c r="BD29" i="9" a="1"/>
  <c r="BD29" i="9" s="1"/>
  <c r="BI29" i="9" a="1"/>
  <c r="BI29" i="9" s="1"/>
  <c r="BF29" i="9" a="1"/>
  <c r="BF29" i="9" s="1"/>
  <c r="BG29" i="9" a="1"/>
  <c r="BG29" i="9" s="1"/>
  <c r="BH29" i="9" a="1"/>
  <c r="BH29" i="9" s="1"/>
  <c r="I42" i="9" a="1"/>
  <c r="I42" i="9" s="1"/>
  <c r="S42" i="9" a="1"/>
  <c r="S42" i="9" s="1"/>
  <c r="P42" i="9" a="1"/>
  <c r="P42" i="9" s="1"/>
  <c r="AK42" i="9" a="1"/>
  <c r="AK42" i="9" s="1"/>
  <c r="Q42" i="9" a="1"/>
  <c r="Q42" i="9" s="1"/>
  <c r="J42" i="9" a="1"/>
  <c r="J42" i="9" s="1"/>
  <c r="AD42" i="9" a="1"/>
  <c r="AD42" i="9" s="1"/>
  <c r="Z42" i="9" a="1"/>
  <c r="Z42" i="9" s="1"/>
  <c r="F42" i="9" a="1"/>
  <c r="F42" i="9" s="1"/>
  <c r="H42" i="9" a="1"/>
  <c r="H42" i="9" s="1"/>
  <c r="V42" i="9" a="1"/>
  <c r="V42" i="9" s="1"/>
  <c r="B42" i="9" a="1"/>
  <c r="B42" i="9" s="1"/>
  <c r="G42" i="9" a="1"/>
  <c r="G42" i="9" s="1"/>
  <c r="X42" i="9" a="1"/>
  <c r="X42" i="9" s="1"/>
  <c r="R42" i="9" a="1"/>
  <c r="R42" i="9" s="1"/>
  <c r="AB42" i="9" a="1"/>
  <c r="AB42" i="9" s="1"/>
  <c r="T42" i="9" a="1"/>
  <c r="T42" i="9" s="1"/>
  <c r="AI42" i="9" a="1"/>
  <c r="AI42" i="9" s="1"/>
  <c r="M42" i="9" a="1"/>
  <c r="M42" i="9" s="1"/>
  <c r="AG42" i="9" a="1"/>
  <c r="AG42" i="9" s="1"/>
  <c r="AF42" i="9" a="1"/>
  <c r="AF42" i="9" s="1"/>
  <c r="D42" i="9" a="1"/>
  <c r="D42" i="9" s="1"/>
  <c r="W42" i="9" a="1"/>
  <c r="W42" i="9" s="1"/>
  <c r="AC42" i="9" a="1"/>
  <c r="AC42" i="9" s="1"/>
  <c r="U42" i="9" a="1"/>
  <c r="U42" i="9" s="1"/>
  <c r="Y42" i="9" a="1"/>
  <c r="Y42" i="9" s="1"/>
  <c r="AA42" i="9" a="1"/>
  <c r="AA42" i="9" s="1"/>
  <c r="L42" i="9" a="1"/>
  <c r="L42" i="9" s="1"/>
  <c r="E42" i="9" a="1"/>
  <c r="E42" i="9" s="1"/>
  <c r="AE42" i="9" a="1"/>
  <c r="AE42" i="9" s="1"/>
  <c r="O42" i="9" a="1"/>
  <c r="O42" i="9" s="1"/>
  <c r="N42" i="9" a="1"/>
  <c r="N42" i="9" s="1"/>
  <c r="AN42" i="9" a="1"/>
  <c r="AN42" i="9" s="1"/>
  <c r="AH42" i="9" a="1"/>
  <c r="AH42" i="9" s="1"/>
  <c r="AJ42" i="9" a="1"/>
  <c r="AJ42" i="9" s="1"/>
  <c r="AL42" i="9" a="1"/>
  <c r="AL42" i="9" s="1"/>
  <c r="K42" i="9" a="1"/>
  <c r="K42" i="9" s="1"/>
  <c r="C42" i="9" a="1"/>
  <c r="C42" i="9" s="1"/>
  <c r="AM42" i="9" a="1"/>
  <c r="AM42" i="9" s="1"/>
  <c r="AO42" i="9" a="1"/>
  <c r="AO42" i="9" s="1"/>
  <c r="AS42" i="9" a="1"/>
  <c r="AS42" i="9" s="1"/>
  <c r="AR42" i="9" a="1"/>
  <c r="AR42" i="9" s="1"/>
  <c r="AQ42" i="9" a="1"/>
  <c r="AQ42" i="9" s="1"/>
  <c r="AP42" i="9" a="1"/>
  <c r="AP42" i="9" s="1"/>
  <c r="AU42" i="9" a="1"/>
  <c r="AU42" i="9" s="1"/>
  <c r="AT42" i="9" a="1"/>
  <c r="AT42" i="9" s="1"/>
  <c r="AV42" i="9" a="1"/>
  <c r="AV42" i="9" s="1"/>
  <c r="AY42" i="9" a="1"/>
  <c r="AY42" i="9" s="1"/>
  <c r="AX42" i="9" a="1"/>
  <c r="AX42" i="9" s="1"/>
  <c r="AW42" i="9" a="1"/>
  <c r="AW42" i="9" s="1"/>
  <c r="AZ42" i="9" a="1"/>
  <c r="AZ42" i="9" s="1"/>
  <c r="BA42" i="9" a="1"/>
  <c r="BA42" i="9" s="1"/>
  <c r="BC42" i="9" a="1"/>
  <c r="BC42" i="9" s="1"/>
  <c r="BD42" i="9" a="1"/>
  <c r="BD42" i="9" s="1"/>
  <c r="BE42" i="9" a="1"/>
  <c r="BE42" i="9" s="1"/>
  <c r="BB42" i="9" a="1"/>
  <c r="BB42" i="9" s="1"/>
  <c r="BF42" i="9" a="1"/>
  <c r="BF42" i="9" s="1"/>
  <c r="BG42" i="9" a="1"/>
  <c r="BG42" i="9" s="1"/>
  <c r="BI42" i="9" a="1"/>
  <c r="BI42" i="9" s="1"/>
  <c r="BH42" i="9" a="1"/>
  <c r="BH42" i="9" s="1"/>
  <c r="Q41" i="9" a="1"/>
  <c r="Q41" i="9" s="1"/>
  <c r="W41" i="9" a="1"/>
  <c r="W41" i="9" s="1"/>
  <c r="F41" i="9" a="1"/>
  <c r="F41" i="9" s="1"/>
  <c r="K41" i="9" a="1"/>
  <c r="K41" i="9" s="1"/>
  <c r="Y41" i="9" a="1"/>
  <c r="Y41" i="9" s="1"/>
  <c r="P41" i="9" a="1"/>
  <c r="P41" i="9" s="1"/>
  <c r="AE41" i="9" a="1"/>
  <c r="AE41" i="9" s="1"/>
  <c r="AA41" i="9" a="1"/>
  <c r="AA41" i="9" s="1"/>
  <c r="E41" i="9" a="1"/>
  <c r="E41" i="9" s="1"/>
  <c r="V41" i="9" a="1"/>
  <c r="V41" i="9" s="1"/>
  <c r="AB41" i="9" a="1"/>
  <c r="AB41" i="9" s="1"/>
  <c r="S41" i="9" a="1"/>
  <c r="S41" i="9" s="1"/>
  <c r="B41" i="9" a="1"/>
  <c r="B41" i="9" s="1"/>
  <c r="N41" i="9" a="1"/>
  <c r="N41" i="9" s="1"/>
  <c r="I41" i="9" a="1"/>
  <c r="I41" i="9" s="1"/>
  <c r="T41" i="9" a="1"/>
  <c r="T41" i="9" s="1"/>
  <c r="H41" i="9" a="1"/>
  <c r="H41" i="9" s="1"/>
  <c r="G41" i="9" a="1"/>
  <c r="G41" i="9" s="1"/>
  <c r="O41" i="9" a="1"/>
  <c r="O41" i="9" s="1"/>
  <c r="AD41" i="9" a="1"/>
  <c r="AD41" i="9" s="1"/>
  <c r="AG41" i="9" a="1"/>
  <c r="AG41" i="9" s="1"/>
  <c r="Z41" i="9" a="1"/>
  <c r="Z41" i="9" s="1"/>
  <c r="X41" i="9" a="1"/>
  <c r="X41" i="9" s="1"/>
  <c r="L41" i="9" a="1"/>
  <c r="L41" i="9" s="1"/>
  <c r="C41" i="9" a="1"/>
  <c r="C41" i="9" s="1"/>
  <c r="R41" i="9" a="1"/>
  <c r="R41" i="9" s="1"/>
  <c r="U41" i="9" a="1"/>
  <c r="U41" i="9" s="1"/>
  <c r="AC41" i="9" a="1"/>
  <c r="AC41" i="9" s="1"/>
  <c r="AJ41" i="9" a="1"/>
  <c r="AJ41" i="9" s="1"/>
  <c r="D41" i="9" a="1"/>
  <c r="D41" i="9" s="1"/>
  <c r="AK41" i="9" a="1"/>
  <c r="AK41" i="9" s="1"/>
  <c r="AF41" i="9" a="1"/>
  <c r="AF41" i="9" s="1"/>
  <c r="AH41" i="9" a="1"/>
  <c r="AH41" i="9" s="1"/>
  <c r="J41" i="9" a="1"/>
  <c r="J41" i="9" s="1"/>
  <c r="AL41" i="9" a="1"/>
  <c r="AL41" i="9" s="1"/>
  <c r="AI41" i="9" a="1"/>
  <c r="AI41" i="9" s="1"/>
  <c r="M41" i="9" a="1"/>
  <c r="M41" i="9" s="1"/>
  <c r="AN41" i="9" a="1"/>
  <c r="AN41" i="9" s="1"/>
  <c r="AO41" i="9" a="1"/>
  <c r="AO41" i="9" s="1"/>
  <c r="AM41" i="9" a="1"/>
  <c r="AM41" i="9" s="1"/>
  <c r="AP41" i="9" a="1"/>
  <c r="AP41" i="9" s="1"/>
  <c r="AR41" i="9" a="1"/>
  <c r="AR41" i="9" s="1"/>
  <c r="AQ41" i="9" a="1"/>
  <c r="AQ41" i="9" s="1"/>
  <c r="AS41" i="9" a="1"/>
  <c r="AS41" i="9" s="1"/>
  <c r="AT41" i="9" a="1"/>
  <c r="AT41" i="9" s="1"/>
  <c r="AW41" i="9" a="1"/>
  <c r="AW41" i="9" s="1"/>
  <c r="AU41" i="9" a="1"/>
  <c r="AU41" i="9" s="1"/>
  <c r="AV41" i="9" a="1"/>
  <c r="AV41" i="9" s="1"/>
  <c r="AZ41" i="9" a="1"/>
  <c r="AZ41" i="9" s="1"/>
  <c r="AY41" i="9" a="1"/>
  <c r="AY41" i="9" s="1"/>
  <c r="AX41" i="9" a="1"/>
  <c r="AX41" i="9" s="1"/>
  <c r="BG41" i="9" a="1"/>
  <c r="BG41" i="9" s="1"/>
  <c r="BA41" i="9" a="1"/>
  <c r="BA41" i="9" s="1"/>
  <c r="BC41" i="9" a="1"/>
  <c r="BC41" i="9" s="1"/>
  <c r="BB41" i="9" a="1"/>
  <c r="BB41" i="9" s="1"/>
  <c r="BE41" i="9" a="1"/>
  <c r="BE41" i="9" s="1"/>
  <c r="BF41" i="9" a="1"/>
  <c r="BF41" i="9" s="1"/>
  <c r="BD41" i="9" a="1"/>
  <c r="BD41" i="9" s="1"/>
  <c r="BI41" i="9" a="1"/>
  <c r="BI41" i="9" s="1"/>
  <c r="BH41" i="9" a="1"/>
  <c r="BH41" i="9" s="1"/>
  <c r="AL44" i="9" a="1"/>
  <c r="AL44" i="9" s="1"/>
  <c r="B44" i="9" a="1"/>
  <c r="B44" i="9" s="1"/>
  <c r="AG44" i="9" a="1"/>
  <c r="AG44" i="9" s="1"/>
  <c r="AH44" i="9" a="1"/>
  <c r="AH44" i="9" s="1"/>
  <c r="AA44" i="9" a="1"/>
  <c r="AA44" i="9" s="1"/>
  <c r="Y44" i="9" a="1"/>
  <c r="Y44" i="9" s="1"/>
  <c r="M44" i="9" a="1"/>
  <c r="M44" i="9" s="1"/>
  <c r="N44" i="9" a="1"/>
  <c r="N44" i="9" s="1"/>
  <c r="U44" i="9" a="1"/>
  <c r="U44" i="9" s="1"/>
  <c r="O44" i="9" a="1"/>
  <c r="O44" i="9" s="1"/>
  <c r="W44" i="9" a="1"/>
  <c r="W44" i="9" s="1"/>
  <c r="AF44" i="9" a="1"/>
  <c r="AF44" i="9" s="1"/>
  <c r="C44" i="9" a="1"/>
  <c r="C44" i="9" s="1"/>
  <c r="AK44" i="9" a="1"/>
  <c r="AK44" i="9" s="1"/>
  <c r="S44" i="9" a="1"/>
  <c r="S44" i="9" s="1"/>
  <c r="E44" i="9" a="1"/>
  <c r="E44" i="9" s="1"/>
  <c r="F44" i="9" a="1"/>
  <c r="F44" i="9" s="1"/>
  <c r="AC44" i="9" a="1"/>
  <c r="AC44" i="9" s="1"/>
  <c r="AM44" i="9" a="1"/>
  <c r="AM44" i="9" s="1"/>
  <c r="K44" i="9" a="1"/>
  <c r="K44" i="9" s="1"/>
  <c r="Z44" i="9" a="1"/>
  <c r="Z44" i="9" s="1"/>
  <c r="AJ44" i="9" a="1"/>
  <c r="AJ44" i="9" s="1"/>
  <c r="X44" i="9" a="1"/>
  <c r="X44" i="9" s="1"/>
  <c r="V44" i="9" a="1"/>
  <c r="V44" i="9" s="1"/>
  <c r="H44" i="9" a="1"/>
  <c r="H44" i="9" s="1"/>
  <c r="AD44" i="9" a="1"/>
  <c r="AD44" i="9" s="1"/>
  <c r="D44" i="9" a="1"/>
  <c r="D44" i="9" s="1"/>
  <c r="I44" i="9" a="1"/>
  <c r="I44" i="9" s="1"/>
  <c r="AE44" i="9" a="1"/>
  <c r="AE44" i="9" s="1"/>
  <c r="G44" i="9" a="1"/>
  <c r="G44" i="9" s="1"/>
  <c r="J44" i="9" a="1"/>
  <c r="J44" i="9" s="1"/>
  <c r="T44" i="9" a="1"/>
  <c r="T44" i="9" s="1"/>
  <c r="AB44" i="9" a="1"/>
  <c r="AB44" i="9" s="1"/>
  <c r="R44" i="9" a="1"/>
  <c r="R44" i="9" s="1"/>
  <c r="AI44" i="9" a="1"/>
  <c r="AI44" i="9" s="1"/>
  <c r="L44" i="9" a="1"/>
  <c r="L44" i="9" s="1"/>
  <c r="Q44" i="9" a="1"/>
  <c r="Q44" i="9" s="1"/>
  <c r="P44" i="9" a="1"/>
  <c r="P44" i="9" s="1"/>
  <c r="AN44" i="9" a="1"/>
  <c r="AN44" i="9" s="1"/>
  <c r="AP44" i="9" a="1"/>
  <c r="AP44" i="9" s="1"/>
  <c r="AO44" i="9" a="1"/>
  <c r="AO44" i="9" s="1"/>
  <c r="AQ44" i="9" a="1"/>
  <c r="AQ44" i="9" s="1"/>
  <c r="AT44" i="9" a="1"/>
  <c r="AT44" i="9" s="1"/>
  <c r="AS44" i="9" a="1"/>
  <c r="AS44" i="9" s="1"/>
  <c r="AU44" i="9" a="1"/>
  <c r="AU44" i="9" s="1"/>
  <c r="AR44" i="9" a="1"/>
  <c r="AR44" i="9" s="1"/>
  <c r="AX44" i="9" a="1"/>
  <c r="AX44" i="9" s="1"/>
  <c r="AV44" i="9" a="1"/>
  <c r="AV44" i="9" s="1"/>
  <c r="AW44" i="9" a="1"/>
  <c r="AW44" i="9" s="1"/>
  <c r="AY44" i="9" a="1"/>
  <c r="AY44" i="9" s="1"/>
  <c r="AZ44" i="9" a="1"/>
  <c r="AZ44" i="9" s="1"/>
  <c r="BA44" i="9" a="1"/>
  <c r="BA44" i="9" s="1"/>
  <c r="BC44" i="9" a="1"/>
  <c r="BC44" i="9" s="1"/>
  <c r="BD44" i="9" a="1"/>
  <c r="BD44" i="9" s="1"/>
  <c r="BB44" i="9" a="1"/>
  <c r="BB44" i="9" s="1"/>
  <c r="BE44" i="9" a="1"/>
  <c r="BE44" i="9" s="1"/>
  <c r="BF44" i="9" a="1"/>
  <c r="BF44" i="9" s="1"/>
  <c r="BG44" i="9" a="1"/>
  <c r="BG44" i="9" s="1"/>
  <c r="BI44" i="9" a="1"/>
  <c r="BI44" i="9" s="1"/>
  <c r="BH44" i="9" a="1"/>
  <c r="BH44" i="9" s="1"/>
  <c r="AH38" i="9" a="1"/>
  <c r="AH38" i="9" s="1"/>
  <c r="Q38" i="9" a="1"/>
  <c r="Q38" i="9" s="1"/>
  <c r="AF38" i="9" a="1"/>
  <c r="AF38" i="9" s="1"/>
  <c r="M38" i="9" a="1"/>
  <c r="M38" i="9" s="1"/>
  <c r="K38" i="9" a="1"/>
  <c r="K38" i="9" s="1"/>
  <c r="AD38" i="9" a="1"/>
  <c r="AD38" i="9" s="1"/>
  <c r="R38" i="9" a="1"/>
  <c r="R38" i="9" s="1"/>
  <c r="AG38" i="9" a="1"/>
  <c r="AG38" i="9" s="1"/>
  <c r="O38" i="9" a="1"/>
  <c r="O38" i="9" s="1"/>
  <c r="AA38" i="9" a="1"/>
  <c r="AA38" i="9" s="1"/>
  <c r="AE38" i="9" a="1"/>
  <c r="AE38" i="9" s="1"/>
  <c r="AI38" i="9" a="1"/>
  <c r="AI38" i="9" s="1"/>
  <c r="H38" i="9" a="1"/>
  <c r="H38" i="9" s="1"/>
  <c r="E38" i="9" a="1"/>
  <c r="E38" i="9" s="1"/>
  <c r="P38" i="9" a="1"/>
  <c r="P38" i="9" s="1"/>
  <c r="X38" i="9" a="1"/>
  <c r="X38" i="9" s="1"/>
  <c r="F38" i="9" a="1"/>
  <c r="F38" i="9" s="1"/>
  <c r="AB38" i="9" a="1"/>
  <c r="AB38" i="9" s="1"/>
  <c r="I38" i="9" a="1"/>
  <c r="I38" i="9" s="1"/>
  <c r="AJ38" i="9" a="1"/>
  <c r="AJ38" i="9" s="1"/>
  <c r="AK38" i="9" a="1"/>
  <c r="AK38" i="9" s="1"/>
  <c r="T38" i="9" a="1"/>
  <c r="T38" i="9" s="1"/>
  <c r="V38" i="9" a="1"/>
  <c r="V38" i="9" s="1"/>
  <c r="L38" i="9" a="1"/>
  <c r="L38" i="9" s="1"/>
  <c r="G38" i="9" a="1"/>
  <c r="G38" i="9" s="1"/>
  <c r="J38" i="9" a="1"/>
  <c r="J38" i="9" s="1"/>
  <c r="U38" i="9" a="1"/>
  <c r="U38" i="9" s="1"/>
  <c r="C38" i="9" a="1"/>
  <c r="C38" i="9" s="1"/>
  <c r="AC38" i="9" a="1"/>
  <c r="AC38" i="9" s="1"/>
  <c r="AL38" i="9" a="1"/>
  <c r="AL38" i="9" s="1"/>
  <c r="N38" i="9" a="1"/>
  <c r="N38" i="9" s="1"/>
  <c r="D38" i="9" a="1"/>
  <c r="D38" i="9" s="1"/>
  <c r="Z38" i="9" a="1"/>
  <c r="Z38" i="9" s="1"/>
  <c r="S38" i="9" a="1"/>
  <c r="S38" i="9" s="1"/>
  <c r="Y38" i="9" a="1"/>
  <c r="Y38" i="9" s="1"/>
  <c r="B38" i="9" a="1"/>
  <c r="B38" i="9" s="1"/>
  <c r="W38" i="9" a="1"/>
  <c r="W38" i="9" s="1"/>
  <c r="AO38" i="9" a="1"/>
  <c r="AO38" i="9" s="1"/>
  <c r="AN38" i="9" a="1"/>
  <c r="AN38" i="9" s="1"/>
  <c r="AP38" i="9" a="1"/>
  <c r="AP38" i="9" s="1"/>
  <c r="AM38" i="9" a="1"/>
  <c r="AM38" i="9" s="1"/>
  <c r="AQ38" i="9" a="1"/>
  <c r="AQ38" i="9" s="1"/>
  <c r="AR38" i="9" a="1"/>
  <c r="AR38" i="9" s="1"/>
  <c r="AS38" i="9" a="1"/>
  <c r="AS38" i="9" s="1"/>
  <c r="AX38" i="9" a="1"/>
  <c r="AX38" i="9" s="1"/>
  <c r="AT38" i="9" a="1"/>
  <c r="AT38" i="9" s="1"/>
  <c r="AU38" i="9" a="1"/>
  <c r="AU38" i="9" s="1"/>
  <c r="AV38" i="9" a="1"/>
  <c r="AV38" i="9" s="1"/>
  <c r="AW38" i="9" a="1"/>
  <c r="AW38" i="9" s="1"/>
  <c r="AY38" i="9" a="1"/>
  <c r="AY38" i="9" s="1"/>
  <c r="AZ38" i="9" a="1"/>
  <c r="AZ38" i="9" s="1"/>
  <c r="BD38" i="9" a="1"/>
  <c r="BD38" i="9" s="1"/>
  <c r="BB38" i="9" a="1"/>
  <c r="BB38" i="9" s="1"/>
  <c r="BA38" i="9" a="1"/>
  <c r="BA38" i="9" s="1"/>
  <c r="BC38" i="9" a="1"/>
  <c r="BC38" i="9" s="1"/>
  <c r="BE38" i="9" a="1"/>
  <c r="BE38" i="9" s="1"/>
  <c r="BF38" i="9" a="1"/>
  <c r="BF38" i="9" s="1"/>
  <c r="BG38" i="9" a="1"/>
  <c r="BG38" i="9" s="1"/>
  <c r="BI38" i="9" a="1"/>
  <c r="BI38" i="9" s="1"/>
  <c r="BH38" i="9" a="1"/>
  <c r="BH38" i="9" s="1"/>
  <c r="BL62" i="7"/>
  <c r="D45" i="9" a="1"/>
  <c r="D45" i="9" s="1"/>
  <c r="Q45" i="9" a="1"/>
  <c r="Q45" i="9" s="1"/>
  <c r="AK45" i="9" a="1"/>
  <c r="AK45" i="9" s="1"/>
  <c r="N45" i="9" a="1"/>
  <c r="N45" i="9" s="1"/>
  <c r="L45" i="9" a="1"/>
  <c r="L45" i="9" s="1"/>
  <c r="R45" i="9" a="1"/>
  <c r="R45" i="9" s="1"/>
  <c r="X45" i="9" a="1"/>
  <c r="X45" i="9" s="1"/>
  <c r="V45" i="9" a="1"/>
  <c r="V45" i="9" s="1"/>
  <c r="J45" i="9" a="1"/>
  <c r="J45" i="9" s="1"/>
  <c r="Y45" i="9" a="1"/>
  <c r="Y45" i="9" s="1"/>
  <c r="T45" i="9" a="1"/>
  <c r="T45" i="9" s="1"/>
  <c r="G45" i="9" a="1"/>
  <c r="G45" i="9" s="1"/>
  <c r="AG45" i="9" a="1"/>
  <c r="AG45" i="9" s="1"/>
  <c r="B45" i="9" a="1"/>
  <c r="B45" i="9" s="1"/>
  <c r="AL45" i="9" a="1"/>
  <c r="AL45" i="9" s="1"/>
  <c r="C45" i="9" a="1"/>
  <c r="C45" i="9" s="1"/>
  <c r="F45" i="9" a="1"/>
  <c r="F45" i="9" s="1"/>
  <c r="P45" i="9" a="1"/>
  <c r="P45" i="9" s="1"/>
  <c r="AJ45" i="9" a="1"/>
  <c r="AJ45" i="9" s="1"/>
  <c r="O45" i="9" a="1"/>
  <c r="O45" i="9" s="1"/>
  <c r="AF45" i="9" a="1"/>
  <c r="AF45" i="9" s="1"/>
  <c r="AA45" i="9" a="1"/>
  <c r="AA45" i="9" s="1"/>
  <c r="AB45" i="9" a="1"/>
  <c r="AB45" i="9" s="1"/>
  <c r="W45" i="9" a="1"/>
  <c r="W45" i="9" s="1"/>
  <c r="U45" i="9" a="1"/>
  <c r="U45" i="9" s="1"/>
  <c r="AH45" i="9" a="1"/>
  <c r="AH45" i="9" s="1"/>
  <c r="Z45" i="9" a="1"/>
  <c r="Z45" i="9" s="1"/>
  <c r="AE45" i="9" a="1"/>
  <c r="AE45" i="9" s="1"/>
  <c r="AD45" i="9" a="1"/>
  <c r="AD45" i="9" s="1"/>
  <c r="M45" i="9" a="1"/>
  <c r="M45" i="9" s="1"/>
  <c r="S45" i="9" a="1"/>
  <c r="S45" i="9" s="1"/>
  <c r="I45" i="9" a="1"/>
  <c r="I45" i="9" s="1"/>
  <c r="AN45" i="9" a="1"/>
  <c r="AN45" i="9" s="1"/>
  <c r="H45" i="9" a="1"/>
  <c r="H45" i="9" s="1"/>
  <c r="E45" i="9" a="1"/>
  <c r="E45" i="9" s="1"/>
  <c r="AO45" i="9" a="1"/>
  <c r="AO45" i="9" s="1"/>
  <c r="K45" i="9" a="1"/>
  <c r="K45" i="9" s="1"/>
  <c r="AI45" i="9" a="1"/>
  <c r="AI45" i="9" s="1"/>
  <c r="AC45" i="9" a="1"/>
  <c r="AC45" i="9" s="1"/>
  <c r="AM45" i="9" a="1"/>
  <c r="AM45" i="9" s="1"/>
  <c r="AP45" i="9" a="1"/>
  <c r="AP45" i="9" s="1"/>
  <c r="AQ45" i="9" a="1"/>
  <c r="AQ45" i="9" s="1"/>
  <c r="AS45" i="9" a="1"/>
  <c r="AS45" i="9" s="1"/>
  <c r="AR45" i="9" a="1"/>
  <c r="AR45" i="9" s="1"/>
  <c r="AV45" i="9" a="1"/>
  <c r="AV45" i="9" s="1"/>
  <c r="AT45" i="9" a="1"/>
  <c r="AT45" i="9" s="1"/>
  <c r="AU45" i="9" a="1"/>
  <c r="AU45" i="9" s="1"/>
  <c r="AW45" i="9" a="1"/>
  <c r="AW45" i="9" s="1"/>
  <c r="AX45" i="9" a="1"/>
  <c r="AX45" i="9" s="1"/>
  <c r="BA45" i="9" a="1"/>
  <c r="BA45" i="9" s="1"/>
  <c r="AY45" i="9" a="1"/>
  <c r="AY45" i="9" s="1"/>
  <c r="AZ45" i="9" a="1"/>
  <c r="AZ45" i="9" s="1"/>
  <c r="BD45" i="9" a="1"/>
  <c r="BD45" i="9" s="1"/>
  <c r="BB45" i="9" a="1"/>
  <c r="BB45" i="9" s="1"/>
  <c r="BC45" i="9" a="1"/>
  <c r="BC45" i="9" s="1"/>
  <c r="BE45" i="9" a="1"/>
  <c r="BE45" i="9" s="1"/>
  <c r="BF45" i="9" a="1"/>
  <c r="BF45" i="9" s="1"/>
  <c r="BG45" i="9" a="1"/>
  <c r="BG45" i="9" s="1"/>
  <c r="BH45" i="9" a="1"/>
  <c r="BH45" i="9" s="1"/>
  <c r="BI45" i="9" a="1"/>
  <c r="BI45" i="9" s="1"/>
  <c r="S46" i="9" a="1"/>
  <c r="S46" i="9" s="1"/>
  <c r="AI46" i="9" a="1"/>
  <c r="AI46" i="9" s="1"/>
  <c r="AG46" i="9" a="1"/>
  <c r="AG46" i="9" s="1"/>
  <c r="AC46" i="9" a="1"/>
  <c r="AC46" i="9" s="1"/>
  <c r="AH46" i="9" a="1"/>
  <c r="AH46" i="9" s="1"/>
  <c r="N46" i="9" a="1"/>
  <c r="N46" i="9" s="1"/>
  <c r="Z46" i="9" a="1"/>
  <c r="Z46" i="9" s="1"/>
  <c r="P46" i="9" a="1"/>
  <c r="P46" i="9" s="1"/>
  <c r="U46" i="9" a="1"/>
  <c r="U46" i="9" s="1"/>
  <c r="AE46" i="9" a="1"/>
  <c r="AE46" i="9" s="1"/>
  <c r="T46" i="9" a="1"/>
  <c r="T46" i="9" s="1"/>
  <c r="C46" i="9" a="1"/>
  <c r="C46" i="9" s="1"/>
  <c r="AB46" i="9" a="1"/>
  <c r="AB46" i="9" s="1"/>
  <c r="G46" i="9" a="1"/>
  <c r="G46" i="9" s="1"/>
  <c r="AK46" i="9" a="1"/>
  <c r="AK46" i="9" s="1"/>
  <c r="M46" i="9" a="1"/>
  <c r="M46" i="9" s="1"/>
  <c r="O46" i="9" a="1"/>
  <c r="O46" i="9" s="1"/>
  <c r="X46" i="9" a="1"/>
  <c r="X46" i="9" s="1"/>
  <c r="W46" i="9" a="1"/>
  <c r="W46" i="9" s="1"/>
  <c r="AL46" i="9" a="1"/>
  <c r="AL46" i="9" s="1"/>
  <c r="AF46" i="9" a="1"/>
  <c r="AF46" i="9" s="1"/>
  <c r="H46" i="9" a="1"/>
  <c r="H46" i="9" s="1"/>
  <c r="V46" i="9" a="1"/>
  <c r="V46" i="9" s="1"/>
  <c r="K46" i="9" a="1"/>
  <c r="K46" i="9" s="1"/>
  <c r="J46" i="9" a="1"/>
  <c r="J46" i="9" s="1"/>
  <c r="Y46" i="9" a="1"/>
  <c r="Y46" i="9" s="1"/>
  <c r="R46" i="9" a="1"/>
  <c r="R46" i="9" s="1"/>
  <c r="AA46" i="9" a="1"/>
  <c r="AA46" i="9" s="1"/>
  <c r="L46" i="9" a="1"/>
  <c r="L46" i="9" s="1"/>
  <c r="Q46" i="9" a="1"/>
  <c r="Q46" i="9" s="1"/>
  <c r="B46" i="9" a="1"/>
  <c r="B46" i="9" s="1"/>
  <c r="AJ46" i="9" a="1"/>
  <c r="AJ46" i="9" s="1"/>
  <c r="AN46" i="9" a="1"/>
  <c r="AN46" i="9" s="1"/>
  <c r="AM46" i="9" a="1"/>
  <c r="AM46" i="9" s="1"/>
  <c r="E46" i="9" a="1"/>
  <c r="E46" i="9" s="1"/>
  <c r="I46" i="9" a="1"/>
  <c r="I46" i="9" s="1"/>
  <c r="F46" i="9" a="1"/>
  <c r="F46" i="9" s="1"/>
  <c r="D46" i="9" a="1"/>
  <c r="D46" i="9" s="1"/>
  <c r="AD46" i="9" a="1"/>
  <c r="AD46" i="9" s="1"/>
  <c r="AQ46" i="9" a="1"/>
  <c r="AQ46" i="9" s="1"/>
  <c r="AO46" i="9" a="1"/>
  <c r="AO46" i="9" s="1"/>
  <c r="AR46" i="9" a="1"/>
  <c r="AR46" i="9" s="1"/>
  <c r="AP46" i="9" a="1"/>
  <c r="AP46" i="9" s="1"/>
  <c r="AT46" i="9" a="1"/>
  <c r="AT46" i="9" s="1"/>
  <c r="AS46" i="9" a="1"/>
  <c r="AS46" i="9" s="1"/>
  <c r="AZ46" i="9" a="1"/>
  <c r="AZ46" i="9" s="1"/>
  <c r="AU46" i="9" a="1"/>
  <c r="AU46" i="9" s="1"/>
  <c r="AV46" i="9" a="1"/>
  <c r="AV46" i="9" s="1"/>
  <c r="AW46" i="9" a="1"/>
  <c r="AW46" i="9" s="1"/>
  <c r="AY46" i="9" a="1"/>
  <c r="AY46" i="9" s="1"/>
  <c r="AX46" i="9" a="1"/>
  <c r="AX46" i="9" s="1"/>
  <c r="BF46" i="9" a="1"/>
  <c r="BF46" i="9" s="1"/>
  <c r="BA46" i="9" a="1"/>
  <c r="BA46" i="9" s="1"/>
  <c r="BC46" i="9" a="1"/>
  <c r="BC46" i="9" s="1"/>
  <c r="BB46" i="9" a="1"/>
  <c r="BB46" i="9" s="1"/>
  <c r="BE46" i="9" a="1"/>
  <c r="BE46" i="9" s="1"/>
  <c r="BD46" i="9" a="1"/>
  <c r="BD46" i="9" s="1"/>
  <c r="BI46" i="9" a="1"/>
  <c r="BI46" i="9" s="1"/>
  <c r="BH46" i="9" a="1"/>
  <c r="BH46" i="9" s="1"/>
  <c r="BG46" i="9" a="1"/>
  <c r="BG46" i="9" s="1"/>
  <c r="F14" i="8"/>
  <c r="E13" i="8"/>
  <c r="BK189" i="7"/>
  <c r="BL59" i="7"/>
  <c r="AN8" i="9" a="1"/>
  <c r="AN8" i="9" s="1"/>
  <c r="AL8" i="9" a="1"/>
  <c r="AL8" i="9" s="1"/>
  <c r="I17" i="8" s="1"/>
  <c r="AM8" i="9" a="1"/>
  <c r="AM8" i="9" s="1"/>
  <c r="AO8" i="9" a="1"/>
  <c r="AO8" i="9" s="1"/>
  <c r="Q8" i="9" a="1"/>
  <c r="Q8" i="9" s="1"/>
  <c r="G8" i="9" a="1"/>
  <c r="G8" i="9" s="1"/>
  <c r="L8" i="9" a="1"/>
  <c r="L8" i="9" s="1"/>
  <c r="H8" i="9" a="1"/>
  <c r="H8" i="9" s="1"/>
  <c r="AA8" i="9" a="1"/>
  <c r="AA8" i="9" s="1"/>
  <c r="X8" i="9" a="1"/>
  <c r="X8" i="9" s="1"/>
  <c r="I8" i="9" a="1"/>
  <c r="I8" i="9" s="1"/>
  <c r="AG8" i="9" a="1"/>
  <c r="AG8" i="9" s="1"/>
  <c r="AP8" i="9" a="1"/>
  <c r="AP8" i="9" s="1"/>
  <c r="AQ8" i="9" a="1"/>
  <c r="AQ8" i="9" s="1"/>
  <c r="P8" i="9" a="1"/>
  <c r="P8" i="9" s="1"/>
  <c r="M8" i="9" a="1"/>
  <c r="M8" i="9" s="1"/>
  <c r="E8" i="9" a="1"/>
  <c r="E8" i="9" s="1"/>
  <c r="K8" i="9" a="1"/>
  <c r="K8" i="9" s="1"/>
  <c r="AH8" i="9" a="1"/>
  <c r="AH8" i="9" s="1"/>
  <c r="AI8" i="9" a="1"/>
  <c r="AI8" i="9" s="1"/>
  <c r="Z8" i="9" a="1"/>
  <c r="Z8" i="9" s="1"/>
  <c r="H17" i="8" s="1"/>
  <c r="O8" i="9" a="1"/>
  <c r="O8" i="9" s="1"/>
  <c r="C8" i="9" a="1"/>
  <c r="C8" i="9" s="1"/>
  <c r="AF8" i="9" a="1"/>
  <c r="AF8" i="9" s="1"/>
  <c r="U8" i="9" a="1"/>
  <c r="U8" i="9" s="1"/>
  <c r="R8" i="9" a="1"/>
  <c r="R8" i="9" s="1"/>
  <c r="AE8" i="9" a="1"/>
  <c r="AE8" i="9" s="1"/>
  <c r="D8" i="9" a="1"/>
  <c r="D8" i="9" s="1"/>
  <c r="W8" i="9" a="1"/>
  <c r="W8" i="9" s="1"/>
  <c r="AB8" i="9" a="1"/>
  <c r="AB8" i="9" s="1"/>
  <c r="J8" i="9" a="1"/>
  <c r="J8" i="9" s="1"/>
  <c r="AD8" i="9" a="1"/>
  <c r="AD8" i="9" s="1"/>
  <c r="S8" i="9" a="1"/>
  <c r="S8" i="9" s="1"/>
  <c r="AR8" i="9" a="1"/>
  <c r="AR8" i="9" s="1"/>
  <c r="V8" i="9" a="1"/>
  <c r="V8" i="9" s="1"/>
  <c r="T8" i="9" a="1"/>
  <c r="T8" i="9" s="1"/>
  <c r="B8" i="9" a="1"/>
  <c r="B8" i="9" s="1"/>
  <c r="AJ8" i="9" a="1"/>
  <c r="AJ8" i="9" s="1"/>
  <c r="N8" i="9" a="1"/>
  <c r="N8" i="9" s="1"/>
  <c r="G17" i="8" s="1"/>
  <c r="Y8" i="9" a="1"/>
  <c r="Y8" i="9" s="1"/>
  <c r="F8" i="9" a="1"/>
  <c r="F8" i="9" s="1"/>
  <c r="AC8" i="9" a="1"/>
  <c r="AC8" i="9" s="1"/>
  <c r="AK8" i="9" a="1"/>
  <c r="AK8" i="9" s="1"/>
  <c r="AT8" i="9" a="1"/>
  <c r="AT8" i="9" s="1"/>
  <c r="AS8" i="9" a="1"/>
  <c r="AS8" i="9" s="1"/>
  <c r="AV8" i="9" a="1"/>
  <c r="AV8" i="9" s="1"/>
  <c r="AU8" i="9" a="1"/>
  <c r="AU8" i="9" s="1"/>
  <c r="AW8" i="9" a="1"/>
  <c r="AW8" i="9" s="1"/>
  <c r="AX8" i="9" a="1"/>
  <c r="AX8" i="9" s="1"/>
  <c r="J17" i="8" s="1"/>
  <c r="AY8" i="9" a="1"/>
  <c r="AY8" i="9" s="1"/>
  <c r="AZ8" i="9" a="1"/>
  <c r="AZ8" i="9" s="1"/>
  <c r="BG8" i="9" a="1"/>
  <c r="BG8" i="9" s="1"/>
  <c r="BC8" i="9" a="1"/>
  <c r="BC8" i="9" s="1"/>
  <c r="BA8" i="9" a="1"/>
  <c r="BA8" i="9" s="1"/>
  <c r="BD8" i="9" a="1"/>
  <c r="BD8" i="9" s="1"/>
  <c r="BB8" i="9" a="1"/>
  <c r="BB8" i="9" s="1"/>
  <c r="BF8" i="9" a="1"/>
  <c r="BF8" i="9" s="1"/>
  <c r="BE8" i="9" a="1"/>
  <c r="BE8" i="9" s="1"/>
  <c r="BH8" i="9" a="1"/>
  <c r="BH8" i="9" s="1"/>
  <c r="BI8" i="9" a="1"/>
  <c r="BI8" i="9" s="1"/>
  <c r="K18" i="9" a="1"/>
  <c r="K18" i="9" s="1"/>
  <c r="AB18" i="9" a="1"/>
  <c r="AB18" i="9" s="1"/>
  <c r="AH18" i="9" a="1"/>
  <c r="AH18" i="9" s="1"/>
  <c r="AL18" i="9" a="1"/>
  <c r="AL18" i="9" s="1"/>
  <c r="I22" i="8" s="1"/>
  <c r="AC18" i="9" a="1"/>
  <c r="AC18" i="9" s="1"/>
  <c r="J18" i="9" a="1"/>
  <c r="J18" i="9" s="1"/>
  <c r="M18" i="9" a="1"/>
  <c r="M18" i="9" s="1"/>
  <c r="F18" i="9" a="1"/>
  <c r="F18" i="9" s="1"/>
  <c r="H18" i="9" a="1"/>
  <c r="H18" i="9" s="1"/>
  <c r="W18" i="9" a="1"/>
  <c r="W18" i="9" s="1"/>
  <c r="V18" i="9" a="1"/>
  <c r="V18" i="9" s="1"/>
  <c r="R18" i="9" a="1"/>
  <c r="R18" i="9" s="1"/>
  <c r="B18" i="9" a="1"/>
  <c r="B18" i="9" s="1"/>
  <c r="P18" i="9" a="1"/>
  <c r="P18" i="9" s="1"/>
  <c r="AE18" i="9" a="1"/>
  <c r="AE18" i="9" s="1"/>
  <c r="Q18" i="9" a="1"/>
  <c r="Q18" i="9" s="1"/>
  <c r="C18" i="9" a="1"/>
  <c r="C18" i="9" s="1"/>
  <c r="AG18" i="9" a="1"/>
  <c r="AG18" i="9" s="1"/>
  <c r="N18" i="9" a="1"/>
  <c r="N18" i="9" s="1"/>
  <c r="G22" i="8" s="1"/>
  <c r="D18" i="9" a="1"/>
  <c r="D18" i="9" s="1"/>
  <c r="G18" i="9" a="1"/>
  <c r="G18" i="9" s="1"/>
  <c r="AK18" i="9" a="1"/>
  <c r="AK18" i="9" s="1"/>
  <c r="AD18" i="9" a="1"/>
  <c r="AD18" i="9" s="1"/>
  <c r="O18" i="9" a="1"/>
  <c r="O18" i="9" s="1"/>
  <c r="AO18" i="9" a="1"/>
  <c r="AO18" i="9" s="1"/>
  <c r="Y18" i="9" a="1"/>
  <c r="Y18" i="9" s="1"/>
  <c r="E18" i="9" a="1"/>
  <c r="E18" i="9" s="1"/>
  <c r="AI18" i="9" a="1"/>
  <c r="AI18" i="9" s="1"/>
  <c r="AA18" i="9" a="1"/>
  <c r="AA18" i="9" s="1"/>
  <c r="AF18" i="9" a="1"/>
  <c r="AF18" i="9" s="1"/>
  <c r="U18" i="9" a="1"/>
  <c r="U18" i="9" s="1"/>
  <c r="AJ18" i="9" a="1"/>
  <c r="AJ18" i="9" s="1"/>
  <c r="Z18" i="9" a="1"/>
  <c r="Z18" i="9" s="1"/>
  <c r="H22" i="8" s="1"/>
  <c r="L18" i="9" a="1"/>
  <c r="L18" i="9" s="1"/>
  <c r="I18" i="9" a="1"/>
  <c r="I18" i="9" s="1"/>
  <c r="T18" i="9" a="1"/>
  <c r="T18" i="9" s="1"/>
  <c r="S18" i="9" a="1"/>
  <c r="S18" i="9" s="1"/>
  <c r="X18" i="9" a="1"/>
  <c r="X18" i="9" s="1"/>
  <c r="AM18" i="9" a="1"/>
  <c r="AM18" i="9" s="1"/>
  <c r="AN18" i="9" a="1"/>
  <c r="AN18" i="9" s="1"/>
  <c r="AP18" i="9" a="1"/>
  <c r="AP18" i="9" s="1"/>
  <c r="AR18" i="9" a="1"/>
  <c r="AR18" i="9" s="1"/>
  <c r="AQ18" i="9" a="1"/>
  <c r="AQ18" i="9" s="1"/>
  <c r="AS18" i="9" a="1"/>
  <c r="AS18" i="9" s="1"/>
  <c r="AW18" i="9" a="1"/>
  <c r="AW18" i="9" s="1"/>
  <c r="AT18" i="9" a="1"/>
  <c r="AT18" i="9" s="1"/>
  <c r="AY18" i="9" a="1"/>
  <c r="AY18" i="9" s="1"/>
  <c r="AU18" i="9" a="1"/>
  <c r="AU18" i="9" s="1"/>
  <c r="AV18" i="9" a="1"/>
  <c r="AV18" i="9" s="1"/>
  <c r="AX18" i="9" a="1"/>
  <c r="AX18" i="9" s="1"/>
  <c r="J22" i="8" s="1"/>
  <c r="AZ18" i="9" a="1"/>
  <c r="AZ18" i="9" s="1"/>
  <c r="BA18" i="9" a="1"/>
  <c r="BA18" i="9" s="1"/>
  <c r="BB18" i="9" a="1"/>
  <c r="BB18" i="9" s="1"/>
  <c r="BI18" i="9" a="1"/>
  <c r="BI18" i="9" s="1"/>
  <c r="BC18" i="9" a="1"/>
  <c r="BC18" i="9" s="1"/>
  <c r="BG18" i="9" a="1"/>
  <c r="BG18" i="9" s="1"/>
  <c r="BF18" i="9" a="1"/>
  <c r="BF18" i="9" s="1"/>
  <c r="BH18" i="9" a="1"/>
  <c r="BH18" i="9" s="1"/>
  <c r="BD18" i="9" a="1"/>
  <c r="BD18" i="9" s="1"/>
  <c r="BE18" i="9" a="1"/>
  <c r="BE18" i="9" s="1"/>
  <c r="BL44" i="7"/>
  <c r="BL96" i="7" s="1"/>
  <c r="BL95" i="7" s="1"/>
  <c r="AN36" i="9" a="1"/>
  <c r="AN36" i="9" s="1"/>
  <c r="AM36" i="9" a="1"/>
  <c r="AM36" i="9" s="1"/>
  <c r="AL36" i="9" a="1"/>
  <c r="AL36" i="9" s="1"/>
  <c r="S36" i="9" a="1"/>
  <c r="S36" i="9" s="1"/>
  <c r="AF36" i="9" a="1"/>
  <c r="AF36" i="9" s="1"/>
  <c r="V36" i="9" a="1"/>
  <c r="V36" i="9" s="1"/>
  <c r="I36" i="9" a="1"/>
  <c r="I36" i="9" s="1"/>
  <c r="E36" i="9" a="1"/>
  <c r="E36" i="9" s="1"/>
  <c r="AE36" i="9" a="1"/>
  <c r="AE36" i="9" s="1"/>
  <c r="G36" i="9" a="1"/>
  <c r="G36" i="9" s="1"/>
  <c r="H36" i="9" a="1"/>
  <c r="H36" i="9" s="1"/>
  <c r="P36" i="9" a="1"/>
  <c r="P36" i="9" s="1"/>
  <c r="M36" i="9" a="1"/>
  <c r="M36" i="9" s="1"/>
  <c r="N36" i="9" a="1"/>
  <c r="N36" i="9" s="1"/>
  <c r="W36" i="9" a="1"/>
  <c r="W36" i="9" s="1"/>
  <c r="L36" i="9" a="1"/>
  <c r="L36" i="9" s="1"/>
  <c r="B36" i="9" a="1"/>
  <c r="B36" i="9" s="1"/>
  <c r="C36" i="9" a="1"/>
  <c r="C36" i="9" s="1"/>
  <c r="Y36" i="9" a="1"/>
  <c r="Y36" i="9" s="1"/>
  <c r="AK36" i="9" a="1"/>
  <c r="AK36" i="9" s="1"/>
  <c r="AP36" i="9" a="1"/>
  <c r="AP36" i="9" s="1"/>
  <c r="AB36" i="9" a="1"/>
  <c r="AB36" i="9" s="1"/>
  <c r="AA36" i="9" a="1"/>
  <c r="AA36" i="9" s="1"/>
  <c r="Z36" i="9" a="1"/>
  <c r="Z36" i="9" s="1"/>
  <c r="D36" i="9" a="1"/>
  <c r="D36" i="9" s="1"/>
  <c r="AJ36" i="9" a="1"/>
  <c r="AJ36" i="9" s="1"/>
  <c r="T36" i="9" a="1"/>
  <c r="T36" i="9" s="1"/>
  <c r="U36" i="9" a="1"/>
  <c r="U36" i="9" s="1"/>
  <c r="AI36" i="9" a="1"/>
  <c r="AI36" i="9" s="1"/>
  <c r="AO36" i="9" a="1"/>
  <c r="AO36" i="9" s="1"/>
  <c r="AH36" i="9" a="1"/>
  <c r="AH36" i="9" s="1"/>
  <c r="K36" i="9" a="1"/>
  <c r="K36" i="9" s="1"/>
  <c r="X36" i="9" a="1"/>
  <c r="X36" i="9" s="1"/>
  <c r="AG36" i="9" a="1"/>
  <c r="AG36" i="9" s="1"/>
  <c r="Q36" i="9" a="1"/>
  <c r="Q36" i="9" s="1"/>
  <c r="F36" i="9" a="1"/>
  <c r="F36" i="9" s="1"/>
  <c r="O36" i="9" a="1"/>
  <c r="O36" i="9" s="1"/>
  <c r="AD36" i="9" a="1"/>
  <c r="AD36" i="9" s="1"/>
  <c r="R36" i="9" a="1"/>
  <c r="R36" i="9" s="1"/>
  <c r="J36" i="9" a="1"/>
  <c r="J36" i="9" s="1"/>
  <c r="AC36" i="9" a="1"/>
  <c r="AC36" i="9" s="1"/>
  <c r="AQ36" i="9" a="1"/>
  <c r="AQ36" i="9" s="1"/>
  <c r="AR36" i="9" a="1"/>
  <c r="AR36" i="9" s="1"/>
  <c r="AV36" i="9" a="1"/>
  <c r="AV36" i="9" s="1"/>
  <c r="AU36" i="9" a="1"/>
  <c r="AU36" i="9" s="1"/>
  <c r="AS36" i="9" a="1"/>
  <c r="AS36" i="9" s="1"/>
  <c r="AT36" i="9" a="1"/>
  <c r="AT36" i="9" s="1"/>
  <c r="AY36" i="9" a="1"/>
  <c r="AY36" i="9" s="1"/>
  <c r="AX36" i="9" a="1"/>
  <c r="AX36" i="9" s="1"/>
  <c r="AW36" i="9" a="1"/>
  <c r="AW36" i="9" s="1"/>
  <c r="AZ36" i="9" a="1"/>
  <c r="AZ36" i="9" s="1"/>
  <c r="BE36" i="9" a="1"/>
  <c r="BE36" i="9" s="1"/>
  <c r="BA36" i="9" a="1"/>
  <c r="BA36" i="9" s="1"/>
  <c r="BB36" i="9" a="1"/>
  <c r="BB36" i="9" s="1"/>
  <c r="BD36" i="9" a="1"/>
  <c r="BD36" i="9" s="1"/>
  <c r="BC36" i="9" a="1"/>
  <c r="BC36" i="9" s="1"/>
  <c r="BF36" i="9" a="1"/>
  <c r="BF36" i="9" s="1"/>
  <c r="BG36" i="9" a="1"/>
  <c r="BG36" i="9" s="1"/>
  <c r="BH36" i="9" a="1"/>
  <c r="BH36" i="9" s="1"/>
  <c r="BI36" i="9" a="1"/>
  <c r="BI36" i="9" s="1"/>
  <c r="Z49" i="9" a="1"/>
  <c r="Z49" i="9" s="1"/>
  <c r="N49" i="9" a="1"/>
  <c r="N49" i="9" s="1"/>
  <c r="T49" i="9" a="1"/>
  <c r="T49" i="9" s="1"/>
  <c r="M49" i="9" a="1"/>
  <c r="M49" i="9" s="1"/>
  <c r="U49" i="9" a="1"/>
  <c r="U49" i="9" s="1"/>
  <c r="C49" i="9" a="1"/>
  <c r="C49" i="9" s="1"/>
  <c r="AC49" i="9" a="1"/>
  <c r="AC49" i="9" s="1"/>
  <c r="Q49" i="9" a="1"/>
  <c r="Q49" i="9" s="1"/>
  <c r="S49" i="9" a="1"/>
  <c r="S49" i="9" s="1"/>
  <c r="B49" i="9" a="1"/>
  <c r="B49" i="9" s="1"/>
  <c r="AG49" i="9" a="1"/>
  <c r="AG49" i="9" s="1"/>
  <c r="R49" i="9" a="1"/>
  <c r="R49" i="9" s="1"/>
  <c r="AD49" i="9" a="1"/>
  <c r="AD49" i="9" s="1"/>
  <c r="V49" i="9" a="1"/>
  <c r="V49" i="9" s="1"/>
  <c r="I49" i="9" a="1"/>
  <c r="I49" i="9" s="1"/>
  <c r="W49" i="9" a="1"/>
  <c r="W49" i="9" s="1"/>
  <c r="J49" i="9" a="1"/>
  <c r="J49" i="9" s="1"/>
  <c r="AJ49" i="9" a="1"/>
  <c r="AJ49" i="9" s="1"/>
  <c r="AA49" i="9" a="1"/>
  <c r="AA49" i="9" s="1"/>
  <c r="F49" i="9" a="1"/>
  <c r="F49" i="9" s="1"/>
  <c r="AI49" i="9" a="1"/>
  <c r="AI49" i="9" s="1"/>
  <c r="AF49" i="9" a="1"/>
  <c r="AF49" i="9" s="1"/>
  <c r="AH49" i="9" a="1"/>
  <c r="AH49" i="9" s="1"/>
  <c r="AK49" i="9" a="1"/>
  <c r="AK49" i="9" s="1"/>
  <c r="G49" i="9" a="1"/>
  <c r="G49" i="9" s="1"/>
  <c r="P49" i="9" a="1"/>
  <c r="P49" i="9" s="1"/>
  <c r="L49" i="9" a="1"/>
  <c r="L49" i="9" s="1"/>
  <c r="K49" i="9" a="1"/>
  <c r="K49" i="9" s="1"/>
  <c r="AE49" i="9" a="1"/>
  <c r="AE49" i="9" s="1"/>
  <c r="X49" i="9" a="1"/>
  <c r="X49" i="9" s="1"/>
  <c r="D49" i="9" a="1"/>
  <c r="D49" i="9" s="1"/>
  <c r="O49" i="9" a="1"/>
  <c r="O49" i="9" s="1"/>
  <c r="E49" i="9" a="1"/>
  <c r="E49" i="9" s="1"/>
  <c r="Y49" i="9" a="1"/>
  <c r="Y49" i="9" s="1"/>
  <c r="AL49" i="9" a="1"/>
  <c r="AL49" i="9" s="1"/>
  <c r="H49" i="9" a="1"/>
  <c r="H49" i="9" s="1"/>
  <c r="AB49" i="9" a="1"/>
  <c r="AB49" i="9" s="1"/>
  <c r="AM49" i="9" a="1"/>
  <c r="AM49" i="9" s="1"/>
  <c r="AN49" i="9" a="1"/>
  <c r="AN49" i="9" s="1"/>
  <c r="AQ49" i="9" a="1"/>
  <c r="AQ49" i="9" s="1"/>
  <c r="AP49" i="9" a="1"/>
  <c r="AP49" i="9" s="1"/>
  <c r="AO49" i="9" a="1"/>
  <c r="AO49" i="9" s="1"/>
  <c r="AR49" i="9" a="1"/>
  <c r="AR49" i="9" s="1"/>
  <c r="AU49" i="9" a="1"/>
  <c r="AU49" i="9" s="1"/>
  <c r="AS49" i="9" a="1"/>
  <c r="AS49" i="9" s="1"/>
  <c r="AT49" i="9" a="1"/>
  <c r="AT49" i="9" s="1"/>
  <c r="AW49" i="9" a="1"/>
  <c r="AW49" i="9" s="1"/>
  <c r="AV49" i="9" a="1"/>
  <c r="AV49" i="9" s="1"/>
  <c r="AZ49" i="9" a="1"/>
  <c r="AZ49" i="9" s="1"/>
  <c r="AY49" i="9" a="1"/>
  <c r="AY49" i="9" s="1"/>
  <c r="AX49" i="9" a="1"/>
  <c r="AX49" i="9" s="1"/>
  <c r="BA49" i="9" a="1"/>
  <c r="BA49" i="9" s="1"/>
  <c r="BB49" i="9" a="1"/>
  <c r="BB49" i="9" s="1"/>
  <c r="BC49" i="9" a="1"/>
  <c r="BC49" i="9" s="1"/>
  <c r="BE49" i="9" a="1"/>
  <c r="BE49" i="9" s="1"/>
  <c r="BD49" i="9" a="1"/>
  <c r="BD49" i="9" s="1"/>
  <c r="BI49" i="9" a="1"/>
  <c r="BI49" i="9" s="1"/>
  <c r="BH49" i="9" a="1"/>
  <c r="BH49" i="9" s="1"/>
  <c r="BG49" i="9" a="1"/>
  <c r="BG49" i="9" s="1"/>
  <c r="BF49" i="9" a="1"/>
  <c r="BF49" i="9" s="1"/>
  <c r="S48" i="9" a="1"/>
  <c r="S48" i="9" s="1"/>
  <c r="Y48" i="9" a="1"/>
  <c r="Y48" i="9" s="1"/>
  <c r="AL48" i="9" a="1"/>
  <c r="AL48" i="9" s="1"/>
  <c r="AF48" i="9" a="1"/>
  <c r="AF48" i="9" s="1"/>
  <c r="V48" i="9" a="1"/>
  <c r="V48" i="9" s="1"/>
  <c r="O48" i="9" a="1"/>
  <c r="O48" i="9" s="1"/>
  <c r="T48" i="9" a="1"/>
  <c r="T48" i="9" s="1"/>
  <c r="AI48" i="9" a="1"/>
  <c r="AI48" i="9" s="1"/>
  <c r="B48" i="9" a="1"/>
  <c r="B48" i="9" s="1"/>
  <c r="I48" i="9" a="1"/>
  <c r="I48" i="9" s="1"/>
  <c r="AD48" i="9" a="1"/>
  <c r="AD48" i="9" s="1"/>
  <c r="P48" i="9" a="1"/>
  <c r="P48" i="9" s="1"/>
  <c r="AA48" i="9" a="1"/>
  <c r="AA48" i="9" s="1"/>
  <c r="R48" i="9" a="1"/>
  <c r="R48" i="9" s="1"/>
  <c r="K48" i="9" a="1"/>
  <c r="K48" i="9" s="1"/>
  <c r="AH48" i="9" a="1"/>
  <c r="AH48" i="9" s="1"/>
  <c r="AE48" i="9" a="1"/>
  <c r="AE48" i="9" s="1"/>
  <c r="X48" i="9" a="1"/>
  <c r="X48" i="9" s="1"/>
  <c r="M48" i="9" a="1"/>
  <c r="M48" i="9" s="1"/>
  <c r="AG48" i="9" a="1"/>
  <c r="AG48" i="9" s="1"/>
  <c r="AJ48" i="9" a="1"/>
  <c r="AJ48" i="9" s="1"/>
  <c r="C48" i="9" a="1"/>
  <c r="C48" i="9" s="1"/>
  <c r="W48" i="9" a="1"/>
  <c r="W48" i="9" s="1"/>
  <c r="D48" i="9" a="1"/>
  <c r="D48" i="9" s="1"/>
  <c r="J48" i="9" a="1"/>
  <c r="J48" i="9" s="1"/>
  <c r="N48" i="9" a="1"/>
  <c r="N48" i="9" s="1"/>
  <c r="AC48" i="9" a="1"/>
  <c r="AC48" i="9" s="1"/>
  <c r="E48" i="9" a="1"/>
  <c r="E48" i="9" s="1"/>
  <c r="L48" i="9" a="1"/>
  <c r="L48" i="9" s="1"/>
  <c r="AB48" i="9" a="1"/>
  <c r="AB48" i="9" s="1"/>
  <c r="AM48" i="9" a="1"/>
  <c r="AM48" i="9" s="1"/>
  <c r="AK48" i="9" a="1"/>
  <c r="AK48" i="9" s="1"/>
  <c r="F48" i="9" a="1"/>
  <c r="F48" i="9" s="1"/>
  <c r="Z48" i="9" a="1"/>
  <c r="Z48" i="9" s="1"/>
  <c r="U48" i="9" a="1"/>
  <c r="U48" i="9" s="1"/>
  <c r="G48" i="9" a="1"/>
  <c r="G48" i="9" s="1"/>
  <c r="H48" i="9" a="1"/>
  <c r="H48" i="9" s="1"/>
  <c r="Q48" i="9" a="1"/>
  <c r="Q48" i="9" s="1"/>
  <c r="AN48" i="9" a="1"/>
  <c r="AN48" i="9" s="1"/>
  <c r="AO48" i="9" a="1"/>
  <c r="AO48" i="9" s="1"/>
  <c r="AP48" i="9" a="1"/>
  <c r="AP48" i="9" s="1"/>
  <c r="AQ48" i="9" a="1"/>
  <c r="AQ48" i="9" s="1"/>
  <c r="AU48" i="9" a="1"/>
  <c r="AU48" i="9" s="1"/>
  <c r="AS48" i="9" a="1"/>
  <c r="AS48" i="9" s="1"/>
  <c r="AR48" i="9" a="1"/>
  <c r="AR48" i="9" s="1"/>
  <c r="AT48" i="9" a="1"/>
  <c r="AT48" i="9" s="1"/>
  <c r="AY48" i="9" a="1"/>
  <c r="AY48" i="9" s="1"/>
  <c r="AW48" i="9" a="1"/>
  <c r="AW48" i="9" s="1"/>
  <c r="AX48" i="9" a="1"/>
  <c r="AX48" i="9" s="1"/>
  <c r="AV48" i="9" a="1"/>
  <c r="AV48" i="9" s="1"/>
  <c r="AZ48" i="9" a="1"/>
  <c r="AZ48" i="9" s="1"/>
  <c r="BA48" i="9" a="1"/>
  <c r="BA48" i="9" s="1"/>
  <c r="BE48" i="9" a="1"/>
  <c r="BE48" i="9" s="1"/>
  <c r="BB48" i="9" a="1"/>
  <c r="BB48" i="9" s="1"/>
  <c r="BD48" i="9" a="1"/>
  <c r="BD48" i="9" s="1"/>
  <c r="BC48" i="9" a="1"/>
  <c r="BC48" i="9" s="1"/>
  <c r="BG48" i="9" a="1"/>
  <c r="BG48" i="9" s="1"/>
  <c r="BH48" i="9" a="1"/>
  <c r="BH48" i="9" s="1"/>
  <c r="BF48" i="9" a="1"/>
  <c r="BF48" i="9" s="1"/>
  <c r="BI48" i="9" a="1"/>
  <c r="BI48" i="9" s="1"/>
  <c r="AM31" i="9" a="1"/>
  <c r="AM31" i="9" s="1"/>
  <c r="AL31" i="9" a="1"/>
  <c r="AL31" i="9" s="1"/>
  <c r="I23" i="8" s="1"/>
  <c r="AN31" i="9" a="1"/>
  <c r="AN31" i="9" s="1"/>
  <c r="AO31" i="9" a="1"/>
  <c r="AO31" i="9" s="1"/>
  <c r="T31" i="9" a="1"/>
  <c r="T31" i="9" s="1"/>
  <c r="F31" i="9" a="1"/>
  <c r="F31" i="9" s="1"/>
  <c r="AA31" i="9" a="1"/>
  <c r="AA31" i="9" s="1"/>
  <c r="L31" i="9" a="1"/>
  <c r="L31" i="9" s="1"/>
  <c r="I31" i="9" a="1"/>
  <c r="I31" i="9" s="1"/>
  <c r="K31" i="9" a="1"/>
  <c r="K31" i="9" s="1"/>
  <c r="X31" i="9" a="1"/>
  <c r="X31" i="9" s="1"/>
  <c r="AJ31" i="9" a="1"/>
  <c r="AJ31" i="9" s="1"/>
  <c r="Q31" i="9" a="1"/>
  <c r="Q31" i="9" s="1"/>
  <c r="E31" i="9" a="1"/>
  <c r="E31" i="9" s="1"/>
  <c r="P31" i="9" a="1"/>
  <c r="P31" i="9" s="1"/>
  <c r="V31" i="9" a="1"/>
  <c r="V31" i="9" s="1"/>
  <c r="AE31" i="9" a="1"/>
  <c r="AE31" i="9" s="1"/>
  <c r="N31" i="9" a="1"/>
  <c r="N31" i="9" s="1"/>
  <c r="G23" i="8" s="1"/>
  <c r="AF31" i="9" a="1"/>
  <c r="AF31" i="9" s="1"/>
  <c r="D31" i="9" a="1"/>
  <c r="D31" i="9" s="1"/>
  <c r="AG31" i="9" a="1"/>
  <c r="AG31" i="9" s="1"/>
  <c r="AD31" i="9" a="1"/>
  <c r="AD31" i="9" s="1"/>
  <c r="U31" i="9" a="1"/>
  <c r="U31" i="9" s="1"/>
  <c r="AK31" i="9" a="1"/>
  <c r="AK31" i="9" s="1"/>
  <c r="Y31" i="9" a="1"/>
  <c r="Y31" i="9" s="1"/>
  <c r="S31" i="9" a="1"/>
  <c r="S31" i="9" s="1"/>
  <c r="W31" i="9" a="1"/>
  <c r="W31" i="9" s="1"/>
  <c r="AI31" i="9" a="1"/>
  <c r="AI31" i="9" s="1"/>
  <c r="B31" i="9" a="1"/>
  <c r="B31" i="9" s="1"/>
  <c r="H31" i="9" a="1"/>
  <c r="H31" i="9" s="1"/>
  <c r="AB31" i="9" a="1"/>
  <c r="AB31" i="9" s="1"/>
  <c r="R31" i="9" a="1"/>
  <c r="R31" i="9" s="1"/>
  <c r="G31" i="9" a="1"/>
  <c r="G31" i="9" s="1"/>
  <c r="O31" i="9" a="1"/>
  <c r="O31" i="9" s="1"/>
  <c r="AH31" i="9" a="1"/>
  <c r="AH31" i="9" s="1"/>
  <c r="C31" i="9" a="1"/>
  <c r="C31" i="9" s="1"/>
  <c r="J31" i="9" a="1"/>
  <c r="J31" i="9" s="1"/>
  <c r="M31" i="9" a="1"/>
  <c r="M31" i="9" s="1"/>
  <c r="Z31" i="9" a="1"/>
  <c r="Z31" i="9" s="1"/>
  <c r="H23" i="8" s="1"/>
  <c r="AP31" i="9" a="1"/>
  <c r="AP31" i="9" s="1"/>
  <c r="AC31" i="9" a="1"/>
  <c r="AC31" i="9" s="1"/>
  <c r="AS31" i="9" a="1"/>
  <c r="AS31" i="9" s="1"/>
  <c r="AR31" i="9" a="1"/>
  <c r="AR31" i="9" s="1"/>
  <c r="AQ31" i="9" a="1"/>
  <c r="AQ31" i="9" s="1"/>
  <c r="AU31" i="9" a="1"/>
  <c r="AU31" i="9" s="1"/>
  <c r="AT31" i="9" a="1"/>
  <c r="AT31" i="9" s="1"/>
  <c r="AV31" i="9" a="1"/>
  <c r="AV31" i="9" s="1"/>
  <c r="AX31" i="9" a="1"/>
  <c r="AX31" i="9" s="1"/>
  <c r="J23" i="8" s="1"/>
  <c r="AY31" i="9" a="1"/>
  <c r="AY31" i="9" s="1"/>
  <c r="AW31" i="9" a="1"/>
  <c r="AW31" i="9" s="1"/>
  <c r="BB31" i="9" a="1"/>
  <c r="BB31" i="9" s="1"/>
  <c r="AZ31" i="9" a="1"/>
  <c r="AZ31" i="9" s="1"/>
  <c r="BA31" i="9" a="1"/>
  <c r="BA31" i="9" s="1"/>
  <c r="BD31" i="9" a="1"/>
  <c r="BD31" i="9" s="1"/>
  <c r="BC31" i="9" a="1"/>
  <c r="BC31" i="9" s="1"/>
  <c r="BE31" i="9" a="1"/>
  <c r="BE31" i="9" s="1"/>
  <c r="BF31" i="9" a="1"/>
  <c r="BF31" i="9" s="1"/>
  <c r="BG31" i="9" a="1"/>
  <c r="BG31" i="9" s="1"/>
  <c r="BH31" i="9" a="1"/>
  <c r="BH31" i="9" s="1"/>
  <c r="BI31" i="9" a="1"/>
  <c r="BI31" i="9" s="1"/>
  <c r="G72" i="7"/>
  <c r="G71" i="7" s="1"/>
  <c r="O43" i="4"/>
  <c r="AK39" i="9" a="1"/>
  <c r="AK39" i="9" s="1"/>
  <c r="AQ39" i="9" a="1"/>
  <c r="AQ39" i="9" s="1"/>
  <c r="AL39" i="9" a="1"/>
  <c r="AL39" i="9" s="1"/>
  <c r="Q39" i="9" a="1"/>
  <c r="Q39" i="9" s="1"/>
  <c r="H39" i="9" a="1"/>
  <c r="H39" i="9" s="1"/>
  <c r="AA39" i="9" a="1"/>
  <c r="AA39" i="9" s="1"/>
  <c r="E39" i="9" a="1"/>
  <c r="E39" i="9" s="1"/>
  <c r="AF39" i="9" a="1"/>
  <c r="AF39" i="9" s="1"/>
  <c r="AJ39" i="9" a="1"/>
  <c r="AJ39" i="9" s="1"/>
  <c r="B39" i="9" a="1"/>
  <c r="B39" i="9" s="1"/>
  <c r="W39" i="9" a="1"/>
  <c r="W39" i="9" s="1"/>
  <c r="F39" i="9" a="1"/>
  <c r="F39" i="9" s="1"/>
  <c r="AB39" i="9" a="1"/>
  <c r="AB39" i="9" s="1"/>
  <c r="AM39" i="9" a="1"/>
  <c r="AM39" i="9" s="1"/>
  <c r="U39" i="9" a="1"/>
  <c r="U39" i="9" s="1"/>
  <c r="D39" i="9" a="1"/>
  <c r="D39" i="9" s="1"/>
  <c r="L39" i="9" a="1"/>
  <c r="L39" i="9" s="1"/>
  <c r="O39" i="9" a="1"/>
  <c r="O39" i="9" s="1"/>
  <c r="V39" i="9" a="1"/>
  <c r="V39" i="9" s="1"/>
  <c r="AH39" i="9" a="1"/>
  <c r="AH39" i="9" s="1"/>
  <c r="M39" i="9" a="1"/>
  <c r="M39" i="9" s="1"/>
  <c r="AD39" i="9" a="1"/>
  <c r="AD39" i="9" s="1"/>
  <c r="AP39" i="9" a="1"/>
  <c r="AP39" i="9" s="1"/>
  <c r="T39" i="9" a="1"/>
  <c r="T39" i="9" s="1"/>
  <c r="K39" i="9" a="1"/>
  <c r="K39" i="9" s="1"/>
  <c r="X39" i="9" a="1"/>
  <c r="X39" i="9" s="1"/>
  <c r="AN39" i="9" a="1"/>
  <c r="AN39" i="9" s="1"/>
  <c r="AO39" i="9" a="1"/>
  <c r="AO39" i="9" s="1"/>
  <c r="R39" i="9" a="1"/>
  <c r="R39" i="9" s="1"/>
  <c r="Y39" i="9" a="1"/>
  <c r="Y39" i="9" s="1"/>
  <c r="S39" i="9" a="1"/>
  <c r="S39" i="9" s="1"/>
  <c r="G39" i="9" a="1"/>
  <c r="G39" i="9" s="1"/>
  <c r="AI39" i="9" a="1"/>
  <c r="AI39" i="9" s="1"/>
  <c r="N39" i="9" a="1"/>
  <c r="N39" i="9" s="1"/>
  <c r="P39" i="9" a="1"/>
  <c r="P39" i="9" s="1"/>
  <c r="I39" i="9" a="1"/>
  <c r="I39" i="9" s="1"/>
  <c r="AS39" i="9" a="1"/>
  <c r="AS39" i="9" s="1"/>
  <c r="AC39" i="9" a="1"/>
  <c r="AC39" i="9" s="1"/>
  <c r="AG39" i="9" a="1"/>
  <c r="AG39" i="9" s="1"/>
  <c r="Z39" i="9" a="1"/>
  <c r="Z39" i="9" s="1"/>
  <c r="AE39" i="9" a="1"/>
  <c r="AE39" i="9" s="1"/>
  <c r="J39" i="9" a="1"/>
  <c r="J39" i="9" s="1"/>
  <c r="C39" i="9" a="1"/>
  <c r="C39" i="9" s="1"/>
  <c r="AR39" i="9" a="1"/>
  <c r="AR39" i="9" s="1"/>
  <c r="AU39" i="9" a="1"/>
  <c r="AU39" i="9" s="1"/>
  <c r="AT39" i="9" a="1"/>
  <c r="AT39" i="9" s="1"/>
  <c r="AV39" i="9" a="1"/>
  <c r="AV39" i="9" s="1"/>
  <c r="AX39" i="9" a="1"/>
  <c r="AX39" i="9" s="1"/>
  <c r="AW39" i="9" a="1"/>
  <c r="AW39" i="9" s="1"/>
  <c r="AY39" i="9" a="1"/>
  <c r="AY39" i="9" s="1"/>
  <c r="BA39" i="9" a="1"/>
  <c r="BA39" i="9" s="1"/>
  <c r="AZ39" i="9" a="1"/>
  <c r="AZ39" i="9" s="1"/>
  <c r="BD39" i="9" a="1"/>
  <c r="BD39" i="9" s="1"/>
  <c r="BB39" i="9" a="1"/>
  <c r="BB39" i="9" s="1"/>
  <c r="BC39" i="9" a="1"/>
  <c r="BC39" i="9" s="1"/>
  <c r="BG39" i="9" a="1"/>
  <c r="BG39" i="9" s="1"/>
  <c r="BF39" i="9" a="1"/>
  <c r="BF39" i="9" s="1"/>
  <c r="BE39" i="9" a="1"/>
  <c r="BE39" i="9" s="1"/>
  <c r="BI39" i="9" a="1"/>
  <c r="BI39" i="9" s="1"/>
  <c r="BH39" i="9" a="1"/>
  <c r="BH39" i="9" s="1"/>
  <c r="Z50" i="9" a="1"/>
  <c r="Z50" i="9" s="1"/>
  <c r="AL50" i="9" a="1"/>
  <c r="AL50" i="9" s="1"/>
  <c r="G50" i="9" a="1"/>
  <c r="G50" i="9" s="1"/>
  <c r="E50" i="9" a="1"/>
  <c r="E50" i="9" s="1"/>
  <c r="AC50" i="9" a="1"/>
  <c r="AC50" i="9" s="1"/>
  <c r="AB50" i="9" a="1"/>
  <c r="AB50" i="9" s="1"/>
  <c r="AH50" i="9" a="1"/>
  <c r="AH50" i="9" s="1"/>
  <c r="D50" i="9" a="1"/>
  <c r="D50" i="9" s="1"/>
  <c r="AG50" i="9" a="1"/>
  <c r="AG50" i="9" s="1"/>
  <c r="AA50" i="9" a="1"/>
  <c r="AA50" i="9" s="1"/>
  <c r="T50" i="9" a="1"/>
  <c r="T50" i="9" s="1"/>
  <c r="V50" i="9" a="1"/>
  <c r="V50" i="9" s="1"/>
  <c r="AF50" i="9" a="1"/>
  <c r="AF50" i="9" s="1"/>
  <c r="W50" i="9" a="1"/>
  <c r="W50" i="9" s="1"/>
  <c r="F50" i="9" a="1"/>
  <c r="F50" i="9" s="1"/>
  <c r="Q50" i="9" a="1"/>
  <c r="Q50" i="9" s="1"/>
  <c r="J50" i="9" a="1"/>
  <c r="J50" i="9" s="1"/>
  <c r="M50" i="9" a="1"/>
  <c r="M50" i="9" s="1"/>
  <c r="P50" i="9" a="1"/>
  <c r="P50" i="9" s="1"/>
  <c r="B50" i="9" a="1"/>
  <c r="B50" i="9" s="1"/>
  <c r="AK50" i="9" a="1"/>
  <c r="AK50" i="9" s="1"/>
  <c r="H50" i="9" a="1"/>
  <c r="H50" i="9" s="1"/>
  <c r="U50" i="9" a="1"/>
  <c r="U50" i="9" s="1"/>
  <c r="I50" i="9" a="1"/>
  <c r="I50" i="9" s="1"/>
  <c r="R50" i="9" a="1"/>
  <c r="R50" i="9" s="1"/>
  <c r="Y50" i="9" a="1"/>
  <c r="Y50" i="9" s="1"/>
  <c r="S50" i="9" a="1"/>
  <c r="S50" i="9" s="1"/>
  <c r="AD50" i="9" a="1"/>
  <c r="AD50" i="9" s="1"/>
  <c r="N50" i="9" a="1"/>
  <c r="N50" i="9" s="1"/>
  <c r="AJ50" i="9" a="1"/>
  <c r="AJ50" i="9" s="1"/>
  <c r="K50" i="9" a="1"/>
  <c r="K50" i="9" s="1"/>
  <c r="L50" i="9" a="1"/>
  <c r="L50" i="9" s="1"/>
  <c r="X50" i="9" a="1"/>
  <c r="X50" i="9" s="1"/>
  <c r="O50" i="9" a="1"/>
  <c r="O50" i="9" s="1"/>
  <c r="AI50" i="9" a="1"/>
  <c r="AI50" i="9" s="1"/>
  <c r="AE50" i="9" a="1"/>
  <c r="AE50" i="9" s="1"/>
  <c r="C50" i="9" a="1"/>
  <c r="C50" i="9" s="1"/>
  <c r="AM50" i="9" a="1"/>
  <c r="AM50" i="9" s="1"/>
  <c r="AO50" i="9" a="1"/>
  <c r="AO50" i="9" s="1"/>
  <c r="AP50" i="9" a="1"/>
  <c r="AP50" i="9" s="1"/>
  <c r="AN50" i="9" a="1"/>
  <c r="AN50" i="9" s="1"/>
  <c r="AQ50" i="9" a="1"/>
  <c r="AQ50" i="9" s="1"/>
  <c r="AR50" i="9" a="1"/>
  <c r="AR50" i="9" s="1"/>
  <c r="AS50" i="9" a="1"/>
  <c r="AS50" i="9" s="1"/>
  <c r="AT50" i="9" a="1"/>
  <c r="AT50" i="9" s="1"/>
  <c r="AU50" i="9" a="1"/>
  <c r="AU50" i="9" s="1"/>
  <c r="AW50" i="9" a="1"/>
  <c r="AW50" i="9" s="1"/>
  <c r="AV50" i="9" a="1"/>
  <c r="AV50" i="9" s="1"/>
  <c r="AY50" i="9" a="1"/>
  <c r="AY50" i="9" s="1"/>
  <c r="AZ50" i="9" a="1"/>
  <c r="AZ50" i="9" s="1"/>
  <c r="AX50" i="9" a="1"/>
  <c r="AX50" i="9" s="1"/>
  <c r="BA50" i="9" a="1"/>
  <c r="BA50" i="9" s="1"/>
  <c r="BB50" i="9" a="1"/>
  <c r="BB50" i="9" s="1"/>
  <c r="BC50" i="9" a="1"/>
  <c r="BC50" i="9" s="1"/>
  <c r="BE50" i="9" a="1"/>
  <c r="BE50" i="9" s="1"/>
  <c r="BF50" i="9" a="1"/>
  <c r="BF50" i="9" s="1"/>
  <c r="BG50" i="9" a="1"/>
  <c r="BG50" i="9" s="1"/>
  <c r="BD50" i="9" a="1"/>
  <c r="BD50" i="9" s="1"/>
  <c r="BI50" i="9" a="1"/>
  <c r="BI50" i="9" s="1"/>
  <c r="BH50" i="9" a="1"/>
  <c r="BH50" i="9" s="1"/>
  <c r="AL17" i="9" a="1"/>
  <c r="AL17" i="9" s="1"/>
  <c r="S17" i="9" a="1"/>
  <c r="S17" i="9" s="1"/>
  <c r="Y17" i="9" a="1"/>
  <c r="Y17" i="9" s="1"/>
  <c r="G17" i="9" a="1"/>
  <c r="G17" i="9" s="1"/>
  <c r="AH17" i="9" a="1"/>
  <c r="AH17" i="9" s="1"/>
  <c r="AO17" i="9" a="1"/>
  <c r="AO17" i="9" s="1"/>
  <c r="L17" i="9" a="1"/>
  <c r="L17" i="9" s="1"/>
  <c r="R17" i="9" a="1"/>
  <c r="R17" i="9" s="1"/>
  <c r="D17" i="9" a="1"/>
  <c r="D17" i="9" s="1"/>
  <c r="P17" i="9" a="1"/>
  <c r="P17" i="9" s="1"/>
  <c r="T17" i="9" a="1"/>
  <c r="T17" i="9" s="1"/>
  <c r="M17" i="9" a="1"/>
  <c r="M17" i="9" s="1"/>
  <c r="H17" i="9" a="1"/>
  <c r="H17" i="9" s="1"/>
  <c r="K17" i="9" a="1"/>
  <c r="K17" i="9" s="1"/>
  <c r="AE17" i="9" a="1"/>
  <c r="AE17" i="9" s="1"/>
  <c r="Z17" i="9" a="1"/>
  <c r="Z17" i="9" s="1"/>
  <c r="W17" i="9" a="1"/>
  <c r="W17" i="9" s="1"/>
  <c r="N17" i="9" a="1"/>
  <c r="N17" i="9" s="1"/>
  <c r="Q17" i="9" a="1"/>
  <c r="Q17" i="9" s="1"/>
  <c r="AM17" i="9" a="1"/>
  <c r="AM17" i="9" s="1"/>
  <c r="O17" i="9" a="1"/>
  <c r="O17" i="9" s="1"/>
  <c r="AD17" i="9" a="1"/>
  <c r="AD17" i="9" s="1"/>
  <c r="E17" i="9" a="1"/>
  <c r="E17" i="9" s="1"/>
  <c r="AI17" i="9" a="1"/>
  <c r="AI17" i="9" s="1"/>
  <c r="AB17" i="9" a="1"/>
  <c r="AB17" i="9" s="1"/>
  <c r="J17" i="9" a="1"/>
  <c r="J17" i="9" s="1"/>
  <c r="C17" i="9" a="1"/>
  <c r="C17" i="9" s="1"/>
  <c r="AN17" i="9" a="1"/>
  <c r="AN17" i="9" s="1"/>
  <c r="AF17" i="9" a="1"/>
  <c r="AF17" i="9" s="1"/>
  <c r="I17" i="9" a="1"/>
  <c r="I17" i="9" s="1"/>
  <c r="V17" i="9" a="1"/>
  <c r="V17" i="9" s="1"/>
  <c r="AC17" i="9" a="1"/>
  <c r="AC17" i="9" s="1"/>
  <c r="B17" i="9" a="1"/>
  <c r="B17" i="9" s="1"/>
  <c r="AA17" i="9" a="1"/>
  <c r="AA17" i="9" s="1"/>
  <c r="AG17" i="9" a="1"/>
  <c r="AG17" i="9" s="1"/>
  <c r="AK17" i="9" a="1"/>
  <c r="AK17" i="9" s="1"/>
  <c r="AJ17" i="9" a="1"/>
  <c r="AJ17" i="9" s="1"/>
  <c r="X17" i="9" a="1"/>
  <c r="X17" i="9" s="1"/>
  <c r="U17" i="9" a="1"/>
  <c r="U17" i="9" s="1"/>
  <c r="F17" i="9" a="1"/>
  <c r="F17" i="9" s="1"/>
  <c r="AP17" i="9" a="1"/>
  <c r="AP17" i="9" s="1"/>
  <c r="AS17" i="9" a="1"/>
  <c r="AS17" i="9" s="1"/>
  <c r="AU17" i="9" a="1"/>
  <c r="AU17" i="9" s="1"/>
  <c r="AR17" i="9" a="1"/>
  <c r="AR17" i="9" s="1"/>
  <c r="AT17" i="9" a="1"/>
  <c r="AT17" i="9" s="1"/>
  <c r="AQ17" i="9" a="1"/>
  <c r="AQ17" i="9" s="1"/>
  <c r="AV17" i="9" a="1"/>
  <c r="AV17" i="9" s="1"/>
  <c r="AW17" i="9" a="1"/>
  <c r="AW17" i="9" s="1"/>
  <c r="AX17" i="9" a="1"/>
  <c r="AX17" i="9" s="1"/>
  <c r="AY17" i="9" a="1"/>
  <c r="AY17" i="9" s="1"/>
  <c r="AZ17" i="9" a="1"/>
  <c r="AZ17" i="9" s="1"/>
  <c r="BB17" i="9" a="1"/>
  <c r="BB17" i="9" s="1"/>
  <c r="BA17" i="9" a="1"/>
  <c r="BA17" i="9" s="1"/>
  <c r="BC17" i="9" a="1"/>
  <c r="BC17" i="9" s="1"/>
  <c r="BG17" i="9" a="1"/>
  <c r="BG17" i="9" s="1"/>
  <c r="BD17" i="9" a="1"/>
  <c r="BD17" i="9" s="1"/>
  <c r="BF17" i="9" a="1"/>
  <c r="BF17" i="9" s="1"/>
  <c r="BI17" i="9" a="1"/>
  <c r="BI17" i="9" s="1"/>
  <c r="BE17" i="9" a="1"/>
  <c r="BE17" i="9" s="1"/>
  <c r="BH17" i="9" a="1"/>
  <c r="BH17" i="9" s="1"/>
  <c r="BK71" i="7"/>
  <c r="BK187" i="7" s="1"/>
  <c r="BK47" i="7"/>
  <c r="AL28" i="9" l="1" a="1"/>
  <c r="AL28" i="9" s="1"/>
  <c r="AH28" i="9" a="1"/>
  <c r="AH28" i="9" s="1"/>
  <c r="U28" i="9" a="1"/>
  <c r="U28" i="9" s="1"/>
  <c r="L28" i="9" a="1"/>
  <c r="L28" i="9" s="1"/>
  <c r="C28" i="9" a="1"/>
  <c r="C28" i="9" s="1"/>
  <c r="X28" i="9" a="1"/>
  <c r="X28" i="9" s="1"/>
  <c r="S28" i="9" a="1"/>
  <c r="S28" i="9" s="1"/>
  <c r="V28" i="9" a="1"/>
  <c r="V28" i="9" s="1"/>
  <c r="Q28" i="9" a="1"/>
  <c r="Q28" i="9" s="1"/>
  <c r="AK28" i="9" a="1"/>
  <c r="AK28" i="9" s="1"/>
  <c r="AG28" i="9" a="1"/>
  <c r="AG28" i="9" s="1"/>
  <c r="AD28" i="9" a="1"/>
  <c r="AD28" i="9" s="1"/>
  <c r="O28" i="9" a="1"/>
  <c r="O28" i="9" s="1"/>
  <c r="AF28" i="9" a="1"/>
  <c r="AF28" i="9" s="1"/>
  <c r="R28" i="9" a="1"/>
  <c r="R28" i="9" s="1"/>
  <c r="D28" i="9" a="1"/>
  <c r="D28" i="9" s="1"/>
  <c r="AA28" i="9" a="1"/>
  <c r="AA28" i="9" s="1"/>
  <c r="AM28" i="9" a="1"/>
  <c r="AM28" i="9" s="1"/>
  <c r="AI28" i="9" a="1"/>
  <c r="AI28" i="9" s="1"/>
  <c r="E28" i="9" a="1"/>
  <c r="E28" i="9" s="1"/>
  <c r="B28" i="9" a="1"/>
  <c r="B28" i="9" s="1"/>
  <c r="Z28" i="9" a="1"/>
  <c r="Z28" i="9" s="1"/>
  <c r="H28" i="8" s="1"/>
  <c r="AJ28" i="9" a="1"/>
  <c r="AJ28" i="9" s="1"/>
  <c r="Y28" i="9" a="1"/>
  <c r="Y28" i="9" s="1"/>
  <c r="P28" i="9" a="1"/>
  <c r="P28" i="9" s="1"/>
  <c r="AB28" i="9" a="1"/>
  <c r="AB28" i="9" s="1"/>
  <c r="G28" i="9" a="1"/>
  <c r="G28" i="9" s="1"/>
  <c r="H28" i="9" a="1"/>
  <c r="H28" i="9" s="1"/>
  <c r="K28" i="9" a="1"/>
  <c r="K28" i="9" s="1"/>
  <c r="J28" i="9" a="1"/>
  <c r="J28" i="9" s="1"/>
  <c r="F28" i="9" a="1"/>
  <c r="F28" i="9" s="1"/>
  <c r="N28" i="9" a="1"/>
  <c r="N28" i="9" s="1"/>
  <c r="AE28" i="9" a="1"/>
  <c r="AE28" i="9" s="1"/>
  <c r="T28" i="9" a="1"/>
  <c r="T28" i="9" s="1"/>
  <c r="W28" i="9" a="1"/>
  <c r="W28" i="9" s="1"/>
  <c r="AC28" i="9" a="1"/>
  <c r="AC28" i="9" s="1"/>
  <c r="M28" i="9" a="1"/>
  <c r="M28" i="9" s="1"/>
  <c r="I28" i="9" a="1"/>
  <c r="I28" i="9" s="1"/>
  <c r="AN28" i="9" a="1"/>
  <c r="AN28" i="9" s="1"/>
  <c r="AS28" i="9" a="1"/>
  <c r="AS28" i="9" s="1"/>
  <c r="AO28" i="9" a="1"/>
  <c r="AO28" i="9" s="1"/>
  <c r="AR28" i="9" a="1"/>
  <c r="AR28" i="9" s="1"/>
  <c r="AP28" i="9" a="1"/>
  <c r="AP28" i="9" s="1"/>
  <c r="AQ28" i="9" a="1"/>
  <c r="AQ28" i="9" s="1"/>
  <c r="AT28" i="9" a="1"/>
  <c r="AT28" i="9" s="1"/>
  <c r="AU28" i="9" a="1"/>
  <c r="AU28" i="9" s="1"/>
  <c r="AV28" i="9" a="1"/>
  <c r="AV28" i="9" s="1"/>
  <c r="AY28" i="9" a="1"/>
  <c r="AY28" i="9" s="1"/>
  <c r="BG28" i="9" a="1"/>
  <c r="BG28" i="9" s="1"/>
  <c r="AZ28" i="9" a="1"/>
  <c r="AZ28" i="9" s="1"/>
  <c r="BI28" i="9" a="1"/>
  <c r="BI28" i="9" s="1"/>
  <c r="BF28" i="9" a="1"/>
  <c r="BF28" i="9" s="1"/>
  <c r="BA28" i="9" a="1"/>
  <c r="BA28" i="9" s="1"/>
  <c r="BH28" i="9" a="1"/>
  <c r="BH28" i="9" s="1"/>
  <c r="AW28" i="9" a="1"/>
  <c r="AW28" i="9" s="1"/>
  <c r="BC28" i="9" a="1"/>
  <c r="BC28" i="9" s="1"/>
  <c r="BB28" i="9" a="1"/>
  <c r="BB28" i="9" s="1"/>
  <c r="BD28" i="9" a="1"/>
  <c r="BD28" i="9" s="1"/>
  <c r="AX28" i="9" a="1"/>
  <c r="AX28" i="9" s="1"/>
  <c r="BE28" i="9" a="1"/>
  <c r="BE28" i="9" s="1"/>
  <c r="BK188" i="7"/>
  <c r="BL76" i="7"/>
  <c r="AQ13" i="9" a="1"/>
  <c r="AQ13" i="9" s="1"/>
  <c r="AS13" i="9" a="1"/>
  <c r="AS13" i="9" s="1"/>
  <c r="AN13" i="9" a="1"/>
  <c r="AN13" i="9" s="1"/>
  <c r="AP13" i="9" a="1"/>
  <c r="AP13" i="9" s="1"/>
  <c r="AL13" i="9" a="1"/>
  <c r="AL13" i="9" s="1"/>
  <c r="AM13" i="9" a="1"/>
  <c r="AM13" i="9" s="1"/>
  <c r="AO13" i="9" a="1"/>
  <c r="AO13" i="9" s="1"/>
  <c r="Z13" i="9" a="1"/>
  <c r="Z13" i="9" s="1"/>
  <c r="AK13" i="9" a="1"/>
  <c r="AK13" i="9" s="1"/>
  <c r="R13" i="9" a="1"/>
  <c r="R13" i="9" s="1"/>
  <c r="O13" i="9" a="1"/>
  <c r="O13" i="9" s="1"/>
  <c r="Y13" i="9" a="1"/>
  <c r="Y13" i="9" s="1"/>
  <c r="AI13" i="9" a="1"/>
  <c r="AI13" i="9" s="1"/>
  <c r="U13" i="9" a="1"/>
  <c r="U13" i="9" s="1"/>
  <c r="G13" i="9" a="1"/>
  <c r="G13" i="9" s="1"/>
  <c r="AR13" i="9" a="1"/>
  <c r="AR13" i="9" s="1"/>
  <c r="P13" i="9" a="1"/>
  <c r="P13" i="9" s="1"/>
  <c r="L13" i="9" a="1"/>
  <c r="L13" i="9" s="1"/>
  <c r="X13" i="9" a="1"/>
  <c r="X13" i="9" s="1"/>
  <c r="AD13" i="9" a="1"/>
  <c r="AD13" i="9" s="1"/>
  <c r="S13" i="9" a="1"/>
  <c r="S13" i="9" s="1"/>
  <c r="V13" i="9" a="1"/>
  <c r="V13" i="9" s="1"/>
  <c r="AH13" i="9" a="1"/>
  <c r="AH13" i="9" s="1"/>
  <c r="C13" i="9" a="1"/>
  <c r="C13" i="9" s="1"/>
  <c r="W13" i="9" a="1"/>
  <c r="W13" i="9" s="1"/>
  <c r="T13" i="9" a="1"/>
  <c r="T13" i="9" s="1"/>
  <c r="AE13" i="9" a="1"/>
  <c r="AE13" i="9" s="1"/>
  <c r="M13" i="9" a="1"/>
  <c r="M13" i="9" s="1"/>
  <c r="D13" i="9" a="1"/>
  <c r="D13" i="9" s="1"/>
  <c r="K13" i="9" a="1"/>
  <c r="K13" i="9" s="1"/>
  <c r="AF13" i="9" a="1"/>
  <c r="AF13" i="9" s="1"/>
  <c r="E13" i="9" a="1"/>
  <c r="E13" i="9" s="1"/>
  <c r="H13" i="9" a="1"/>
  <c r="H13" i="9" s="1"/>
  <c r="AA13" i="9" a="1"/>
  <c r="AA13" i="9" s="1"/>
  <c r="F13" i="9" a="1"/>
  <c r="F13" i="9" s="1"/>
  <c r="I13" i="9" a="1"/>
  <c r="I13" i="9" s="1"/>
  <c r="AB13" i="9" a="1"/>
  <c r="AB13" i="9" s="1"/>
  <c r="Q13" i="9" a="1"/>
  <c r="Q13" i="9" s="1"/>
  <c r="N13" i="9" a="1"/>
  <c r="N13" i="9" s="1"/>
  <c r="B13" i="9" a="1"/>
  <c r="B13" i="9" s="1"/>
  <c r="AJ13" i="9" a="1"/>
  <c r="AJ13" i="9" s="1"/>
  <c r="J13" i="9" a="1"/>
  <c r="J13" i="9" s="1"/>
  <c r="AG13" i="9" a="1"/>
  <c r="AG13" i="9" s="1"/>
  <c r="AC13" i="9" a="1"/>
  <c r="AC13" i="9" s="1"/>
  <c r="AU13" i="9" a="1"/>
  <c r="AU13" i="9" s="1"/>
  <c r="AT13" i="9" a="1"/>
  <c r="AT13" i="9" s="1"/>
  <c r="AW13" i="9" a="1"/>
  <c r="AW13" i="9" s="1"/>
  <c r="AV13" i="9" a="1"/>
  <c r="AV13" i="9" s="1"/>
  <c r="AY13" i="9" a="1"/>
  <c r="AY13" i="9" s="1"/>
  <c r="AX13" i="9" a="1"/>
  <c r="AX13" i="9" s="1"/>
  <c r="AZ13" i="9" a="1"/>
  <c r="AZ13" i="9" s="1"/>
  <c r="BA13" i="9" a="1"/>
  <c r="BA13" i="9" s="1"/>
  <c r="BE13" i="9" a="1"/>
  <c r="BE13" i="9" s="1"/>
  <c r="BB13" i="9" a="1"/>
  <c r="BB13" i="9" s="1"/>
  <c r="BC13" i="9" a="1"/>
  <c r="BC13" i="9" s="1"/>
  <c r="BD13" i="9" a="1"/>
  <c r="BD13" i="9" s="1"/>
  <c r="BG13" i="9" a="1"/>
  <c r="BG13" i="9" s="1"/>
  <c r="BF13" i="9" a="1"/>
  <c r="BF13" i="9" s="1"/>
  <c r="BI13" i="9" a="1"/>
  <c r="BI13" i="9" s="1"/>
  <c r="BH13" i="9" a="1"/>
  <c r="BH13" i="9" s="1"/>
  <c r="E26" i="8"/>
  <c r="BL57" i="7"/>
  <c r="E17" i="8"/>
  <c r="F17" i="8"/>
  <c r="AN30" i="9" a="1"/>
  <c r="AN30" i="9" s="1"/>
  <c r="AF30" i="9" a="1"/>
  <c r="AF30" i="9" s="1"/>
  <c r="S30" i="9" a="1"/>
  <c r="S30" i="9" s="1"/>
  <c r="AE30" i="9" a="1"/>
  <c r="AE30" i="9" s="1"/>
  <c r="AD30" i="9" a="1"/>
  <c r="AD30" i="9" s="1"/>
  <c r="D30" i="9" a="1"/>
  <c r="D30" i="9" s="1"/>
  <c r="AB30" i="9" a="1"/>
  <c r="AB30" i="9" s="1"/>
  <c r="AK30" i="9" a="1"/>
  <c r="AK30" i="9" s="1"/>
  <c r="H30" i="9" a="1"/>
  <c r="H30" i="9" s="1"/>
  <c r="M30" i="9" a="1"/>
  <c r="M30" i="9" s="1"/>
  <c r="C30" i="9" a="1"/>
  <c r="C30" i="9" s="1"/>
  <c r="Y30" i="9" a="1"/>
  <c r="Y30" i="9" s="1"/>
  <c r="K30" i="9" a="1"/>
  <c r="K30" i="9" s="1"/>
  <c r="L30" i="9" a="1"/>
  <c r="L30" i="9" s="1"/>
  <c r="E30" i="9" a="1"/>
  <c r="E30" i="9" s="1"/>
  <c r="AH30" i="9" a="1"/>
  <c r="AH30" i="9" s="1"/>
  <c r="O30" i="9" a="1"/>
  <c r="O30" i="9" s="1"/>
  <c r="G30" i="9" a="1"/>
  <c r="G30" i="9" s="1"/>
  <c r="AG30" i="9" a="1"/>
  <c r="AG30" i="9" s="1"/>
  <c r="B30" i="9" a="1"/>
  <c r="B30" i="9" s="1"/>
  <c r="Z30" i="9" a="1"/>
  <c r="Z30" i="9" s="1"/>
  <c r="AC30" i="9" a="1"/>
  <c r="AC30" i="9" s="1"/>
  <c r="I30" i="9" a="1"/>
  <c r="I30" i="9" s="1"/>
  <c r="AM30" i="9" a="1"/>
  <c r="AM30" i="9" s="1"/>
  <c r="T30" i="9" a="1"/>
  <c r="T30" i="9" s="1"/>
  <c r="X30" i="9" a="1"/>
  <c r="X30" i="9" s="1"/>
  <c r="W30" i="9" a="1"/>
  <c r="W30" i="9" s="1"/>
  <c r="V30" i="9" a="1"/>
  <c r="V30" i="9" s="1"/>
  <c r="AA30" i="9" a="1"/>
  <c r="AA30" i="9" s="1"/>
  <c r="U30" i="9" a="1"/>
  <c r="U30" i="9" s="1"/>
  <c r="R30" i="9" a="1"/>
  <c r="R30" i="9" s="1"/>
  <c r="AL30" i="9" a="1"/>
  <c r="AL30" i="9" s="1"/>
  <c r="I30" i="8" s="1"/>
  <c r="J30" i="9" a="1"/>
  <c r="J30" i="9" s="1"/>
  <c r="F30" i="9" a="1"/>
  <c r="F30" i="9" s="1"/>
  <c r="Q30" i="9" a="1"/>
  <c r="Q30" i="9" s="1"/>
  <c r="N30" i="9" a="1"/>
  <c r="N30" i="9" s="1"/>
  <c r="AJ30" i="9" a="1"/>
  <c r="AJ30" i="9" s="1"/>
  <c r="P30" i="9" a="1"/>
  <c r="P30" i="9" s="1"/>
  <c r="AO30" i="9" a="1"/>
  <c r="AO30" i="9" s="1"/>
  <c r="AI30" i="9" a="1"/>
  <c r="AI30" i="9" s="1"/>
  <c r="AP30" i="9" a="1"/>
  <c r="AP30" i="9" s="1"/>
  <c r="AR30" i="9" a="1"/>
  <c r="AR30" i="9" s="1"/>
  <c r="AQ30" i="9" a="1"/>
  <c r="AQ30" i="9" s="1"/>
  <c r="AT30" i="9" a="1"/>
  <c r="AT30" i="9" s="1"/>
  <c r="AS30" i="9" a="1"/>
  <c r="AS30" i="9" s="1"/>
  <c r="AU30" i="9" a="1"/>
  <c r="AU30" i="9" s="1"/>
  <c r="AV30" i="9" a="1"/>
  <c r="AV30" i="9" s="1"/>
  <c r="AW30" i="9" a="1"/>
  <c r="AW30" i="9" s="1"/>
  <c r="AX30" i="9" a="1"/>
  <c r="AX30" i="9" s="1"/>
  <c r="AY30" i="9" a="1"/>
  <c r="AY30" i="9" s="1"/>
  <c r="BA30" i="9" a="1"/>
  <c r="BA30" i="9" s="1"/>
  <c r="BB30" i="9" a="1"/>
  <c r="BB30" i="9" s="1"/>
  <c r="AZ30" i="9" a="1"/>
  <c r="AZ30" i="9" s="1"/>
  <c r="BC30" i="9" a="1"/>
  <c r="BC30" i="9" s="1"/>
  <c r="BF30" i="9" a="1"/>
  <c r="BF30" i="9" s="1"/>
  <c r="BE30" i="9" a="1"/>
  <c r="BE30" i="9" s="1"/>
  <c r="BG30" i="9" a="1"/>
  <c r="BG30" i="9" s="1"/>
  <c r="BD30" i="9" a="1"/>
  <c r="BD30" i="9" s="1"/>
  <c r="BI30" i="9" a="1"/>
  <c r="BI30" i="9" s="1"/>
  <c r="BH30" i="9" a="1"/>
  <c r="BH30" i="9" s="1"/>
  <c r="G187" i="7"/>
  <c r="G188" i="7"/>
  <c r="G189" i="7"/>
  <c r="F23" i="8"/>
  <c r="E23" i="8" s="1"/>
  <c r="BL61" i="7"/>
  <c r="AL15" i="9" a="1"/>
  <c r="AL15" i="9" s="1"/>
  <c r="AM15" i="9" a="1"/>
  <c r="AM15" i="9" s="1"/>
  <c r="X15" i="9" a="1"/>
  <c r="X15" i="9" s="1"/>
  <c r="AH15" i="9" a="1"/>
  <c r="AH15" i="9" s="1"/>
  <c r="AA15" i="9" a="1"/>
  <c r="AA15" i="9" s="1"/>
  <c r="AF15" i="9" a="1"/>
  <c r="AF15" i="9" s="1"/>
  <c r="U15" i="9" a="1"/>
  <c r="U15" i="9" s="1"/>
  <c r="Z15" i="9" a="1"/>
  <c r="Z15" i="9" s="1"/>
  <c r="G15" i="9" a="1"/>
  <c r="G15" i="9" s="1"/>
  <c r="P15" i="9" a="1"/>
  <c r="P15" i="9" s="1"/>
  <c r="W15" i="9" a="1"/>
  <c r="W15" i="9" s="1"/>
  <c r="T15" i="9" a="1"/>
  <c r="T15" i="9" s="1"/>
  <c r="AK15" i="9" a="1"/>
  <c r="AK15" i="9" s="1"/>
  <c r="AG15" i="9" a="1"/>
  <c r="AG15" i="9" s="1"/>
  <c r="AB15" i="9" a="1"/>
  <c r="AB15" i="9" s="1"/>
  <c r="AD15" i="9" a="1"/>
  <c r="AD15" i="9" s="1"/>
  <c r="AE15" i="9" a="1"/>
  <c r="AE15" i="9" s="1"/>
  <c r="D15" i="9" a="1"/>
  <c r="D15" i="9" s="1"/>
  <c r="AI15" i="9" a="1"/>
  <c r="AI15" i="9" s="1"/>
  <c r="Q15" i="9" a="1"/>
  <c r="Q15" i="9" s="1"/>
  <c r="F15" i="9" a="1"/>
  <c r="F15" i="9" s="1"/>
  <c r="E15" i="9" a="1"/>
  <c r="E15" i="9" s="1"/>
  <c r="M15" i="9" a="1"/>
  <c r="M15" i="9" s="1"/>
  <c r="J15" i="9" a="1"/>
  <c r="J15" i="9" s="1"/>
  <c r="AO15" i="9" a="1"/>
  <c r="AO15" i="9" s="1"/>
  <c r="I15" i="9" a="1"/>
  <c r="I15" i="9" s="1"/>
  <c r="N15" i="9" a="1"/>
  <c r="N15" i="9" s="1"/>
  <c r="AC15" i="9" a="1"/>
  <c r="AC15" i="9" s="1"/>
  <c r="V15" i="9" a="1"/>
  <c r="V15" i="9" s="1"/>
  <c r="K15" i="9" a="1"/>
  <c r="K15" i="9" s="1"/>
  <c r="AJ15" i="9" a="1"/>
  <c r="AJ15" i="9" s="1"/>
  <c r="B15" i="9" a="1"/>
  <c r="B15" i="9" s="1"/>
  <c r="L15" i="9" a="1"/>
  <c r="L15" i="9" s="1"/>
  <c r="H15" i="9" a="1"/>
  <c r="H15" i="9" s="1"/>
  <c r="O15" i="9" a="1"/>
  <c r="O15" i="9" s="1"/>
  <c r="AN15" i="9" a="1"/>
  <c r="AN15" i="9" s="1"/>
  <c r="Y15" i="9" a="1"/>
  <c r="Y15" i="9" s="1"/>
  <c r="R15" i="9" a="1"/>
  <c r="R15" i="9" s="1"/>
  <c r="C15" i="9" a="1"/>
  <c r="C15" i="9" s="1"/>
  <c r="S15" i="9" a="1"/>
  <c r="S15" i="9" s="1"/>
  <c r="AP15" i="9" a="1"/>
  <c r="AP15" i="9" s="1"/>
  <c r="AS15" i="9" a="1"/>
  <c r="AS15" i="9" s="1"/>
  <c r="AQ15" i="9" a="1"/>
  <c r="AQ15" i="9" s="1"/>
  <c r="AR15" i="9" a="1"/>
  <c r="AR15" i="9" s="1"/>
  <c r="AW15" i="9" a="1"/>
  <c r="AW15" i="9" s="1"/>
  <c r="AV15" i="9" a="1"/>
  <c r="AV15" i="9" s="1"/>
  <c r="AT15" i="9" a="1"/>
  <c r="AT15" i="9" s="1"/>
  <c r="AU15" i="9" a="1"/>
  <c r="AU15" i="9" s="1"/>
  <c r="AZ15" i="9" a="1"/>
  <c r="AZ15" i="9" s="1"/>
  <c r="AX15" i="9" a="1"/>
  <c r="AX15" i="9" s="1"/>
  <c r="AY15" i="9" a="1"/>
  <c r="AY15" i="9" s="1"/>
  <c r="BC15" i="9" a="1"/>
  <c r="BC15" i="9" s="1"/>
  <c r="BA15" i="9" a="1"/>
  <c r="BA15" i="9" s="1"/>
  <c r="BB15" i="9" a="1"/>
  <c r="BB15" i="9" s="1"/>
  <c r="BD15" i="9" a="1"/>
  <c r="BD15" i="9" s="1"/>
  <c r="BE15" i="9" a="1"/>
  <c r="BE15" i="9" s="1"/>
  <c r="BG15" i="9" a="1"/>
  <c r="BG15" i="9" s="1"/>
  <c r="BF15" i="9" a="1"/>
  <c r="BF15" i="9" s="1"/>
  <c r="BH15" i="9" a="1"/>
  <c r="BH15" i="9" s="1"/>
  <c r="BI15" i="9" a="1"/>
  <c r="BI15" i="9" s="1"/>
  <c r="F29" i="8"/>
  <c r="E29" i="8" s="1"/>
  <c r="N43" i="4"/>
  <c r="O41" i="4"/>
  <c r="BL46" i="7"/>
  <c r="AO7" i="9" a="1"/>
  <c r="AO7" i="9" s="1"/>
  <c r="AO51" i="9" s="1"/>
  <c r="AN7" i="9" a="1"/>
  <c r="AN7" i="9" s="1"/>
  <c r="AN51" i="9" s="1"/>
  <c r="AL7" i="9" a="1"/>
  <c r="AL7" i="9" s="1"/>
  <c r="AL51" i="9" s="1"/>
  <c r="AM7" i="9" a="1"/>
  <c r="AM7" i="9" s="1"/>
  <c r="AM51" i="9" s="1"/>
  <c r="V7" i="9" a="1"/>
  <c r="V7" i="9" s="1"/>
  <c r="V51" i="9" s="1"/>
  <c r="I7" i="9" a="1"/>
  <c r="I7" i="9" s="1"/>
  <c r="I51" i="9" s="1"/>
  <c r="AH7" i="9" a="1"/>
  <c r="AH7" i="9" s="1"/>
  <c r="AH51" i="9" s="1"/>
  <c r="N7" i="9" a="1"/>
  <c r="N7" i="9" s="1"/>
  <c r="N51" i="9" s="1"/>
  <c r="G7" i="9" a="1"/>
  <c r="G7" i="9" s="1"/>
  <c r="G51" i="9" s="1"/>
  <c r="X7" i="9" a="1"/>
  <c r="X7" i="9" s="1"/>
  <c r="X51" i="9" s="1"/>
  <c r="F7" i="9" a="1"/>
  <c r="F7" i="9" s="1"/>
  <c r="F51" i="9" s="1"/>
  <c r="U7" i="9" a="1"/>
  <c r="U7" i="9" s="1"/>
  <c r="U51" i="9" s="1"/>
  <c r="D7" i="9" a="1"/>
  <c r="D7" i="9" s="1"/>
  <c r="D51" i="9" s="1"/>
  <c r="W7" i="9" a="1"/>
  <c r="W7" i="9" s="1"/>
  <c r="W51" i="9" s="1"/>
  <c r="L7" i="9" a="1"/>
  <c r="L7" i="9" s="1"/>
  <c r="L51" i="9" s="1"/>
  <c r="C7" i="9" a="1"/>
  <c r="C7" i="9" s="1"/>
  <c r="C51" i="9" s="1"/>
  <c r="AB7" i="9" a="1"/>
  <c r="AB7" i="9" s="1"/>
  <c r="AB51" i="9" s="1"/>
  <c r="J7" i="9" a="1"/>
  <c r="J7" i="9" s="1"/>
  <c r="J51" i="9" s="1"/>
  <c r="T7" i="9" a="1"/>
  <c r="T7" i="9" s="1"/>
  <c r="T51" i="9" s="1"/>
  <c r="E7" i="9" a="1"/>
  <c r="E7" i="9" s="1"/>
  <c r="E51" i="9" s="1"/>
  <c r="M7" i="9" a="1"/>
  <c r="M7" i="9" s="1"/>
  <c r="AE7" i="9" a="1"/>
  <c r="AE7" i="9" s="1"/>
  <c r="AE51" i="9" s="1"/>
  <c r="AA7" i="9" a="1"/>
  <c r="AA7" i="9" s="1"/>
  <c r="AA51" i="9" s="1"/>
  <c r="S7" i="9" a="1"/>
  <c r="S7" i="9" s="1"/>
  <c r="S51" i="9" s="1"/>
  <c r="AI7" i="9" a="1"/>
  <c r="AI7" i="9" s="1"/>
  <c r="AI51" i="9" s="1"/>
  <c r="P7" i="9" a="1"/>
  <c r="P7" i="9" s="1"/>
  <c r="P51" i="9" s="1"/>
  <c r="R7" i="9" a="1"/>
  <c r="R7" i="9" s="1"/>
  <c r="R51" i="9" s="1"/>
  <c r="AF7" i="9" a="1"/>
  <c r="AF7" i="9" s="1"/>
  <c r="AF51" i="9" s="1"/>
  <c r="AD7" i="9" a="1"/>
  <c r="AD7" i="9" s="1"/>
  <c r="AD51" i="9" s="1"/>
  <c r="K7" i="9" a="1"/>
  <c r="K7" i="9" s="1"/>
  <c r="K51" i="9" s="1"/>
  <c r="Q7" i="9" a="1"/>
  <c r="Q7" i="9" s="1"/>
  <c r="Q51" i="9" s="1"/>
  <c r="AC7" i="9" a="1"/>
  <c r="AC7" i="9" s="1"/>
  <c r="AC51" i="9" s="1"/>
  <c r="AG7" i="9" a="1"/>
  <c r="AG7" i="9" s="1"/>
  <c r="AG51" i="9" s="1"/>
  <c r="B7" i="9" a="1"/>
  <c r="B7" i="9" s="1"/>
  <c r="B51" i="9" s="1"/>
  <c r="Z7" i="9" a="1"/>
  <c r="Z7" i="9" s="1"/>
  <c r="Z51" i="9" s="1"/>
  <c r="Y7" i="9" a="1"/>
  <c r="Y7" i="9" s="1"/>
  <c r="AP7" i="9" a="1"/>
  <c r="AP7" i="9" s="1"/>
  <c r="AP51" i="9" s="1"/>
  <c r="H7" i="9" a="1"/>
  <c r="H7" i="9" s="1"/>
  <c r="H51" i="9" s="1"/>
  <c r="AJ7" i="9" a="1"/>
  <c r="AJ7" i="9" s="1"/>
  <c r="AJ51" i="9" s="1"/>
  <c r="O7" i="9" a="1"/>
  <c r="O7" i="9" s="1"/>
  <c r="O51" i="9" s="1"/>
  <c r="AK7" i="9" a="1"/>
  <c r="AK7" i="9" s="1"/>
  <c r="AQ7" i="9" a="1"/>
  <c r="AQ7" i="9" s="1"/>
  <c r="AQ51" i="9" s="1"/>
  <c r="AR7" i="9" a="1"/>
  <c r="AR7" i="9" s="1"/>
  <c r="AR51" i="9" s="1"/>
  <c r="AS7" i="9" a="1"/>
  <c r="AS7" i="9" s="1"/>
  <c r="AS51" i="9" s="1"/>
  <c r="AU7" i="9" a="1"/>
  <c r="AU7" i="9" s="1"/>
  <c r="AU51" i="9" s="1"/>
  <c r="AT7" i="9" a="1"/>
  <c r="AT7" i="9" s="1"/>
  <c r="AT51" i="9" s="1"/>
  <c r="AW7" i="9" a="1"/>
  <c r="AW7" i="9" s="1"/>
  <c r="AV7" i="9" a="1"/>
  <c r="AV7" i="9" s="1"/>
  <c r="AV51" i="9" s="1"/>
  <c r="AX7" i="9" a="1"/>
  <c r="AX7" i="9" s="1"/>
  <c r="AX51" i="9" s="1"/>
  <c r="AY7" i="9" a="1"/>
  <c r="AY7" i="9" s="1"/>
  <c r="AY51" i="9" s="1"/>
  <c r="BB7" i="9" a="1"/>
  <c r="BB7" i="9" s="1"/>
  <c r="BB51" i="9" s="1"/>
  <c r="BA7" i="9" a="1"/>
  <c r="BA7" i="9" s="1"/>
  <c r="BA51" i="9" s="1"/>
  <c r="AZ7" i="9" a="1"/>
  <c r="AZ7" i="9" s="1"/>
  <c r="AZ51" i="9" s="1"/>
  <c r="BC7" i="9" a="1"/>
  <c r="BC7" i="9" s="1"/>
  <c r="BC51" i="9" s="1"/>
  <c r="BD7" i="9" a="1"/>
  <c r="BD7" i="9" s="1"/>
  <c r="BD51" i="9" s="1"/>
  <c r="BE7" i="9" a="1"/>
  <c r="BE7" i="9" s="1"/>
  <c r="BE51" i="9" s="1"/>
  <c r="BG7" i="9" a="1"/>
  <c r="BG7" i="9" s="1"/>
  <c r="BG51" i="9" s="1"/>
  <c r="BF7" i="9" a="1"/>
  <c r="BF7" i="9" s="1"/>
  <c r="BF51" i="9" s="1"/>
  <c r="BH7" i="9" a="1"/>
  <c r="BH7" i="9" s="1"/>
  <c r="BH51" i="9" s="1"/>
  <c r="BI7" i="9" a="1"/>
  <c r="BI7" i="9" s="1"/>
  <c r="F22" i="8"/>
  <c r="E22" i="8" s="1"/>
  <c r="BL47" i="7"/>
  <c r="O40" i="4" l="1"/>
  <c r="N40" i="4" s="1"/>
  <c r="N41" i="4"/>
  <c r="O18" i="4"/>
  <c r="O17" i="4" s="1"/>
  <c r="O22" i="4" s="1"/>
  <c r="O23" i="4" s="1"/>
  <c r="O57" i="4"/>
  <c r="N57" i="4" s="1"/>
  <c r="BL77" i="7"/>
  <c r="BL74" i="7" s="1"/>
  <c r="AL14" i="9" a="1"/>
  <c r="AL14" i="9" s="1"/>
  <c r="F14" i="9" a="1"/>
  <c r="F14" i="9" s="1"/>
  <c r="AG14" i="9" a="1"/>
  <c r="AG14" i="9" s="1"/>
  <c r="S14" i="9" a="1"/>
  <c r="S14" i="9" s="1"/>
  <c r="AH14" i="9" a="1"/>
  <c r="AH14" i="9" s="1"/>
  <c r="AO14" i="9" a="1"/>
  <c r="AO14" i="9" s="1"/>
  <c r="D14" i="9" a="1"/>
  <c r="D14" i="9" s="1"/>
  <c r="C14" i="9" a="1"/>
  <c r="C14" i="9" s="1"/>
  <c r="AK14" i="9" a="1"/>
  <c r="AK14" i="9" s="1"/>
  <c r="N14" i="9" a="1"/>
  <c r="N14" i="9" s="1"/>
  <c r="AJ14" i="9" a="1"/>
  <c r="AJ14" i="9" s="1"/>
  <c r="AE14" i="9" a="1"/>
  <c r="AE14" i="9" s="1"/>
  <c r="Q14" i="9" a="1"/>
  <c r="Q14" i="9" s="1"/>
  <c r="AA14" i="9" a="1"/>
  <c r="AA14" i="9" s="1"/>
  <c r="AM14" i="9" a="1"/>
  <c r="AM14" i="9" s="1"/>
  <c r="P14" i="9" a="1"/>
  <c r="P14" i="9" s="1"/>
  <c r="B14" i="9" a="1"/>
  <c r="B14" i="9" s="1"/>
  <c r="T14" i="9" a="1"/>
  <c r="T14" i="9" s="1"/>
  <c r="AN14" i="9" a="1"/>
  <c r="AN14" i="9" s="1"/>
  <c r="AB14" i="9" a="1"/>
  <c r="AB14" i="9" s="1"/>
  <c r="O14" i="9" a="1"/>
  <c r="O14" i="9" s="1"/>
  <c r="U14" i="9" a="1"/>
  <c r="U14" i="9" s="1"/>
  <c r="H14" i="9" a="1"/>
  <c r="H14" i="9" s="1"/>
  <c r="AD14" i="9" a="1"/>
  <c r="AD14" i="9" s="1"/>
  <c r="G14" i="9" a="1"/>
  <c r="G14" i="9" s="1"/>
  <c r="I14" i="9" a="1"/>
  <c r="I14" i="9" s="1"/>
  <c r="J14" i="9" a="1"/>
  <c r="J14" i="9" s="1"/>
  <c r="AF14" i="9" a="1"/>
  <c r="AF14" i="9" s="1"/>
  <c r="AI14" i="9" a="1"/>
  <c r="AI14" i="9" s="1"/>
  <c r="Z14" i="9" a="1"/>
  <c r="Z14" i="9" s="1"/>
  <c r="X14" i="9" a="1"/>
  <c r="X14" i="9" s="1"/>
  <c r="R14" i="9" a="1"/>
  <c r="R14" i="9" s="1"/>
  <c r="L14" i="9" a="1"/>
  <c r="L14" i="9" s="1"/>
  <c r="E14" i="9" a="1"/>
  <c r="E14" i="9" s="1"/>
  <c r="AR14" i="9" a="1"/>
  <c r="AR14" i="9" s="1"/>
  <c r="Y14" i="9" a="1"/>
  <c r="Y14" i="9" s="1"/>
  <c r="AC14" i="9" a="1"/>
  <c r="AC14" i="9" s="1"/>
  <c r="W14" i="9" a="1"/>
  <c r="W14" i="9" s="1"/>
  <c r="M14" i="9" a="1"/>
  <c r="M14" i="9" s="1"/>
  <c r="V14" i="9" a="1"/>
  <c r="V14" i="9" s="1"/>
  <c r="K14" i="9" a="1"/>
  <c r="K14" i="9" s="1"/>
  <c r="AP14" i="9" a="1"/>
  <c r="AP14" i="9" s="1"/>
  <c r="AQ14" i="9" a="1"/>
  <c r="AQ14" i="9" s="1"/>
  <c r="AS14" i="9" a="1"/>
  <c r="AS14" i="9" s="1"/>
  <c r="AU14" i="9" a="1"/>
  <c r="AU14" i="9" s="1"/>
  <c r="AT14" i="9" a="1"/>
  <c r="AT14" i="9" s="1"/>
  <c r="AV14" i="9" a="1"/>
  <c r="AV14" i="9" s="1"/>
  <c r="BA14" i="9" a="1"/>
  <c r="BA14" i="9" s="1"/>
  <c r="AX14" i="9" a="1"/>
  <c r="AX14" i="9" s="1"/>
  <c r="AW14" i="9" a="1"/>
  <c r="AW14" i="9" s="1"/>
  <c r="AY14" i="9" a="1"/>
  <c r="AY14" i="9" s="1"/>
  <c r="AZ14" i="9" a="1"/>
  <c r="AZ14" i="9" s="1"/>
  <c r="BB14" i="9" a="1"/>
  <c r="BB14" i="9" s="1"/>
  <c r="BC14" i="9" a="1"/>
  <c r="BC14" i="9" s="1"/>
  <c r="BE14" i="9" a="1"/>
  <c r="BE14" i="9" s="1"/>
  <c r="BF14" i="9" a="1"/>
  <c r="BF14" i="9" s="1"/>
  <c r="BG14" i="9" a="1"/>
  <c r="BG14" i="9" s="1"/>
  <c r="BD14" i="9" a="1"/>
  <c r="BD14" i="9" s="1"/>
  <c r="BI14" i="9" a="1"/>
  <c r="BI14" i="9" s="1"/>
  <c r="BH14" i="9" a="1"/>
  <c r="BH14" i="9" s="1"/>
  <c r="J30" i="8"/>
  <c r="G28" i="8"/>
  <c r="AW51" i="9"/>
  <c r="I16" i="8"/>
  <c r="T43" i="4"/>
  <c r="U43" i="4"/>
  <c r="F28" i="8"/>
  <c r="BL55" i="7"/>
  <c r="AN11" i="9" a="1"/>
  <c r="AN11" i="9" s="1"/>
  <c r="AL11" i="9" a="1"/>
  <c r="AL11" i="9" s="1"/>
  <c r="AO11" i="9" a="1"/>
  <c r="AO11" i="9" s="1"/>
  <c r="AP11" i="9" a="1"/>
  <c r="AP11" i="9" s="1"/>
  <c r="AQ11" i="9" a="1"/>
  <c r="AQ11" i="9" s="1"/>
  <c r="AM11" i="9" a="1"/>
  <c r="AM11" i="9" s="1"/>
  <c r="I11" i="9" a="1"/>
  <c r="I11" i="9" s="1"/>
  <c r="AG11" i="9" a="1"/>
  <c r="AG11" i="9" s="1"/>
  <c r="AH11" i="9" a="1"/>
  <c r="AH11" i="9" s="1"/>
  <c r="X11" i="9" a="1"/>
  <c r="X11" i="9" s="1"/>
  <c r="T11" i="9" a="1"/>
  <c r="T11" i="9" s="1"/>
  <c r="Z11" i="9" a="1"/>
  <c r="Z11" i="9" s="1"/>
  <c r="AK11" i="9" a="1"/>
  <c r="AK11" i="9" s="1"/>
  <c r="P11" i="9" a="1"/>
  <c r="P11" i="9" s="1"/>
  <c r="AS11" i="9" a="1"/>
  <c r="AS11" i="9" s="1"/>
  <c r="N11" i="9" a="1"/>
  <c r="N11" i="9" s="1"/>
  <c r="U11" i="9" a="1"/>
  <c r="U11" i="9" s="1"/>
  <c r="F11" i="9" a="1"/>
  <c r="F11" i="9" s="1"/>
  <c r="B11" i="9" a="1"/>
  <c r="B11" i="9" s="1"/>
  <c r="AD11" i="9" a="1"/>
  <c r="AD11" i="9" s="1"/>
  <c r="S11" i="9" a="1"/>
  <c r="S11" i="9" s="1"/>
  <c r="AR11" i="9" a="1"/>
  <c r="AR11" i="9" s="1"/>
  <c r="Q11" i="9" a="1"/>
  <c r="Q11" i="9" s="1"/>
  <c r="Y11" i="9" a="1"/>
  <c r="Y11" i="9" s="1"/>
  <c r="K11" i="9" a="1"/>
  <c r="K11" i="9" s="1"/>
  <c r="M11" i="9" a="1"/>
  <c r="M11" i="9" s="1"/>
  <c r="AJ11" i="9" a="1"/>
  <c r="AJ11" i="9" s="1"/>
  <c r="G11" i="9" a="1"/>
  <c r="G11" i="9" s="1"/>
  <c r="R11" i="9" a="1"/>
  <c r="R11" i="9" s="1"/>
  <c r="E11" i="9" a="1"/>
  <c r="E11" i="9" s="1"/>
  <c r="AE11" i="9" a="1"/>
  <c r="AE11" i="9" s="1"/>
  <c r="AF11" i="9" a="1"/>
  <c r="AF11" i="9" s="1"/>
  <c r="D11" i="9" a="1"/>
  <c r="D11" i="9" s="1"/>
  <c r="AI11" i="9" a="1"/>
  <c r="AI11" i="9" s="1"/>
  <c r="W11" i="9" a="1"/>
  <c r="W11" i="9" s="1"/>
  <c r="V11" i="9" a="1"/>
  <c r="V11" i="9" s="1"/>
  <c r="C11" i="9" a="1"/>
  <c r="C11" i="9" s="1"/>
  <c r="AB11" i="9" a="1"/>
  <c r="AB11" i="9" s="1"/>
  <c r="H11" i="9" a="1"/>
  <c r="H11" i="9" s="1"/>
  <c r="L11" i="9" a="1"/>
  <c r="L11" i="9" s="1"/>
  <c r="AC11" i="9" a="1"/>
  <c r="AC11" i="9" s="1"/>
  <c r="AA11" i="9" a="1"/>
  <c r="AA11" i="9" s="1"/>
  <c r="J11" i="9" a="1"/>
  <c r="J11" i="9" s="1"/>
  <c r="O11" i="9" a="1"/>
  <c r="O11" i="9" s="1"/>
  <c r="AU11" i="9" a="1"/>
  <c r="AU11" i="9" s="1"/>
  <c r="AT11" i="9" a="1"/>
  <c r="AT11" i="9" s="1"/>
  <c r="AV11" i="9" a="1"/>
  <c r="AV11" i="9" s="1"/>
  <c r="AW11" i="9" a="1"/>
  <c r="AW11" i="9" s="1"/>
  <c r="AZ11" i="9" a="1"/>
  <c r="AZ11" i="9" s="1"/>
  <c r="AY11" i="9" a="1"/>
  <c r="AY11" i="9" s="1"/>
  <c r="AX11" i="9" a="1"/>
  <c r="AX11" i="9" s="1"/>
  <c r="BB11" i="9" a="1"/>
  <c r="BB11" i="9" s="1"/>
  <c r="BC11" i="9" a="1"/>
  <c r="BC11" i="9" s="1"/>
  <c r="BA11" i="9" a="1"/>
  <c r="BA11" i="9" s="1"/>
  <c r="BI11" i="9" a="1"/>
  <c r="BI11" i="9" s="1"/>
  <c r="BE11" i="9" a="1"/>
  <c r="BE11" i="9" s="1"/>
  <c r="BD11" i="9" a="1"/>
  <c r="BD11" i="9" s="1"/>
  <c r="BH11" i="9" a="1"/>
  <c r="BH11" i="9" s="1"/>
  <c r="BF11" i="9" a="1"/>
  <c r="BF11" i="9" s="1"/>
  <c r="BG11" i="9" a="1"/>
  <c r="BG11" i="9" s="1"/>
  <c r="BI51" i="9"/>
  <c r="J16" i="8"/>
  <c r="H30" i="8"/>
  <c r="G30" i="8"/>
  <c r="F30" i="8"/>
  <c r="E30" i="8" s="1"/>
  <c r="J28" i="8"/>
  <c r="M51" i="9"/>
  <c r="F16" i="8"/>
  <c r="Y51" i="9"/>
  <c r="G16" i="8"/>
  <c r="AK51" i="9"/>
  <c r="H16" i="8"/>
  <c r="I28" i="8"/>
  <c r="J20" i="8" l="1"/>
  <c r="F20" i="8"/>
  <c r="I20" i="8"/>
  <c r="H21" i="8"/>
  <c r="G20" i="8"/>
  <c r="BL189" i="7"/>
  <c r="AP9" i="9" a="1"/>
  <c r="AP9" i="9" s="1"/>
  <c r="AN9" i="9" a="1"/>
  <c r="AN9" i="9" s="1"/>
  <c r="AR9" i="9" a="1"/>
  <c r="AR9" i="9" s="1"/>
  <c r="AO9" i="9" a="1"/>
  <c r="AO9" i="9" s="1"/>
  <c r="AM9" i="9" a="1"/>
  <c r="AM9" i="9" s="1"/>
  <c r="AQ9" i="9" a="1"/>
  <c r="AQ9" i="9" s="1"/>
  <c r="AL9" i="9" a="1"/>
  <c r="AL9" i="9" s="1"/>
  <c r="Q9" i="9" a="1"/>
  <c r="Q9" i="9" s="1"/>
  <c r="F9" i="9" a="1"/>
  <c r="F9" i="9" s="1"/>
  <c r="P9" i="9" a="1"/>
  <c r="P9" i="9" s="1"/>
  <c r="V9" i="9" a="1"/>
  <c r="V9" i="9" s="1"/>
  <c r="H9" i="9" a="1"/>
  <c r="H9" i="9" s="1"/>
  <c r="AH9" i="9" a="1"/>
  <c r="AH9" i="9" s="1"/>
  <c r="W9" i="9" a="1"/>
  <c r="W9" i="9" s="1"/>
  <c r="J9" i="9" a="1"/>
  <c r="J9" i="9" s="1"/>
  <c r="R9" i="9" a="1"/>
  <c r="R9" i="9" s="1"/>
  <c r="L9" i="9" a="1"/>
  <c r="L9" i="9" s="1"/>
  <c r="AE9" i="9" a="1"/>
  <c r="AE9" i="9" s="1"/>
  <c r="AC9" i="9" a="1"/>
  <c r="AC9" i="9" s="1"/>
  <c r="B9" i="9" a="1"/>
  <c r="B9" i="9" s="1"/>
  <c r="AA9" i="9" a="1"/>
  <c r="AA9" i="9" s="1"/>
  <c r="E9" i="9" a="1"/>
  <c r="E9" i="9" s="1"/>
  <c r="Z9" i="9" a="1"/>
  <c r="Z9" i="9" s="1"/>
  <c r="AT9" i="9" a="1"/>
  <c r="AT9" i="9" s="1"/>
  <c r="X9" i="9" a="1"/>
  <c r="X9" i="9" s="1"/>
  <c r="C9" i="9" a="1"/>
  <c r="C9" i="9" s="1"/>
  <c r="AI9" i="9" a="1"/>
  <c r="AI9" i="9" s="1"/>
  <c r="M9" i="9" a="1"/>
  <c r="M9" i="9" s="1"/>
  <c r="AJ9" i="9" a="1"/>
  <c r="AJ9" i="9" s="1"/>
  <c r="U9" i="9" a="1"/>
  <c r="U9" i="9" s="1"/>
  <c r="AD9" i="9" a="1"/>
  <c r="AD9" i="9" s="1"/>
  <c r="Y9" i="9" a="1"/>
  <c r="Y9" i="9" s="1"/>
  <c r="AB9" i="9" a="1"/>
  <c r="AB9" i="9" s="1"/>
  <c r="I9" i="9" a="1"/>
  <c r="I9" i="9" s="1"/>
  <c r="AG9" i="9" a="1"/>
  <c r="AG9" i="9" s="1"/>
  <c r="N9" i="9" a="1"/>
  <c r="N9" i="9" s="1"/>
  <c r="K9" i="9" a="1"/>
  <c r="K9" i="9" s="1"/>
  <c r="AF9" i="9" a="1"/>
  <c r="AF9" i="9" s="1"/>
  <c r="G9" i="9" a="1"/>
  <c r="G9" i="9" s="1"/>
  <c r="AS9" i="9" a="1"/>
  <c r="AS9" i="9" s="1"/>
  <c r="AK9" i="9" a="1"/>
  <c r="AK9" i="9" s="1"/>
  <c r="T9" i="9" a="1"/>
  <c r="T9" i="9" s="1"/>
  <c r="O9" i="9" a="1"/>
  <c r="O9" i="9" s="1"/>
  <c r="D9" i="9" a="1"/>
  <c r="D9" i="9" s="1"/>
  <c r="S9" i="9" a="1"/>
  <c r="S9" i="9" s="1"/>
  <c r="AV9" i="9" a="1"/>
  <c r="AV9" i="9" s="1"/>
  <c r="AW9" i="9" a="1"/>
  <c r="AW9" i="9" s="1"/>
  <c r="AU9" i="9" a="1"/>
  <c r="AU9" i="9" s="1"/>
  <c r="AX9" i="9" a="1"/>
  <c r="AX9" i="9" s="1"/>
  <c r="AZ9" i="9" a="1"/>
  <c r="AZ9" i="9" s="1"/>
  <c r="BD9" i="9" a="1"/>
  <c r="BD9" i="9" s="1"/>
  <c r="AY9" i="9" a="1"/>
  <c r="AY9" i="9" s="1"/>
  <c r="BG9" i="9" a="1"/>
  <c r="BG9" i="9" s="1"/>
  <c r="BA9" i="9" a="1"/>
  <c r="BA9" i="9" s="1"/>
  <c r="BB9" i="9" a="1"/>
  <c r="BB9" i="9" s="1"/>
  <c r="BC9" i="9" a="1"/>
  <c r="BC9" i="9" s="1"/>
  <c r="BE9" i="9" a="1"/>
  <c r="BE9" i="9" s="1"/>
  <c r="BF9" i="9" a="1"/>
  <c r="BF9" i="9" s="1"/>
  <c r="BI9" i="9" a="1"/>
  <c r="BI9" i="9" s="1"/>
  <c r="BH9" i="9" a="1"/>
  <c r="BH9" i="9" s="1"/>
  <c r="E28" i="8"/>
  <c r="G21" i="8"/>
  <c r="J21" i="8"/>
  <c r="F21" i="8"/>
  <c r="I21" i="8"/>
  <c r="N18" i="4"/>
  <c r="U41" i="4"/>
  <c r="T41" i="4"/>
  <c r="H20" i="8"/>
  <c r="BL72" i="7"/>
  <c r="BL71" i="7" s="1"/>
  <c r="BL188" i="7" s="1"/>
  <c r="J22" i="9" a="1"/>
  <c r="J22" i="9" s="1"/>
  <c r="J20" i="9" s="1"/>
  <c r="J19" i="9" s="1"/>
  <c r="E22" i="9" a="1"/>
  <c r="E22" i="9" s="1"/>
  <c r="E20" i="9" s="1"/>
  <c r="E19" i="9" s="1"/>
  <c r="K22" i="9" a="1"/>
  <c r="K22" i="9" s="1"/>
  <c r="K20" i="9" s="1"/>
  <c r="K19" i="9" s="1"/>
  <c r="V22" i="9" a="1"/>
  <c r="V22" i="9" s="1"/>
  <c r="V20" i="9" s="1"/>
  <c r="V19" i="9" s="1"/>
  <c r="M22" i="9" a="1"/>
  <c r="M22" i="9" s="1"/>
  <c r="M20" i="9" s="1"/>
  <c r="M19" i="9" s="1"/>
  <c r="BC22" i="9" a="1"/>
  <c r="BC22" i="9" s="1"/>
  <c r="BC20" i="9" s="1"/>
  <c r="BC19" i="9" s="1"/>
  <c r="AN22" i="9" a="1"/>
  <c r="AN22" i="9" s="1"/>
  <c r="AN20" i="9" s="1"/>
  <c r="AN19" i="9" s="1"/>
  <c r="AD22" i="9" a="1"/>
  <c r="AD22" i="9" s="1"/>
  <c r="AD20" i="9" s="1"/>
  <c r="AD19" i="9" s="1"/>
  <c r="Q22" i="9" a="1"/>
  <c r="Q22" i="9" s="1"/>
  <c r="Q20" i="9" s="1"/>
  <c r="Q19" i="9" s="1"/>
  <c r="R22" i="9" a="1"/>
  <c r="R22" i="9" s="1"/>
  <c r="R20" i="9" s="1"/>
  <c r="R19" i="9" s="1"/>
  <c r="Y22" i="9" a="1"/>
  <c r="Y22" i="9" s="1"/>
  <c r="Y20" i="9" s="1"/>
  <c r="Y19" i="9" s="1"/>
  <c r="O22" i="9" a="1"/>
  <c r="O22" i="9" s="1"/>
  <c r="O20" i="9" s="1"/>
  <c r="O19" i="9" s="1"/>
  <c r="AC22" i="9" a="1"/>
  <c r="AC22" i="9" s="1"/>
  <c r="AC20" i="9" s="1"/>
  <c r="AC19" i="9" s="1"/>
  <c r="BD22" i="9" a="1"/>
  <c r="BD22" i="9" s="1"/>
  <c r="BD20" i="9" s="1"/>
  <c r="BD19" i="9" s="1"/>
  <c r="C22" i="9" a="1"/>
  <c r="C22" i="9" s="1"/>
  <c r="C20" i="9" s="1"/>
  <c r="C19" i="9" s="1"/>
  <c r="S22" i="9" a="1"/>
  <c r="S22" i="9" s="1"/>
  <c r="S20" i="9" s="1"/>
  <c r="S19" i="9" s="1"/>
  <c r="AF22" i="9" a="1"/>
  <c r="AF22" i="9" s="1"/>
  <c r="AF20" i="9" s="1"/>
  <c r="AF19" i="9" s="1"/>
  <c r="AT22" i="9" a="1"/>
  <c r="AT22" i="9" s="1"/>
  <c r="AT20" i="9" s="1"/>
  <c r="AT19" i="9" s="1"/>
  <c r="D22" i="9" a="1"/>
  <c r="D22" i="9" s="1"/>
  <c r="D20" i="9" s="1"/>
  <c r="D19" i="9" s="1"/>
  <c r="AY22" i="9" a="1"/>
  <c r="AY22" i="9" s="1"/>
  <c r="AY20" i="9" s="1"/>
  <c r="AY19" i="9" s="1"/>
  <c r="AR22" i="9" a="1"/>
  <c r="AR22" i="9" s="1"/>
  <c r="AR20" i="9" s="1"/>
  <c r="AR19" i="9" s="1"/>
  <c r="AB22" i="9" a="1"/>
  <c r="AB22" i="9" s="1"/>
  <c r="AB20" i="9" s="1"/>
  <c r="AB19" i="9" s="1"/>
  <c r="AU22" i="9" a="1"/>
  <c r="AU22" i="9" s="1"/>
  <c r="AU20" i="9" s="1"/>
  <c r="AU19" i="9" s="1"/>
  <c r="AE22" i="9" a="1"/>
  <c r="AE22" i="9" s="1"/>
  <c r="AE20" i="9" s="1"/>
  <c r="AE19" i="9" s="1"/>
  <c r="AH22" i="9" a="1"/>
  <c r="AH22" i="9" s="1"/>
  <c r="AH20" i="9" s="1"/>
  <c r="AH19" i="9" s="1"/>
  <c r="L22" i="9" a="1"/>
  <c r="L22" i="9" s="1"/>
  <c r="L20" i="9" s="1"/>
  <c r="L19" i="9" s="1"/>
  <c r="W22" i="9" a="1"/>
  <c r="W22" i="9" s="1"/>
  <c r="W20" i="9" s="1"/>
  <c r="W19" i="9" s="1"/>
  <c r="AL22" i="9" a="1"/>
  <c r="AL22" i="9" s="1"/>
  <c r="AW22" i="9" a="1"/>
  <c r="AW22" i="9" s="1"/>
  <c r="AW20" i="9" s="1"/>
  <c r="AW19" i="9" s="1"/>
  <c r="BE22" i="9" a="1"/>
  <c r="BE22" i="9" s="1"/>
  <c r="BE20" i="9" s="1"/>
  <c r="BE19" i="9" s="1"/>
  <c r="H22" i="9" a="1"/>
  <c r="H22" i="9" s="1"/>
  <c r="H20" i="9" s="1"/>
  <c r="H19" i="9" s="1"/>
  <c r="AV22" i="9" a="1"/>
  <c r="AV22" i="9" s="1"/>
  <c r="AV20" i="9" s="1"/>
  <c r="AV19" i="9" s="1"/>
  <c r="AX22" i="9" a="1"/>
  <c r="AX22" i="9" s="1"/>
  <c r="BF22" i="9" a="1"/>
  <c r="BF22" i="9" s="1"/>
  <c r="BF20" i="9" s="1"/>
  <c r="BF19" i="9" s="1"/>
  <c r="AP22" i="9" a="1"/>
  <c r="AP22" i="9" s="1"/>
  <c r="AP20" i="9" s="1"/>
  <c r="AP19" i="9" s="1"/>
  <c r="AO22" i="9" a="1"/>
  <c r="AO22" i="9" s="1"/>
  <c r="AO20" i="9" s="1"/>
  <c r="AO19" i="9" s="1"/>
  <c r="BG22" i="9" a="1"/>
  <c r="BG22" i="9" s="1"/>
  <c r="BG20" i="9" s="1"/>
  <c r="BG19" i="9" s="1"/>
  <c r="X22" i="9" a="1"/>
  <c r="X22" i="9" s="1"/>
  <c r="X20" i="9" s="1"/>
  <c r="X19" i="9" s="1"/>
  <c r="AK22" i="9" a="1"/>
  <c r="AK22" i="9" s="1"/>
  <c r="AK20" i="9" s="1"/>
  <c r="AK19" i="9" s="1"/>
  <c r="Z22" i="9" a="1"/>
  <c r="Z22" i="9" s="1"/>
  <c r="AJ22" i="9" a="1"/>
  <c r="AJ22" i="9" s="1"/>
  <c r="AJ20" i="9" s="1"/>
  <c r="AJ19" i="9" s="1"/>
  <c r="AG22" i="9" a="1"/>
  <c r="AG22" i="9" s="1"/>
  <c r="AG20" i="9" s="1"/>
  <c r="AG19" i="9" s="1"/>
  <c r="AM22" i="9" a="1"/>
  <c r="AM22" i="9" s="1"/>
  <c r="AM20" i="9" s="1"/>
  <c r="AM19" i="9" s="1"/>
  <c r="AQ22" i="9" a="1"/>
  <c r="AQ22" i="9" s="1"/>
  <c r="AQ20" i="9" s="1"/>
  <c r="AQ19" i="9" s="1"/>
  <c r="B22" i="9" a="1"/>
  <c r="B22" i="9" s="1"/>
  <c r="F22" i="9" a="1"/>
  <c r="F22" i="9" s="1"/>
  <c r="F20" i="9" s="1"/>
  <c r="F19" i="9" s="1"/>
  <c r="AA22" i="9" a="1"/>
  <c r="AA22" i="9" s="1"/>
  <c r="AA20" i="9" s="1"/>
  <c r="AA19" i="9" s="1"/>
  <c r="AZ22" i="9" a="1"/>
  <c r="AZ22" i="9" s="1"/>
  <c r="AZ20" i="9" s="1"/>
  <c r="AZ19" i="9" s="1"/>
  <c r="BH22" i="9" a="1"/>
  <c r="BH22" i="9" s="1"/>
  <c r="BH20" i="9" s="1"/>
  <c r="BH19" i="9" s="1"/>
  <c r="N22" i="9" a="1"/>
  <c r="N22" i="9" s="1"/>
  <c r="P22" i="9" a="1"/>
  <c r="P22" i="9" s="1"/>
  <c r="P20" i="9" s="1"/>
  <c r="P19" i="9" s="1"/>
  <c r="AS22" i="9" a="1"/>
  <c r="AS22" i="9" s="1"/>
  <c r="AS20" i="9" s="1"/>
  <c r="AS19" i="9" s="1"/>
  <c r="BI22" i="9" a="1"/>
  <c r="BI22" i="9" s="1"/>
  <c r="BI20" i="9" s="1"/>
  <c r="BI19" i="9" s="1"/>
  <c r="I22" i="9" a="1"/>
  <c r="I22" i="9" s="1"/>
  <c r="I20" i="9" s="1"/>
  <c r="I19" i="9" s="1"/>
  <c r="AI22" i="9" a="1"/>
  <c r="AI22" i="9" s="1"/>
  <c r="AI20" i="9" s="1"/>
  <c r="AI19" i="9" s="1"/>
  <c r="U22" i="9" a="1"/>
  <c r="U22" i="9" s="1"/>
  <c r="U20" i="9" s="1"/>
  <c r="U19" i="9" s="1"/>
  <c r="T22" i="9" a="1"/>
  <c r="T22" i="9" s="1"/>
  <c r="T20" i="9" s="1"/>
  <c r="T19" i="9" s="1"/>
  <c r="BA22" i="9" a="1"/>
  <c r="BA22" i="9" s="1"/>
  <c r="BA20" i="9" s="1"/>
  <c r="BA19" i="9" s="1"/>
  <c r="G22" i="9" a="1"/>
  <c r="G22" i="9" s="1"/>
  <c r="G20" i="9" s="1"/>
  <c r="G19" i="9" s="1"/>
  <c r="BB22" i="9" a="1"/>
  <c r="BB22" i="9" s="1"/>
  <c r="BB20" i="9" s="1"/>
  <c r="BB19" i="9" s="1"/>
  <c r="U57" i="4"/>
  <c r="T57" i="4"/>
  <c r="U40" i="4"/>
  <c r="T40" i="4"/>
  <c r="BB10" i="9" l="1"/>
  <c r="J10" i="9"/>
  <c r="U10" i="9"/>
  <c r="S33" i="9"/>
  <c r="S10" i="9"/>
  <c r="AH10" i="9"/>
  <c r="N20" i="9"/>
  <c r="N19" i="9" s="1"/>
  <c r="G24" i="8" s="1"/>
  <c r="G25" i="8"/>
  <c r="E21" i="8"/>
  <c r="BC33" i="9"/>
  <c r="BC10" i="9"/>
  <c r="AU33" i="9"/>
  <c r="AU10" i="9"/>
  <c r="AS10" i="9"/>
  <c r="Y33" i="9"/>
  <c r="Y10" i="9"/>
  <c r="AT10" i="9"/>
  <c r="R10" i="9"/>
  <c r="Q10" i="9"/>
  <c r="BL187" i="7"/>
  <c r="AW10" i="9"/>
  <c r="X32" i="9" a="1"/>
  <c r="X32" i="9" s="1"/>
  <c r="X33" i="9" s="1"/>
  <c r="I32" i="9" a="1"/>
  <c r="I32" i="9" s="1"/>
  <c r="O32" i="9" a="1"/>
  <c r="O32" i="9" s="1"/>
  <c r="T32" i="9" a="1"/>
  <c r="T32" i="9" s="1"/>
  <c r="S32" i="9" a="1"/>
  <c r="S32" i="9" s="1"/>
  <c r="BB32" i="9" a="1"/>
  <c r="BB32" i="9" s="1"/>
  <c r="BB33" i="9" s="1"/>
  <c r="AR32" i="9" a="1"/>
  <c r="AR32" i="9" s="1"/>
  <c r="AQ32" i="9" a="1"/>
  <c r="AQ32" i="9" s="1"/>
  <c r="J32" i="9" a="1"/>
  <c r="J32" i="9" s="1"/>
  <c r="J33" i="9" s="1"/>
  <c r="C32" i="9" a="1"/>
  <c r="C32" i="9" s="1"/>
  <c r="AU32" i="9" a="1"/>
  <c r="AU32" i="9" s="1"/>
  <c r="AL32" i="9" a="1"/>
  <c r="AL32" i="9" s="1"/>
  <c r="BC32" i="9" a="1"/>
  <c r="BC32" i="9" s="1"/>
  <c r="AE32" i="9" a="1"/>
  <c r="AE32" i="9" s="1"/>
  <c r="AE33" i="9" s="1"/>
  <c r="AW32" i="9" a="1"/>
  <c r="AW32" i="9" s="1"/>
  <c r="AW33" i="9" s="1"/>
  <c r="K32" i="9" a="1"/>
  <c r="K32" i="9" s="1"/>
  <c r="AH32" i="9" a="1"/>
  <c r="AH32" i="9" s="1"/>
  <c r="AH33" i="9" s="1"/>
  <c r="G32" i="9" a="1"/>
  <c r="G32" i="9" s="1"/>
  <c r="M32" i="9" a="1"/>
  <c r="M32" i="9" s="1"/>
  <c r="BD32" i="9" a="1"/>
  <c r="BD32" i="9" s="1"/>
  <c r="AV32" i="9" a="1"/>
  <c r="AV32" i="9" s="1"/>
  <c r="E32" i="9" a="1"/>
  <c r="E32" i="9" s="1"/>
  <c r="E33" i="9" s="1"/>
  <c r="Q32" i="9" a="1"/>
  <c r="Q32" i="9" s="1"/>
  <c r="Q33" i="9" s="1"/>
  <c r="U32" i="9" a="1"/>
  <c r="U32" i="9" s="1"/>
  <c r="U33" i="9" s="1"/>
  <c r="W32" i="9" a="1"/>
  <c r="W32" i="9" s="1"/>
  <c r="V32" i="9" a="1"/>
  <c r="V32" i="9" s="1"/>
  <c r="AB32" i="9" a="1"/>
  <c r="AB32" i="9" s="1"/>
  <c r="BE32" i="9" a="1"/>
  <c r="BE32" i="9" s="1"/>
  <c r="AN32" i="9" a="1"/>
  <c r="AN32" i="9" s="1"/>
  <c r="AD32" i="9" a="1"/>
  <c r="AD32" i="9" s="1"/>
  <c r="AK32" i="9" a="1"/>
  <c r="AK32" i="9" s="1"/>
  <c r="AK33" i="9" s="1"/>
  <c r="AJ32" i="9" a="1"/>
  <c r="AJ32" i="9" s="1"/>
  <c r="AJ33" i="9" s="1"/>
  <c r="Z32" i="9" a="1"/>
  <c r="Z32" i="9" s="1"/>
  <c r="F32" i="9" a="1"/>
  <c r="F32" i="9" s="1"/>
  <c r="AX32" i="9" a="1"/>
  <c r="AX32" i="9" s="1"/>
  <c r="BF32" i="9" a="1"/>
  <c r="BF32" i="9" s="1"/>
  <c r="N32" i="9" a="1"/>
  <c r="N32" i="9" s="1"/>
  <c r="P32" i="9" a="1"/>
  <c r="P32" i="9" s="1"/>
  <c r="P33" i="9" s="1"/>
  <c r="AF32" i="9" a="1"/>
  <c r="AF32" i="9" s="1"/>
  <c r="AF33" i="9" s="1"/>
  <c r="H32" i="9" a="1"/>
  <c r="H32" i="9" s="1"/>
  <c r="R32" i="9" a="1"/>
  <c r="R32" i="9" s="1"/>
  <c r="R33" i="9" s="1"/>
  <c r="Y32" i="9" a="1"/>
  <c r="Y32" i="9" s="1"/>
  <c r="AY32" i="9" a="1"/>
  <c r="AY32" i="9" s="1"/>
  <c r="BG32" i="9" a="1"/>
  <c r="BG32" i="9" s="1"/>
  <c r="AC32" i="9" a="1"/>
  <c r="AC32" i="9" s="1"/>
  <c r="AI32" i="9" a="1"/>
  <c r="AI32" i="9" s="1"/>
  <c r="AI33" i="9" s="1"/>
  <c r="AT32" i="9" a="1"/>
  <c r="AT32" i="9" s="1"/>
  <c r="AT33" i="9" s="1"/>
  <c r="AA32" i="9" a="1"/>
  <c r="AA32" i="9" s="1"/>
  <c r="AP32" i="9" a="1"/>
  <c r="AP32" i="9" s="1"/>
  <c r="L32" i="9" a="1"/>
  <c r="L32" i="9" s="1"/>
  <c r="AZ32" i="9" a="1"/>
  <c r="AZ32" i="9" s="1"/>
  <c r="BH32" i="9" a="1"/>
  <c r="BH32" i="9" s="1"/>
  <c r="B32" i="9" a="1"/>
  <c r="B32" i="9" s="1"/>
  <c r="D32" i="9" a="1"/>
  <c r="D32" i="9" s="1"/>
  <c r="AO32" i="9" a="1"/>
  <c r="AO32" i="9" s="1"/>
  <c r="AO33" i="9" s="1"/>
  <c r="AM32" i="9" a="1"/>
  <c r="AM32" i="9" s="1"/>
  <c r="AS32" i="9" a="1"/>
  <c r="AS32" i="9" s="1"/>
  <c r="AS33" i="9" s="1"/>
  <c r="AG32" i="9" a="1"/>
  <c r="AG32" i="9" s="1"/>
  <c r="BA32" i="9" a="1"/>
  <c r="BA32" i="9" s="1"/>
  <c r="BI32" i="9" a="1"/>
  <c r="BI32" i="9" s="1"/>
  <c r="AV33" i="9"/>
  <c r="AV10" i="9"/>
  <c r="W33" i="9"/>
  <c r="W10" i="9"/>
  <c r="AQ33" i="9"/>
  <c r="AQ10" i="9"/>
  <c r="G33" i="9"/>
  <c r="G10" i="9"/>
  <c r="BA33" i="9"/>
  <c r="BA10" i="9"/>
  <c r="N33" i="9"/>
  <c r="N10" i="9"/>
  <c r="G19" i="8"/>
  <c r="G32" i="8" s="1"/>
  <c r="M33" i="9"/>
  <c r="M10" i="9"/>
  <c r="F19" i="8"/>
  <c r="B10" i="9"/>
  <c r="H33" i="9"/>
  <c r="H10" i="9"/>
  <c r="AO10" i="9"/>
  <c r="AL10" i="9"/>
  <c r="I19" i="8"/>
  <c r="I32" i="8" s="1"/>
  <c r="Z20" i="9"/>
  <c r="Z19" i="9" s="1"/>
  <c r="H24" i="8" s="1"/>
  <c r="H25" i="8"/>
  <c r="AF10" i="9"/>
  <c r="AJ10" i="9"/>
  <c r="AY33" i="9"/>
  <c r="AY10" i="9"/>
  <c r="B20" i="9"/>
  <c r="B19" i="9" s="1"/>
  <c r="F24" i="8" s="1"/>
  <c r="F25" i="8"/>
  <c r="BI33" i="9"/>
  <c r="BI10" i="9"/>
  <c r="BD33" i="9"/>
  <c r="BD10" i="9"/>
  <c r="O33" i="9"/>
  <c r="O10" i="9"/>
  <c r="AG33" i="9"/>
  <c r="AG10" i="9"/>
  <c r="AI10" i="9"/>
  <c r="AC33" i="9"/>
  <c r="AC10" i="9"/>
  <c r="V33" i="9"/>
  <c r="V10" i="9"/>
  <c r="AR33" i="9"/>
  <c r="AR10" i="9"/>
  <c r="Z10" i="9"/>
  <c r="H19" i="8"/>
  <c r="E10" i="9"/>
  <c r="BG33" i="9"/>
  <c r="BG10" i="9"/>
  <c r="AA33" i="9"/>
  <c r="AA10" i="9"/>
  <c r="D33" i="9"/>
  <c r="D10" i="9"/>
  <c r="AL20" i="9"/>
  <c r="AL19" i="9" s="1"/>
  <c r="I24" i="8" s="1"/>
  <c r="I25" i="8"/>
  <c r="N17" i="4"/>
  <c r="U18" i="4"/>
  <c r="T18" i="4"/>
  <c r="BF33" i="9"/>
  <c r="BF10" i="9"/>
  <c r="AZ33" i="9"/>
  <c r="AZ10" i="9"/>
  <c r="T33" i="9"/>
  <c r="T10" i="9"/>
  <c r="I33" i="9"/>
  <c r="I10" i="9"/>
  <c r="C33" i="9"/>
  <c r="C10" i="9"/>
  <c r="AE10" i="9"/>
  <c r="P10" i="9"/>
  <c r="AN33" i="9"/>
  <c r="AN10" i="9"/>
  <c r="E20" i="8"/>
  <c r="AX20" i="9"/>
  <c r="AX19" i="9" s="1"/>
  <c r="J24" i="8" s="1"/>
  <c r="J25" i="8"/>
  <c r="AD33" i="9"/>
  <c r="AD10" i="9"/>
  <c r="K33" i="9"/>
  <c r="K10" i="9"/>
  <c r="AM33" i="9"/>
  <c r="AM10" i="9"/>
  <c r="BH33" i="9"/>
  <c r="BH10" i="9"/>
  <c r="BE33" i="9"/>
  <c r="BE10" i="9"/>
  <c r="AX10" i="9"/>
  <c r="J19" i="8"/>
  <c r="AK10" i="9"/>
  <c r="AB33" i="9"/>
  <c r="AB10" i="9"/>
  <c r="X10" i="9"/>
  <c r="L33" i="9"/>
  <c r="L10" i="9"/>
  <c r="F33" i="9"/>
  <c r="F10" i="9"/>
  <c r="AP33" i="9"/>
  <c r="AP10" i="9"/>
  <c r="H32" i="8" l="1"/>
  <c r="H31" i="8"/>
  <c r="Z33" i="9"/>
  <c r="J32" i="8"/>
  <c r="E25" i="8"/>
  <c r="AX33" i="9"/>
  <c r="T17" i="4"/>
  <c r="U17" i="4"/>
  <c r="N22" i="4"/>
  <c r="E19" i="8"/>
  <c r="F32" i="8"/>
  <c r="F31" i="8"/>
  <c r="E31" i="8" s="1"/>
  <c r="G31" i="8"/>
  <c r="E24" i="8"/>
  <c r="B33" i="9"/>
  <c r="I31" i="8"/>
  <c r="AL33" i="9"/>
  <c r="J31" i="8"/>
  <c r="E32" i="8" l="1"/>
  <c r="U22" i="4"/>
  <c r="N23" i="4"/>
  <c r="T22" i="4"/>
  <c r="U23" i="4" l="1"/>
  <c r="T2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<sst xmlns="http://schemas.openxmlformats.org/spreadsheetml/2006/main" count="1509" uniqueCount="499">
  <si>
    <t>category_product_name_final</t>
  </si>
  <si>
    <t>report_date</t>
  </si>
  <si>
    <t>closing_balance_total</t>
  </si>
  <si>
    <t>closing_balance_overdue</t>
  </si>
  <si>
    <t>closing_balance_indue</t>
  </si>
  <si>
    <t>closing_balance_dpd_under10</t>
  </si>
  <si>
    <t>Bikeloan</t>
  </si>
  <si>
    <t>Only DPD 0</t>
  </si>
  <si>
    <t>DPDto10</t>
  </si>
  <si>
    <t>Sum of closing_balance_dpd_under10</t>
  </si>
  <si>
    <t>Column Labels</t>
  </si>
  <si>
    <t>IR</t>
  </si>
  <si>
    <t>Row Labels</t>
  </si>
  <si>
    <t>Jul</t>
  </si>
  <si>
    <t>Aug</t>
  </si>
  <si>
    <t>Sep</t>
  </si>
  <si>
    <t>Grand Total</t>
  </si>
  <si>
    <t>Cashloan</t>
  </si>
  <si>
    <t>Overdraft</t>
  </si>
  <si>
    <t>Payday</t>
  </si>
  <si>
    <t>Paylater</t>
  </si>
  <si>
    <t>Indue</t>
  </si>
  <si>
    <t>Indue 10</t>
  </si>
  <si>
    <t>Balance</t>
  </si>
  <si>
    <t>CL</t>
  </si>
  <si>
    <t>PD</t>
  </si>
  <si>
    <t>OD</t>
  </si>
  <si>
    <t>Thu lãi</t>
  </si>
  <si>
    <t>cashloan</t>
  </si>
  <si>
    <t>VDS</t>
  </si>
  <si>
    <t>payroll</t>
  </si>
  <si>
    <t>BEG</t>
  </si>
  <si>
    <t>NGS</t>
  </si>
  <si>
    <t>CAKE</t>
  </si>
  <si>
    <t>MWG</t>
  </si>
  <si>
    <t>VNPAY</t>
  </si>
  <si>
    <t>ZALOPAY</t>
  </si>
  <si>
    <t>VNPOST</t>
  </si>
  <si>
    <t>payday</t>
  </si>
  <si>
    <t>overdraft</t>
  </si>
  <si>
    <t>SAP MODEL - CASHLOAN</t>
  </si>
  <si>
    <t>OFFICIAL</t>
  </si>
  <si>
    <t>HKN</t>
  </si>
  <si>
    <t>v9</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</si>
  <si>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</si>
  <si>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</si>
  <si>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</si>
  <si>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một (01) trong các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</si>
  <si>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</si>
  <si>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Do tính chất thời điểm, mô hình được xây dựng mô phỏng theo cách vận hành sản phẩm tại thời điểm phát hành. Trường hợp hệ thống thay đổi, sản phẩm thay đổi, mô hình sẽ không thể phản ánh đúng bản chất vận hành sản phẩm.</t>
  </si>
  <si>
    <t>- Mô hình được tính toán dựa vào các yếu tố đầu vào xác định tại một thời điểm xác định, do đó kết quả của mô hình có thể có sự khác biệt so với thực tế vận hành sản phẩm.</t>
  </si>
  <si>
    <t>- Mô hình SAP Cashloan tính hiệu quả của khoản vay giải ngân và thời hạn tối đa được áp dụng là  5 năm ( 60 tháng) kể từ ngày bắt đầu sản phẩm đối với sử dụng phương pháp dự phòng IFRS</t>
  </si>
  <si>
    <t>- Lưu ý rằng trường hợp áp dụng cho khoản vay 5 năm, thì các chi phí sẽ không được tính toán đầy đủ do chi phí COF cho thời gian từ lúc khoản vay kết thúc tới lúc được xóa trên sổ kế toán.</t>
  </si>
  <si>
    <t>- Chỉ nên sử dụng với khoản vay dưới 4 năm (48 tháng) để được tính toán đầy đủ chi phí</t>
  </si>
  <si>
    <t>- Đối với phương pháp tính rủi ro VAS, thời hạn khoản vay tối đa sử dụng là 4 năm (48 tháng)</t>
  </si>
  <si>
    <t>b. Giới thiệu về PnL</t>
  </si>
  <si>
    <t xml:space="preserve">- Trong file tính này, Profit &amp; Lost (PnL) được dự phóng từ trung bình cộng kết quả kinh doanh trên từng sản phẩm (SAP) với yếu tố "sale plan" (số giải ngân)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</si>
  <si>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</si>
  <si>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</si>
  <si>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</si>
  <si>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</si>
  <si>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</si>
  <si>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plan&amp;PnL"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</si>
  <si>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</si>
  <si>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</si>
  <si>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</si>
  <si>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</si>
  <si>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</si>
  <si>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</si>
  <si>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</si>
  <si>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</si>
  <si>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GENERAL INPUT</t>
  </si>
  <si>
    <t>Diễn giải</t>
  </si>
  <si>
    <t>Chú thích</t>
  </si>
  <si>
    <t>Risk input</t>
  </si>
  <si>
    <t>Loại phương pháp tính rủi ro</t>
  </si>
  <si>
    <t>Lựa chon phương pháp tính rủi ro VAS và IFRS</t>
  </si>
  <si>
    <t>Write off</t>
  </si>
  <si>
    <t>Thời điểm WO</t>
  </si>
  <si>
    <t>Lựa chọn thời điểm ghi nhận WO là 360 hoặc 180</t>
  </si>
  <si>
    <t>REVENUE INPUT</t>
  </si>
  <si>
    <t>Amount &amp; Tenor</t>
  </si>
  <si>
    <t>Loan amount</t>
  </si>
  <si>
    <t>Số tiền vay giải ngân (có thể bao gồm bảo hiểm hoặc không)</t>
  </si>
  <si>
    <t>Trường hợp số tiền giải ngân &gt; giá trị hàng hóa, chỉ ghi = số thực tế giải ngân</t>
  </si>
  <si>
    <t>Payment Method</t>
  </si>
  <si>
    <t>Phương pháp tính lãi</t>
  </si>
  <si>
    <t>EMI (Equated monthly Installment)- số tiền thanh toán cố định hàng tháng</t>
  </si>
  <si>
    <t>Nominal Tenor</t>
  </si>
  <si>
    <t>Thời hạn vay</t>
  </si>
  <si>
    <t>Thời hạn ghi nhận trên khoản vay ( VD: 1 tháng, 3 tháng, 12 tháng,…)</t>
  </si>
  <si>
    <t>Maturity to Termination</t>
  </si>
  <si>
    <t>Thời hạn từ lúc đáo hạn tới lúc tới khi ra ngoại bảng</t>
  </si>
  <si>
    <t>Nên để 6 tháng để khớp với hệ thống kế toán, rủi ro đang ghi nhận WO180+</t>
  </si>
  <si>
    <t>Month on book</t>
  </si>
  <si>
    <t>Thời gian ghi nhận trên sổ sách</t>
  </si>
  <si>
    <t>= Nominal tenor + Maturity to termination</t>
  </si>
  <si>
    <t>Pricing</t>
  </si>
  <si>
    <t>From- To</t>
  </si>
  <si>
    <t>Từ tháng… tới tháng</t>
  </si>
  <si>
    <t>Interest rate- lãi suất khoản vay</t>
  </si>
  <si>
    <t>COF</t>
  </si>
  <si>
    <t>Cost of fund - Giá vốn</t>
  </si>
  <si>
    <t>Sử dụng matrix mua vốn của VPB</t>
  </si>
  <si>
    <t>NIM</t>
  </si>
  <si>
    <t>Net interest margin - Biên lãi ròng</t>
  </si>
  <si>
    <t>Early prepayment</t>
  </si>
  <si>
    <t>Penalty fee</t>
  </si>
  <si>
    <t>Phí phạt</t>
  </si>
  <si>
    <t>Penalty IR</t>
  </si>
  <si>
    <t>Lãi phạt</t>
  </si>
  <si>
    <t>%Attrition</t>
  </si>
  <si>
    <t>Tỉ lệ trả trước hạn</t>
  </si>
  <si>
    <t>Tỉ lệ trả trước tính theo cohort, thông thường quan sát trung bình 6 tháng</t>
  </si>
  <si>
    <t>Credit insurrance</t>
  </si>
  <si>
    <t>Banca Premium (excl. in loan)</t>
  </si>
  <si>
    <t>Tỉ lệ bảo hiểm khoản vay (dư nợ không bao gồm bảo hiểm khoản vay)</t>
  </si>
  <si>
    <t>VD: 7% khoản vay, 8% khoản vay</t>
  </si>
  <si>
    <t>Banca Premium (incl. in loan)</t>
  </si>
  <si>
    <t>Tỉ lệ bảo hiểm khoản vay (dư nợ có bao gồm bảo hiểm khoản vay)</t>
  </si>
  <si>
    <t>Penetration</t>
  </si>
  <si>
    <t>Tỉ lệ khoản vay có bảo hiểm/tổng khoản vay giải ngân</t>
  </si>
  <si>
    <t>Commission to CAKE</t>
  </si>
  <si>
    <t>Tỉ lệ nhận được từ số tiền bảo hiểm</t>
  </si>
  <si>
    <t>Hiện tai, số này là khoàng 85% tổng số tiền thu từ bảo hiểm</t>
  </si>
  <si>
    <t>Support fee</t>
  </si>
  <si>
    <t xml:space="preserve">Các khoản thu khác </t>
  </si>
  <si>
    <t>Hiện tại chưa có</t>
  </si>
  <si>
    <t>COST INPUT</t>
  </si>
  <si>
    <t>Inflation rate</t>
  </si>
  <si>
    <t>Tỉ lệ tăng giá chi phí qua các năm</t>
  </si>
  <si>
    <t>Acquisition cost</t>
  </si>
  <si>
    <t>Chi phí mở rộng khách hàng</t>
  </si>
  <si>
    <t>Sale incentive</t>
  </si>
  <si>
    <t>Chi phí sales, trả đối tác kinh doanh</t>
  </si>
  <si>
    <t>Sharing TOI and Risk DPD90+</t>
  </si>
  <si>
    <t>Chia sẻ doanh thu, rủi ro(DPD90+)</t>
  </si>
  <si>
    <t>xem giải thích DPD+ tại đây</t>
  </si>
  <si>
    <t>Sharing TOI and Risk DPD180+</t>
  </si>
  <si>
    <t>Chia sẻ doanh thu, rủi ro(DPD180+)</t>
  </si>
  <si>
    <t>Sharing CII (only)</t>
  </si>
  <si>
    <t>Chỉ chia sẻ doanh thu từ lãi</t>
  </si>
  <si>
    <t>Sharing COF (only)</t>
  </si>
  <si>
    <t>Chỉ chia sẻ chi phí vốn</t>
  </si>
  <si>
    <t>Sharing NFI (only)</t>
  </si>
  <si>
    <t>Chỉ chia sẻ doanh thu từ vốn</t>
  </si>
  <si>
    <t>Sharing Risk DPD90+ (Only)</t>
  </si>
  <si>
    <t>Chỉ chia sẻ rủi ro (DPD90+)</t>
  </si>
  <si>
    <t>Sharing Risk DPD180+ (only)</t>
  </si>
  <si>
    <t>Chỉ chia sẻ rủi ro (DPD180+)</t>
  </si>
  <si>
    <t>Partner Lead Acquistion</t>
  </si>
  <si>
    <t>Chi phí leadgen đối tác</t>
  </si>
  <si>
    <t>* Chú thích</t>
  </si>
  <si>
    <t>Chia sẻ rủi ro DPD90/ (DPD180+) là phương pháp tính rủi ro = 100% duy nhất 1 lần tại thời điểm dư nợ  DPD90 +(tức quá hạn &gt;90 ngày, chuyển nợ nhóm 3)/  DPD180+(tức qua hạn &gt;180 ngày, chuyển nợ nhóm 4) mà ko tính tại các bucket khác.</t>
  </si>
  <si>
    <t xml:space="preserve">Phương pháp này chỉ sử dụng đối với các đối tác chia sẻ doanh thu chi phí. </t>
  </si>
  <si>
    <t>Marketing cost</t>
  </si>
  <si>
    <t>Chi phí marketing để mở khoản vay</t>
  </si>
  <si>
    <t xml:space="preserve">UW &amp; Disbursal </t>
  </si>
  <si>
    <t>Underwriting cost &amp; Score</t>
  </si>
  <si>
    <t>Chi phí kiểm tra điều kiện mở khoản vay</t>
  </si>
  <si>
    <t>DOP cost</t>
  </si>
  <si>
    <t>Chi phí luồng DOP (nếu có) (SMS,…)</t>
  </si>
  <si>
    <t>Disbursement cost</t>
  </si>
  <si>
    <t>Chi phí mở khoản vay (chi phí esign, sms,…)</t>
  </si>
  <si>
    <t>Approval rate</t>
  </si>
  <si>
    <t>Tỉ lệ phê duyệt</t>
  </si>
  <si>
    <t>Tỉ lệ khách hàng được phê duyệt/khách hàng vào luồng LOS</t>
  </si>
  <si>
    <t>Disbursement rate</t>
  </si>
  <si>
    <t>Tỉ lệ giải ngân</t>
  </si>
  <si>
    <t>Tỉ lệ khách hàng giải ngân/khách hàng được phê duyệt</t>
  </si>
  <si>
    <t>Collection &amp; AMC</t>
  </si>
  <si>
    <t>Collections_all</t>
  </si>
  <si>
    <t>Đơn giá thu nợ tính trung bình cho các khoản vay</t>
  </si>
  <si>
    <t>Aftersale service</t>
  </si>
  <si>
    <t>Email &amp; SMS</t>
  </si>
  <si>
    <t>Chi phí Email, SMS hàng tháng</t>
  </si>
  <si>
    <t>Supporting units</t>
  </si>
  <si>
    <t>Chi phí phân bổ</t>
  </si>
  <si>
    <t>Direct HR</t>
  </si>
  <si>
    <t>Chi phí nhân sự trực tiếp</t>
  </si>
  <si>
    <t>Indirect HR</t>
  </si>
  <si>
    <t>Chi phí nhân sự hỗ trợ</t>
  </si>
  <si>
    <t>IT</t>
  </si>
  <si>
    <t>Chi phí IT</t>
  </si>
  <si>
    <t>Other supports</t>
  </si>
  <si>
    <t>Chi phí khác (Chi phí thuê VP, CS, khác…)</t>
  </si>
  <si>
    <t>RISK INPUT</t>
  </si>
  <si>
    <t>NF</t>
  </si>
  <si>
    <t>Netflow- Tỉ lệ chuyển nợ</t>
  </si>
  <si>
    <t>Percentage of debt (tỉ lệ vỡ nợ)</t>
  </si>
  <si>
    <t>Pro. Rate</t>
  </si>
  <si>
    <t>Tỉ lệ vỡ nợ đã điều chỉnh thu hồi nợ</t>
  </si>
  <si>
    <t>Recovery rate</t>
  </si>
  <si>
    <t>Tỉ lệ thu hồi nợ sau WO</t>
  </si>
  <si>
    <t>Collect after WO</t>
  </si>
  <si>
    <t>Fee and others</t>
  </si>
  <si>
    <t>Tỉ lệ thu được phí, phạt, khác</t>
  </si>
  <si>
    <t>Write-off mode</t>
  </si>
  <si>
    <t>Provision mode</t>
  </si>
  <si>
    <t>DPD360+</t>
  </si>
  <si>
    <t>IFRS</t>
  </si>
  <si>
    <t>DPD180+</t>
  </si>
  <si>
    <t>VAS</t>
  </si>
  <si>
    <t>SAP CASHLOAN MODEL</t>
  </si>
  <si>
    <t>NOTE</t>
  </si>
  <si>
    <t>Please read carefully about before using model</t>
  </si>
  <si>
    <t>Product</t>
  </si>
  <si>
    <t>Unsecured Cashloan</t>
  </si>
  <si>
    <t>UPL</t>
  </si>
  <si>
    <t>Disclaimer</t>
  </si>
  <si>
    <t>Sub-Product</t>
  </si>
  <si>
    <t>ALL</t>
  </si>
  <si>
    <t>Instruction</t>
  </si>
  <si>
    <t>Sub-Segments</t>
  </si>
  <si>
    <t>Quarter</t>
  </si>
  <si>
    <t>Q3.2025</t>
  </si>
  <si>
    <t>Legend</t>
  </si>
  <si>
    <t>Cur: mVND</t>
  </si>
  <si>
    <t>GENERAL OUTPUT</t>
  </si>
  <si>
    <t>Life time</t>
  </si>
  <si>
    <t>Year 1</t>
  </si>
  <si>
    <t>Year 2</t>
  </si>
  <si>
    <t>Year 3</t>
  </si>
  <si>
    <t>Year 4</t>
  </si>
  <si>
    <t>Year 5</t>
  </si>
  <si>
    <t>% ANR</t>
  </si>
  <si>
    <t>% Disbursement</t>
  </si>
  <si>
    <t>EMI</t>
  </si>
  <si>
    <t>ANR</t>
  </si>
  <si>
    <t>TOI</t>
  </si>
  <si>
    <t>Net interest income</t>
  </si>
  <si>
    <t>Net fee income</t>
  </si>
  <si>
    <t>Other income</t>
  </si>
  <si>
    <t>PROVISION</t>
  </si>
  <si>
    <t>From</t>
  </si>
  <si>
    <t>To</t>
  </si>
  <si>
    <t>OPEX</t>
  </si>
  <si>
    <t>UW &amp; Disbursal</t>
  </si>
  <si>
    <t>Collection &amp; aftersale service</t>
  </si>
  <si>
    <t>Support unit</t>
  </si>
  <si>
    <t>PBT</t>
  </si>
  <si>
    <r>
      <rPr>
        <i/>
        <sz val="8"/>
        <color theme="1" tint="0.14999847407452621"/>
        <rFont val="Arial"/>
        <family val="2"/>
      </rPr>
      <t>In which:</t>
    </r>
    <r>
      <rPr>
        <sz val="8"/>
        <color theme="1" tint="0.14999847407452621"/>
        <rFont val="Arial"/>
        <family val="2"/>
      </rPr>
      <t xml:space="preserve"> PROFIT BEFORE SU</t>
    </r>
  </si>
  <si>
    <t>per cohort</t>
  </si>
  <si>
    <t>PERFORMANCE OUTPUT</t>
  </si>
  <si>
    <t>Interest income</t>
  </si>
  <si>
    <t>per disbursement amount</t>
  </si>
  <si>
    <t>Cost of fund</t>
  </si>
  <si>
    <t>Early termination fee</t>
  </si>
  <si>
    <t>done</t>
  </si>
  <si>
    <t>Insurance commission</t>
  </si>
  <si>
    <t>One-time</t>
  </si>
  <si>
    <t>$ per account</t>
  </si>
  <si>
    <t>% per ticketsize</t>
  </si>
  <si>
    <t>Monthly fee</t>
  </si>
  <si>
    <t>%monthly per ticketsize</t>
  </si>
  <si>
    <t>Lead Acquisition</t>
  </si>
  <si>
    <t>% per year</t>
  </si>
  <si>
    <t>Sharing performance</t>
  </si>
  <si>
    <t>Marketing</t>
  </si>
  <si>
    <t>Auto MODE</t>
  </si>
  <si>
    <t>Underwriting</t>
  </si>
  <si>
    <t>% per month</t>
  </si>
  <si>
    <t>Disbursement</t>
  </si>
  <si>
    <t>Collection &amp; after sale service</t>
  </si>
  <si>
    <t>Adjust MODE</t>
  </si>
  <si>
    <t>Early collections</t>
  </si>
  <si>
    <t>AMC</t>
  </si>
  <si>
    <t>Supporting Units</t>
  </si>
  <si>
    <t>Indiect HR</t>
  </si>
  <si>
    <t>Risk share from</t>
  </si>
  <si>
    <t>disbursement</t>
  </si>
  <si>
    <t>per account</t>
  </si>
  <si>
    <t>Other support units</t>
  </si>
  <si>
    <t>per ticketsize</t>
  </si>
  <si>
    <t>of application</t>
  </si>
  <si>
    <t>Inflation</t>
  </si>
  <si>
    <t>of account</t>
  </si>
  <si>
    <t>Incentive</t>
  </si>
  <si>
    <t>of submitted application</t>
  </si>
  <si>
    <t>Sale team</t>
  </si>
  <si>
    <t>of aproved application</t>
  </si>
  <si>
    <t>Sale Mgt</t>
  </si>
  <si>
    <t>MA</t>
  </si>
  <si>
    <t>per account/month</t>
  </si>
  <si>
    <t>Collections_B1+</t>
  </si>
  <si>
    <t>AMC_principal collected</t>
  </si>
  <si>
    <t>per 1mVND collected amount</t>
  </si>
  <si>
    <t>AMC_interest collected</t>
  </si>
  <si>
    <t>AMC_penalty collected</t>
  </si>
  <si>
    <t>CPCUW</t>
  </si>
  <si>
    <t>CPCUW_SCORE</t>
  </si>
  <si>
    <t>CPCCA</t>
  </si>
  <si>
    <t>AMC_PR</t>
  </si>
  <si>
    <t>Net flow</t>
  </si>
  <si>
    <t>B0 - B1</t>
  </si>
  <si>
    <t>B1 - B2</t>
  </si>
  <si>
    <t>B2 - B3</t>
  </si>
  <si>
    <t>B3 - B4</t>
  </si>
  <si>
    <t>B4 - B5</t>
  </si>
  <si>
    <t>B5 - B6</t>
  </si>
  <si>
    <t>B6 - B7</t>
  </si>
  <si>
    <t>B7 - B8</t>
  </si>
  <si>
    <t>B8 - B9</t>
  </si>
  <si>
    <t>B9 - B10</t>
  </si>
  <si>
    <t>B10 - B11</t>
  </si>
  <si>
    <t>B11 - B12</t>
  </si>
  <si>
    <t>B12 - B13</t>
  </si>
  <si>
    <t>B13-B24</t>
  </si>
  <si>
    <t>B25-B36</t>
  </si>
  <si>
    <t>Recovery rate B13-B24</t>
  </si>
  <si>
    <t>B36+</t>
  </si>
  <si>
    <t>Recovery rate B24-B36</t>
  </si>
  <si>
    <t>Risk cost/ Disburse</t>
  </si>
  <si>
    <t>Recovery rate B36+</t>
  </si>
  <si>
    <t>Riskcost/ANR</t>
  </si>
  <si>
    <t>B8- B12</t>
  </si>
  <si>
    <t>B24-B36</t>
  </si>
  <si>
    <t>per principle collected</t>
  </si>
  <si>
    <t>%B1A/B1</t>
  </si>
  <si>
    <t>Nhom</t>
  </si>
  <si>
    <t>SP</t>
  </si>
  <si>
    <t>pl</t>
  </si>
  <si>
    <t>Sum of BALANCE</t>
  </si>
  <si>
    <t>Sum of Lai DCV</t>
  </si>
  <si>
    <t>Month</t>
  </si>
  <si>
    <t>Day</t>
  </si>
  <si>
    <t>cl</t>
  </si>
  <si>
    <t>BE CASHLOAN</t>
  </si>
  <si>
    <t>CAKE CASHLOAN</t>
  </si>
  <si>
    <t>CAKE OVERDRAFT</t>
  </si>
  <si>
    <t>CAKE PAYDAY</t>
  </si>
  <si>
    <t>MWG CASHLOAN</t>
  </si>
  <si>
    <t>NGS CASHLOAN</t>
  </si>
  <si>
    <t>VIETTEL CASHLOAN</t>
  </si>
  <si>
    <t>VIETTEL PAYDAY</t>
  </si>
  <si>
    <t>VIETTEL PAYDAYPAYROLL</t>
  </si>
  <si>
    <t>VIETTEL PAYROLL CASHLOAN</t>
  </si>
  <si>
    <t>VNPAY CASHLOAN</t>
  </si>
  <si>
    <t>VNPOST CASHLOAN</t>
  </si>
  <si>
    <t>Zalopay CASHLOAN</t>
  </si>
  <si>
    <t>Aproval rate, signed rate</t>
  </si>
  <si>
    <t>aprroval rate</t>
  </si>
  <si>
    <t>Signed rate</t>
  </si>
  <si>
    <t>Disburse, Tenor, Insurance, IR</t>
  </si>
  <si>
    <t>Disburse date</t>
  </si>
  <si>
    <t># Disburse</t>
  </si>
  <si>
    <t>Disburse amount (VND)</t>
  </si>
  <si>
    <t>Current balance (VND)</t>
  </si>
  <si>
    <t>Ticket size (VND)</t>
  </si>
  <si>
    <t>Avg tenor (Month)</t>
  </si>
  <si>
    <t>Avg IR (%)</t>
  </si>
  <si>
    <t>Insurance fee (VND)</t>
  </si>
  <si>
    <t>% Insurance penetration by date</t>
  </si>
  <si>
    <t>AVG</t>
  </si>
  <si>
    <t>adjust tenor</t>
  </si>
  <si>
    <t>UW, collection, MKT</t>
  </si>
  <si>
    <t>Chanel</t>
  </si>
  <si>
    <t>Catergory</t>
  </si>
  <si>
    <t>new_account</t>
  </si>
  <si>
    <t>active_account</t>
  </si>
  <si>
    <t>disburse/spend</t>
  </si>
  <si>
    <t>marketing_acquisition_cost</t>
  </si>
  <si>
    <t>Collection</t>
  </si>
  <si>
    <t xml:space="preserve"> (Chi phi Q3 không đầy đủ do chuyển đổi hệ thống)</t>
  </si>
  <si>
    <t>Partner acquisition cost</t>
  </si>
  <si>
    <t>(tính theo tỉ lệ giải ngân)</t>
  </si>
  <si>
    <t>Sharing TOI</t>
  </si>
  <si>
    <t>Leadgen</t>
  </si>
  <si>
    <t>AVERAGE</t>
  </si>
  <si>
    <t>ZaloPAY</t>
  </si>
  <si>
    <t>2-3</t>
  </si>
  <si>
    <t>other</t>
  </si>
  <si>
    <t>RR</t>
  </si>
  <si>
    <t>Sum of principal_balance_at_report_month</t>
  </si>
  <si>
    <t>ADJ</t>
  </si>
  <si>
    <t>EOM Bucket</t>
  </si>
  <si>
    <t>report_month</t>
  </si>
  <si>
    <t>principal_balance_at_report_month</t>
  </si>
  <si>
    <t>SAP Speadsheet</t>
  </si>
  <si>
    <t>Method</t>
  </si>
  <si>
    <t>Oustanding tenor</t>
  </si>
  <si>
    <t>Last month on book</t>
  </si>
  <si>
    <t>Interest rate</t>
  </si>
  <si>
    <t>INR rate</t>
  </si>
  <si>
    <t>COF rate</t>
  </si>
  <si>
    <t>Attrition rate</t>
  </si>
  <si>
    <t>Prepayment Penalty</t>
  </si>
  <si>
    <t>Account accumulated</t>
  </si>
  <si>
    <t>Nominal ENR</t>
  </si>
  <si>
    <t>Fully Prepayment Amount</t>
  </si>
  <si>
    <t>EMI payment</t>
  </si>
  <si>
    <t>Nominal Interest</t>
  </si>
  <si>
    <t>Nominal Payment</t>
  </si>
  <si>
    <t>Schedule Payment</t>
  </si>
  <si>
    <t>SBV</t>
  </si>
  <si>
    <t>Overdue</t>
  </si>
  <si>
    <t>Balance by Bucket/Group</t>
  </si>
  <si>
    <t>G1</t>
  </si>
  <si>
    <t>B0</t>
  </si>
  <si>
    <t>G2</t>
  </si>
  <si>
    <t>B1</t>
  </si>
  <si>
    <t>B2</t>
  </si>
  <si>
    <t>B3</t>
  </si>
  <si>
    <t>G3</t>
  </si>
  <si>
    <t>B4</t>
  </si>
  <si>
    <t>B5</t>
  </si>
  <si>
    <t>B6</t>
  </si>
  <si>
    <t>G4</t>
  </si>
  <si>
    <t>B7</t>
  </si>
  <si>
    <t>B8</t>
  </si>
  <si>
    <t>B9</t>
  </si>
  <si>
    <t>B10</t>
  </si>
  <si>
    <t>B11</t>
  </si>
  <si>
    <t>B12</t>
  </si>
  <si>
    <t>G5</t>
  </si>
  <si>
    <t>B13</t>
  </si>
  <si>
    <t>420+</t>
  </si>
  <si>
    <t>B14+</t>
  </si>
  <si>
    <t>ENR</t>
  </si>
  <si>
    <t>Total bank</t>
  </si>
  <si>
    <t>Outstanding balance</t>
  </si>
  <si>
    <t>Writeoff balance</t>
  </si>
  <si>
    <t>Outstanding Bal/TB</t>
  </si>
  <si>
    <t>ANR for CII (B0+B1A)</t>
  </si>
  <si>
    <t>Performance</t>
  </si>
  <si>
    <t>Insurrance fee</t>
  </si>
  <si>
    <t>Other Income</t>
  </si>
  <si>
    <t>VARIABLE EXPENSES</t>
  </si>
  <si>
    <t>Lead Acquistion</t>
  </si>
  <si>
    <t>Sharing Performance</t>
  </si>
  <si>
    <t>Risk cap to CAKE</t>
  </si>
  <si>
    <t>Sharing TOI+ Risk DPD90+</t>
  </si>
  <si>
    <t>Sharing TOI+ Risk DPD180+</t>
  </si>
  <si>
    <t>Marketing_acquisition</t>
  </si>
  <si>
    <t>Underwriting Cost</t>
  </si>
  <si>
    <t>Expense Increase</t>
  </si>
  <si>
    <t>After sale service</t>
  </si>
  <si>
    <t>SMS &amp; Email</t>
  </si>
  <si>
    <t>OVERHEAD EXPENSES</t>
  </si>
  <si>
    <t>Provision</t>
  </si>
  <si>
    <t>Provision Rate</t>
  </si>
  <si>
    <t>VAS360</t>
  </si>
  <si>
    <t>VAS180</t>
  </si>
  <si>
    <t>Provision cost</t>
  </si>
  <si>
    <t>Accum.Provision</t>
  </si>
  <si>
    <t>VAS360+</t>
  </si>
  <si>
    <t xml:space="preserve"> </t>
  </si>
  <si>
    <t>VAS180+</t>
  </si>
  <si>
    <t>B9+</t>
  </si>
  <si>
    <t>Profit</t>
  </si>
  <si>
    <t>Proft before Provision,Overhead and support unit</t>
  </si>
  <si>
    <t>Profit before Overhead and support unit</t>
  </si>
  <si>
    <t>Beginning balance at AMC</t>
  </si>
  <si>
    <t>Moved to AMC</t>
  </si>
  <si>
    <t>Paid off</t>
  </si>
  <si>
    <t>Moved back to GB</t>
  </si>
  <si>
    <t>Ending at AMC</t>
  </si>
  <si>
    <t>Goodbank B0</t>
  </si>
  <si>
    <t>Beginning balance</t>
  </si>
  <si>
    <t>Paid-off</t>
  </si>
  <si>
    <t>Move to badbank</t>
  </si>
  <si>
    <t>From badbank</t>
  </si>
  <si>
    <t>Ending balance</t>
  </si>
  <si>
    <t>Goodbank B1+</t>
  </si>
  <si>
    <t>Checking</t>
  </si>
  <si>
    <t>Beginning balance at goodbook</t>
  </si>
  <si>
    <t>Ending at goodbook</t>
  </si>
  <si>
    <t>PROFIT &amp; LOSS 60M</t>
  </si>
  <si>
    <t>I.</t>
  </si>
  <si>
    <t>SALES PLAN</t>
  </si>
  <si>
    <t>Business month</t>
  </si>
  <si>
    <t>Don't delete</t>
  </si>
  <si>
    <t>New disbursement (bVND)</t>
  </si>
  <si>
    <t>II.</t>
  </si>
  <si>
    <t>PROFIT &amp; LOSS</t>
  </si>
  <si>
    <t>FISCAL YEAR</t>
  </si>
  <si>
    <t>Total</t>
  </si>
  <si>
    <t>bVND</t>
  </si>
  <si>
    <t>NEW DISBURSAL</t>
  </si>
  <si>
    <t>Monthly disbursement</t>
  </si>
  <si>
    <t>EOP</t>
  </si>
  <si>
    <t>ADB</t>
  </si>
  <si>
    <t>NII</t>
  </si>
  <si>
    <t>NFI</t>
  </si>
  <si>
    <t>Other TOI</t>
  </si>
  <si>
    <t>Sales incentives</t>
  </si>
  <si>
    <t>After-sales services</t>
  </si>
  <si>
    <t>In which: PROFIT BEFORE SU</t>
  </si>
  <si>
    <t>PL PROJECTION</t>
  </si>
  <si>
    <t>60 months</t>
  </si>
  <si>
    <t>Month on board</t>
  </si>
  <si>
    <t>Unit: mVND</t>
  </si>
  <si>
    <t>Early termination income</t>
  </si>
  <si>
    <t>Insurance fee</t>
  </si>
  <si>
    <t>Sale incentive&amp;mkt</t>
  </si>
  <si>
    <t>DOP</t>
  </si>
  <si>
    <t>EOP BY BUCKET</t>
  </si>
  <si>
    <t>B13+</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</si>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</sst>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0_);_(* \(#,##0\);_(* &quot;-&quot;??_);_(@_)"/>
    <numFmt numFmtId="165" formatCode="0.0%"/>
    <numFmt numFmtId="166" formatCode="_-* #,##0.00\ _₫_-;\-* #,##0.00\ _₫_-;_-* &quot;-&quot;??\ _₫_-;_-@_-"/>
    <numFmt numFmtId="167" formatCode="_-* #,##0\ _₫_-;\-* #,##0\ _₫_-;_-* &quot;-&quot;??\ _₫_-;_-@_-"/>
    <numFmt numFmtId="168" formatCode="_(* #,##0.0_);_(* \(#,##0.0\);_(* &quot;-&quot;??_);_(@_)"/>
    <numFmt numFmtId="169" formatCode="_(* #,##0.000_);_(* \(#,##0.000\);_(* &quot;-&quot;??_);_(@_)"/>
    <numFmt numFmtId="170" formatCode="0.000%"/>
    <numFmt numFmtId="171" formatCode="_(* #,##0.0000_);_(* \(#,##0.0000\);_(* &quot;-&quot;??_);_(@_)"/>
    <numFmt numFmtId="172" formatCode="_(* #,##0.0000_);_(* \(#,##0.0000\);_(* &quot;-&quot;????_);_(@_)"/>
    <numFmt numFmtId="173" formatCode="[$-409]mmm\-yy;@"/>
    <numFmt numFmtId="174" formatCode="#,##0.0"/>
    <numFmt numFmtId="175" formatCode="[$-409]dd\-mmm\-yy;@"/>
  </numFmts>
  <fonts count="91" x14ac:knownFonts="1">
    <font>
      <sz val="12"/>
      <color theme="1"/>
      <name val="Aptos Narrow"/>
      <family val="2"/>
      <scheme val="minor"/>
    </font>
    <font>
      <b/>
      <sz val="15"/>
      <color theme="3"/>
      <name val="Aptos Narrow"/>
      <family val="2"/>
      <scheme val="minor"/>
    </font>
    <font>
      <sz val="11"/>
      <color theme="1"/>
      <name val="Aptos Narrow"/>
      <family val="2"/>
      <scheme val="minor"/>
    </font>
    <font>
      <sz val="10"/>
      <color theme="1"/>
      <name val="Arial"/>
      <family val="2"/>
    </font>
    <font>
      <i/>
      <sz val="10"/>
      <color rgb="FF00B050"/>
      <name val="Aptos Narrow"/>
      <family val="2"/>
      <scheme val="minor"/>
    </font>
    <font>
      <sz val="11"/>
      <color theme="1"/>
      <name val="Aptos Narrow"/>
      <family val="2"/>
      <charset val="163"/>
      <scheme val="minor"/>
    </font>
    <font>
      <b/>
      <sz val="20"/>
      <color theme="1"/>
      <name val="Arial"/>
      <family val="2"/>
    </font>
    <font>
      <sz val="11"/>
      <color theme="1"/>
      <name val="Arial"/>
      <family val="2"/>
    </font>
    <font>
      <b/>
      <i/>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rgb="FFFF0000"/>
      <name val="Arial"/>
      <family val="2"/>
    </font>
    <font>
      <b/>
      <sz val="11"/>
      <color theme="1"/>
      <name val="Arial"/>
      <family val="2"/>
    </font>
    <font>
      <b/>
      <sz val="11"/>
      <color theme="1" tint="0.14999847407452621"/>
      <name val="Arial"/>
      <family val="2"/>
    </font>
    <font>
      <b/>
      <sz val="14"/>
      <color theme="1" tint="0.14999847407452621"/>
      <name val="Arial"/>
      <family val="2"/>
    </font>
    <font>
      <sz val="11"/>
      <color theme="1" tint="0.14999847407452621"/>
      <name val="Arial"/>
      <family val="2"/>
    </font>
    <font>
      <sz val="11"/>
      <name val="Arial"/>
      <family val="2"/>
    </font>
    <font>
      <b/>
      <sz val="11"/>
      <color rgb="FFFF0000"/>
      <name val="Arial"/>
      <family val="2"/>
    </font>
    <font>
      <sz val="10"/>
      <color theme="1" tint="0.14999847407452621"/>
      <name val="Arial"/>
      <family val="2"/>
    </font>
    <font>
      <sz val="10"/>
      <color theme="4" tint="-0.249977111117893"/>
      <name val="Arial"/>
      <family val="2"/>
    </font>
    <font>
      <i/>
      <sz val="10"/>
      <color theme="1" tint="0.34998626667073579"/>
      <name val="Arial"/>
      <family val="2"/>
    </font>
    <font>
      <b/>
      <sz val="10"/>
      <name val="Arial"/>
      <family val="2"/>
    </font>
    <font>
      <sz val="10"/>
      <color rgb="FFFF0000"/>
      <name val="Arial"/>
      <family val="2"/>
    </font>
    <font>
      <b/>
      <sz val="10"/>
      <color rgb="FFFF0000"/>
      <name val="Arial"/>
      <family val="2"/>
    </font>
    <font>
      <b/>
      <sz val="10"/>
      <color theme="1" tint="0.14999847407452621"/>
      <name val="Arial"/>
      <family val="2"/>
    </font>
    <font>
      <i/>
      <sz val="10"/>
      <color theme="1" tint="0.14999847407452621"/>
      <name val="Arial"/>
      <family val="2"/>
    </font>
    <font>
      <b/>
      <sz val="10"/>
      <color theme="4" tint="-0.249977111117893"/>
      <name val="Arial"/>
      <family val="2"/>
    </font>
    <font>
      <b/>
      <i/>
      <sz val="10"/>
      <color theme="1" tint="0.14999847407452621"/>
      <name val="Arial"/>
      <family val="2"/>
    </font>
    <font>
      <u/>
      <sz val="11"/>
      <color theme="10"/>
      <name val="Aptos Narrow"/>
      <family val="2"/>
      <scheme val="minor"/>
    </font>
    <font>
      <i/>
      <sz val="8"/>
      <color theme="1" tint="0.34998626667073579"/>
      <name val="Arial"/>
      <family val="2"/>
    </font>
    <font>
      <sz val="9"/>
      <name val="Arial"/>
      <family val="2"/>
    </font>
    <font>
      <sz val="9"/>
      <color theme="1" tint="0.14999847407452621"/>
      <name val="Arial"/>
      <family val="2"/>
    </font>
    <font>
      <b/>
      <sz val="10"/>
      <color theme="1"/>
      <name val="Arial"/>
      <family val="2"/>
    </font>
    <font>
      <sz val="10"/>
      <color theme="0" tint="-0.249977111117893"/>
      <name val="Arial"/>
      <family val="2"/>
    </font>
    <font>
      <b/>
      <sz val="8"/>
      <color theme="1" tint="0.14999847407452621"/>
      <name val="Arial"/>
      <family val="2"/>
    </font>
    <font>
      <sz val="8"/>
      <color theme="1" tint="0.14999847407452621"/>
      <name val="Arial"/>
      <family val="2"/>
    </font>
    <font>
      <sz val="8"/>
      <color theme="0"/>
      <name val="Arial"/>
      <family val="2"/>
    </font>
    <font>
      <b/>
      <sz val="16"/>
      <color theme="1" tint="0.14999847407452621"/>
      <name val="Arial"/>
      <family val="2"/>
    </font>
    <font>
      <sz val="15"/>
      <name val="Arial"/>
      <family val="2"/>
    </font>
    <font>
      <sz val="15"/>
      <color theme="0"/>
      <name val="Arial"/>
      <family val="2"/>
    </font>
    <font>
      <sz val="15"/>
      <color theme="1" tint="0.14999847407452621"/>
      <name val="Arial"/>
      <family val="2"/>
    </font>
    <font>
      <b/>
      <i/>
      <sz val="9"/>
      <color theme="3" tint="0.249977111117893"/>
      <name val="Arial"/>
      <family val="2"/>
    </font>
    <font>
      <i/>
      <sz val="9"/>
      <color theme="3" tint="0.249977111117893"/>
      <name val="Arial"/>
      <family val="2"/>
    </font>
    <font>
      <b/>
      <sz val="8"/>
      <color theme="0"/>
      <name val="Arial"/>
      <family val="2"/>
    </font>
    <font>
      <sz val="8"/>
      <name val="Arial"/>
      <family val="2"/>
    </font>
    <font>
      <i/>
      <sz val="10"/>
      <color theme="1"/>
      <name val="Arial"/>
      <family val="2"/>
    </font>
    <font>
      <sz val="10"/>
      <color theme="0"/>
      <name val="Arial"/>
      <family val="2"/>
    </font>
    <font>
      <b/>
      <sz val="9"/>
      <color theme="1" tint="0.14999847407452621"/>
      <name val="Arial"/>
      <family val="2"/>
    </font>
    <font>
      <sz val="10"/>
      <name val="Arial"/>
      <family val="2"/>
    </font>
    <font>
      <b/>
      <sz val="8"/>
      <name val="Arial"/>
      <family val="2"/>
    </font>
    <font>
      <i/>
      <sz val="8"/>
      <color theme="3"/>
      <name val="Arial"/>
      <family val="2"/>
    </font>
    <font>
      <i/>
      <sz val="8"/>
      <color theme="1" tint="0.14999847407452621"/>
      <name val="Arial"/>
      <family val="2"/>
    </font>
    <font>
      <b/>
      <i/>
      <sz val="8"/>
      <color theme="1" tint="0.14999847407452621"/>
      <name val="Arial"/>
      <family val="2"/>
    </font>
    <font>
      <b/>
      <i/>
      <sz val="8"/>
      <color theme="3"/>
      <name val="Arial"/>
      <family val="2"/>
    </font>
    <font>
      <b/>
      <sz val="8"/>
      <color theme="0" tint="-0.34998626667073579"/>
      <name val="Arial"/>
      <family val="2"/>
    </font>
    <font>
      <i/>
      <sz val="8"/>
      <color theme="1" tint="0.499984740745262"/>
      <name val="Arial"/>
      <family val="2"/>
    </font>
    <font>
      <sz val="8"/>
      <color rgb="FFFF0000"/>
      <name val="Arial"/>
      <family val="2"/>
    </font>
    <font>
      <i/>
      <sz val="8"/>
      <name val="Arial"/>
      <family val="2"/>
    </font>
    <font>
      <sz val="8"/>
      <color theme="1"/>
      <name val="Arial"/>
      <family val="2"/>
    </font>
    <font>
      <i/>
      <sz val="8"/>
      <color rgb="FFFF0000"/>
      <name val="Arial"/>
      <family val="2"/>
    </font>
    <font>
      <sz val="8"/>
      <color theme="0" tint="-0.34998626667073579"/>
      <name val="Arial"/>
      <family val="2"/>
    </font>
    <font>
      <b/>
      <sz val="8"/>
      <color rgb="FFFF0000"/>
      <name val="Arial"/>
      <family val="2"/>
    </font>
    <font>
      <sz val="11"/>
      <color rgb="FF3F3F76"/>
      <name val="Aptos Narrow"/>
      <family val="2"/>
      <scheme val="minor"/>
    </font>
    <font>
      <sz val="9"/>
      <color theme="0"/>
      <name val="Arial"/>
      <family val="2"/>
    </font>
    <font>
      <b/>
      <sz val="11"/>
      <color theme="1"/>
      <name val="Aptos Narrow"/>
      <family val="2"/>
      <scheme val="minor"/>
    </font>
    <font>
      <b/>
      <i/>
      <sz val="10"/>
      <color rgb="FF00B050"/>
      <name val="Aptos Narrow"/>
      <family val="2"/>
      <scheme val="minor"/>
    </font>
    <font>
      <b/>
      <sz val="11"/>
      <color theme="0"/>
      <name val="Aptos Narrow"/>
      <family val="2"/>
      <scheme val="minor"/>
    </font>
    <font>
      <sz val="10"/>
      <color theme="1"/>
      <name val="Aptos Narrow"/>
      <family val="2"/>
      <scheme val="minor"/>
    </font>
    <font>
      <sz val="11"/>
      <color rgb="FF000000"/>
      <name val="Aptos Narrow"/>
      <family val="2"/>
    </font>
    <font>
      <sz val="11"/>
      <color rgb="FF000000"/>
      <name val="Aptos Narrow"/>
      <family val="2"/>
      <scheme val="minor"/>
    </font>
    <font>
      <i/>
      <sz val="11"/>
      <color theme="1"/>
      <name val="Aptos Narrow"/>
      <family val="2"/>
      <scheme val="minor"/>
    </font>
    <font>
      <i/>
      <sz val="11"/>
      <color rgb="FFFF0000"/>
      <name val="Aptos Narrow"/>
      <family val="2"/>
      <scheme val="minor"/>
    </font>
    <font>
      <b/>
      <sz val="16"/>
      <name val="Arial"/>
      <family val="2"/>
    </font>
    <font>
      <b/>
      <i/>
      <sz val="8"/>
      <name val="Arial"/>
      <family val="2"/>
    </font>
    <font>
      <b/>
      <i/>
      <sz val="9"/>
      <name val="Arial"/>
      <family val="2"/>
    </font>
    <font>
      <b/>
      <sz val="8"/>
      <color theme="4"/>
      <name val="Arial"/>
      <family val="2"/>
    </font>
    <font>
      <b/>
      <sz val="18"/>
      <color theme="0" tint="-0.499984740745262"/>
      <name val="Arial"/>
      <family val="2"/>
    </font>
    <font>
      <sz val="8"/>
      <color theme="0" tint="-0.499984740745262"/>
      <name val="Arial"/>
      <family val="2"/>
    </font>
    <font>
      <b/>
      <sz val="10"/>
      <color theme="1" tint="0.34998626667073579"/>
      <name val="Arial"/>
      <family val="2"/>
    </font>
    <font>
      <b/>
      <sz val="10"/>
      <color theme="0"/>
      <name val="Arial"/>
      <family val="2"/>
    </font>
    <font>
      <sz val="10"/>
      <color rgb="FF000000"/>
      <name val="Arial"/>
      <family val="2"/>
    </font>
    <font>
      <b/>
      <sz val="8"/>
      <color theme="1"/>
      <name val="Aptos Narrow"/>
      <family val="2"/>
      <scheme val="minor"/>
    </font>
    <font>
      <sz val="8"/>
      <color theme="1"/>
      <name val="Aptos Narrow"/>
      <family val="2"/>
      <scheme val="minor"/>
    </font>
    <font>
      <sz val="8"/>
      <color theme="0" tint="-0.249977111117893"/>
      <name val="Aptos Narrow"/>
      <family val="2"/>
      <scheme val="minor"/>
    </font>
    <font>
      <b/>
      <sz val="8"/>
      <color theme="0"/>
      <name val="Aptos Narrow"/>
      <family val="2"/>
      <scheme val="minor"/>
    </font>
    <font>
      <sz val="8"/>
      <color theme="0"/>
      <name val="Aptos Narrow"/>
      <family val="2"/>
      <scheme val="minor"/>
    </font>
    <font>
      <b/>
      <sz val="8"/>
      <color theme="0" tint="-0.249977111117893"/>
      <name val="Aptos Narrow"/>
      <family val="2"/>
      <scheme val="minor"/>
    </font>
    <font>
      <b/>
      <sz val="8"/>
      <color rgb="FFFF0000"/>
      <name val="Aptos Narrow"/>
      <family val="2"/>
      <scheme val="minor"/>
    </font>
    <font>
      <sz val="8"/>
      <color rgb="FFFF0000"/>
      <name val="Aptos Narrow"/>
      <family val="2"/>
      <scheme val="minor"/>
    </font>
  </fonts>
  <fills count="12">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rgb="FF002060"/>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00"/>
        <bgColor rgb="FF000000"/>
      </patternFill>
    </fill>
    <fill>
      <patternFill patternType="solid">
        <fgColor theme="1" tint="0.34998626667073579"/>
        <bgColor indexed="64"/>
      </patternFill>
    </fill>
  </fills>
  <borders count="29">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style="medium">
        <color rgb="FFCCCCCC"/>
      </left>
      <right style="medium">
        <color rgb="FFCCCCCC"/>
      </right>
      <top style="medium">
        <color rgb="FFCCCCCC"/>
      </top>
      <bottom style="medium">
        <color rgb="FFCCCCCC"/>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indexed="65"/>
      </top>
      <bottom/>
      <diagonal/>
    </border>
    <border>
      <left/>
      <right/>
      <top style="thin">
        <color indexed="65"/>
      </top>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top style="thin">
        <color theme="4" tint="0.39997558519241921"/>
      </top>
      <bottom/>
      <diagonal/>
    </border>
    <border>
      <left/>
      <right/>
      <top/>
      <bottom style="thick">
        <color rgb="FF00B050"/>
      </bottom>
      <diagonal/>
    </border>
    <border>
      <left/>
      <right/>
      <top/>
      <bottom style="medium">
        <color theme="0" tint="-0.24994659260841701"/>
      </bottom>
      <diagonal/>
    </border>
    <border>
      <left/>
      <right/>
      <top style="medium">
        <color theme="0" tint="-0.24994659260841701"/>
      </top>
      <bottom style="medium">
        <color theme="0" tint="-0.24994659260841701"/>
      </bottom>
      <diagonal/>
    </border>
    <border>
      <left/>
      <right/>
      <top/>
      <bottom style="medium">
        <color rgb="FF00B05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right style="thin">
        <color theme="0" tint="-0.34998626667073579"/>
      </right>
      <top style="thin">
        <color theme="0" tint="-0.34998626667073579"/>
      </top>
      <bottom style="thin">
        <color theme="0" tint="-0.34998626667073579"/>
      </bottom>
      <diagonal/>
    </border>
    <border>
      <left/>
      <right/>
      <top/>
      <bottom style="thick">
        <color theme="5" tint="-0.24994659260841701"/>
      </bottom>
      <diagonal/>
    </border>
    <border>
      <left style="thin">
        <color rgb="FF808080"/>
      </left>
      <right style="thin">
        <color rgb="FF808080"/>
      </right>
      <top/>
      <bottom/>
      <diagonal/>
    </border>
    <border>
      <left/>
      <right/>
      <top/>
      <bottom style="thin">
        <color indexed="64"/>
      </bottom>
      <diagonal/>
    </border>
  </borders>
  <cellStyleXfs count="13">
    <xf numFmtId="0" fontId="0"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0" fontId="5" fillId="0" borderId="0"/>
    <xf numFmtId="0" fontId="2" fillId="0" borderId="0"/>
    <xf numFmtId="0" fontId="2" fillId="0" borderId="0"/>
    <xf numFmtId="0" fontId="30"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166" fontId="5" fillId="0" borderId="0" applyFont="0" applyFill="0" applyBorder="0" applyAlignment="0" applyProtection="0"/>
    <xf numFmtId="0" fontId="64" fillId="2" borderId="2" applyNumberFormat="0" applyAlignment="0" applyProtection="0"/>
    <xf numFmtId="0" fontId="1" fillId="0" borderId="1" applyNumberFormat="0" applyFill="0" applyAlignment="0" applyProtection="0"/>
  </cellStyleXfs>
  <cellXfs count="411">
    <xf numFmtId="0" fontId="0" fillId="0" borderId="0" xfId="0"/>
    <xf numFmtId="0" fontId="2" fillId="0" borderId="0" xfId="1"/>
    <xf numFmtId="0" fontId="3" fillId="0" borderId="3" xfId="1" applyFont="1" applyBorder="1" applyAlignment="1">
      <alignment wrapText="1"/>
    </xf>
    <xf numFmtId="0" fontId="3" fillId="0" borderId="3" xfId="1" applyFont="1" applyBorder="1" applyAlignment="1">
      <alignment vertical="center"/>
    </xf>
    <xf numFmtId="14" fontId="3" fillId="0" borderId="3" xfId="1" applyNumberFormat="1" applyFont="1" applyBorder="1" applyAlignment="1">
      <alignment horizontal="right" wrapText="1"/>
    </xf>
    <xf numFmtId="164" fontId="3" fillId="0" borderId="3" xfId="2" applyNumberFormat="1" applyFont="1" applyBorder="1" applyAlignment="1">
      <alignment horizontal="right" wrapText="1"/>
    </xf>
    <xf numFmtId="0" fontId="3" fillId="0" borderId="3" xfId="1" applyFont="1" applyBorder="1" applyAlignment="1">
      <alignment horizontal="right" wrapText="1"/>
    </xf>
    <xf numFmtId="0" fontId="2" fillId="0" borderId="4" xfId="1" applyBorder="1"/>
    <xf numFmtId="0" fontId="2" fillId="0" borderId="5" xfId="1" applyBorder="1"/>
    <xf numFmtId="0" fontId="2" fillId="0" borderId="6" xfId="1" applyBorder="1"/>
    <xf numFmtId="10" fontId="0" fillId="0" borderId="0" xfId="3" applyNumberFormat="1" applyFont="1" applyFill="1"/>
    <xf numFmtId="165" fontId="0" fillId="0" borderId="0" xfId="3" applyNumberFormat="1" applyFont="1" applyFill="1"/>
    <xf numFmtId="10" fontId="0" fillId="0" borderId="0" xfId="3" applyNumberFormat="1" applyFont="1"/>
    <xf numFmtId="0" fontId="2" fillId="0" borderId="7" xfId="1" applyBorder="1"/>
    <xf numFmtId="0" fontId="2" fillId="0" borderId="8" xfId="1" applyBorder="1"/>
    <xf numFmtId="0" fontId="2" fillId="0" borderId="4" xfId="1" applyBorder="1" applyAlignment="1">
      <alignment horizontal="left"/>
    </xf>
    <xf numFmtId="164" fontId="2" fillId="0" borderId="0" xfId="1" applyNumberFormat="1"/>
    <xf numFmtId="0" fontId="2" fillId="0" borderId="9" xfId="1" applyBorder="1" applyAlignment="1">
      <alignment horizontal="left"/>
    </xf>
    <xf numFmtId="164" fontId="2" fillId="0" borderId="9" xfId="1" applyNumberFormat="1" applyBorder="1"/>
    <xf numFmtId="164" fontId="2" fillId="0" borderId="10" xfId="1" applyNumberFormat="1" applyBorder="1"/>
    <xf numFmtId="0" fontId="2" fillId="0" borderId="11" xfId="1" applyBorder="1"/>
    <xf numFmtId="0" fontId="2" fillId="0" borderId="12" xfId="1" applyBorder="1" applyAlignment="1">
      <alignment horizontal="left"/>
    </xf>
    <xf numFmtId="0" fontId="2" fillId="0" borderId="12" xfId="1" applyBorder="1"/>
    <xf numFmtId="0" fontId="2" fillId="0" borderId="13" xfId="1" applyBorder="1"/>
    <xf numFmtId="0" fontId="2" fillId="0" borderId="14" xfId="1" applyBorder="1"/>
    <xf numFmtId="164" fontId="0" fillId="0" borderId="0" xfId="2" applyNumberFormat="1" applyFont="1"/>
    <xf numFmtId="0" fontId="2" fillId="3" borderId="0" xfId="1" applyFill="1"/>
    <xf numFmtId="9" fontId="0" fillId="3" borderId="0" xfId="3" applyFont="1" applyFill="1"/>
    <xf numFmtId="43" fontId="2" fillId="0" borderId="0" xfId="1" applyNumberFormat="1"/>
    <xf numFmtId="164" fontId="0" fillId="3" borderId="0" xfId="2" applyNumberFormat="1" applyFont="1" applyFill="1"/>
    <xf numFmtId="9" fontId="0" fillId="0" borderId="0" xfId="3" applyFont="1"/>
    <xf numFmtId="0" fontId="4" fillId="0" borderId="15" xfId="1" applyFont="1" applyBorder="1"/>
    <xf numFmtId="164" fontId="0" fillId="0" borderId="15" xfId="2" applyNumberFormat="1" applyFont="1" applyFill="1" applyBorder="1"/>
    <xf numFmtId="0" fontId="6" fillId="0" borderId="0" xfId="4" applyFont="1"/>
    <xf numFmtId="0" fontId="7" fillId="0" borderId="0" xfId="4" applyFont="1"/>
    <xf numFmtId="0" fontId="8" fillId="0" borderId="0" xfId="4" applyFont="1"/>
    <xf numFmtId="0" fontId="9" fillId="0" borderId="0" xfId="4" applyFont="1"/>
    <xf numFmtId="0" fontId="10" fillId="0" borderId="0" xfId="4" applyFont="1" applyAlignment="1">
      <alignment vertical="center"/>
    </xf>
    <xf numFmtId="0" fontId="11" fillId="0" borderId="0" xfId="4" applyFont="1"/>
    <xf numFmtId="0" fontId="12" fillId="0" borderId="0" xfId="4" applyFont="1" applyAlignment="1">
      <alignment vertical="center"/>
    </xf>
    <xf numFmtId="0" fontId="7" fillId="0" borderId="0" xfId="5" quotePrefix="1" applyFont="1" applyAlignment="1">
      <alignment vertical="center"/>
    </xf>
    <xf numFmtId="0" fontId="7" fillId="0" borderId="0" xfId="5" applyFont="1"/>
    <xf numFmtId="0" fontId="14" fillId="0" borderId="0" xfId="4" applyFont="1"/>
    <xf numFmtId="0" fontId="14" fillId="0" borderId="0" xfId="5" quotePrefix="1" applyFont="1" applyAlignment="1">
      <alignment vertical="center"/>
    </xf>
    <xf numFmtId="0" fontId="7" fillId="3" borderId="0" xfId="5" quotePrefix="1" applyFont="1" applyFill="1" applyAlignment="1">
      <alignment vertical="center"/>
    </xf>
    <xf numFmtId="0" fontId="7" fillId="3" borderId="0" xfId="4" applyFont="1" applyFill="1"/>
    <xf numFmtId="0" fontId="7" fillId="0" borderId="0" xfId="5" quotePrefix="1" applyFont="1"/>
    <xf numFmtId="0" fontId="7" fillId="0" borderId="0" xfId="4" quotePrefix="1" applyFont="1"/>
    <xf numFmtId="0" fontId="15" fillId="0" borderId="16" xfId="6" applyFont="1" applyBorder="1"/>
    <xf numFmtId="0" fontId="16" fillId="0" borderId="16" xfId="6" applyFont="1" applyBorder="1"/>
    <xf numFmtId="0" fontId="17" fillId="0" borderId="16" xfId="6" applyFont="1" applyBorder="1"/>
    <xf numFmtId="0" fontId="18" fillId="0" borderId="16" xfId="6" applyFont="1" applyBorder="1"/>
    <xf numFmtId="0" fontId="19" fillId="0" borderId="0" xfId="4" applyFont="1" applyAlignment="1">
      <alignment vertical="center"/>
    </xf>
    <xf numFmtId="0" fontId="13" fillId="0" borderId="0" xfId="4" applyFont="1"/>
    <xf numFmtId="0" fontId="13" fillId="0" borderId="0" xfId="5" applyFont="1"/>
    <xf numFmtId="0" fontId="19" fillId="0" borderId="0" xfId="4" applyFont="1"/>
    <xf numFmtId="0" fontId="20" fillId="0" borderId="0" xfId="6" applyFont="1"/>
    <xf numFmtId="0" fontId="3" fillId="0" borderId="0" xfId="5" applyFont="1"/>
    <xf numFmtId="0" fontId="21" fillId="0" borderId="0" xfId="4" applyFont="1"/>
    <xf numFmtId="0" fontId="3" fillId="0" borderId="0" xfId="4" applyFont="1"/>
    <xf numFmtId="0" fontId="22" fillId="0" borderId="0" xfId="4" applyFont="1"/>
    <xf numFmtId="0" fontId="15" fillId="0" borderId="0" xfId="6" applyFont="1"/>
    <xf numFmtId="0" fontId="23" fillId="0" borderId="0" xfId="6" applyFont="1"/>
    <xf numFmtId="0" fontId="24" fillId="0" borderId="0" xfId="4" applyFont="1"/>
    <xf numFmtId="0" fontId="24" fillId="0" borderId="0" xfId="5" applyFont="1"/>
    <xf numFmtId="0" fontId="25" fillId="0" borderId="0" xfId="4" applyFont="1"/>
    <xf numFmtId="0" fontId="22" fillId="0" borderId="0" xfId="4" quotePrefix="1" applyFont="1"/>
    <xf numFmtId="0" fontId="3" fillId="0" borderId="0" xfId="5" quotePrefix="1" applyFont="1" applyAlignment="1">
      <alignment vertical="center"/>
    </xf>
    <xf numFmtId="0" fontId="26" fillId="0" borderId="0" xfId="6" applyFont="1"/>
    <xf numFmtId="0" fontId="27" fillId="0" borderId="0" xfId="6" applyFont="1"/>
    <xf numFmtId="0" fontId="28" fillId="0" borderId="0" xfId="4" applyFont="1"/>
    <xf numFmtId="0" fontId="29" fillId="0" borderId="0" xfId="6" applyFont="1"/>
    <xf numFmtId="0" fontId="30" fillId="0" borderId="0" xfId="7" quotePrefix="1"/>
    <xf numFmtId="0" fontId="30" fillId="0" borderId="0" xfId="7" applyAlignment="1">
      <alignment vertical="center"/>
    </xf>
    <xf numFmtId="0" fontId="31" fillId="0" borderId="0" xfId="4" quotePrefix="1" applyFont="1"/>
    <xf numFmtId="0" fontId="7" fillId="0" borderId="0" xfId="5" applyFont="1" applyAlignment="1">
      <alignment vertical="center"/>
    </xf>
    <xf numFmtId="0" fontId="32" fillId="0" borderId="16" xfId="6" applyFont="1" applyBorder="1"/>
    <xf numFmtId="0" fontId="26" fillId="0" borderId="16" xfId="6" applyFont="1" applyBorder="1"/>
    <xf numFmtId="0" fontId="33" fillId="0" borderId="16" xfId="6" applyFont="1" applyBorder="1"/>
    <xf numFmtId="0" fontId="26" fillId="0" borderId="0" xfId="6" applyFont="1" applyAlignment="1">
      <alignment horizontal="left" vertical="center"/>
    </xf>
    <xf numFmtId="0" fontId="34" fillId="0" borderId="0" xfId="1" applyFont="1"/>
    <xf numFmtId="0" fontId="35" fillId="0" borderId="0" xfId="1" applyFont="1"/>
    <xf numFmtId="0" fontId="36" fillId="0" borderId="0" xfId="6" applyFont="1"/>
    <xf numFmtId="0" fontId="37" fillId="0" borderId="0" xfId="6" applyFont="1"/>
    <xf numFmtId="0" fontId="38" fillId="0" borderId="0" xfId="6" applyFont="1"/>
    <xf numFmtId="0" fontId="39" fillId="0" borderId="0" xfId="6" applyFont="1"/>
    <xf numFmtId="0" fontId="40" fillId="0" borderId="0" xfId="6" applyFont="1"/>
    <xf numFmtId="0" fontId="41" fillId="0" borderId="0" xfId="6" applyFont="1"/>
    <xf numFmtId="0" fontId="42" fillId="0" borderId="0" xfId="6" applyFont="1"/>
    <xf numFmtId="43" fontId="40" fillId="0" borderId="0" xfId="8" applyFont="1" applyFill="1" applyBorder="1"/>
    <xf numFmtId="0" fontId="43" fillId="0" borderId="0" xfId="6" applyFont="1"/>
    <xf numFmtId="0" fontId="44" fillId="0" borderId="0" xfId="6" applyFont="1"/>
    <xf numFmtId="10" fontId="44" fillId="0" borderId="0" xfId="9" applyNumberFormat="1" applyFont="1" applyFill="1" applyBorder="1"/>
    <xf numFmtId="0" fontId="25" fillId="0" borderId="0" xfId="1" applyFont="1"/>
    <xf numFmtId="43" fontId="44" fillId="0" borderId="0" xfId="8" applyFont="1" applyFill="1" applyBorder="1"/>
    <xf numFmtId="0" fontId="45" fillId="0" borderId="0" xfId="6" applyFont="1"/>
    <xf numFmtId="0" fontId="24" fillId="0" borderId="0" xfId="6" applyFont="1"/>
    <xf numFmtId="10" fontId="46" fillId="0" borderId="0" xfId="9" applyNumberFormat="1" applyFont="1" applyFill="1" applyBorder="1"/>
    <xf numFmtId="0" fontId="47" fillId="0" borderId="0" xfId="1" applyFont="1"/>
    <xf numFmtId="0" fontId="3" fillId="0" borderId="0" xfId="1" applyFont="1"/>
    <xf numFmtId="0" fontId="33" fillId="0" borderId="0" xfId="6" applyFont="1"/>
    <xf numFmtId="0" fontId="26" fillId="0" borderId="17" xfId="6" applyFont="1" applyBorder="1"/>
    <xf numFmtId="0" fontId="48" fillId="0" borderId="0" xfId="6" applyFont="1"/>
    <xf numFmtId="0" fontId="26" fillId="0" borderId="17" xfId="6" applyFont="1" applyBorder="1" applyAlignment="1">
      <alignment horizontal="right"/>
    </xf>
    <xf numFmtId="1" fontId="48" fillId="0" borderId="0" xfId="6" applyNumberFormat="1" applyFont="1"/>
    <xf numFmtId="0" fontId="30" fillId="0" borderId="0" xfId="7" applyAlignment="1" applyProtection="1"/>
    <xf numFmtId="0" fontId="26" fillId="0" borderId="18" xfId="6" applyFont="1" applyBorder="1"/>
    <xf numFmtId="0" fontId="32" fillId="0" borderId="0" xfId="6" applyFont="1"/>
    <xf numFmtId="0" fontId="26" fillId="0" borderId="18" xfId="6" applyFont="1" applyBorder="1" applyAlignment="1">
      <alignment horizontal="right"/>
    </xf>
    <xf numFmtId="0" fontId="49" fillId="0" borderId="0" xfId="6" applyFont="1" applyAlignment="1">
      <alignment horizontal="left"/>
    </xf>
    <xf numFmtId="166" fontId="23" fillId="0" borderId="0" xfId="10" applyFont="1" applyFill="1" applyBorder="1" applyAlignment="1">
      <alignment horizontal="left"/>
    </xf>
    <xf numFmtId="43" fontId="23" fillId="0" borderId="0" xfId="10" applyNumberFormat="1" applyFont="1" applyBorder="1" applyAlignment="1">
      <alignment horizontal="right"/>
    </xf>
    <xf numFmtId="43" fontId="32" fillId="0" borderId="0" xfId="8" applyFont="1" applyFill="1" applyBorder="1"/>
    <xf numFmtId="167" fontId="50" fillId="0" borderId="0" xfId="10" applyNumberFormat="1" applyFont="1" applyBorder="1" applyAlignment="1">
      <alignment horizontal="right"/>
    </xf>
    <xf numFmtId="0" fontId="37" fillId="0" borderId="16" xfId="6" applyFont="1" applyBorder="1"/>
    <xf numFmtId="0" fontId="46" fillId="0" borderId="16" xfId="6" applyFont="1" applyBorder="1"/>
    <xf numFmtId="0" fontId="46" fillId="0" borderId="0" xfId="6" applyFont="1"/>
    <xf numFmtId="0" fontId="26" fillId="0" borderId="19" xfId="6" applyFont="1" applyBorder="1"/>
    <xf numFmtId="0" fontId="37" fillId="0" borderId="19" xfId="6" applyFont="1" applyBorder="1"/>
    <xf numFmtId="43" fontId="37" fillId="0" borderId="0" xfId="6" applyNumberFormat="1" applyFont="1"/>
    <xf numFmtId="43" fontId="46" fillId="0" borderId="0" xfId="8" applyFont="1" applyFill="1" applyBorder="1"/>
    <xf numFmtId="168" fontId="37" fillId="3" borderId="20" xfId="8" applyNumberFormat="1" applyFont="1" applyFill="1" applyBorder="1" applyAlignment="1">
      <alignment horizontal="right" wrapText="1"/>
    </xf>
    <xf numFmtId="164" fontId="37" fillId="0" borderId="0" xfId="8" applyNumberFormat="1" applyFont="1" applyFill="1"/>
    <xf numFmtId="0" fontId="49" fillId="0" borderId="0" xfId="6" applyFont="1"/>
    <xf numFmtId="0" fontId="36" fillId="0" borderId="0" xfId="6" applyFont="1" applyAlignment="1">
      <alignment horizontal="center" vertical="center"/>
    </xf>
    <xf numFmtId="0" fontId="36" fillId="0" borderId="0" xfId="6" applyFont="1" applyAlignment="1">
      <alignment horizontal="right"/>
    </xf>
    <xf numFmtId="43" fontId="51" fillId="0" borderId="0" xfId="8" applyFont="1" applyFill="1" applyBorder="1"/>
    <xf numFmtId="164" fontId="36" fillId="3" borderId="20" xfId="8" applyNumberFormat="1" applyFont="1" applyFill="1" applyBorder="1" applyAlignment="1">
      <alignment horizontal="right"/>
    </xf>
    <xf numFmtId="169" fontId="36" fillId="0" borderId="21" xfId="8" applyNumberFormat="1" applyFont="1" applyFill="1" applyBorder="1"/>
    <xf numFmtId="43" fontId="36" fillId="0" borderId="21" xfId="8" applyFont="1" applyFill="1" applyBorder="1"/>
    <xf numFmtId="10" fontId="36" fillId="0" borderId="21" xfId="6" applyNumberFormat="1" applyFont="1" applyBorder="1"/>
    <xf numFmtId="165" fontId="36" fillId="0" borderId="21" xfId="9" applyNumberFormat="1" applyFont="1" applyFill="1" applyBorder="1"/>
    <xf numFmtId="1" fontId="37" fillId="3" borderId="20" xfId="6" applyNumberFormat="1" applyFont="1" applyFill="1" applyBorder="1" applyAlignment="1">
      <alignment horizontal="right"/>
    </xf>
    <xf numFmtId="43" fontId="37" fillId="0" borderId="0" xfId="8" applyFont="1" applyFill="1"/>
    <xf numFmtId="43" fontId="46" fillId="0" borderId="0" xfId="9" applyNumberFormat="1" applyFont="1" applyFill="1"/>
    <xf numFmtId="0" fontId="37" fillId="0" borderId="0" xfId="6" applyFont="1" applyAlignment="1">
      <alignment wrapText="1"/>
    </xf>
    <xf numFmtId="10" fontId="36" fillId="0" borderId="21" xfId="9" applyNumberFormat="1" applyFont="1" applyFill="1" applyBorder="1"/>
    <xf numFmtId="164" fontId="37" fillId="3" borderId="20" xfId="8" applyNumberFormat="1" applyFont="1" applyFill="1" applyBorder="1" applyAlignment="1">
      <alignment horizontal="right"/>
    </xf>
    <xf numFmtId="10" fontId="46" fillId="0" borderId="0" xfId="6" applyNumberFormat="1" applyFont="1"/>
    <xf numFmtId="0" fontId="37" fillId="0" borderId="0" xfId="6" applyFont="1" applyAlignment="1">
      <alignment horizontal="left" indent="1"/>
    </xf>
    <xf numFmtId="169" fontId="37" fillId="0" borderId="21" xfId="8" applyNumberFormat="1" applyFont="1" applyFill="1" applyBorder="1"/>
    <xf numFmtId="43" fontId="37" fillId="0" borderId="21" xfId="8" applyFont="1" applyFill="1" applyBorder="1"/>
    <xf numFmtId="10" fontId="37" fillId="0" borderId="21" xfId="9" applyNumberFormat="1" applyFont="1" applyFill="1" applyBorder="1"/>
    <xf numFmtId="165" fontId="37" fillId="0" borderId="21" xfId="9" applyNumberFormat="1" applyFont="1" applyFill="1" applyBorder="1"/>
    <xf numFmtId="164" fontId="37" fillId="0" borderId="20" xfId="8" applyNumberFormat="1" applyFont="1" applyFill="1" applyBorder="1" applyAlignment="1">
      <alignment horizontal="right"/>
    </xf>
    <xf numFmtId="1" fontId="37" fillId="0" borderId="0" xfId="6" applyNumberFormat="1" applyFont="1"/>
    <xf numFmtId="0" fontId="52" fillId="0" borderId="22" xfId="6" applyFont="1" applyBorder="1"/>
    <xf numFmtId="0" fontId="52" fillId="0" borderId="0" xfId="6" applyFont="1"/>
    <xf numFmtId="9" fontId="37" fillId="0" borderId="0" xfId="9" applyFont="1"/>
    <xf numFmtId="165" fontId="37" fillId="0" borderId="0" xfId="9" applyNumberFormat="1" applyFont="1"/>
    <xf numFmtId="170" fontId="37" fillId="0" borderId="0" xfId="6" applyNumberFormat="1" applyFont="1"/>
    <xf numFmtId="0" fontId="36" fillId="0" borderId="23" xfId="6" applyFont="1" applyBorder="1" applyAlignment="1">
      <alignment horizontal="right"/>
    </xf>
    <xf numFmtId="0" fontId="51" fillId="0" borderId="23" xfId="6" applyFont="1" applyBorder="1" applyAlignment="1">
      <alignment horizontal="right"/>
    </xf>
    <xf numFmtId="0" fontId="37" fillId="3" borderId="23" xfId="6" applyFont="1" applyFill="1" applyBorder="1" applyAlignment="1">
      <alignment horizontal="right"/>
    </xf>
    <xf numFmtId="1" fontId="46" fillId="3" borderId="23" xfId="6" applyNumberFormat="1" applyFont="1" applyFill="1" applyBorder="1" applyAlignment="1">
      <alignment horizontal="right"/>
    </xf>
    <xf numFmtId="10" fontId="37" fillId="3" borderId="23" xfId="9" applyNumberFormat="1" applyFont="1" applyFill="1" applyBorder="1" applyAlignment="1">
      <alignment horizontal="right"/>
    </xf>
    <xf numFmtId="10" fontId="37" fillId="0" borderId="23" xfId="9" applyNumberFormat="1" applyFont="1" applyFill="1" applyBorder="1" applyAlignment="1">
      <alignment horizontal="right"/>
    </xf>
    <xf numFmtId="164" fontId="46" fillId="3" borderId="23" xfId="6" applyNumberFormat="1" applyFont="1" applyFill="1" applyBorder="1" applyAlignment="1">
      <alignment horizontal="right"/>
    </xf>
    <xf numFmtId="169" fontId="37" fillId="0" borderId="21" xfId="6" applyNumberFormat="1" applyFont="1" applyBorder="1"/>
    <xf numFmtId="43" fontId="37" fillId="0" borderId="21" xfId="6" applyNumberFormat="1" applyFont="1" applyBorder="1"/>
    <xf numFmtId="0" fontId="37" fillId="0" borderId="23" xfId="6" applyFont="1" applyBorder="1" applyAlignment="1">
      <alignment horizontal="right"/>
    </xf>
    <xf numFmtId="0" fontId="46" fillId="0" borderId="23" xfId="6" applyFont="1" applyBorder="1" applyAlignment="1">
      <alignment horizontal="right"/>
    </xf>
    <xf numFmtId="9" fontId="37" fillId="0" borderId="23" xfId="9" applyFont="1" applyFill="1" applyBorder="1" applyAlignment="1">
      <alignment horizontal="right"/>
    </xf>
    <xf numFmtId="10" fontId="37" fillId="0" borderId="0" xfId="9" applyNumberFormat="1" applyFont="1"/>
    <xf numFmtId="10" fontId="37" fillId="0" borderId="0" xfId="6" applyNumberFormat="1" applyFont="1"/>
    <xf numFmtId="0" fontId="54" fillId="0" borderId="0" xfId="6" applyFont="1"/>
    <xf numFmtId="0" fontId="55" fillId="0" borderId="0" xfId="6" applyFont="1"/>
    <xf numFmtId="0" fontId="38" fillId="0" borderId="0" xfId="6" applyFont="1" applyAlignment="1">
      <alignment wrapText="1"/>
    </xf>
    <xf numFmtId="0" fontId="36" fillId="0" borderId="23" xfId="6" applyFont="1" applyBorder="1" applyAlignment="1">
      <alignment horizontal="center" vertical="center" wrapText="1"/>
    </xf>
    <xf numFmtId="0" fontId="51" fillId="0" borderId="23" xfId="6" applyFont="1" applyBorder="1" applyAlignment="1">
      <alignment horizontal="center" vertical="center" wrapText="1"/>
    </xf>
    <xf numFmtId="0" fontId="56" fillId="0" borderId="23" xfId="6" applyFont="1" applyBorder="1" applyAlignment="1">
      <alignment horizontal="center" vertical="center" wrapText="1"/>
    </xf>
    <xf numFmtId="0" fontId="53" fillId="0" borderId="0" xfId="6" applyFont="1"/>
    <xf numFmtId="43" fontId="46" fillId="0" borderId="0" xfId="8" applyFont="1" applyFill="1"/>
    <xf numFmtId="10" fontId="51" fillId="0" borderId="0" xfId="9" applyNumberFormat="1" applyFont="1" applyFill="1" applyBorder="1"/>
    <xf numFmtId="164" fontId="38" fillId="0" borderId="0" xfId="8" applyNumberFormat="1" applyFont="1" applyFill="1"/>
    <xf numFmtId="164" fontId="37" fillId="3" borderId="23" xfId="8" applyNumberFormat="1" applyFont="1" applyFill="1" applyBorder="1" applyAlignment="1">
      <alignment horizontal="right"/>
    </xf>
    <xf numFmtId="164" fontId="46" fillId="3" borderId="23" xfId="8" applyNumberFormat="1" applyFont="1" applyFill="1" applyBorder="1" applyAlignment="1">
      <alignment horizontal="right"/>
    </xf>
    <xf numFmtId="10" fontId="46" fillId="3" borderId="23" xfId="9" applyNumberFormat="1" applyFont="1" applyFill="1" applyBorder="1" applyAlignment="1">
      <alignment horizontal="right"/>
    </xf>
    <xf numFmtId="10" fontId="57" fillId="0" borderId="0" xfId="9" applyNumberFormat="1" applyFont="1" applyFill="1"/>
    <xf numFmtId="43" fontId="58" fillId="0" borderId="0" xfId="8" applyFont="1"/>
    <xf numFmtId="43" fontId="46" fillId="0" borderId="0" xfId="6" applyNumberFormat="1" applyFont="1"/>
    <xf numFmtId="0" fontId="36" fillId="0" borderId="0" xfId="6" applyFont="1" applyAlignment="1">
      <alignment horizontal="center" wrapText="1"/>
    </xf>
    <xf numFmtId="164" fontId="37" fillId="0" borderId="0" xfId="6" applyNumberFormat="1" applyFont="1"/>
    <xf numFmtId="43" fontId="58" fillId="0" borderId="0" xfId="6" applyNumberFormat="1" applyFont="1"/>
    <xf numFmtId="43" fontId="51" fillId="0" borderId="0" xfId="8" applyFont="1" applyFill="1" applyBorder="1" applyAlignment="1">
      <alignment horizontal="center" vertical="center"/>
    </xf>
    <xf numFmtId="164" fontId="37" fillId="0" borderId="23" xfId="8" applyNumberFormat="1" applyFont="1" applyFill="1" applyBorder="1" applyAlignment="1">
      <alignment horizontal="right"/>
    </xf>
    <xf numFmtId="164" fontId="46" fillId="0" borderId="23" xfId="8" applyNumberFormat="1" applyFont="1" applyFill="1" applyBorder="1" applyAlignment="1">
      <alignment horizontal="right"/>
    </xf>
    <xf numFmtId="10" fontId="46" fillId="0" borderId="23" xfId="9" applyNumberFormat="1" applyFont="1" applyFill="1" applyBorder="1" applyAlignment="1">
      <alignment horizontal="right"/>
    </xf>
    <xf numFmtId="0" fontId="51" fillId="0" borderId="0" xfId="6" applyFont="1"/>
    <xf numFmtId="0" fontId="36" fillId="0" borderId="21" xfId="6" applyFont="1" applyBorder="1"/>
    <xf numFmtId="10" fontId="36" fillId="0" borderId="21" xfId="9" applyNumberFormat="1" applyFont="1" applyBorder="1"/>
    <xf numFmtId="43" fontId="51" fillId="0" borderId="21" xfId="8" applyFont="1" applyFill="1" applyBorder="1"/>
    <xf numFmtId="164" fontId="38" fillId="0" borderId="0" xfId="8" applyNumberFormat="1" applyFont="1" applyFill="1" applyAlignment="1">
      <alignment wrapText="1"/>
    </xf>
    <xf numFmtId="0" fontId="46" fillId="0" borderId="0" xfId="6" applyFont="1" applyAlignment="1">
      <alignment wrapText="1"/>
    </xf>
    <xf numFmtId="0" fontId="37" fillId="0" borderId="0" xfId="6" applyFont="1" applyAlignment="1">
      <alignment horizontal="left" indent="2"/>
    </xf>
    <xf numFmtId="43" fontId="46" fillId="0" borderId="21" xfId="8" applyFont="1" applyFill="1" applyBorder="1"/>
    <xf numFmtId="0" fontId="59" fillId="0" borderId="0" xfId="6" applyFont="1"/>
    <xf numFmtId="10" fontId="37" fillId="3" borderId="20" xfId="9" applyNumberFormat="1" applyFont="1" applyFill="1" applyBorder="1"/>
    <xf numFmtId="10" fontId="37" fillId="0" borderId="0" xfId="9" applyNumberFormat="1" applyFont="1" applyFill="1"/>
    <xf numFmtId="10" fontId="57" fillId="0" borderId="0" xfId="9" applyNumberFormat="1" applyFont="1" applyFill="1" applyBorder="1"/>
    <xf numFmtId="43" fontId="37" fillId="3" borderId="20" xfId="8" applyFont="1" applyFill="1" applyBorder="1"/>
    <xf numFmtId="0" fontId="58" fillId="0" borderId="0" xfId="6" applyFont="1"/>
    <xf numFmtId="165" fontId="37" fillId="3" borderId="20" xfId="8" applyNumberFormat="1" applyFont="1" applyFill="1" applyBorder="1"/>
    <xf numFmtId="0" fontId="36" fillId="0" borderId="0" xfId="6" applyFont="1" applyAlignment="1">
      <alignment horizontal="left"/>
    </xf>
    <xf numFmtId="43" fontId="51" fillId="0" borderId="21" xfId="8" applyFont="1" applyFill="1" applyBorder="1" applyAlignment="1">
      <alignment horizontal="right"/>
    </xf>
    <xf numFmtId="165" fontId="37" fillId="3" borderId="20" xfId="9" applyNumberFormat="1" applyFont="1" applyFill="1" applyBorder="1"/>
    <xf numFmtId="0" fontId="60" fillId="0" borderId="0" xfId="6" applyFont="1"/>
    <xf numFmtId="166" fontId="37" fillId="0" borderId="0" xfId="6" applyNumberFormat="1" applyFont="1"/>
    <xf numFmtId="0" fontId="61" fillId="0" borderId="0" xfId="6" applyFont="1"/>
    <xf numFmtId="43" fontId="61" fillId="0" borderId="0" xfId="8" applyFont="1" applyFill="1" applyBorder="1"/>
    <xf numFmtId="9" fontId="37" fillId="3" borderId="20" xfId="9" applyFont="1" applyFill="1" applyBorder="1"/>
    <xf numFmtId="169" fontId="37" fillId="0" borderId="0" xfId="8" applyNumberFormat="1" applyFont="1" applyFill="1" applyBorder="1"/>
    <xf numFmtId="43" fontId="37" fillId="0" borderId="0" xfId="8" applyFont="1" applyFill="1" applyBorder="1"/>
    <xf numFmtId="0" fontId="46" fillId="0" borderId="0" xfId="6" applyFont="1" applyAlignment="1">
      <alignment horizontal="left" indent="1"/>
    </xf>
    <xf numFmtId="0" fontId="62" fillId="0" borderId="0" xfId="6" applyFont="1"/>
    <xf numFmtId="9" fontId="37" fillId="0" borderId="20" xfId="9" applyFont="1" applyFill="1" applyBorder="1"/>
    <xf numFmtId="0" fontId="46" fillId="0" borderId="0" xfId="6" applyFont="1" applyAlignment="1">
      <alignment horizontal="left"/>
    </xf>
    <xf numFmtId="0" fontId="37" fillId="0" borderId="0" xfId="6" applyFont="1" applyProtection="1">
      <protection locked="0"/>
    </xf>
    <xf numFmtId="169" fontId="46" fillId="3" borderId="20" xfId="8" applyNumberFormat="1" applyFont="1" applyFill="1" applyBorder="1"/>
    <xf numFmtId="171" fontId="37" fillId="0" borderId="0" xfId="8" applyNumberFormat="1" applyFont="1" applyFill="1" applyBorder="1"/>
    <xf numFmtId="165" fontId="46" fillId="3" borderId="20" xfId="8" applyNumberFormat="1" applyFont="1" applyFill="1" applyBorder="1"/>
    <xf numFmtId="165" fontId="37" fillId="0" borderId="0" xfId="9" applyNumberFormat="1" applyFont="1" applyFill="1" applyBorder="1"/>
    <xf numFmtId="9" fontId="37" fillId="0" borderId="0" xfId="9" applyFont="1" applyFill="1" applyBorder="1"/>
    <xf numFmtId="10" fontId="37" fillId="0" borderId="0" xfId="6" applyNumberFormat="1" applyFont="1" applyAlignment="1">
      <alignment wrapText="1"/>
    </xf>
    <xf numFmtId="165" fontId="37" fillId="0" borderId="0" xfId="6" applyNumberFormat="1" applyFont="1"/>
    <xf numFmtId="43" fontId="37" fillId="0" borderId="0" xfId="8" applyFont="1"/>
    <xf numFmtId="43" fontId="36" fillId="0" borderId="0" xfId="6" applyNumberFormat="1" applyFont="1"/>
    <xf numFmtId="10" fontId="36" fillId="0" borderId="0" xfId="9" applyNumberFormat="1" applyFont="1" applyFill="1" applyBorder="1"/>
    <xf numFmtId="9" fontId="36" fillId="0" borderId="0" xfId="9" applyFont="1" applyFill="1" applyBorder="1"/>
    <xf numFmtId="169" fontId="37" fillId="3" borderId="20" xfId="8" applyNumberFormat="1" applyFont="1" applyFill="1" applyBorder="1"/>
    <xf numFmtId="169" fontId="37" fillId="0" borderId="20" xfId="8" applyNumberFormat="1" applyFont="1" applyFill="1" applyBorder="1"/>
    <xf numFmtId="43" fontId="46" fillId="0" borderId="20" xfId="8" applyFont="1" applyFill="1" applyBorder="1"/>
    <xf numFmtId="43" fontId="63" fillId="0" borderId="0" xfId="6" applyNumberFormat="1" applyFont="1"/>
    <xf numFmtId="165" fontId="36" fillId="0" borderId="0" xfId="6" applyNumberFormat="1" applyFont="1"/>
    <xf numFmtId="171" fontId="37" fillId="3" borderId="20" xfId="8" applyNumberFormat="1" applyFont="1" applyFill="1" applyBorder="1"/>
    <xf numFmtId="0" fontId="36" fillId="0" borderId="0" xfId="6" applyFont="1" applyAlignment="1">
      <alignment horizontal="left" vertical="top"/>
    </xf>
    <xf numFmtId="0" fontId="36" fillId="0" borderId="0" xfId="6" applyFont="1" applyAlignment="1">
      <alignment horizontal="center"/>
    </xf>
    <xf numFmtId="0" fontId="46" fillId="0" borderId="0" xfId="6" applyFont="1" applyAlignment="1">
      <alignment horizontal="right"/>
    </xf>
    <xf numFmtId="165" fontId="37" fillId="0" borderId="0" xfId="11" applyNumberFormat="1" applyFont="1" applyFill="1" applyBorder="1"/>
    <xf numFmtId="10" fontId="37" fillId="3" borderId="2" xfId="11" applyNumberFormat="1" applyFont="1" applyFill="1"/>
    <xf numFmtId="10" fontId="37" fillId="0" borderId="2" xfId="11" applyNumberFormat="1" applyFont="1" applyFill="1"/>
    <xf numFmtId="10" fontId="58" fillId="0" borderId="2" xfId="11" applyNumberFormat="1" applyFont="1" applyFill="1"/>
    <xf numFmtId="10" fontId="37" fillId="0" borderId="0" xfId="11" applyNumberFormat="1" applyFont="1" applyFill="1" applyBorder="1"/>
    <xf numFmtId="165" fontId="36" fillId="0" borderId="0" xfId="11" applyNumberFormat="1" applyFont="1" applyFill="1" applyBorder="1"/>
    <xf numFmtId="10" fontId="63" fillId="0" borderId="0" xfId="9" applyNumberFormat="1" applyFont="1"/>
    <xf numFmtId="10" fontId="63" fillId="0" borderId="0" xfId="6" applyNumberFormat="1" applyFont="1"/>
    <xf numFmtId="10" fontId="37" fillId="3" borderId="21" xfId="9" applyNumberFormat="1" applyFont="1" applyFill="1" applyBorder="1"/>
    <xf numFmtId="170" fontId="37" fillId="0" borderId="0" xfId="9" applyNumberFormat="1" applyFont="1"/>
    <xf numFmtId="0" fontId="45" fillId="0" borderId="0" xfId="12" applyFont="1" applyFill="1" applyBorder="1"/>
    <xf numFmtId="43" fontId="32" fillId="0" borderId="0" xfId="8" applyFont="1" applyFill="1"/>
    <xf numFmtId="0" fontId="65" fillId="0" borderId="0" xfId="6" applyFont="1"/>
    <xf numFmtId="164" fontId="0" fillId="0" borderId="0" xfId="8" applyNumberFormat="1" applyFont="1"/>
    <xf numFmtId="10" fontId="0" fillId="0" borderId="0" xfId="9" applyNumberFormat="1" applyFont="1"/>
    <xf numFmtId="165" fontId="0" fillId="0" borderId="0" xfId="9" applyNumberFormat="1" applyFont="1"/>
    <xf numFmtId="0" fontId="2" fillId="0" borderId="0" xfId="1" applyAlignment="1">
      <alignment horizontal="left"/>
    </xf>
    <xf numFmtId="164" fontId="2" fillId="0" borderId="0" xfId="1" applyNumberFormat="1" applyAlignment="1">
      <alignment horizontal="left"/>
    </xf>
    <xf numFmtId="0" fontId="66" fillId="0" borderId="0" xfId="1" applyFont="1"/>
    <xf numFmtId="10" fontId="2" fillId="3" borderId="0" xfId="1" applyNumberFormat="1" applyFill="1"/>
    <xf numFmtId="0" fontId="2" fillId="0" borderId="24" xfId="1" applyBorder="1"/>
    <xf numFmtId="0" fontId="2" fillId="3" borderId="24" xfId="1" applyFill="1" applyBorder="1"/>
    <xf numFmtId="17" fontId="2" fillId="0" borderId="24" xfId="1" applyNumberFormat="1" applyBorder="1"/>
    <xf numFmtId="164" fontId="0" fillId="0" borderId="24" xfId="8" applyNumberFormat="1" applyFont="1" applyBorder="1"/>
    <xf numFmtId="10" fontId="0" fillId="0" borderId="24" xfId="9" applyNumberFormat="1" applyFont="1" applyBorder="1"/>
    <xf numFmtId="9" fontId="0" fillId="0" borderId="24" xfId="9" applyFont="1" applyBorder="1"/>
    <xf numFmtId="43" fontId="0" fillId="3" borderId="0" xfId="8" applyFont="1" applyFill="1"/>
    <xf numFmtId="10" fontId="0" fillId="3" borderId="0" xfId="9" applyNumberFormat="1" applyFont="1" applyFill="1"/>
    <xf numFmtId="2" fontId="67" fillId="0" borderId="15" xfId="1" applyNumberFormat="1" applyFont="1" applyBorder="1"/>
    <xf numFmtId="17" fontId="68" fillId="4" borderId="0" xfId="1" applyNumberFormat="1" applyFont="1" applyFill="1" applyAlignment="1">
      <alignment horizontal="center" vertical="center"/>
    </xf>
    <xf numFmtId="0" fontId="69" fillId="0" borderId="15" xfId="1" applyFont="1" applyBorder="1"/>
    <xf numFmtId="164" fontId="0" fillId="0" borderId="15" xfId="8" applyNumberFormat="1" applyFont="1" applyFill="1" applyBorder="1"/>
    <xf numFmtId="0" fontId="70" fillId="0" borderId="0" xfId="1" applyFont="1"/>
    <xf numFmtId="164" fontId="0" fillId="0" borderId="15" xfId="8" applyNumberFormat="1" applyFont="1" applyBorder="1"/>
    <xf numFmtId="164" fontId="0" fillId="0" borderId="15" xfId="8" applyNumberFormat="1" applyFont="1" applyFill="1" applyBorder="1" applyAlignment="1">
      <alignment horizontal="right"/>
    </xf>
    <xf numFmtId="164" fontId="0" fillId="0" borderId="0" xfId="8" applyNumberFormat="1" applyFont="1" applyFill="1" applyBorder="1"/>
    <xf numFmtId="164" fontId="0" fillId="0" borderId="0" xfId="8" applyNumberFormat="1" applyFont="1" applyFill="1" applyBorder="1" applyAlignment="1">
      <alignment horizontal="right"/>
    </xf>
    <xf numFmtId="0" fontId="71" fillId="0" borderId="15" xfId="1" applyFont="1" applyBorder="1"/>
    <xf numFmtId="3" fontId="71" fillId="0" borderId="15" xfId="1" applyNumberFormat="1" applyFont="1" applyBorder="1"/>
    <xf numFmtId="37" fontId="72" fillId="0" borderId="15" xfId="8" applyNumberFormat="1" applyFont="1" applyFill="1" applyBorder="1"/>
    <xf numFmtId="0" fontId="70" fillId="0" borderId="15" xfId="1" applyFont="1" applyBorder="1"/>
    <xf numFmtId="169" fontId="0" fillId="3" borderId="0" xfId="8" applyNumberFormat="1" applyFont="1" applyFill="1"/>
    <xf numFmtId="169" fontId="2" fillId="3" borderId="0" xfId="1" applyNumberFormat="1" applyFill="1"/>
    <xf numFmtId="0" fontId="73" fillId="0" borderId="0" xfId="1" applyFont="1"/>
    <xf numFmtId="9" fontId="2" fillId="0" borderId="0" xfId="1" applyNumberFormat="1"/>
    <xf numFmtId="10" fontId="2" fillId="0" borderId="0" xfId="1" applyNumberFormat="1"/>
    <xf numFmtId="9" fontId="0" fillId="3" borderId="0" xfId="9" applyFont="1" applyFill="1"/>
    <xf numFmtId="165" fontId="0" fillId="3" borderId="0" xfId="9" applyNumberFormat="1" applyFont="1" applyFill="1"/>
    <xf numFmtId="0" fontId="66" fillId="0" borderId="24" xfId="1" applyFont="1" applyBorder="1"/>
    <xf numFmtId="165" fontId="0" fillId="0" borderId="24" xfId="9" applyNumberFormat="1" applyFont="1" applyBorder="1"/>
    <xf numFmtId="0" fontId="36" fillId="0" borderId="25" xfId="6" applyFont="1" applyBorder="1" applyAlignment="1">
      <alignment horizontal="center" vertical="center" wrapText="1"/>
    </xf>
    <xf numFmtId="0" fontId="2" fillId="0" borderId="24" xfId="1" applyBorder="1" applyAlignment="1">
      <alignment horizontal="center" vertical="center"/>
    </xf>
    <xf numFmtId="10" fontId="46" fillId="3" borderId="25" xfId="9" applyNumberFormat="1" applyFont="1" applyFill="1" applyBorder="1" applyAlignment="1">
      <alignment horizontal="right"/>
    </xf>
    <xf numFmtId="16" fontId="2" fillId="0" borderId="24" xfId="1" quotePrefix="1" applyNumberFormat="1" applyBorder="1" applyAlignment="1">
      <alignment horizontal="center" vertical="center"/>
    </xf>
    <xf numFmtId="165" fontId="2" fillId="3" borderId="0" xfId="1" applyNumberFormat="1" applyFill="1"/>
    <xf numFmtId="9" fontId="0" fillId="0" borderId="0" xfId="9" applyFont="1"/>
    <xf numFmtId="0" fontId="74" fillId="0" borderId="0" xfId="6" applyFont="1"/>
    <xf numFmtId="164" fontId="46" fillId="0" borderId="0" xfId="8" applyNumberFormat="1" applyFont="1" applyFill="1"/>
    <xf numFmtId="2" fontId="46" fillId="0" borderId="0" xfId="8" applyNumberFormat="1" applyFont="1" applyFill="1" applyAlignment="1">
      <alignment horizontal="right"/>
    </xf>
    <xf numFmtId="0" fontId="75" fillId="0" borderId="0" xfId="6" applyFont="1"/>
    <xf numFmtId="9" fontId="46" fillId="0" borderId="0" xfId="9" applyFont="1" applyFill="1"/>
    <xf numFmtId="9" fontId="46" fillId="0" borderId="0" xfId="6" applyNumberFormat="1" applyFont="1"/>
    <xf numFmtId="164" fontId="51" fillId="5" borderId="0" xfId="8" applyNumberFormat="1" applyFont="1" applyFill="1"/>
    <xf numFmtId="164" fontId="51" fillId="0" borderId="0" xfId="8" applyNumberFormat="1" applyFont="1" applyFill="1"/>
    <xf numFmtId="0" fontId="76" fillId="0" borderId="26" xfId="6" applyFont="1" applyBorder="1"/>
    <xf numFmtId="0" fontId="51" fillId="0" borderId="26" xfId="6" applyFont="1" applyBorder="1"/>
    <xf numFmtId="0" fontId="46" fillId="0" borderId="26" xfId="6" applyFont="1" applyBorder="1"/>
    <xf numFmtId="164" fontId="46" fillId="0" borderId="26" xfId="8" applyNumberFormat="1" applyFont="1" applyFill="1" applyBorder="1"/>
    <xf numFmtId="10" fontId="46" fillId="0" borderId="0" xfId="9" applyNumberFormat="1" applyFont="1" applyFill="1"/>
    <xf numFmtId="9" fontId="46" fillId="3" borderId="0" xfId="6" applyNumberFormat="1" applyFont="1" applyFill="1"/>
    <xf numFmtId="10" fontId="46" fillId="3" borderId="0" xfId="9" applyNumberFormat="1" applyFont="1" applyFill="1"/>
    <xf numFmtId="43" fontId="51" fillId="0" borderId="0" xfId="8" applyFont="1" applyFill="1"/>
    <xf numFmtId="0" fontId="60" fillId="0" borderId="0" xfId="6" applyFont="1" applyAlignment="1">
      <alignment horizontal="left"/>
    </xf>
    <xf numFmtId="171" fontId="51" fillId="6" borderId="0" xfId="8" applyNumberFormat="1" applyFont="1" applyFill="1"/>
    <xf numFmtId="43" fontId="77" fillId="0" borderId="0" xfId="8" applyFont="1" applyFill="1"/>
    <xf numFmtId="43" fontId="46" fillId="0" borderId="0" xfId="8" applyFont="1" applyFill="1" applyAlignment="1">
      <alignment horizontal="center" vertical="center"/>
    </xf>
    <xf numFmtId="164" fontId="46" fillId="0" borderId="0" xfId="8" applyNumberFormat="1" applyFont="1" applyFill="1" applyAlignment="1">
      <alignment horizontal="right"/>
    </xf>
    <xf numFmtId="43" fontId="46" fillId="7" borderId="0" xfId="8" applyFont="1" applyFill="1"/>
    <xf numFmtId="169" fontId="46" fillId="7" borderId="0" xfId="8" applyNumberFormat="1" applyFont="1" applyFill="1"/>
    <xf numFmtId="0" fontId="46" fillId="0" borderId="0" xfId="6" applyFont="1" applyAlignment="1">
      <alignment horizontal="center" vertical="center"/>
    </xf>
    <xf numFmtId="164" fontId="46" fillId="0" borderId="0" xfId="8" applyNumberFormat="1" applyFont="1" applyAlignment="1">
      <alignment horizontal="right"/>
    </xf>
    <xf numFmtId="0" fontId="46" fillId="7" borderId="0" xfId="6" applyFont="1" applyFill="1"/>
    <xf numFmtId="0" fontId="51" fillId="7" borderId="0" xfId="6" applyFont="1" applyFill="1"/>
    <xf numFmtId="164" fontId="46" fillId="0" borderId="0" xfId="6" applyNumberFormat="1" applyFont="1"/>
    <xf numFmtId="165" fontId="46" fillId="0" borderId="0" xfId="9" applyNumberFormat="1" applyFont="1" applyFill="1"/>
    <xf numFmtId="171" fontId="51" fillId="0" borderId="0" xfId="8" applyNumberFormat="1" applyFont="1" applyFill="1"/>
    <xf numFmtId="10" fontId="51" fillId="0" borderId="0" xfId="9" applyNumberFormat="1" applyFont="1" applyFill="1"/>
    <xf numFmtId="0" fontId="76" fillId="0" borderId="0" xfId="6" applyFont="1"/>
    <xf numFmtId="164" fontId="46" fillId="0" borderId="0" xfId="8" applyNumberFormat="1" applyFont="1" applyFill="1" applyBorder="1"/>
    <xf numFmtId="43" fontId="51" fillId="0" borderId="0" xfId="6" applyNumberFormat="1" applyFont="1"/>
    <xf numFmtId="43" fontId="46" fillId="0" borderId="0" xfId="8" quotePrefix="1" applyFont="1" applyFill="1"/>
    <xf numFmtId="0" fontId="51" fillId="3" borderId="0" xfId="6" applyFont="1" applyFill="1"/>
    <xf numFmtId="0" fontId="46" fillId="3" borderId="0" xfId="6" applyFont="1" applyFill="1"/>
    <xf numFmtId="43" fontId="46" fillId="3" borderId="0" xfId="8" applyFont="1" applyFill="1"/>
    <xf numFmtId="0" fontId="46" fillId="0" borderId="0" xfId="6" applyFont="1" applyAlignment="1">
      <alignment horizontal="left" indent="2"/>
    </xf>
    <xf numFmtId="172" fontId="46" fillId="0" borderId="0" xfId="6" applyNumberFormat="1" applyFont="1"/>
    <xf numFmtId="0" fontId="46" fillId="8" borderId="0" xfId="6" applyFont="1" applyFill="1"/>
    <xf numFmtId="43" fontId="46" fillId="8" borderId="0" xfId="8" applyFont="1" applyFill="1"/>
    <xf numFmtId="169" fontId="46" fillId="0" borderId="0" xfId="8" applyNumberFormat="1" applyFont="1" applyFill="1"/>
    <xf numFmtId="169" fontId="46" fillId="0" borderId="0" xfId="6" applyNumberFormat="1" applyFont="1"/>
    <xf numFmtId="43" fontId="59" fillId="0" borderId="0" xfId="6" applyNumberFormat="1" applyFont="1"/>
    <xf numFmtId="10" fontId="46" fillId="0" borderId="0" xfId="9" applyNumberFormat="1" applyFont="1"/>
    <xf numFmtId="166" fontId="46" fillId="0" borderId="0" xfId="6" applyNumberFormat="1" applyFont="1"/>
    <xf numFmtId="0" fontId="46" fillId="9" borderId="0" xfId="6" applyFont="1" applyFill="1"/>
    <xf numFmtId="0" fontId="78" fillId="0" borderId="0" xfId="6" applyFont="1"/>
    <xf numFmtId="0" fontId="79" fillId="0" borderId="0" xfId="6" applyFont="1"/>
    <xf numFmtId="0" fontId="3" fillId="0" borderId="0" xfId="6" applyFont="1" applyAlignment="1">
      <alignment horizontal="left"/>
    </xf>
    <xf numFmtId="0" fontId="3" fillId="0" borderId="0" xfId="6" applyFont="1"/>
    <xf numFmtId="0" fontId="34" fillId="0" borderId="19" xfId="6" applyFont="1" applyBorder="1" applyAlignment="1">
      <alignment horizontal="left"/>
    </xf>
    <xf numFmtId="0" fontId="34" fillId="0" borderId="19" xfId="6" applyFont="1" applyBorder="1"/>
    <xf numFmtId="0" fontId="34" fillId="0" borderId="0" xfId="6" applyFont="1" applyAlignment="1">
      <alignment horizontal="left"/>
    </xf>
    <xf numFmtId="0" fontId="34" fillId="0" borderId="0" xfId="6" applyFont="1"/>
    <xf numFmtId="0" fontId="3" fillId="0" borderId="0" xfId="6" applyFont="1" applyAlignment="1">
      <alignment horizontal="right"/>
    </xf>
    <xf numFmtId="1" fontId="3" fillId="0" borderId="0" xfId="6" applyNumberFormat="1" applyFont="1"/>
    <xf numFmtId="0" fontId="80" fillId="0" borderId="22" xfId="6" applyFont="1" applyBorder="1"/>
    <xf numFmtId="173" fontId="25" fillId="3" borderId="22" xfId="6" applyNumberFormat="1" applyFont="1" applyFill="1" applyBorder="1" applyAlignment="1">
      <alignment horizontal="right"/>
    </xf>
    <xf numFmtId="173" fontId="80" fillId="0" borderId="22" xfId="6" applyNumberFormat="1" applyFont="1" applyBorder="1" applyAlignment="1">
      <alignment horizontal="right"/>
    </xf>
    <xf numFmtId="0" fontId="48" fillId="0" borderId="0" xfId="6" applyFont="1" applyAlignment="1">
      <alignment horizontal="left"/>
    </xf>
    <xf numFmtId="0" fontId="81" fillId="0" borderId="0" xfId="6" applyFont="1"/>
    <xf numFmtId="164" fontId="35" fillId="0" borderId="0" xfId="8" applyNumberFormat="1" applyFont="1" applyFill="1" applyBorder="1" applyAlignment="1">
      <alignment horizontal="right"/>
    </xf>
    <xf numFmtId="0" fontId="48" fillId="0" borderId="0" xfId="6" applyFont="1" applyAlignment="1">
      <alignment horizontal="right"/>
    </xf>
    <xf numFmtId="174" fontId="82" fillId="10" borderId="27" xfId="6" applyNumberFormat="1" applyFont="1" applyFill="1" applyBorder="1"/>
    <xf numFmtId="3" fontId="82" fillId="10" borderId="27" xfId="6" applyNumberFormat="1" applyFont="1" applyFill="1" applyBorder="1"/>
    <xf numFmtId="164" fontId="34" fillId="0" borderId="19" xfId="8" applyNumberFormat="1" applyFont="1" applyFill="1" applyBorder="1"/>
    <xf numFmtId="164" fontId="3" fillId="0" borderId="19" xfId="8" applyNumberFormat="1" applyFont="1" applyFill="1" applyBorder="1"/>
    <xf numFmtId="0" fontId="80" fillId="9" borderId="0" xfId="6" applyFont="1" applyFill="1" applyAlignment="1">
      <alignment horizontal="right"/>
    </xf>
    <xf numFmtId="0" fontId="47" fillId="0" borderId="0" xfId="6" applyFont="1"/>
    <xf numFmtId="0" fontId="3" fillId="0" borderId="22" xfId="6" applyFont="1" applyBorder="1" applyAlignment="1">
      <alignment horizontal="right"/>
    </xf>
    <xf numFmtId="164" fontId="34" fillId="0" borderId="0" xfId="6" applyNumberFormat="1" applyFont="1"/>
    <xf numFmtId="164" fontId="34" fillId="0" borderId="0" xfId="8" applyNumberFormat="1" applyFont="1" applyFill="1"/>
    <xf numFmtId="164" fontId="34" fillId="0" borderId="0" xfId="8" applyNumberFormat="1" applyFont="1" applyFill="1" applyBorder="1"/>
    <xf numFmtId="164" fontId="3" fillId="0" borderId="0" xfId="8" applyNumberFormat="1" applyFont="1" applyFill="1"/>
    <xf numFmtId="164" fontId="3" fillId="0" borderId="22" xfId="6" applyNumberFormat="1" applyFont="1" applyBorder="1"/>
    <xf numFmtId="164" fontId="3" fillId="0" borderId="22" xfId="8" applyNumberFormat="1" applyFont="1" applyFill="1" applyBorder="1"/>
    <xf numFmtId="164" fontId="3" fillId="0" borderId="0" xfId="8" applyNumberFormat="1" applyFont="1" applyFill="1" applyBorder="1"/>
    <xf numFmtId="164" fontId="3" fillId="0" borderId="0" xfId="6" applyNumberFormat="1" applyFont="1"/>
    <xf numFmtId="168" fontId="34" fillId="0" borderId="0" xfId="8" applyNumberFormat="1" applyFont="1" applyFill="1"/>
    <xf numFmtId="168" fontId="34" fillId="0" borderId="22" xfId="8" applyNumberFormat="1" applyFont="1" applyFill="1" applyBorder="1"/>
    <xf numFmtId="43" fontId="3" fillId="0" borderId="0" xfId="6" applyNumberFormat="1" applyFont="1"/>
    <xf numFmtId="168" fontId="3" fillId="0" borderId="0" xfId="6" applyNumberFormat="1" applyFont="1"/>
    <xf numFmtId="168" fontId="34" fillId="0" borderId="0" xfId="6" applyNumberFormat="1" applyFont="1"/>
    <xf numFmtId="43" fontId="34" fillId="0" borderId="0" xfId="6" applyNumberFormat="1" applyFont="1"/>
    <xf numFmtId="0" fontId="3" fillId="0" borderId="0" xfId="6" applyFont="1" applyAlignment="1">
      <alignment horizontal="left" indent="1"/>
    </xf>
    <xf numFmtId="168" fontId="3" fillId="0" borderId="0" xfId="8" applyNumberFormat="1" applyFont="1" applyFill="1"/>
    <xf numFmtId="168" fontId="3" fillId="0" borderId="0" xfId="8" applyNumberFormat="1" applyFont="1" applyFill="1" applyBorder="1"/>
    <xf numFmtId="0" fontId="60" fillId="0" borderId="0" xfId="6" applyFont="1" applyAlignment="1">
      <alignment horizontal="left" indent="4"/>
    </xf>
    <xf numFmtId="164" fontId="60" fillId="0" borderId="0" xfId="6" applyNumberFormat="1" applyFont="1"/>
    <xf numFmtId="164" fontId="60" fillId="0" borderId="0" xfId="8" applyNumberFormat="1" applyFont="1" applyFill="1"/>
    <xf numFmtId="0" fontId="83" fillId="0" borderId="0" xfId="6" applyFont="1"/>
    <xf numFmtId="0" fontId="84" fillId="0" borderId="0" xfId="6" applyFont="1"/>
    <xf numFmtId="43" fontId="84" fillId="0" borderId="0" xfId="6" applyNumberFormat="1" applyFont="1"/>
    <xf numFmtId="0" fontId="85" fillId="0" borderId="0" xfId="6" applyFont="1"/>
    <xf numFmtId="0" fontId="86" fillId="11" borderId="28" xfId="6" applyFont="1" applyFill="1" applyBorder="1"/>
    <xf numFmtId="175" fontId="87" fillId="11" borderId="28" xfId="6" applyNumberFormat="1" applyFont="1" applyFill="1" applyBorder="1" applyAlignment="1">
      <alignment horizontal="right"/>
    </xf>
    <xf numFmtId="0" fontId="86" fillId="11" borderId="0" xfId="6" applyFont="1" applyFill="1"/>
    <xf numFmtId="164" fontId="83" fillId="0" borderId="0" xfId="8" applyNumberFormat="1" applyFont="1"/>
    <xf numFmtId="164" fontId="88" fillId="0" borderId="0" xfId="6" applyNumberFormat="1" applyFont="1"/>
    <xf numFmtId="164" fontId="85" fillId="0" borderId="0" xfId="8" applyNumberFormat="1" applyFont="1"/>
    <xf numFmtId="164" fontId="85" fillId="0" borderId="0" xfId="6" applyNumberFormat="1" applyFont="1"/>
    <xf numFmtId="0" fontId="84" fillId="0" borderId="0" xfId="6" applyFont="1" applyAlignment="1">
      <alignment horizontal="left" indent="1"/>
    </xf>
    <xf numFmtId="164" fontId="84" fillId="0" borderId="0" xfId="8" applyNumberFormat="1" applyFont="1"/>
    <xf numFmtId="0" fontId="83" fillId="7" borderId="0" xfId="6" applyFont="1" applyFill="1"/>
    <xf numFmtId="0" fontId="89" fillId="0" borderId="0" xfId="6" applyFont="1"/>
    <xf numFmtId="164" fontId="89" fillId="0" borderId="0" xfId="8" applyNumberFormat="1" applyFont="1"/>
    <xf numFmtId="10" fontId="84" fillId="0" borderId="0" xfId="9" applyNumberFormat="1" applyFont="1"/>
    <xf numFmtId="164" fontId="84" fillId="0" borderId="0" xfId="6" applyNumberFormat="1" applyFont="1"/>
    <xf numFmtId="164" fontId="89" fillId="0" borderId="0" xfId="6" applyNumberFormat="1" applyFont="1"/>
    <xf numFmtId="0" fontId="90" fillId="0" borderId="0" xfId="6" applyFont="1"/>
    <xf numFmtId="0" fontId="83" fillId="9" borderId="28" xfId="6" applyFont="1" applyFill="1" applyBorder="1"/>
    <xf numFmtId="164" fontId="83" fillId="9" borderId="28" xfId="8" applyNumberFormat="1" applyFont="1" applyFill="1" applyBorder="1"/>
    <xf numFmtId="0" fontId="83" fillId="0" borderId="0" xfId="6" applyFont="1" applyAlignment="1">
      <alignment horizontal="left"/>
    </xf>
    <xf numFmtId="164" fontId="83" fillId="0" borderId="0" xfId="6" applyNumberFormat="1" applyFont="1"/>
    <xf numFmtId="43" fontId="84" fillId="0" borderId="0" xfId="8" applyFont="1"/>
  </cellXfs>
  <cellStyles count="13">
    <cellStyle name="Comma 19" xfId="8" xr:uid="{984799D8-1618-A847-813A-509C6C4BF941}"/>
    <cellStyle name="Comma 2" xfId="2" xr:uid="{055E405D-2B19-FC4E-B18B-A8E333F30EFC}"/>
    <cellStyle name="Comma 2 14 3" xfId="10" xr:uid="{CC686F6C-DD6C-414C-8078-988F6FE3F046}"/>
    <cellStyle name="Heading 1 3" xfId="12" xr:uid="{CDEA0812-763A-F74E-AE70-B44C81F2AC07}"/>
    <cellStyle name="Hyperlink 2" xfId="7" xr:uid="{FE908BFB-029C-324C-A679-15672A276CD2}"/>
    <cellStyle name="Input 3" xfId="11" xr:uid="{425064B4-92B5-C64B-9336-80047035C4FB}"/>
    <cellStyle name="Normal" xfId="0" builtinId="0"/>
    <cellStyle name="Normal 2" xfId="1" xr:uid="{A9C24C67-9D27-9B40-AC61-32BDB84DA7EC}"/>
    <cellStyle name="Normal 2 2" xfId="4" xr:uid="{53099E19-42BD-B245-AFC8-82DA07ACD8C3}"/>
    <cellStyle name="Normal 22" xfId="6" xr:uid="{12E462C0-97D3-EF41-AD5A-0F0D03229925}"/>
    <cellStyle name="Normal 25" xfId="5" xr:uid="{79B660F4-C4DC-4A4A-8A73-ECCE4576B21D}"/>
    <cellStyle name="Percent 15" xfId="9" xr:uid="{D8549FC7-4261-D746-8AFC-3FF5C233E294}"/>
    <cellStyle name="Percent 2" xfId="3" xr:uid="{A8012301-9EDD-E842-90A7-5468FFA4ECCB}"/>
  </cellStyles>
  <dxfs count="4">
    <dxf>
      <font>
        <color theme="0"/>
      </font>
    </dxf>
    <dxf>
      <font>
        <color theme="0"/>
      </font>
    </dxf>
    <dxf>
      <font>
        <color theme="0"/>
      </font>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1980767</xdr:colOff>
      <xdr:row>0</xdr:row>
      <xdr:rowOff>0</xdr:rowOff>
    </xdr:from>
    <xdr:to>
      <xdr:col>14</xdr:col>
      <xdr:colOff>150557</xdr:colOff>
      <xdr:row>13</xdr:row>
      <xdr:rowOff>135761</xdr:rowOff>
    </xdr:to>
    <xdr:pic>
      <xdr:nvPicPr>
        <xdr:cNvPr id="2" name="Picture 1">
          <a:extLst>
            <a:ext uri="{FF2B5EF4-FFF2-40B4-BE49-F238E27FC236}">
              <a16:creationId xmlns:a16="http://schemas.microsoft.com/office/drawing/2014/main" id="{EE08625D-70FC-B44B-9F3D-3ED6305059A7}"/>
            </a:ext>
          </a:extLst>
        </xdr:cNvPr>
        <xdr:cNvPicPr>
          <a:picLocks noChangeAspect="1"/>
        </xdr:cNvPicPr>
      </xdr:nvPicPr>
      <xdr:blipFill>
        <a:blip xmlns:r="http://schemas.openxmlformats.org/officeDocument/2006/relationships" r:embed="rId1"/>
        <a:stretch>
          <a:fillRect/>
        </a:stretch>
      </xdr:blipFill>
      <xdr:spPr>
        <a:xfrm>
          <a:off x="9740467" y="0"/>
          <a:ext cx="6018390" cy="2612261"/>
        </a:xfrm>
        <a:prstGeom prst="rect">
          <a:avLst/>
        </a:prstGeom>
      </xdr:spPr>
    </xdr:pic>
    <xdr:clientData/>
  </xdr:twoCellAnchor>
  <xdr:twoCellAnchor editAs="oneCell">
    <xdr:from>
      <xdr:col>12</xdr:col>
      <xdr:colOff>256597</xdr:colOff>
      <xdr:row>13</xdr:row>
      <xdr:rowOff>97415</xdr:rowOff>
    </xdr:from>
    <xdr:to>
      <xdr:col>21</xdr:col>
      <xdr:colOff>372216</xdr:colOff>
      <xdr:row>21</xdr:row>
      <xdr:rowOff>76420</xdr:rowOff>
    </xdr:to>
    <xdr:pic>
      <xdr:nvPicPr>
        <xdr:cNvPr id="3" name="Picture 2">
          <a:extLst>
            <a:ext uri="{FF2B5EF4-FFF2-40B4-BE49-F238E27FC236}">
              <a16:creationId xmlns:a16="http://schemas.microsoft.com/office/drawing/2014/main" id="{F12AFE42-BA1A-E44C-B3D5-922B8A66495D}"/>
            </a:ext>
          </a:extLst>
        </xdr:cNvPr>
        <xdr:cNvPicPr>
          <a:picLocks noChangeAspect="1"/>
        </xdr:cNvPicPr>
      </xdr:nvPicPr>
      <xdr:blipFill>
        <a:blip xmlns:r="http://schemas.openxmlformats.org/officeDocument/2006/relationships" r:embed="rId2"/>
        <a:stretch>
          <a:fillRect/>
        </a:stretch>
      </xdr:blipFill>
      <xdr:spPr>
        <a:xfrm>
          <a:off x="13909097" y="2573915"/>
          <a:ext cx="9526319" cy="15030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Actual%20SAP%20Q3.25%20-%20share/1.%20Cashloan/0.%20ALL_CashLoan_Model_SAP&amp;PnL_v9_Q3.2025%201.xlsb" TargetMode="External"/><Relationship Id="rId2" Type="http://schemas.openxmlformats.org/officeDocument/2006/relationships/externalLinkPath" Target="/Users/dam.ho/Downloads/Actual%20SAP%20Q3.25%20-%20share/1.%20Cashloan/0.%20ALL_CashLoan_Model_SAP&amp;PnL_v9_Q3.2025%201.xlsb" TargetMode="External"/><Relationship Id="rId1" Type="http://schemas.openxmlformats.org/officeDocument/2006/relationships/externalLinkPath" Target="/Users/dam.ho/Downloads/Actual%20SAP%20Q3.25%20-%20share/1.%20Cashloan/0.%20ALL_CashLoan_Model_SAP&amp;PnL_v9_Q3.2025%201.xlsb"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cakedigital-my.sharepoint.com/personal/huong_thieu_cake_vn/Documents/BE/BEF%20accounting%20&amp;%20Finance/Accounting%20Report/BEF%20report/BC%20doanh%20thu/2025/9.%20Sep/SAP%20-%20tosubmit/0.%20UPL_Model_SAP&amp;PnL_v9_Q3.2025.xlsb" TargetMode="External"/><Relationship Id="rId1" Type="http://schemas.openxmlformats.org/officeDocument/2006/relationships/externalLinkPath" Target="https://cakedigital-my.sharepoint.com/personal/tien_nguyen9_cake_vn/Documents/Tien%20-%20Back%20up/5.%20SAP/Actual%20SAP%20Q3.25%20-%20share/1.%20Cashloan/0.%20UPL_Model_SAP&amp;PnL_v9_Q3.2025.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R"/>
      <sheetName val="NOTE"/>
      <sheetName val="Leadsheet"/>
      <sheetName val="COF"/>
      <sheetName val="DATA"/>
      <sheetName val="SAP_Speadsheet"/>
      <sheetName val="Saleplan&amp;PnL"/>
      <sheetName val="PnL_Speadsheet"/>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F"/>
      <sheetName val="NOTE"/>
      <sheetName val="Leadsheet"/>
      <sheetName val="DATA"/>
      <sheetName val="IR"/>
      <sheetName val="SAP_Speadsheet"/>
      <sheetName val="Saleplan&amp;PnL"/>
      <sheetName val="PnL_Speadsheet"/>
    </sheetNames>
    <sheetDataSet>
      <sheetData sheetId="0"/>
      <sheetData sheetId="1"/>
      <sheetData sheetId="2"/>
      <sheetData sheetId="3"/>
      <sheetData sheetId="4"/>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0.%20UPL_Model_SAP&amp;PnL_v9_Q3.2025.xlsb"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dam.ho/Downloads/Actual%20SAP%20Q3.25%20-%20share/1.%20Cashloan/0.%20ALL_CashLoan_Model_SAP&amp;PnL_v9_Q3.2025%201.xlsb"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à Ngô (Business Finance Analyst)" refreshedDate="45951.442575925925" createdVersion="8" refreshedVersion="8" minRefreshableVersion="3" recordCount="460" xr:uid="{739441ED-E40A-964D-BE43-00C56AEA87E2}">
  <cacheSource type="worksheet">
    <worksheetSource ref="D3:I463" sheet="IR" r:id="rId2"/>
  </cacheSource>
  <cacheFields count="8">
    <cacheField name="category_product_name_final" numFmtId="0">
      <sharedItems count="5">
        <s v="Bikeloan"/>
        <s v="Cashloan"/>
        <s v="Overdraft"/>
        <s v="Payday"/>
        <s v="Paylater"/>
      </sharedItems>
    </cacheField>
    <cacheField name="report_date" numFmtId="14">
      <sharedItems containsSemiMixedTypes="0" containsNonDate="0" containsDate="1" containsString="0" minDate="2025-07-01T00:00:00" maxDate="2025-10-01T00:00:00" count="92">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sharedItems>
      <fieldGroup par="7"/>
    </cacheField>
    <cacheField name="closing_balance_total" numFmtId="164">
      <sharedItems containsSemiMixedTypes="0" containsString="0" containsNumber="1" containsInteger="1" minValue="13063191" maxValue="4468394120706"/>
    </cacheField>
    <cacheField name="closing_balance_overdue" numFmtId="164">
      <sharedItems containsSemiMixedTypes="0" containsString="0" containsNumber="1" containsInteger="1" minValue="9366003" maxValue="942686533064"/>
    </cacheField>
    <cacheField name="closing_balance_indue" numFmtId="164">
      <sharedItems containsSemiMixedTypes="0" containsString="0" containsNumber="1" containsInteger="1" minValue="3697188" maxValue="3527250003605"/>
    </cacheField>
    <cacheField name="closing_balance_dpd_under10" numFmtId="0">
      <sharedItems containsSemiMixedTypes="0" containsString="0" containsNumber="1" containsInteger="1" minValue="3697188" maxValue="3616016650704"/>
    </cacheField>
    <cacheField name="Days (report_date)" numFmtId="0" databaseField="0">
      <fieldGroup base="1">
        <rangePr groupBy="days" startDate="2025-07-01T00:00:00" endDate="2025-10-01T00:00:00"/>
        <groupItems count="368">
          <s v="&lt;7/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1/2025"/>
        </groupItems>
      </fieldGroup>
    </cacheField>
    <cacheField name="Months (report_date)" numFmtId="0" databaseField="0">
      <fieldGroup base="1">
        <rangePr groupBy="months" startDate="2025-07-01T00:00:00" endDate="2025-10-01T00:00:00"/>
        <groupItems count="14">
          <s v="&lt;7/1/2025"/>
          <s v="Jan"/>
          <s v="Feb"/>
          <s v="Mar"/>
          <s v="Apr"/>
          <s v="May"/>
          <s v="Jun"/>
          <s v="Jul"/>
          <s v="Aug"/>
          <s v="Sep"/>
          <s v="Oct"/>
          <s v="Nov"/>
          <s v="Dec"/>
          <s v="&gt;10/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à Ngô (Business Finance Analyst)" refreshedDate="45946.407386342595" createdVersion="8" refreshedVersion="8" minRefreshableVersion="3" recordCount="412" xr:uid="{C0049803-04B8-F34B-AD98-3CCDAB9526A3}">
  <cacheSource type="worksheet">
    <worksheetSource ref="N117:P529" sheet="DATA" r:id="rId2"/>
  </cacheSource>
  <cacheFields count="3">
    <cacheField name="EOM Bucket" numFmtId="0">
      <sharedItems containsSemiMixedTypes="0" containsString="0" containsNumber="1" containsInteger="1" minValue="0" maxValue="27" count="28">
        <n v="0"/>
        <n v="1"/>
        <n v="2"/>
        <n v="3"/>
        <n v="4"/>
        <n v="5"/>
        <n v="6"/>
        <n v="7"/>
        <n v="8"/>
        <n v="9"/>
        <n v="10"/>
        <n v="11"/>
        <n v="12"/>
        <n v="13"/>
        <n v="14"/>
        <n v="15"/>
        <n v="16"/>
        <n v="17"/>
        <n v="18"/>
        <n v="19"/>
        <n v="20"/>
        <n v="21"/>
        <n v="22"/>
        <n v="23"/>
        <n v="24"/>
        <n v="25"/>
        <n v="26"/>
        <n v="27"/>
      </sharedItems>
    </cacheField>
    <cacheField name="report_month" numFmtId="0">
      <sharedItems containsSemiMixedTypes="0" containsString="0" containsNumber="1" containsInteger="1" minValue="202307" maxValue="202510" count="28">
        <n v="202510"/>
        <n v="202504"/>
        <n v="202409"/>
        <n v="202410"/>
        <n v="202508"/>
        <n v="202501"/>
        <n v="202509"/>
        <n v="202408"/>
        <n v="202412"/>
        <n v="202312"/>
        <n v="202403"/>
        <n v="202309"/>
        <n v="202308"/>
        <n v="202502"/>
        <n v="202503"/>
        <n v="202311"/>
        <n v="202405"/>
        <n v="202401"/>
        <n v="202310"/>
        <n v="202307"/>
        <n v="202411"/>
        <n v="202507"/>
        <n v="202506"/>
        <n v="202505"/>
        <n v="202406"/>
        <n v="202404"/>
        <n v="202407"/>
        <n v="202402"/>
      </sharedItems>
    </cacheField>
    <cacheField name="principal_balance_at_report_month" numFmtId="0">
      <sharedItems containsSemiMixedTypes="0" containsString="0" containsNumber="1" containsInteger="1" minValue="11550000" maxValue="377954738368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0">
  <r>
    <x v="0"/>
    <x v="0"/>
    <n v="14756199"/>
    <n v="9366003"/>
    <n v="5390196"/>
    <n v="14756199"/>
  </r>
  <r>
    <x v="0"/>
    <x v="1"/>
    <n v="14756199"/>
    <n v="9366003"/>
    <n v="5390196"/>
    <n v="14756199"/>
  </r>
  <r>
    <x v="0"/>
    <x v="2"/>
    <n v="14756199"/>
    <n v="9366003"/>
    <n v="5390196"/>
    <n v="14756199"/>
  </r>
  <r>
    <x v="0"/>
    <x v="3"/>
    <n v="14756199"/>
    <n v="9366003"/>
    <n v="5390196"/>
    <n v="14756199"/>
  </r>
  <r>
    <x v="0"/>
    <x v="4"/>
    <n v="14756199"/>
    <n v="9366003"/>
    <n v="5390196"/>
    <n v="14756199"/>
  </r>
  <r>
    <x v="0"/>
    <x v="5"/>
    <n v="14756199"/>
    <n v="9366003"/>
    <n v="5390196"/>
    <n v="14756199"/>
  </r>
  <r>
    <x v="0"/>
    <x v="6"/>
    <n v="14756199"/>
    <n v="9366003"/>
    <n v="5390196"/>
    <n v="14756199"/>
  </r>
  <r>
    <x v="0"/>
    <x v="7"/>
    <n v="14756199"/>
    <n v="9366003"/>
    <n v="5390196"/>
    <n v="14756199"/>
  </r>
  <r>
    <x v="0"/>
    <x v="8"/>
    <n v="14756199"/>
    <n v="9366003"/>
    <n v="5390196"/>
    <n v="5390196"/>
  </r>
  <r>
    <x v="0"/>
    <x v="9"/>
    <n v="14756199"/>
    <n v="9366003"/>
    <n v="5390196"/>
    <n v="5390196"/>
  </r>
  <r>
    <x v="0"/>
    <x v="10"/>
    <n v="14756199"/>
    <n v="9366003"/>
    <n v="5390196"/>
    <n v="5390196"/>
  </r>
  <r>
    <x v="0"/>
    <x v="11"/>
    <n v="14756199"/>
    <n v="9366003"/>
    <n v="5390196"/>
    <n v="5390196"/>
  </r>
  <r>
    <x v="0"/>
    <x v="12"/>
    <n v="14756199"/>
    <n v="9366003"/>
    <n v="5390196"/>
    <n v="5390196"/>
  </r>
  <r>
    <x v="0"/>
    <x v="13"/>
    <n v="14756199"/>
    <n v="9366003"/>
    <n v="5390196"/>
    <n v="5390196"/>
  </r>
  <r>
    <x v="0"/>
    <x v="14"/>
    <n v="14756199"/>
    <n v="9366003"/>
    <n v="5390196"/>
    <n v="5390196"/>
  </r>
  <r>
    <x v="0"/>
    <x v="15"/>
    <n v="14756199"/>
    <n v="9366003"/>
    <n v="5390196"/>
    <n v="5390196"/>
  </r>
  <r>
    <x v="0"/>
    <x v="16"/>
    <n v="14756199"/>
    <n v="9366003"/>
    <n v="5390196"/>
    <n v="5390196"/>
  </r>
  <r>
    <x v="0"/>
    <x v="17"/>
    <n v="14756199"/>
    <n v="9366003"/>
    <n v="5390196"/>
    <n v="5390196"/>
  </r>
  <r>
    <x v="0"/>
    <x v="18"/>
    <n v="14756199"/>
    <n v="9366003"/>
    <n v="5390196"/>
    <n v="5390196"/>
  </r>
  <r>
    <x v="0"/>
    <x v="19"/>
    <n v="14756199"/>
    <n v="9366003"/>
    <n v="5390196"/>
    <n v="5390196"/>
  </r>
  <r>
    <x v="0"/>
    <x v="20"/>
    <n v="14756199"/>
    <n v="9366003"/>
    <n v="5390196"/>
    <n v="5390196"/>
  </r>
  <r>
    <x v="0"/>
    <x v="21"/>
    <n v="14756199"/>
    <n v="9366003"/>
    <n v="5390196"/>
    <n v="5390196"/>
  </r>
  <r>
    <x v="0"/>
    <x v="22"/>
    <n v="14756199"/>
    <n v="9366003"/>
    <n v="5390196"/>
    <n v="5390196"/>
  </r>
  <r>
    <x v="0"/>
    <x v="23"/>
    <n v="14756199"/>
    <n v="9366003"/>
    <n v="5390196"/>
    <n v="5390196"/>
  </r>
  <r>
    <x v="0"/>
    <x v="24"/>
    <n v="14756199"/>
    <n v="9366003"/>
    <n v="5390196"/>
    <n v="5390196"/>
  </r>
  <r>
    <x v="0"/>
    <x v="25"/>
    <n v="14756199"/>
    <n v="9366003"/>
    <n v="5390196"/>
    <n v="5390196"/>
  </r>
  <r>
    <x v="0"/>
    <x v="26"/>
    <n v="14756199"/>
    <n v="9366003"/>
    <n v="5390196"/>
    <n v="5390196"/>
  </r>
  <r>
    <x v="0"/>
    <x v="27"/>
    <n v="14203249"/>
    <n v="9366003"/>
    <n v="4837246"/>
    <n v="4837246"/>
  </r>
  <r>
    <x v="0"/>
    <x v="28"/>
    <n v="14203249"/>
    <n v="9366003"/>
    <n v="4837246"/>
    <n v="4837246"/>
  </r>
  <r>
    <x v="0"/>
    <x v="29"/>
    <n v="14203249"/>
    <n v="9366003"/>
    <n v="4837246"/>
    <n v="4837246"/>
  </r>
  <r>
    <x v="0"/>
    <x v="30"/>
    <n v="14203249"/>
    <n v="9366003"/>
    <n v="4837246"/>
    <n v="4837246"/>
  </r>
  <r>
    <x v="0"/>
    <x v="31"/>
    <n v="14203249"/>
    <n v="9366003"/>
    <n v="4837246"/>
    <n v="4837246"/>
  </r>
  <r>
    <x v="0"/>
    <x v="32"/>
    <n v="14203249"/>
    <n v="9366003"/>
    <n v="4837246"/>
    <n v="4837246"/>
  </r>
  <r>
    <x v="0"/>
    <x v="33"/>
    <n v="14203249"/>
    <n v="9366003"/>
    <n v="4837246"/>
    <n v="4837246"/>
  </r>
  <r>
    <x v="0"/>
    <x v="34"/>
    <n v="14203249"/>
    <n v="9366003"/>
    <n v="4837246"/>
    <n v="4837246"/>
  </r>
  <r>
    <x v="0"/>
    <x v="35"/>
    <n v="14203249"/>
    <n v="9366003"/>
    <n v="4837246"/>
    <n v="4837246"/>
  </r>
  <r>
    <x v="0"/>
    <x v="36"/>
    <n v="14203249"/>
    <n v="9366003"/>
    <n v="4837246"/>
    <n v="4837246"/>
  </r>
  <r>
    <x v="0"/>
    <x v="37"/>
    <n v="14203249"/>
    <n v="9366003"/>
    <n v="4837246"/>
    <n v="4837246"/>
  </r>
  <r>
    <x v="0"/>
    <x v="38"/>
    <n v="14203249"/>
    <n v="9366003"/>
    <n v="4837246"/>
    <n v="4837246"/>
  </r>
  <r>
    <x v="0"/>
    <x v="39"/>
    <n v="14203249"/>
    <n v="9366003"/>
    <n v="4837246"/>
    <n v="4837246"/>
  </r>
  <r>
    <x v="0"/>
    <x v="40"/>
    <n v="14203249"/>
    <n v="9366003"/>
    <n v="4837246"/>
    <n v="4837246"/>
  </r>
  <r>
    <x v="0"/>
    <x v="41"/>
    <n v="14203249"/>
    <n v="9366003"/>
    <n v="4837246"/>
    <n v="4837246"/>
  </r>
  <r>
    <x v="0"/>
    <x v="42"/>
    <n v="14203249"/>
    <n v="9366003"/>
    <n v="4837246"/>
    <n v="4837246"/>
  </r>
  <r>
    <x v="0"/>
    <x v="43"/>
    <n v="14203249"/>
    <n v="9366003"/>
    <n v="4837246"/>
    <n v="4837246"/>
  </r>
  <r>
    <x v="0"/>
    <x v="44"/>
    <n v="14203249"/>
    <n v="9366003"/>
    <n v="4837246"/>
    <n v="4837246"/>
  </r>
  <r>
    <x v="0"/>
    <x v="45"/>
    <n v="14203249"/>
    <n v="9366003"/>
    <n v="4837246"/>
    <n v="4837246"/>
  </r>
  <r>
    <x v="0"/>
    <x v="46"/>
    <n v="14203249"/>
    <n v="9366003"/>
    <n v="4837246"/>
    <n v="4837246"/>
  </r>
  <r>
    <x v="0"/>
    <x v="47"/>
    <n v="14203249"/>
    <n v="9366003"/>
    <n v="4837246"/>
    <n v="4837246"/>
  </r>
  <r>
    <x v="0"/>
    <x v="48"/>
    <n v="14203249"/>
    <n v="9366003"/>
    <n v="4837246"/>
    <n v="4837246"/>
  </r>
  <r>
    <x v="0"/>
    <x v="49"/>
    <n v="14203249"/>
    <n v="9366003"/>
    <n v="4837246"/>
    <n v="4837246"/>
  </r>
  <r>
    <x v="0"/>
    <x v="50"/>
    <n v="14203249"/>
    <n v="9366003"/>
    <n v="4837246"/>
    <n v="4837246"/>
  </r>
  <r>
    <x v="0"/>
    <x v="51"/>
    <n v="14203249"/>
    <n v="9366003"/>
    <n v="4837246"/>
    <n v="4837246"/>
  </r>
  <r>
    <x v="0"/>
    <x v="52"/>
    <n v="14203249"/>
    <n v="9366003"/>
    <n v="4837246"/>
    <n v="4837246"/>
  </r>
  <r>
    <x v="0"/>
    <x v="53"/>
    <n v="14203249"/>
    <n v="9366003"/>
    <n v="4837246"/>
    <n v="4837246"/>
  </r>
  <r>
    <x v="0"/>
    <x v="54"/>
    <n v="14203249"/>
    <n v="9366003"/>
    <n v="4837246"/>
    <n v="4837246"/>
  </r>
  <r>
    <x v="0"/>
    <x v="55"/>
    <n v="14203249"/>
    <n v="9366003"/>
    <n v="4837246"/>
    <n v="4837246"/>
  </r>
  <r>
    <x v="0"/>
    <x v="56"/>
    <n v="14203249"/>
    <n v="9366003"/>
    <n v="4837246"/>
    <n v="4837246"/>
  </r>
  <r>
    <x v="0"/>
    <x v="57"/>
    <n v="13637052"/>
    <n v="9366003"/>
    <n v="4271049"/>
    <n v="4271049"/>
  </r>
  <r>
    <x v="0"/>
    <x v="58"/>
    <n v="13637052"/>
    <n v="9366003"/>
    <n v="4271049"/>
    <n v="4271049"/>
  </r>
  <r>
    <x v="0"/>
    <x v="59"/>
    <n v="13637052"/>
    <n v="9366003"/>
    <n v="4271049"/>
    <n v="4271049"/>
  </r>
  <r>
    <x v="0"/>
    <x v="60"/>
    <n v="13637052"/>
    <n v="9366003"/>
    <n v="4271049"/>
    <n v="4271049"/>
  </r>
  <r>
    <x v="0"/>
    <x v="61"/>
    <n v="13637052"/>
    <n v="9366003"/>
    <n v="4271049"/>
    <n v="4271049"/>
  </r>
  <r>
    <x v="0"/>
    <x v="62"/>
    <n v="13637052"/>
    <n v="9366003"/>
    <n v="4271049"/>
    <n v="4271049"/>
  </r>
  <r>
    <x v="0"/>
    <x v="63"/>
    <n v="13637052"/>
    <n v="9366003"/>
    <n v="4271049"/>
    <n v="4271049"/>
  </r>
  <r>
    <x v="0"/>
    <x v="64"/>
    <n v="13637052"/>
    <n v="9366003"/>
    <n v="4271049"/>
    <n v="4271049"/>
  </r>
  <r>
    <x v="0"/>
    <x v="65"/>
    <n v="13637052"/>
    <n v="9366003"/>
    <n v="4271049"/>
    <n v="4271049"/>
  </r>
  <r>
    <x v="0"/>
    <x v="66"/>
    <n v="13637052"/>
    <n v="9366003"/>
    <n v="4271049"/>
    <n v="4271049"/>
  </r>
  <r>
    <x v="0"/>
    <x v="67"/>
    <n v="13637052"/>
    <n v="9366003"/>
    <n v="4271049"/>
    <n v="4271049"/>
  </r>
  <r>
    <x v="0"/>
    <x v="68"/>
    <n v="13637052"/>
    <n v="9366003"/>
    <n v="4271049"/>
    <n v="4271049"/>
  </r>
  <r>
    <x v="0"/>
    <x v="69"/>
    <n v="13637052"/>
    <n v="9366003"/>
    <n v="4271049"/>
    <n v="4271049"/>
  </r>
  <r>
    <x v="0"/>
    <x v="70"/>
    <n v="13637052"/>
    <n v="9366003"/>
    <n v="4271049"/>
    <n v="4271049"/>
  </r>
  <r>
    <x v="0"/>
    <x v="71"/>
    <n v="13637052"/>
    <n v="9366003"/>
    <n v="4271049"/>
    <n v="4271049"/>
  </r>
  <r>
    <x v="0"/>
    <x v="72"/>
    <n v="13637052"/>
    <n v="9366003"/>
    <n v="4271049"/>
    <n v="4271049"/>
  </r>
  <r>
    <x v="0"/>
    <x v="73"/>
    <n v="13637052"/>
    <n v="9366003"/>
    <n v="4271049"/>
    <n v="4271049"/>
  </r>
  <r>
    <x v="0"/>
    <x v="74"/>
    <n v="13637052"/>
    <n v="9366003"/>
    <n v="4271049"/>
    <n v="4271049"/>
  </r>
  <r>
    <x v="0"/>
    <x v="75"/>
    <n v="13637052"/>
    <n v="9366003"/>
    <n v="4271049"/>
    <n v="4271049"/>
  </r>
  <r>
    <x v="0"/>
    <x v="76"/>
    <n v="13637052"/>
    <n v="9366003"/>
    <n v="4271049"/>
    <n v="4271049"/>
  </r>
  <r>
    <x v="0"/>
    <x v="77"/>
    <n v="13637052"/>
    <n v="9366003"/>
    <n v="4271049"/>
    <n v="4271049"/>
  </r>
  <r>
    <x v="0"/>
    <x v="78"/>
    <n v="13637052"/>
    <n v="9366003"/>
    <n v="4271049"/>
    <n v="4271049"/>
  </r>
  <r>
    <x v="0"/>
    <x v="79"/>
    <n v="13637052"/>
    <n v="9366003"/>
    <n v="4271049"/>
    <n v="4271049"/>
  </r>
  <r>
    <x v="0"/>
    <x v="80"/>
    <n v="13637052"/>
    <n v="9366003"/>
    <n v="4271049"/>
    <n v="4271049"/>
  </r>
  <r>
    <x v="0"/>
    <x v="81"/>
    <n v="13637052"/>
    <n v="9366003"/>
    <n v="4271049"/>
    <n v="4271049"/>
  </r>
  <r>
    <x v="0"/>
    <x v="82"/>
    <n v="13637052"/>
    <n v="9366003"/>
    <n v="4271049"/>
    <n v="4271049"/>
  </r>
  <r>
    <x v="0"/>
    <x v="83"/>
    <n v="13637052"/>
    <n v="9366003"/>
    <n v="4271049"/>
    <n v="4271049"/>
  </r>
  <r>
    <x v="0"/>
    <x v="84"/>
    <n v="13637052"/>
    <n v="9366003"/>
    <n v="4271049"/>
    <n v="4271049"/>
  </r>
  <r>
    <x v="0"/>
    <x v="85"/>
    <n v="13637052"/>
    <n v="9366003"/>
    <n v="4271049"/>
    <n v="4271049"/>
  </r>
  <r>
    <x v="0"/>
    <x v="86"/>
    <n v="13637052"/>
    <n v="9366003"/>
    <n v="4271049"/>
    <n v="4271049"/>
  </r>
  <r>
    <x v="0"/>
    <x v="87"/>
    <n v="13637052"/>
    <n v="9366003"/>
    <n v="4271049"/>
    <n v="4271049"/>
  </r>
  <r>
    <x v="0"/>
    <x v="88"/>
    <n v="13063191"/>
    <n v="9366003"/>
    <n v="3697188"/>
    <n v="3697188"/>
  </r>
  <r>
    <x v="0"/>
    <x v="89"/>
    <n v="13063191"/>
    <n v="9366003"/>
    <n v="3697188"/>
    <n v="3697188"/>
  </r>
  <r>
    <x v="0"/>
    <x v="90"/>
    <n v="13063191"/>
    <n v="9366003"/>
    <n v="3697188"/>
    <n v="3697188"/>
  </r>
  <r>
    <x v="0"/>
    <x v="91"/>
    <n v="13063191"/>
    <n v="9366003"/>
    <n v="3697188"/>
    <n v="3697188"/>
  </r>
  <r>
    <x v="1"/>
    <x v="0"/>
    <n v="2902399733643"/>
    <n v="660200592686"/>
    <n v="2242199140957"/>
    <n v="2288594563696"/>
  </r>
  <r>
    <x v="1"/>
    <x v="1"/>
    <n v="2932754939272"/>
    <n v="662880676500"/>
    <n v="2269874262772"/>
    <n v="2317176397929"/>
  </r>
  <r>
    <x v="1"/>
    <x v="2"/>
    <n v="2950568334295"/>
    <n v="666504316809"/>
    <n v="2284064017486"/>
    <n v="2335928371557"/>
  </r>
  <r>
    <x v="1"/>
    <x v="3"/>
    <n v="2971365399224"/>
    <n v="669080301041"/>
    <n v="2302285098183"/>
    <n v="2350967631736"/>
  </r>
  <r>
    <x v="1"/>
    <x v="4"/>
    <n v="2992546280340"/>
    <n v="673220276193"/>
    <n v="2319326004147"/>
    <n v="2369924242290"/>
  </r>
  <r>
    <x v="1"/>
    <x v="5"/>
    <n v="3013845866748"/>
    <n v="679246533221"/>
    <n v="2334599333527"/>
    <n v="2388998772568"/>
  </r>
  <r>
    <x v="1"/>
    <x v="6"/>
    <n v="3027424615803"/>
    <n v="671404011778"/>
    <n v="2356020604025"/>
    <n v="2400114880849"/>
  </r>
  <r>
    <x v="1"/>
    <x v="7"/>
    <n v="3045779389381"/>
    <n v="683330732027"/>
    <n v="2362448657354"/>
    <n v="2416464263642"/>
  </r>
  <r>
    <x v="1"/>
    <x v="8"/>
    <n v="3063403106918"/>
    <n v="685572771439"/>
    <n v="2377830335479"/>
    <n v="2425312444712"/>
  </r>
  <r>
    <x v="1"/>
    <x v="9"/>
    <n v="3084437426416"/>
    <n v="683943401227"/>
    <n v="2400494025189"/>
    <n v="2449020841427"/>
  </r>
  <r>
    <x v="1"/>
    <x v="10"/>
    <n v="3102817658547"/>
    <n v="684953636094"/>
    <n v="2417864022453"/>
    <n v="2469542425901"/>
  </r>
  <r>
    <x v="1"/>
    <x v="11"/>
    <n v="3119361299415"/>
    <n v="688049526267"/>
    <n v="2431311773148"/>
    <n v="2484476613720"/>
  </r>
  <r>
    <x v="1"/>
    <x v="12"/>
    <n v="3141087961345"/>
    <n v="694414625078"/>
    <n v="2446673336267"/>
    <n v="2503766935053"/>
  </r>
  <r>
    <x v="1"/>
    <x v="13"/>
    <n v="3154964850354"/>
    <n v="686746447787"/>
    <n v="2468218402567"/>
    <n v="2515687922411"/>
  </r>
  <r>
    <x v="1"/>
    <x v="14"/>
    <n v="3173175529531"/>
    <n v="696740301930"/>
    <n v="2476435227601"/>
    <n v="2531798561415"/>
  </r>
  <r>
    <x v="1"/>
    <x v="15"/>
    <n v="3190351810823"/>
    <n v="695993330213"/>
    <n v="2494358480610"/>
    <n v="2547014015163"/>
  </r>
  <r>
    <x v="1"/>
    <x v="16"/>
    <n v="3204116329211"/>
    <n v="696597362220"/>
    <n v="2507518966991"/>
    <n v="2562524366152"/>
  </r>
  <r>
    <x v="1"/>
    <x v="17"/>
    <n v="3219044953677"/>
    <n v="698301216385"/>
    <n v="2520743737292"/>
    <n v="2572360929616"/>
  </r>
  <r>
    <x v="1"/>
    <x v="18"/>
    <n v="3232853254426"/>
    <n v="703118248225"/>
    <n v="2529735006201"/>
    <n v="2583753525176"/>
  </r>
  <r>
    <x v="1"/>
    <x v="19"/>
    <n v="3251835683596"/>
    <n v="709248747217"/>
    <n v="2542586936379"/>
    <n v="2599522390870"/>
  </r>
  <r>
    <x v="1"/>
    <x v="20"/>
    <n v="3261944949702"/>
    <n v="700920659029"/>
    <n v="2561024290673"/>
    <n v="2607240226000"/>
  </r>
  <r>
    <x v="1"/>
    <x v="21"/>
    <n v="3276790033462"/>
    <n v="713500880178"/>
    <n v="2563289153284"/>
    <n v="2619626751748"/>
  </r>
  <r>
    <x v="1"/>
    <x v="22"/>
    <n v="3293685055552"/>
    <n v="713537081055"/>
    <n v="2580147974497"/>
    <n v="2634108919190"/>
  </r>
  <r>
    <x v="1"/>
    <x v="23"/>
    <n v="3306680388420"/>
    <n v="717091630941"/>
    <n v="2589588757479"/>
    <n v="2648388274358"/>
  </r>
  <r>
    <x v="1"/>
    <x v="24"/>
    <n v="3320957944223"/>
    <n v="716539259642"/>
    <n v="2604418684581"/>
    <n v="2656632539644"/>
  </r>
  <r>
    <x v="1"/>
    <x v="25"/>
    <n v="3332842065089"/>
    <n v="718319819406"/>
    <n v="2614522245683"/>
    <n v="2666054995642"/>
  </r>
  <r>
    <x v="1"/>
    <x v="26"/>
    <n v="3350989616735"/>
    <n v="721988724039"/>
    <n v="2629000892696"/>
    <n v="2682090899502"/>
  </r>
  <r>
    <x v="1"/>
    <x v="27"/>
    <n v="3348859917857"/>
    <n v="714445683719"/>
    <n v="2634414234138"/>
    <n v="2677663087325"/>
  </r>
  <r>
    <x v="1"/>
    <x v="28"/>
    <n v="3367530585214"/>
    <n v="744190305278"/>
    <n v="2623340279936"/>
    <n v="2693593104169"/>
  </r>
  <r>
    <x v="1"/>
    <x v="29"/>
    <n v="3385624054834"/>
    <n v="733095387344"/>
    <n v="2652528667490"/>
    <n v="2709257730821"/>
  </r>
  <r>
    <x v="1"/>
    <x v="30"/>
    <n v="3403443159096"/>
    <n v="724928376694"/>
    <n v="2678514782402"/>
    <n v="2728984123816"/>
  </r>
  <r>
    <x v="1"/>
    <x v="31"/>
    <n v="3420556528091"/>
    <n v="720393402038"/>
    <n v="2700163126053"/>
    <n v="2740231772481"/>
  </r>
  <r>
    <x v="1"/>
    <x v="32"/>
    <n v="3438156621256"/>
    <n v="729474948365"/>
    <n v="2708681672891"/>
    <n v="2755302685133"/>
  </r>
  <r>
    <x v="1"/>
    <x v="33"/>
    <n v="3459934467328"/>
    <n v="740965701537"/>
    <n v="2718968765791"/>
    <n v="2774234550853"/>
  </r>
  <r>
    <x v="1"/>
    <x v="34"/>
    <n v="3471685473720"/>
    <n v="731841545759"/>
    <n v="2739843927961"/>
    <n v="2784332578254"/>
  </r>
  <r>
    <x v="1"/>
    <x v="35"/>
    <n v="3488880888567"/>
    <n v="751062582165"/>
    <n v="2737818306402"/>
    <n v="2800154304258"/>
  </r>
  <r>
    <x v="1"/>
    <x v="36"/>
    <n v="3504115215735"/>
    <n v="752748712062"/>
    <n v="2751366503673"/>
    <n v="2813266659996"/>
  </r>
  <r>
    <x v="1"/>
    <x v="37"/>
    <n v="3517436967570"/>
    <n v="752684116950"/>
    <n v="2764752850620"/>
    <n v="2828251339201"/>
  </r>
  <r>
    <x v="1"/>
    <x v="38"/>
    <n v="3530852678069"/>
    <n v="751961501127"/>
    <n v="2778891176942"/>
    <n v="2828708850714"/>
  </r>
  <r>
    <x v="1"/>
    <x v="39"/>
    <n v="3541124161674"/>
    <n v="753536297818"/>
    <n v="2787587863856"/>
    <n v="2840604410140"/>
  </r>
  <r>
    <x v="1"/>
    <x v="40"/>
    <n v="3560306706694"/>
    <n v="758685365777"/>
    <n v="2801621340917"/>
    <n v="2860853637057"/>
  </r>
  <r>
    <x v="1"/>
    <x v="41"/>
    <n v="3563961677357"/>
    <n v="749257514048"/>
    <n v="2814704163309"/>
    <n v="2866594443740"/>
  </r>
  <r>
    <x v="1"/>
    <x v="42"/>
    <n v="3574907642555"/>
    <n v="763770325047"/>
    <n v="2811137317508"/>
    <n v="2874985214037"/>
  </r>
  <r>
    <x v="1"/>
    <x v="43"/>
    <n v="3587227415688"/>
    <n v="766751492070"/>
    <n v="2820475923618"/>
    <n v="2883902757910"/>
  </r>
  <r>
    <x v="1"/>
    <x v="44"/>
    <n v="3596503986527"/>
    <n v="767968882926"/>
    <n v="2828535103601"/>
    <n v="2894851123027"/>
  </r>
  <r>
    <x v="1"/>
    <x v="45"/>
    <n v="3609305725855"/>
    <n v="767848578908"/>
    <n v="2841457146947"/>
    <n v="2900927908472"/>
  </r>
  <r>
    <x v="1"/>
    <x v="46"/>
    <n v="3623244217917"/>
    <n v="771358106876"/>
    <n v="2851886111041"/>
    <n v="2912188202251"/>
  </r>
  <r>
    <x v="1"/>
    <x v="47"/>
    <n v="3642863943373"/>
    <n v="776267513344"/>
    <n v="2866596430029"/>
    <n v="2928839325604"/>
  </r>
  <r>
    <x v="1"/>
    <x v="48"/>
    <n v="3652503134813"/>
    <n v="768476703155"/>
    <n v="2884026431658"/>
    <n v="2936199951732"/>
  </r>
  <r>
    <x v="1"/>
    <x v="49"/>
    <n v="3664466771196"/>
    <n v="783464206238"/>
    <n v="2881002564958"/>
    <n v="2945796577903"/>
  </r>
  <r>
    <x v="1"/>
    <x v="50"/>
    <n v="3678515165463"/>
    <n v="785233984957"/>
    <n v="2893281180506"/>
    <n v="2957199978660"/>
  </r>
  <r>
    <x v="1"/>
    <x v="51"/>
    <n v="3691948724532"/>
    <n v="787226819035"/>
    <n v="2904721905497"/>
    <n v="2972231126596"/>
  </r>
  <r>
    <x v="1"/>
    <x v="52"/>
    <n v="3702899284992"/>
    <n v="790253057087"/>
    <n v="2912646227905"/>
    <n v="2975763044538"/>
  </r>
  <r>
    <x v="1"/>
    <x v="53"/>
    <n v="3714499700745"/>
    <n v="794934368866"/>
    <n v="2919565331879"/>
    <n v="2983654861138"/>
  </r>
  <r>
    <x v="1"/>
    <x v="54"/>
    <n v="3731295394132"/>
    <n v="801237167496"/>
    <n v="2930058226636"/>
    <n v="2996932931467"/>
  </r>
  <r>
    <x v="1"/>
    <x v="55"/>
    <n v="3739698152043"/>
    <n v="792809892612"/>
    <n v="2946888259431"/>
    <n v="3002094351075"/>
  </r>
  <r>
    <x v="1"/>
    <x v="56"/>
    <n v="3753424573826"/>
    <n v="807897841890"/>
    <n v="2945526731936"/>
    <n v="3012652753437"/>
  </r>
  <r>
    <x v="1"/>
    <x v="57"/>
    <n v="3767732208975"/>
    <n v="812089021166"/>
    <n v="2955643187809"/>
    <n v="3023564112328"/>
  </r>
  <r>
    <x v="1"/>
    <x v="58"/>
    <n v="3767287816485"/>
    <n v="814995224032"/>
    <n v="2952317025235"/>
    <n v="3024625144528"/>
  </r>
  <r>
    <x v="1"/>
    <x v="59"/>
    <n v="3779861942901"/>
    <n v="840745692870"/>
    <n v="2939140682813"/>
    <n v="3029892704536"/>
  </r>
  <r>
    <x v="1"/>
    <x v="60"/>
    <n v="3799926406680"/>
    <n v="827802955783"/>
    <n v="2972147883679"/>
    <n v="3046410658880"/>
  </r>
  <r>
    <x v="1"/>
    <x v="61"/>
    <n v="3816513228261"/>
    <n v="821148128101"/>
    <n v="2995389532942"/>
    <n v="3059900989482"/>
  </r>
  <r>
    <x v="1"/>
    <x v="62"/>
    <n v="3833659536335"/>
    <n v="816703955968"/>
    <n v="3016980013149"/>
    <n v="3073486042974"/>
  </r>
  <r>
    <x v="1"/>
    <x v="63"/>
    <n v="3851279888248"/>
    <n v="814133692605"/>
    <n v="3037170628425"/>
    <n v="3086838146567"/>
  </r>
  <r>
    <x v="1"/>
    <x v="64"/>
    <n v="3857194863529"/>
    <n v="809203169161"/>
    <n v="3048016127150"/>
    <n v="3089564273700"/>
  </r>
  <r>
    <x v="1"/>
    <x v="65"/>
    <n v="3881255211210"/>
    <n v="842854064338"/>
    <n v="3038425579654"/>
    <n v="3115331088353"/>
  </r>
  <r>
    <x v="1"/>
    <x v="66"/>
    <n v="3906708714439"/>
    <n v="843106158700"/>
    <n v="3063626988521"/>
    <n v="3132998660668"/>
  </r>
  <r>
    <x v="1"/>
    <x v="67"/>
    <n v="3930158892294"/>
    <n v="847042135922"/>
    <n v="3083141189154"/>
    <n v="3153055356574"/>
  </r>
  <r>
    <x v="1"/>
    <x v="68"/>
    <n v="3958692455427"/>
    <n v="853395443239"/>
    <n v="3105321444970"/>
    <n v="3178339625593"/>
  </r>
  <r>
    <x v="1"/>
    <x v="69"/>
    <n v="3979624646490"/>
    <n v="841323944922"/>
    <n v="3138325134350"/>
    <n v="3186074580699"/>
  </r>
  <r>
    <x v="1"/>
    <x v="70"/>
    <n v="4009509258341"/>
    <n v="861072155423"/>
    <n v="3148459977603"/>
    <n v="3217587731896"/>
  </r>
  <r>
    <x v="1"/>
    <x v="71"/>
    <n v="4039098665807"/>
    <n v="856484131713"/>
    <n v="3182637408779"/>
    <n v="3250576410257"/>
  </r>
  <r>
    <x v="1"/>
    <x v="72"/>
    <n v="4065145372484"/>
    <n v="856363001225"/>
    <n v="3208805245944"/>
    <n v="3278994477816"/>
  </r>
  <r>
    <x v="1"/>
    <x v="73"/>
    <n v="4086922885188"/>
    <n v="858063264605"/>
    <n v="3228876952227"/>
    <n v="3302506058750"/>
  </r>
  <r>
    <x v="1"/>
    <x v="74"/>
    <n v="4108980695862"/>
    <n v="863562104504"/>
    <n v="3245428932194"/>
    <n v="3325616900774"/>
  </r>
  <r>
    <x v="1"/>
    <x v="75"/>
    <n v="4137620265638"/>
    <n v="870441335096"/>
    <n v="3267189271378"/>
    <n v="3340578249152"/>
  </r>
  <r>
    <x v="1"/>
    <x v="76"/>
    <n v="4155963926905"/>
    <n v="858955816184"/>
    <n v="3297018451557"/>
    <n v="3355850974813"/>
  </r>
  <r>
    <x v="1"/>
    <x v="77"/>
    <n v="4179769881767"/>
    <n v="873766919101"/>
    <n v="3306013303502"/>
    <n v="3376595791093"/>
  </r>
  <r>
    <x v="1"/>
    <x v="78"/>
    <n v="4201504566945"/>
    <n v="875273483818"/>
    <n v="3326241423963"/>
    <n v="3395475565741"/>
  </r>
  <r>
    <x v="1"/>
    <x v="79"/>
    <n v="4221836494558"/>
    <n v="878247672998"/>
    <n v="3343599162396"/>
    <n v="3417547588258"/>
  </r>
  <r>
    <x v="1"/>
    <x v="80"/>
    <n v="4243362959733"/>
    <n v="882855068608"/>
    <n v="3360518231961"/>
    <n v="3431318218716"/>
  </r>
  <r>
    <x v="1"/>
    <x v="81"/>
    <n v="4264657485330"/>
    <n v="888282587429"/>
    <n v="3376385238737"/>
    <n v="3448772477663"/>
  </r>
  <r>
    <x v="1"/>
    <x v="82"/>
    <n v="4289701749631"/>
    <n v="895018088072"/>
    <n v="3394694002395"/>
    <n v="3470187748500"/>
  </r>
  <r>
    <x v="1"/>
    <x v="83"/>
    <n v="4305436299109"/>
    <n v="885761806622"/>
    <n v="3419684833323"/>
    <n v="3482055476207"/>
  </r>
  <r>
    <x v="1"/>
    <x v="84"/>
    <n v="4326869087195"/>
    <n v="901927176759"/>
    <n v="3424941910436"/>
    <n v="3499947805757"/>
  </r>
  <r>
    <x v="1"/>
    <x v="85"/>
    <n v="4348318138079"/>
    <n v="904391011174"/>
    <n v="3443927126905"/>
    <n v="3517989713935"/>
  </r>
  <r>
    <x v="1"/>
    <x v="86"/>
    <n v="4370035432698"/>
    <n v="907267219799"/>
    <n v="3462768212899"/>
    <n v="3541243550136"/>
  </r>
  <r>
    <x v="1"/>
    <x v="87"/>
    <n v="4391141946311"/>
    <n v="908844722944"/>
    <n v="3482297223367"/>
    <n v="3553995973784"/>
  </r>
  <r>
    <x v="1"/>
    <x v="88"/>
    <n v="4410419245729"/>
    <n v="914832300916"/>
    <n v="3495598974305"/>
    <n v="3570106592044"/>
  </r>
  <r>
    <x v="1"/>
    <x v="89"/>
    <n v="4434195085709"/>
    <n v="923068506108"/>
    <n v="3511138609093"/>
    <n v="3589512046200"/>
  </r>
  <r>
    <x v="1"/>
    <x v="90"/>
    <n v="4440543014792"/>
    <n v="913305040679"/>
    <n v="3527250003605"/>
    <n v="3591731509978"/>
  </r>
  <r>
    <x v="1"/>
    <x v="91"/>
    <n v="4468394120706"/>
    <n v="942686533064"/>
    <n v="3525719617134"/>
    <n v="3616016650704"/>
  </r>
  <r>
    <x v="2"/>
    <x v="0"/>
    <n v="298111120654"/>
    <n v="72657248975"/>
    <n v="225453871679"/>
    <n v="226668069020"/>
  </r>
  <r>
    <x v="2"/>
    <x v="1"/>
    <n v="300349813784"/>
    <n v="72740803298"/>
    <n v="227609010486"/>
    <n v="228822437119"/>
  </r>
  <r>
    <x v="2"/>
    <x v="2"/>
    <n v="301241216205"/>
    <n v="72807940634"/>
    <n v="228433275571"/>
    <n v="229674307798"/>
  </r>
  <r>
    <x v="2"/>
    <x v="3"/>
    <n v="301906433587"/>
    <n v="78561192280"/>
    <n v="223345241307"/>
    <n v="230312382782"/>
  </r>
  <r>
    <x v="2"/>
    <x v="4"/>
    <n v="302731823557"/>
    <n v="78524089550"/>
    <n v="224207734007"/>
    <n v="231101670351"/>
  </r>
  <r>
    <x v="2"/>
    <x v="5"/>
    <n v="303616537367"/>
    <n v="78759845285"/>
    <n v="224856692082"/>
    <n v="231930287943"/>
  </r>
  <r>
    <x v="2"/>
    <x v="6"/>
    <n v="304416736818"/>
    <n v="78768610254"/>
    <n v="225648126564"/>
    <n v="232705170224"/>
  </r>
  <r>
    <x v="2"/>
    <x v="7"/>
    <n v="304524859480"/>
    <n v="78614741464"/>
    <n v="225910118016"/>
    <n v="232842162999"/>
  </r>
  <r>
    <x v="2"/>
    <x v="8"/>
    <n v="304896243408"/>
    <n v="78597339494"/>
    <n v="226298903914"/>
    <n v="233126383882"/>
  </r>
  <r>
    <x v="2"/>
    <x v="9"/>
    <n v="304860340348"/>
    <n v="78639861002"/>
    <n v="226220479346"/>
    <n v="233009854208"/>
  </r>
  <r>
    <x v="2"/>
    <x v="10"/>
    <n v="304531287732"/>
    <n v="78704188663"/>
    <n v="225827099069"/>
    <n v="232631622325"/>
  </r>
  <r>
    <x v="2"/>
    <x v="11"/>
    <n v="305048348227"/>
    <n v="78734355535"/>
    <n v="226313992692"/>
    <n v="233126019892"/>
  </r>
  <r>
    <x v="2"/>
    <x v="12"/>
    <n v="306151750331"/>
    <n v="78866842636"/>
    <n v="227284907695"/>
    <n v="234111388601"/>
  </r>
  <r>
    <x v="2"/>
    <x v="13"/>
    <n v="306870751556"/>
    <n v="78830916727"/>
    <n v="228039834829"/>
    <n v="229186529470"/>
  </r>
  <r>
    <x v="2"/>
    <x v="14"/>
    <n v="306996407937"/>
    <n v="78873207982"/>
    <n v="228123199955"/>
    <n v="229247324561"/>
  </r>
  <r>
    <x v="2"/>
    <x v="15"/>
    <n v="307424534295"/>
    <n v="78868841212"/>
    <n v="228555693083"/>
    <n v="229602879291"/>
  </r>
  <r>
    <x v="2"/>
    <x v="16"/>
    <n v="307369773102"/>
    <n v="78760988044"/>
    <n v="228608785058"/>
    <n v="229608060230"/>
  </r>
  <r>
    <x v="2"/>
    <x v="17"/>
    <n v="307606174918"/>
    <n v="78772558494"/>
    <n v="228833616424"/>
    <n v="229853036084"/>
  </r>
  <r>
    <x v="2"/>
    <x v="18"/>
    <n v="308318689018"/>
    <n v="78844092657"/>
    <n v="229474596361"/>
    <n v="230531182846"/>
  </r>
  <r>
    <x v="2"/>
    <x v="19"/>
    <n v="308962525874"/>
    <n v="78926120662"/>
    <n v="230036405212"/>
    <n v="231104237751"/>
  </r>
  <r>
    <x v="2"/>
    <x v="20"/>
    <n v="308951222700"/>
    <n v="78924765660"/>
    <n v="230026457040"/>
    <n v="231042860792"/>
  </r>
  <r>
    <x v="2"/>
    <x v="21"/>
    <n v="308416331444"/>
    <n v="78848257918"/>
    <n v="229568073526"/>
    <n v="230457937964"/>
  </r>
  <r>
    <x v="2"/>
    <x v="22"/>
    <n v="308237732740"/>
    <n v="78870852833"/>
    <n v="229366879907"/>
    <n v="230236295669"/>
  </r>
  <r>
    <x v="2"/>
    <x v="23"/>
    <n v="308231491559"/>
    <n v="78755622906"/>
    <n v="229475868653"/>
    <n v="230243142734"/>
  </r>
  <r>
    <x v="2"/>
    <x v="24"/>
    <n v="307954724341"/>
    <n v="78822519367"/>
    <n v="229132204974"/>
    <n v="229933396986"/>
  </r>
  <r>
    <x v="2"/>
    <x v="25"/>
    <n v="307849743625"/>
    <n v="78900614370"/>
    <n v="228949129255"/>
    <n v="229766280483"/>
  </r>
  <r>
    <x v="2"/>
    <x v="26"/>
    <n v="307952964965"/>
    <n v="78957899461"/>
    <n v="228995065504"/>
    <n v="229864973732"/>
  </r>
  <r>
    <x v="2"/>
    <x v="27"/>
    <n v="307377776051"/>
    <n v="78850716514"/>
    <n v="228527059537"/>
    <n v="229296999271"/>
  </r>
  <r>
    <x v="2"/>
    <x v="28"/>
    <n v="305885502860"/>
    <n v="78860637496"/>
    <n v="227024865364"/>
    <n v="227825503603"/>
  </r>
  <r>
    <x v="2"/>
    <x v="29"/>
    <n v="303821088664"/>
    <n v="78960198237"/>
    <n v="224860890427"/>
    <n v="225758961611"/>
  </r>
  <r>
    <x v="2"/>
    <x v="30"/>
    <n v="300619607926"/>
    <n v="78934143811"/>
    <n v="221685464115"/>
    <n v="222621213993"/>
  </r>
  <r>
    <x v="2"/>
    <x v="31"/>
    <n v="299479416924"/>
    <n v="78923059680"/>
    <n v="220556357244"/>
    <n v="221532774685"/>
  </r>
  <r>
    <x v="2"/>
    <x v="32"/>
    <n v="300579118892"/>
    <n v="84342167642"/>
    <n v="216236951250"/>
    <n v="222624203544"/>
  </r>
  <r>
    <x v="2"/>
    <x v="33"/>
    <n v="301624931048"/>
    <n v="84300413468"/>
    <n v="217324517580"/>
    <n v="223695407222"/>
  </r>
  <r>
    <x v="2"/>
    <x v="34"/>
    <n v="302900976920"/>
    <n v="84235090475"/>
    <n v="218665886445"/>
    <n v="224933329982"/>
  </r>
  <r>
    <x v="2"/>
    <x v="35"/>
    <n v="302689463668"/>
    <n v="84119314351"/>
    <n v="218570149317"/>
    <n v="224722042201"/>
  </r>
  <r>
    <x v="2"/>
    <x v="36"/>
    <n v="302305370572"/>
    <n v="84156285894"/>
    <n v="218149084678"/>
    <n v="224355349205"/>
  </r>
  <r>
    <x v="2"/>
    <x v="37"/>
    <n v="301931398453"/>
    <n v="84094374010"/>
    <n v="217837024443"/>
    <n v="224007912084"/>
  </r>
  <r>
    <x v="2"/>
    <x v="38"/>
    <n v="301225266006"/>
    <n v="84143085775"/>
    <n v="217082180231"/>
    <n v="223298652866"/>
  </r>
  <r>
    <x v="2"/>
    <x v="39"/>
    <n v="301204707472"/>
    <n v="84146454719"/>
    <n v="217058252753"/>
    <n v="223227782369"/>
  </r>
  <r>
    <x v="2"/>
    <x v="40"/>
    <n v="301517291744"/>
    <n v="84221688684"/>
    <n v="217295603060"/>
    <n v="223518968888"/>
  </r>
  <r>
    <x v="2"/>
    <x v="41"/>
    <n v="301006518182"/>
    <n v="84171398632"/>
    <n v="216835119550"/>
    <n v="222981577585"/>
  </r>
  <r>
    <x v="2"/>
    <x v="42"/>
    <n v="300578076643"/>
    <n v="84089956208"/>
    <n v="216488120435"/>
    <n v="217280249176"/>
  </r>
  <r>
    <x v="2"/>
    <x v="43"/>
    <n v="299911261895"/>
    <n v="84078626762"/>
    <n v="215832635133"/>
    <n v="216638678967"/>
  </r>
  <r>
    <x v="2"/>
    <x v="44"/>
    <n v="299829671562"/>
    <n v="84091577369"/>
    <n v="215738094193"/>
    <n v="216575168560"/>
  </r>
  <r>
    <x v="2"/>
    <x v="45"/>
    <n v="299919164509"/>
    <n v="84087901931"/>
    <n v="215831262578"/>
    <n v="216703100328"/>
  </r>
  <r>
    <x v="2"/>
    <x v="46"/>
    <n v="300055219759"/>
    <n v="84115057085"/>
    <n v="215940162674"/>
    <n v="216817344545"/>
  </r>
  <r>
    <x v="2"/>
    <x v="47"/>
    <n v="300228937192"/>
    <n v="84189296216"/>
    <n v="216039640976"/>
    <n v="216935474796"/>
  </r>
  <r>
    <x v="2"/>
    <x v="48"/>
    <n v="299887108777"/>
    <n v="84217335156"/>
    <n v="215669773621"/>
    <n v="216596826958"/>
  </r>
  <r>
    <x v="2"/>
    <x v="49"/>
    <n v="299786590816"/>
    <n v="84233898999"/>
    <n v="215552691817"/>
    <n v="216515129297"/>
  </r>
  <r>
    <x v="2"/>
    <x v="50"/>
    <n v="299425331277"/>
    <n v="84162442424"/>
    <n v="215262888853"/>
    <n v="216210612589"/>
  </r>
  <r>
    <x v="2"/>
    <x v="51"/>
    <n v="298945944055"/>
    <n v="84154960103"/>
    <n v="214790983952"/>
    <n v="215726226453"/>
  </r>
  <r>
    <x v="2"/>
    <x v="52"/>
    <n v="298337509771"/>
    <n v="84126281052"/>
    <n v="214211228719"/>
    <n v="215146840572"/>
  </r>
  <r>
    <x v="2"/>
    <x v="53"/>
    <n v="298233190087"/>
    <n v="84169401375"/>
    <n v="214063788712"/>
    <n v="214971825937"/>
  </r>
  <r>
    <x v="2"/>
    <x v="54"/>
    <n v="298200784691"/>
    <n v="84305389644"/>
    <n v="213895395047"/>
    <n v="214914007042"/>
  </r>
  <r>
    <x v="2"/>
    <x v="55"/>
    <n v="297978748856"/>
    <n v="84423232526"/>
    <n v="213555516330"/>
    <n v="214638607377"/>
  </r>
  <r>
    <x v="2"/>
    <x v="56"/>
    <n v="297692506261"/>
    <n v="84441958864"/>
    <n v="213250547397"/>
    <n v="214328903952"/>
  </r>
  <r>
    <x v="2"/>
    <x v="57"/>
    <n v="297169359120"/>
    <n v="84520719130"/>
    <n v="212648639990"/>
    <n v="213794953267"/>
  </r>
  <r>
    <x v="2"/>
    <x v="58"/>
    <n v="295881485447"/>
    <n v="84589840765"/>
    <n v="211291644682"/>
    <n v="212466722169"/>
  </r>
  <r>
    <x v="2"/>
    <x v="59"/>
    <n v="292362235667"/>
    <n v="84565567352"/>
    <n v="207796668315"/>
    <n v="208928436159"/>
  </r>
  <r>
    <x v="2"/>
    <x v="60"/>
    <n v="290398963255"/>
    <n v="84617245898"/>
    <n v="205781717357"/>
    <n v="206934260767"/>
  </r>
  <r>
    <x v="2"/>
    <x v="61"/>
    <n v="289284950835"/>
    <n v="84724483940"/>
    <n v="204560466895"/>
    <n v="205786669173"/>
  </r>
  <r>
    <x v="2"/>
    <x v="62"/>
    <n v="288913504986"/>
    <n v="84835602330"/>
    <n v="204077902656"/>
    <n v="205385984850"/>
  </r>
  <r>
    <x v="2"/>
    <x v="63"/>
    <n v="290220892194"/>
    <n v="90974854266"/>
    <n v="199246037928"/>
    <n v="206652550767"/>
  </r>
  <r>
    <x v="2"/>
    <x v="64"/>
    <n v="290868356649"/>
    <n v="90901145471"/>
    <n v="199967211178"/>
    <n v="207263299939"/>
  </r>
  <r>
    <x v="2"/>
    <x v="65"/>
    <n v="291093629181"/>
    <n v="90763815689"/>
    <n v="200329813492"/>
    <n v="207410980210"/>
  </r>
  <r>
    <x v="2"/>
    <x v="66"/>
    <n v="290978827785"/>
    <n v="90780190476"/>
    <n v="200198637309"/>
    <n v="207314130802"/>
  </r>
  <r>
    <x v="2"/>
    <x v="67"/>
    <n v="290614276648"/>
    <n v="90850331423"/>
    <n v="199763945225"/>
    <n v="206890249792"/>
  </r>
  <r>
    <x v="2"/>
    <x v="68"/>
    <n v="290867101527"/>
    <n v="90912634132"/>
    <n v="199954467395"/>
    <n v="207074028356"/>
  </r>
  <r>
    <x v="2"/>
    <x v="69"/>
    <n v="290396784485"/>
    <n v="90865892152"/>
    <n v="199530892333"/>
    <n v="206566810408"/>
  </r>
  <r>
    <x v="2"/>
    <x v="70"/>
    <n v="290701647530"/>
    <n v="90869795511"/>
    <n v="199831852019"/>
    <n v="206838179152"/>
  </r>
  <r>
    <x v="2"/>
    <x v="71"/>
    <n v="289655011453"/>
    <n v="90826723353"/>
    <n v="198828288100"/>
    <n v="205810174547"/>
  </r>
  <r>
    <x v="2"/>
    <x v="72"/>
    <n v="288784301094"/>
    <n v="90839544207"/>
    <n v="197944756887"/>
    <n v="204880494847"/>
  </r>
  <r>
    <x v="2"/>
    <x v="73"/>
    <n v="287897860994"/>
    <n v="90825651271"/>
    <n v="197072209723"/>
    <n v="198144095307"/>
  </r>
  <r>
    <x v="2"/>
    <x v="74"/>
    <n v="287779390959"/>
    <n v="90805604759"/>
    <n v="196973786200"/>
    <n v="198037334028"/>
  </r>
  <r>
    <x v="2"/>
    <x v="75"/>
    <n v="288125943025"/>
    <n v="90882389929"/>
    <n v="197243553096"/>
    <n v="198351598832"/>
  </r>
  <r>
    <x v="2"/>
    <x v="76"/>
    <n v="287355820986"/>
    <n v="90833839988"/>
    <n v="196521980998"/>
    <n v="197576617713"/>
  </r>
  <r>
    <x v="2"/>
    <x v="77"/>
    <n v="286863357941"/>
    <n v="90795042935"/>
    <n v="196068315006"/>
    <n v="197085203665"/>
  </r>
  <r>
    <x v="2"/>
    <x v="78"/>
    <n v="286231559540"/>
    <n v="90810593936"/>
    <n v="195420965604"/>
    <n v="196395586475"/>
  </r>
  <r>
    <x v="2"/>
    <x v="79"/>
    <n v="285891283725"/>
    <n v="90761326065"/>
    <n v="195129957660"/>
    <n v="196091365771"/>
  </r>
  <r>
    <x v="2"/>
    <x v="80"/>
    <n v="285566652140"/>
    <n v="90804084362"/>
    <n v="194762567778"/>
    <n v="195787815411"/>
  </r>
  <r>
    <x v="2"/>
    <x v="81"/>
    <n v="285391897237"/>
    <n v="90798118890"/>
    <n v="194593778347"/>
    <n v="195557359728"/>
  </r>
  <r>
    <x v="2"/>
    <x v="82"/>
    <n v="285058957832"/>
    <n v="90893597615"/>
    <n v="194165360217"/>
    <n v="195140543952"/>
  </r>
  <r>
    <x v="2"/>
    <x v="83"/>
    <n v="284891126325"/>
    <n v="90917704302"/>
    <n v="193973422023"/>
    <n v="194938358436"/>
  </r>
  <r>
    <x v="2"/>
    <x v="84"/>
    <n v="284847170763"/>
    <n v="90925182749"/>
    <n v="193921988014"/>
    <n v="194864537136"/>
  </r>
  <r>
    <x v="2"/>
    <x v="85"/>
    <n v="284289915158"/>
    <n v="90909503916"/>
    <n v="193380411242"/>
    <n v="194319835925"/>
  </r>
  <r>
    <x v="2"/>
    <x v="86"/>
    <n v="283702504767"/>
    <n v="90873821741"/>
    <n v="192828683026"/>
    <n v="193717342004"/>
  </r>
  <r>
    <x v="2"/>
    <x v="87"/>
    <n v="282893942665"/>
    <n v="90903004659"/>
    <n v="191990938006"/>
    <n v="192934498365"/>
  </r>
  <r>
    <x v="2"/>
    <x v="88"/>
    <n v="282752235470"/>
    <n v="90953904981"/>
    <n v="191798330489"/>
    <n v="192806957714"/>
  </r>
  <r>
    <x v="2"/>
    <x v="89"/>
    <n v="282257682989"/>
    <n v="91007263247"/>
    <n v="191250419742"/>
    <n v="192267457148"/>
  </r>
  <r>
    <x v="2"/>
    <x v="90"/>
    <n v="281101821502"/>
    <n v="91134131692"/>
    <n v="189967689810"/>
    <n v="191088398121"/>
  </r>
  <r>
    <x v="2"/>
    <x v="91"/>
    <n v="277132402651"/>
    <n v="91111818258"/>
    <n v="186020584393"/>
    <n v="187152076983"/>
  </r>
  <r>
    <x v="3"/>
    <x v="0"/>
    <n v="222435075260"/>
    <n v="90817151033"/>
    <n v="131617924227"/>
    <n v="134925605535"/>
  </r>
  <r>
    <x v="3"/>
    <x v="1"/>
    <n v="222864669244"/>
    <n v="90967792618"/>
    <n v="131896876626"/>
    <n v="135209289873"/>
  </r>
  <r>
    <x v="3"/>
    <x v="2"/>
    <n v="223130805219"/>
    <n v="91123574466"/>
    <n v="132007230753"/>
    <n v="135521108552"/>
  </r>
  <r>
    <x v="3"/>
    <x v="3"/>
    <n v="223490021045"/>
    <n v="91336434154"/>
    <n v="132153586891"/>
    <n v="135430621194"/>
  </r>
  <r>
    <x v="3"/>
    <x v="4"/>
    <n v="224975988730"/>
    <n v="91559890604"/>
    <n v="133416098126"/>
    <n v="136664575130"/>
  </r>
  <r>
    <x v="3"/>
    <x v="5"/>
    <n v="226087683236"/>
    <n v="91848899341"/>
    <n v="134238783895"/>
    <n v="137661929345"/>
  </r>
  <r>
    <x v="3"/>
    <x v="6"/>
    <n v="226317123909"/>
    <n v="91583934681"/>
    <n v="134733189228"/>
    <n v="137671257577"/>
  </r>
  <r>
    <x v="3"/>
    <x v="7"/>
    <n v="226565095564"/>
    <n v="92193746362"/>
    <n v="134371349202"/>
    <n v="137730156401"/>
  </r>
  <r>
    <x v="3"/>
    <x v="8"/>
    <n v="226849065282"/>
    <n v="92275462327"/>
    <n v="134573602955"/>
    <n v="137816316871"/>
  </r>
  <r>
    <x v="3"/>
    <x v="9"/>
    <n v="224304694624"/>
    <n v="92270659837"/>
    <n v="132034034787"/>
    <n v="135358763377"/>
  </r>
  <r>
    <x v="3"/>
    <x v="10"/>
    <n v="224697741514"/>
    <n v="92421011742"/>
    <n v="132276729772"/>
    <n v="135293549894"/>
  </r>
  <r>
    <x v="3"/>
    <x v="11"/>
    <n v="226219648264"/>
    <n v="92616259603"/>
    <n v="133603388661"/>
    <n v="136627466190"/>
  </r>
  <r>
    <x v="3"/>
    <x v="12"/>
    <n v="227920821026"/>
    <n v="92877238174"/>
    <n v="135043582852"/>
    <n v="138169768755"/>
  </r>
  <r>
    <x v="3"/>
    <x v="13"/>
    <n v="228328073527"/>
    <n v="92591981097"/>
    <n v="135736092430"/>
    <n v="138385552677"/>
  </r>
  <r>
    <x v="3"/>
    <x v="14"/>
    <n v="227753670978"/>
    <n v="93274618926"/>
    <n v="134479052052"/>
    <n v="137609511350"/>
  </r>
  <r>
    <x v="3"/>
    <x v="15"/>
    <n v="228072969809"/>
    <n v="93365650878"/>
    <n v="134707318931"/>
    <n v="137782471152"/>
  </r>
  <r>
    <x v="3"/>
    <x v="16"/>
    <n v="228842085921"/>
    <n v="93450587226"/>
    <n v="135391498695"/>
    <n v="138622165902"/>
  </r>
  <r>
    <x v="3"/>
    <x v="17"/>
    <n v="229171585651"/>
    <n v="93496505687"/>
    <n v="135675079964"/>
    <n v="138619530405"/>
  </r>
  <r>
    <x v="3"/>
    <x v="18"/>
    <n v="230471842125"/>
    <n v="93725049891"/>
    <n v="136746792234"/>
    <n v="139807910194"/>
  </r>
  <r>
    <x v="3"/>
    <x v="19"/>
    <n v="231598856515"/>
    <n v="93957100748"/>
    <n v="137641755767"/>
    <n v="140755754028"/>
  </r>
  <r>
    <x v="3"/>
    <x v="20"/>
    <n v="231312543600"/>
    <n v="93716686393"/>
    <n v="137595857207"/>
    <n v="140275844615"/>
  </r>
  <r>
    <x v="3"/>
    <x v="21"/>
    <n v="237869709925"/>
    <n v="94552237479"/>
    <n v="143317472446"/>
    <n v="146653244153"/>
  </r>
  <r>
    <x v="3"/>
    <x v="22"/>
    <n v="247380705159"/>
    <n v="94585699884"/>
    <n v="152795005275"/>
    <n v="155986325047"/>
  </r>
  <r>
    <x v="3"/>
    <x v="23"/>
    <n v="254669244065"/>
    <n v="94757678686"/>
    <n v="159911565379"/>
    <n v="163337423169"/>
  </r>
  <r>
    <x v="3"/>
    <x v="24"/>
    <n v="260528859404"/>
    <n v="94861283420"/>
    <n v="165667575984"/>
    <n v="168673608181"/>
  </r>
  <r>
    <x v="3"/>
    <x v="25"/>
    <n v="265454061252"/>
    <n v="95171044895"/>
    <n v="170283016357"/>
    <n v="173386044174"/>
  </r>
  <r>
    <x v="3"/>
    <x v="26"/>
    <n v="270064229168"/>
    <n v="95514978358"/>
    <n v="174549250810"/>
    <n v="177823574666"/>
  </r>
  <r>
    <x v="3"/>
    <x v="27"/>
    <n v="275168027447"/>
    <n v="95248731465"/>
    <n v="179919295982"/>
    <n v="182807122718"/>
  </r>
  <r>
    <x v="3"/>
    <x v="28"/>
    <n v="279611582107"/>
    <n v="95934990467"/>
    <n v="183676591640"/>
    <n v="187037306111"/>
  </r>
  <r>
    <x v="3"/>
    <x v="29"/>
    <n v="282455970181"/>
    <n v="96123109680"/>
    <n v="186332860501"/>
    <n v="189699207941"/>
  </r>
  <r>
    <x v="3"/>
    <x v="30"/>
    <n v="283932806264"/>
    <n v="96279109881"/>
    <n v="187653696383"/>
    <n v="191232278479"/>
  </r>
  <r>
    <x v="3"/>
    <x v="31"/>
    <n v="288065819178"/>
    <n v="96488377799"/>
    <n v="191577441379"/>
    <n v="194858063681"/>
  </r>
  <r>
    <x v="3"/>
    <x v="32"/>
    <n v="291854511579"/>
    <n v="96762351757"/>
    <n v="195092159822"/>
    <n v="198422941710"/>
  </r>
  <r>
    <x v="3"/>
    <x v="33"/>
    <n v="295586398460"/>
    <n v="97064771587"/>
    <n v="198521626873"/>
    <n v="201923936155"/>
  </r>
  <r>
    <x v="3"/>
    <x v="34"/>
    <n v="298616353289"/>
    <n v="96849955529"/>
    <n v="201766397760"/>
    <n v="204790523257"/>
  </r>
  <r>
    <x v="3"/>
    <x v="35"/>
    <n v="301189147434"/>
    <n v="97649085081"/>
    <n v="203540062353"/>
    <n v="207111568901"/>
  </r>
  <r>
    <x v="3"/>
    <x v="36"/>
    <n v="303716121811"/>
    <n v="97699620657"/>
    <n v="206016501154"/>
    <n v="209419482748"/>
  </r>
  <r>
    <x v="3"/>
    <x v="37"/>
    <n v="305549558923"/>
    <n v="97917352630"/>
    <n v="207632206293"/>
    <n v="211336651243"/>
  </r>
  <r>
    <x v="3"/>
    <x v="38"/>
    <n v="305724228961"/>
    <n v="97991458901"/>
    <n v="207732770060"/>
    <n v="211088405364"/>
  </r>
  <r>
    <x v="3"/>
    <x v="39"/>
    <n v="307959706416"/>
    <n v="98050493681"/>
    <n v="209909212735"/>
    <n v="213139052356"/>
  </r>
  <r>
    <x v="3"/>
    <x v="40"/>
    <n v="311162133902"/>
    <n v="98357226642"/>
    <n v="212804907260"/>
    <n v="216176077972"/>
  </r>
  <r>
    <x v="3"/>
    <x v="41"/>
    <n v="311682909649"/>
    <n v="97908397298"/>
    <n v="213774512351"/>
    <n v="216567905437"/>
  </r>
  <r>
    <x v="3"/>
    <x v="42"/>
    <n v="312973197010"/>
    <n v="98646491698"/>
    <n v="214326705312"/>
    <n v="217668634226"/>
  </r>
  <r>
    <x v="3"/>
    <x v="43"/>
    <n v="314790246347"/>
    <n v="98863396934"/>
    <n v="215926849413"/>
    <n v="219333259242"/>
  </r>
  <r>
    <x v="3"/>
    <x v="44"/>
    <n v="316462331808"/>
    <n v="99100611698"/>
    <n v="217361720110"/>
    <n v="221090788840"/>
  </r>
  <r>
    <x v="3"/>
    <x v="45"/>
    <n v="316972414929"/>
    <n v="99318514739"/>
    <n v="217653900190"/>
    <n v="221173005767"/>
  </r>
  <r>
    <x v="3"/>
    <x v="46"/>
    <n v="319625610759"/>
    <n v="99615982554"/>
    <n v="220009628205"/>
    <n v="223715014820"/>
  </r>
  <r>
    <x v="3"/>
    <x v="47"/>
    <n v="322373309402"/>
    <n v="99950353875"/>
    <n v="222422955527"/>
    <n v="226203398714"/>
  </r>
  <r>
    <x v="3"/>
    <x v="48"/>
    <n v="323868210775"/>
    <n v="99675143474"/>
    <n v="224193067301"/>
    <n v="227535396495"/>
  </r>
  <r>
    <x v="3"/>
    <x v="49"/>
    <n v="325123677031"/>
    <n v="100436677090"/>
    <n v="224686999941"/>
    <n v="228626165166"/>
  </r>
  <r>
    <x v="3"/>
    <x v="50"/>
    <n v="326259215389"/>
    <n v="100748784679"/>
    <n v="225510430710"/>
    <n v="229563245522"/>
  </r>
  <r>
    <x v="3"/>
    <x v="51"/>
    <n v="326456021472"/>
    <n v="100890052766"/>
    <n v="225565968706"/>
    <n v="229867721991"/>
  </r>
  <r>
    <x v="3"/>
    <x v="52"/>
    <n v="326768231317"/>
    <n v="102332515128"/>
    <n v="224435716189"/>
    <n v="229674939829"/>
  </r>
  <r>
    <x v="3"/>
    <x v="53"/>
    <n v="329368388122"/>
    <n v="104369072433"/>
    <n v="224999315689"/>
    <n v="232027710952"/>
  </r>
  <r>
    <x v="3"/>
    <x v="54"/>
    <n v="331881858608"/>
    <n v="105667737034"/>
    <n v="226214121574"/>
    <n v="234301516747"/>
  </r>
  <r>
    <x v="3"/>
    <x v="55"/>
    <n v="333588025314"/>
    <n v="106120207630"/>
    <n v="227467817684"/>
    <n v="235654093537"/>
  </r>
  <r>
    <x v="3"/>
    <x v="56"/>
    <n v="335901682178"/>
    <n v="107531803288"/>
    <n v="228369878890"/>
    <n v="237690738719"/>
  </r>
  <r>
    <x v="3"/>
    <x v="57"/>
    <n v="338125939879"/>
    <n v="108147124157"/>
    <n v="229978815722"/>
    <n v="239612152401"/>
  </r>
  <r>
    <x v="3"/>
    <x v="58"/>
    <n v="340330870526"/>
    <n v="108881504204"/>
    <n v="231449366322"/>
    <n v="241879249309"/>
  </r>
  <r>
    <x v="3"/>
    <x v="59"/>
    <n v="341830206594"/>
    <n v="109377696537"/>
    <n v="232452510057"/>
    <n v="242827910431"/>
  </r>
  <r>
    <x v="3"/>
    <x v="60"/>
    <n v="344289252358"/>
    <n v="109895360939"/>
    <n v="234393891419"/>
    <n v="244996069132"/>
  </r>
  <r>
    <x v="3"/>
    <x v="61"/>
    <n v="347507295310"/>
    <n v="110398509935"/>
    <n v="237108785375"/>
    <n v="247902406282"/>
  </r>
  <r>
    <x v="3"/>
    <x v="62"/>
    <n v="350619139785"/>
    <n v="110603956308"/>
    <n v="240015183477"/>
    <n v="249816497905"/>
  </r>
  <r>
    <x v="3"/>
    <x v="63"/>
    <n v="353377188016"/>
    <n v="110344660381"/>
    <n v="243032527635"/>
    <n v="250889071438"/>
  </r>
  <r>
    <x v="3"/>
    <x v="64"/>
    <n v="354165774592"/>
    <n v="109926329981"/>
    <n v="244239444611"/>
    <n v="250716633304"/>
  </r>
  <r>
    <x v="3"/>
    <x v="65"/>
    <n v="357550595033"/>
    <n v="113225945004"/>
    <n v="244324650029"/>
    <n v="253556110955"/>
  </r>
  <r>
    <x v="3"/>
    <x v="66"/>
    <n v="360815894271"/>
    <n v="113406904293"/>
    <n v="247408989978"/>
    <n v="255736846098"/>
  </r>
  <r>
    <x v="3"/>
    <x v="67"/>
    <n v="364439319243"/>
    <n v="113756159861"/>
    <n v="250683159382"/>
    <n v="258750838135"/>
  </r>
  <r>
    <x v="3"/>
    <x v="68"/>
    <n v="368790138677"/>
    <n v="114273633252"/>
    <n v="254516505425"/>
    <n v="262376425930"/>
  </r>
  <r>
    <x v="3"/>
    <x v="69"/>
    <n v="371754762005"/>
    <n v="113993594052"/>
    <n v="257761167953"/>
    <n v="264790787936"/>
  </r>
  <r>
    <x v="3"/>
    <x v="70"/>
    <n v="376973633789"/>
    <n v="115219114239"/>
    <n v="261754519550"/>
    <n v="269514835422"/>
  </r>
  <r>
    <x v="3"/>
    <x v="71"/>
    <n v="378914691116"/>
    <n v="115062007084"/>
    <n v="263852684032"/>
    <n v="271192675911"/>
  </r>
  <r>
    <x v="3"/>
    <x v="72"/>
    <n v="384634121836"/>
    <n v="115250440237"/>
    <n v="269383681599"/>
    <n v="276776328648"/>
  </r>
  <r>
    <x v="3"/>
    <x v="73"/>
    <n v="389663843226"/>
    <n v="115492220079"/>
    <n v="274171623147"/>
    <n v="281966378026"/>
  </r>
  <r>
    <x v="3"/>
    <x v="74"/>
    <n v="395700857241"/>
    <n v="115950371999"/>
    <n v="279750485242"/>
    <n v="288126752188"/>
  </r>
  <r>
    <x v="3"/>
    <x v="75"/>
    <n v="402816890680"/>
    <n v="116449762303"/>
    <n v="286367128377"/>
    <n v="293201832413"/>
  </r>
  <r>
    <x v="3"/>
    <x v="76"/>
    <n v="407099565079"/>
    <n v="116100986239"/>
    <n v="290998578840"/>
    <n v="297081201007"/>
  </r>
  <r>
    <x v="3"/>
    <x v="77"/>
    <n v="412570631288"/>
    <n v="117151739393"/>
    <n v="295418891895"/>
    <n v="302163557117"/>
  </r>
  <r>
    <x v="3"/>
    <x v="78"/>
    <n v="418611203996"/>
    <n v="117359357445"/>
    <n v="301251846551"/>
    <n v="307806473809"/>
  </r>
  <r>
    <x v="3"/>
    <x v="79"/>
    <n v="425915464064"/>
    <n v="117938999119"/>
    <n v="307976464945"/>
    <n v="314973432780"/>
  </r>
  <r>
    <x v="3"/>
    <x v="80"/>
    <n v="431676610576"/>
    <n v="118338104494"/>
    <n v="313338506082"/>
    <n v="319995244980"/>
  </r>
  <r>
    <x v="3"/>
    <x v="81"/>
    <n v="438292808092"/>
    <n v="118952155884"/>
    <n v="319340652208"/>
    <n v="326211143749"/>
  </r>
  <r>
    <x v="3"/>
    <x v="82"/>
    <n v="444769824826"/>
    <n v="119703178146"/>
    <n v="325066646680"/>
    <n v="332263729075"/>
  </r>
  <r>
    <x v="3"/>
    <x v="83"/>
    <n v="450387883156"/>
    <n v="119598317556"/>
    <n v="330789565600"/>
    <n v="337441784816"/>
  </r>
  <r>
    <x v="3"/>
    <x v="84"/>
    <n v="456229937384"/>
    <n v="120680453276"/>
    <n v="335549484108"/>
    <n v="342933077389"/>
  </r>
  <r>
    <x v="3"/>
    <x v="85"/>
    <n v="461233249832"/>
    <n v="121013663497"/>
    <n v="340219586335"/>
    <n v="347547521518"/>
  </r>
  <r>
    <x v="3"/>
    <x v="86"/>
    <n v="466874766872"/>
    <n v="121329148582"/>
    <n v="345545618290"/>
    <n v="353107707696"/>
  </r>
  <r>
    <x v="3"/>
    <x v="87"/>
    <n v="472692045381"/>
    <n v="121823187577"/>
    <n v="350868857804"/>
    <n v="358147195605"/>
  </r>
  <r>
    <x v="3"/>
    <x v="88"/>
    <n v="479188467863"/>
    <n v="122441639015"/>
    <n v="356746828848"/>
    <n v="364204909524"/>
  </r>
  <r>
    <x v="3"/>
    <x v="89"/>
    <n v="485617455689"/>
    <n v="123269256033"/>
    <n v="362348199656"/>
    <n v="370149656248"/>
  </r>
  <r>
    <x v="3"/>
    <x v="90"/>
    <n v="490517891184"/>
    <n v="123170618664"/>
    <n v="367347272520"/>
    <n v="374617190113"/>
  </r>
  <r>
    <x v="3"/>
    <x v="91"/>
    <n v="495616165590"/>
    <n v="124345956684"/>
    <n v="371270208906"/>
    <n v="379248831940"/>
  </r>
  <r>
    <x v="4"/>
    <x v="0"/>
    <n v="72519248620"/>
    <n v="24773870466"/>
    <n v="47745378154"/>
    <n v="47745378154"/>
  </r>
  <r>
    <x v="4"/>
    <x v="1"/>
    <n v="72697374272"/>
    <n v="24726237627"/>
    <n v="47971136645"/>
    <n v="47971136645"/>
  </r>
  <r>
    <x v="4"/>
    <x v="2"/>
    <n v="72774227724"/>
    <n v="24695539523"/>
    <n v="48078688201"/>
    <n v="48078688201"/>
  </r>
  <r>
    <x v="4"/>
    <x v="3"/>
    <n v="72208379003"/>
    <n v="24645223022"/>
    <n v="47563155981"/>
    <n v="47563155981"/>
  </r>
  <r>
    <x v="4"/>
    <x v="4"/>
    <n v="70955543110"/>
    <n v="24580918429"/>
    <n v="46374624681"/>
    <n v="46374624681"/>
  </r>
  <r>
    <x v="4"/>
    <x v="5"/>
    <n v="71841058309"/>
    <n v="33459264172"/>
    <n v="38381794137"/>
    <n v="47305990768"/>
  </r>
  <r>
    <x v="4"/>
    <x v="6"/>
    <n v="72591582037"/>
    <n v="31431474419"/>
    <n v="41160107618"/>
    <n v="48100506900"/>
  </r>
  <r>
    <x v="4"/>
    <x v="7"/>
    <n v="73396058023"/>
    <n v="30643885068"/>
    <n v="42752172955"/>
    <n v="48944071260"/>
  </r>
  <r>
    <x v="4"/>
    <x v="8"/>
    <n v="74403362711"/>
    <n v="30153692556"/>
    <n v="44249670155"/>
    <n v="49981220527"/>
  </r>
  <r>
    <x v="4"/>
    <x v="9"/>
    <n v="75199827805"/>
    <n v="29485221257"/>
    <n v="45714606548"/>
    <n v="50850219678"/>
  </r>
  <r>
    <x v="4"/>
    <x v="10"/>
    <n v="75826884998"/>
    <n v="29092099209"/>
    <n v="46734785789"/>
    <n v="51516167704"/>
  </r>
  <r>
    <x v="4"/>
    <x v="11"/>
    <n v="76474348467"/>
    <n v="28874458251"/>
    <n v="47599890216"/>
    <n v="52196830444"/>
  </r>
  <r>
    <x v="4"/>
    <x v="12"/>
    <n v="77107892080"/>
    <n v="28755657717"/>
    <n v="48352234363"/>
    <n v="52845456856"/>
  </r>
  <r>
    <x v="4"/>
    <x v="13"/>
    <n v="77724715310"/>
    <n v="28550261933"/>
    <n v="49174453377"/>
    <n v="53499868398"/>
  </r>
  <r>
    <x v="4"/>
    <x v="14"/>
    <n v="78358578310"/>
    <n v="28285523963"/>
    <n v="50073054347"/>
    <n v="54164304991"/>
  </r>
  <r>
    <x v="4"/>
    <x v="15"/>
    <n v="78923396640"/>
    <n v="28097407512"/>
    <n v="50825989128"/>
    <n v="50825989128"/>
  </r>
  <r>
    <x v="4"/>
    <x v="16"/>
    <n v="79399003588"/>
    <n v="27951671661"/>
    <n v="51447331927"/>
    <n v="51447331927"/>
  </r>
  <r>
    <x v="4"/>
    <x v="17"/>
    <n v="79862791914"/>
    <n v="27824474873"/>
    <n v="52038317041"/>
    <n v="52038317041"/>
  </r>
  <r>
    <x v="4"/>
    <x v="18"/>
    <n v="80416687122"/>
    <n v="27756513778"/>
    <n v="52660173344"/>
    <n v="52660173344"/>
  </r>
  <r>
    <x v="4"/>
    <x v="19"/>
    <n v="80957303423"/>
    <n v="27708376873"/>
    <n v="53248926550"/>
    <n v="53248926550"/>
  </r>
  <r>
    <x v="4"/>
    <x v="20"/>
    <n v="81008208546"/>
    <n v="27620638785"/>
    <n v="53387569761"/>
    <n v="53387569761"/>
  </r>
  <r>
    <x v="4"/>
    <x v="21"/>
    <n v="81034993060"/>
    <n v="27577796721"/>
    <n v="53457196339"/>
    <n v="53457196339"/>
  </r>
  <r>
    <x v="4"/>
    <x v="22"/>
    <n v="81368557100"/>
    <n v="27532805600"/>
    <n v="53835751500"/>
    <n v="53835751500"/>
  </r>
  <r>
    <x v="4"/>
    <x v="23"/>
    <n v="81828002330"/>
    <n v="27486428650"/>
    <n v="54341573680"/>
    <n v="54341573680"/>
  </r>
  <r>
    <x v="4"/>
    <x v="24"/>
    <n v="82022176375"/>
    <n v="27434467332"/>
    <n v="54587709043"/>
    <n v="54587709043"/>
  </r>
  <r>
    <x v="4"/>
    <x v="25"/>
    <n v="82605107602"/>
    <n v="27388645046"/>
    <n v="55216462556"/>
    <n v="55216462556"/>
  </r>
  <r>
    <x v="4"/>
    <x v="26"/>
    <n v="83181615044"/>
    <n v="27361966551"/>
    <n v="55819648493"/>
    <n v="55819648493"/>
  </r>
  <r>
    <x v="4"/>
    <x v="27"/>
    <n v="83466411169"/>
    <n v="27307291476"/>
    <n v="56159119693"/>
    <n v="56159119693"/>
  </r>
  <r>
    <x v="4"/>
    <x v="28"/>
    <n v="83809682863"/>
    <n v="27269040463"/>
    <n v="56540642400"/>
    <n v="56540642400"/>
  </r>
  <r>
    <x v="4"/>
    <x v="29"/>
    <n v="84009071229"/>
    <n v="27219666644"/>
    <n v="56789404585"/>
    <n v="56789404585"/>
  </r>
  <r>
    <x v="4"/>
    <x v="30"/>
    <n v="84045265293"/>
    <n v="27175608304"/>
    <n v="56869656989"/>
    <n v="56869656989"/>
  </r>
  <r>
    <x v="4"/>
    <x v="31"/>
    <n v="84025419881"/>
    <n v="27142181056"/>
    <n v="56883238825"/>
    <n v="56883238825"/>
  </r>
  <r>
    <x v="4"/>
    <x v="32"/>
    <n v="84326061756"/>
    <n v="27107607039"/>
    <n v="57218454717"/>
    <n v="57218454717"/>
  </r>
  <r>
    <x v="4"/>
    <x v="33"/>
    <n v="84555739621"/>
    <n v="27086182817"/>
    <n v="57469556804"/>
    <n v="57469556804"/>
  </r>
  <r>
    <x v="4"/>
    <x v="34"/>
    <n v="83125574457"/>
    <n v="27037888373"/>
    <n v="56087686084"/>
    <n v="56087686084"/>
  </r>
  <r>
    <x v="4"/>
    <x v="35"/>
    <n v="83845842659"/>
    <n v="36412103856"/>
    <n v="47433738803"/>
    <n v="56857039931"/>
  </r>
  <r>
    <x v="4"/>
    <x v="36"/>
    <n v="84799884826"/>
    <n v="35155470256"/>
    <n v="49644414570"/>
    <n v="57860904703"/>
  </r>
  <r>
    <x v="4"/>
    <x v="37"/>
    <n v="85584259980"/>
    <n v="34407055389"/>
    <n v="51177204591"/>
    <n v="58686233507"/>
  </r>
  <r>
    <x v="4"/>
    <x v="38"/>
    <n v="86373157657"/>
    <n v="33781452208"/>
    <n v="52591705449"/>
    <n v="59533670670"/>
  </r>
  <r>
    <x v="4"/>
    <x v="39"/>
    <n v="87001966588"/>
    <n v="33042968063"/>
    <n v="53958998525"/>
    <n v="60190535149"/>
  </r>
  <r>
    <x v="4"/>
    <x v="40"/>
    <n v="87764456265"/>
    <n v="32713220634"/>
    <n v="55051235631"/>
    <n v="60975581251"/>
  </r>
  <r>
    <x v="4"/>
    <x v="41"/>
    <n v="88669327631"/>
    <n v="32353431388"/>
    <n v="56315896243"/>
    <n v="61923481753"/>
  </r>
  <r>
    <x v="4"/>
    <x v="42"/>
    <n v="89408182714"/>
    <n v="32033449684"/>
    <n v="57374733030"/>
    <n v="62697800346"/>
  </r>
  <r>
    <x v="4"/>
    <x v="43"/>
    <n v="90014470089"/>
    <n v="31782642656"/>
    <n v="58231827433"/>
    <n v="63333369554"/>
  </r>
  <r>
    <x v="4"/>
    <x v="44"/>
    <n v="90750179343"/>
    <n v="31474381912"/>
    <n v="59275797431"/>
    <n v="64085899324"/>
  </r>
  <r>
    <x v="4"/>
    <x v="45"/>
    <n v="91336846555"/>
    <n v="31277351365"/>
    <n v="60059495190"/>
    <n v="60059495190"/>
  </r>
  <r>
    <x v="4"/>
    <x v="46"/>
    <n v="91883727065"/>
    <n v="31150110332"/>
    <n v="60733616733"/>
    <n v="60733616733"/>
  </r>
  <r>
    <x v="4"/>
    <x v="47"/>
    <n v="92395413418"/>
    <n v="31064865401"/>
    <n v="61330548017"/>
    <n v="61330548017"/>
  </r>
  <r>
    <x v="4"/>
    <x v="48"/>
    <n v="92840942190"/>
    <n v="30963942976"/>
    <n v="61876999214"/>
    <n v="61876999214"/>
  </r>
  <r>
    <x v="4"/>
    <x v="49"/>
    <n v="93277549535"/>
    <n v="30819974469"/>
    <n v="62457575066"/>
    <n v="62457575066"/>
  </r>
  <r>
    <x v="4"/>
    <x v="50"/>
    <n v="93799465953"/>
    <n v="30745296835"/>
    <n v="63054169118"/>
    <n v="63054169118"/>
  </r>
  <r>
    <x v="4"/>
    <x v="51"/>
    <n v="93924941532"/>
    <n v="30685284326"/>
    <n v="63239657206"/>
    <n v="63239657206"/>
  </r>
  <r>
    <x v="4"/>
    <x v="52"/>
    <n v="94295376726"/>
    <n v="30628134675"/>
    <n v="63667242051"/>
    <n v="63667242051"/>
  </r>
  <r>
    <x v="4"/>
    <x v="53"/>
    <n v="94668282875"/>
    <n v="30586552059"/>
    <n v="64081730816"/>
    <n v="64081730816"/>
  </r>
  <r>
    <x v="4"/>
    <x v="54"/>
    <n v="95193627775"/>
    <n v="30555692541"/>
    <n v="64637935234"/>
    <n v="64637935234"/>
  </r>
  <r>
    <x v="4"/>
    <x v="55"/>
    <n v="104885313856"/>
    <n v="31645150126"/>
    <n v="73240163730"/>
    <n v="73240163730"/>
  </r>
  <r>
    <x v="4"/>
    <x v="56"/>
    <n v="105267706754"/>
    <n v="31593097087"/>
    <n v="73674609667"/>
    <n v="73674609667"/>
  </r>
  <r>
    <x v="4"/>
    <x v="57"/>
    <n v="105637550712"/>
    <n v="31563071484"/>
    <n v="74074479228"/>
    <n v="74074479228"/>
  </r>
  <r>
    <x v="4"/>
    <x v="58"/>
    <n v="105962261952"/>
    <n v="31516783502"/>
    <n v="74445478450"/>
    <n v="74445478450"/>
  </r>
  <r>
    <x v="4"/>
    <x v="59"/>
    <n v="106092017041"/>
    <n v="31443714149"/>
    <n v="74648302892"/>
    <n v="74648302892"/>
  </r>
  <r>
    <x v="4"/>
    <x v="60"/>
    <n v="106499320329"/>
    <n v="31411315587"/>
    <n v="75088004742"/>
    <n v="75088004742"/>
  </r>
  <r>
    <x v="4"/>
    <x v="61"/>
    <n v="106882449807"/>
    <n v="31357896648"/>
    <n v="75524553159"/>
    <n v="75524553159"/>
  </r>
  <r>
    <x v="4"/>
    <x v="62"/>
    <n v="107199741891"/>
    <n v="31340913488"/>
    <n v="75858828403"/>
    <n v="75858828403"/>
  </r>
  <r>
    <x v="4"/>
    <x v="63"/>
    <n v="107529525112"/>
    <n v="31323988422"/>
    <n v="76205536690"/>
    <n v="76205536690"/>
  </r>
  <r>
    <x v="4"/>
    <x v="64"/>
    <n v="107075050263"/>
    <n v="31264443548"/>
    <n v="75810606715"/>
    <n v="75810606715"/>
  </r>
  <r>
    <x v="4"/>
    <x v="65"/>
    <n v="105057180798"/>
    <n v="31182399660"/>
    <n v="73874781138"/>
    <n v="73874781138"/>
  </r>
  <r>
    <x v="4"/>
    <x v="66"/>
    <n v="105490984660"/>
    <n v="44740362342"/>
    <n v="60750622318"/>
    <n v="74380660111"/>
  </r>
  <r>
    <x v="4"/>
    <x v="67"/>
    <n v="106734993840"/>
    <n v="43241263402"/>
    <n v="63493730438"/>
    <n v="75662906978"/>
  </r>
  <r>
    <x v="4"/>
    <x v="68"/>
    <n v="107790206463"/>
    <n v="42605774426"/>
    <n v="65184432037"/>
    <n v="76749006981"/>
  </r>
  <r>
    <x v="4"/>
    <x v="69"/>
    <n v="108727369882"/>
    <n v="41838511616"/>
    <n v="66888858266"/>
    <n v="77718651241"/>
  </r>
  <r>
    <x v="4"/>
    <x v="70"/>
    <n v="109663617644"/>
    <n v="40959041970"/>
    <n v="68704575674"/>
    <n v="78713027544"/>
  </r>
  <r>
    <x v="4"/>
    <x v="71"/>
    <n v="110526756143"/>
    <n v="40169298971"/>
    <n v="70357457172"/>
    <n v="79626882437"/>
  </r>
  <r>
    <x v="4"/>
    <x v="72"/>
    <n v="111204868570"/>
    <n v="39629817097"/>
    <n v="71575051473"/>
    <n v="80356751664"/>
  </r>
  <r>
    <x v="4"/>
    <x v="73"/>
    <n v="112024916168"/>
    <n v="39286685241"/>
    <n v="72738230927"/>
    <n v="81212122138"/>
  </r>
  <r>
    <x v="4"/>
    <x v="74"/>
    <n v="112896423114"/>
    <n v="39039767533"/>
    <n v="73856655581"/>
    <n v="82109809761"/>
  </r>
  <r>
    <x v="4"/>
    <x v="75"/>
    <n v="113821962739"/>
    <n v="38700911781"/>
    <n v="75121050958"/>
    <n v="83054374609"/>
  </r>
  <r>
    <x v="4"/>
    <x v="76"/>
    <n v="114465298904"/>
    <n v="38424016048"/>
    <n v="76041282856"/>
    <n v="76041282856"/>
  </r>
  <r>
    <x v="4"/>
    <x v="77"/>
    <n v="115170736510"/>
    <n v="38198721242"/>
    <n v="76972015268"/>
    <n v="76972015268"/>
  </r>
  <r>
    <x v="4"/>
    <x v="78"/>
    <n v="115840055302"/>
    <n v="38050686739"/>
    <n v="77789368563"/>
    <n v="77789368563"/>
  </r>
  <r>
    <x v="4"/>
    <x v="79"/>
    <n v="116403531407"/>
    <n v="37830285605"/>
    <n v="78573245802"/>
    <n v="78573245802"/>
  </r>
  <r>
    <x v="4"/>
    <x v="80"/>
    <n v="117217254744"/>
    <n v="37680537008"/>
    <n v="79536717736"/>
    <n v="79536717736"/>
  </r>
  <r>
    <x v="4"/>
    <x v="81"/>
    <n v="117950489794"/>
    <n v="37567507929"/>
    <n v="80382981865"/>
    <n v="80382981865"/>
  </r>
  <r>
    <x v="4"/>
    <x v="82"/>
    <n v="118380612382"/>
    <n v="37472195697"/>
    <n v="80908416685"/>
    <n v="80908416685"/>
  </r>
  <r>
    <x v="4"/>
    <x v="83"/>
    <n v="118711606473"/>
    <n v="37384097879"/>
    <n v="81327508594"/>
    <n v="81327508594"/>
  </r>
  <r>
    <x v="4"/>
    <x v="84"/>
    <n v="119196822757"/>
    <n v="37293037606"/>
    <n v="81903785151"/>
    <n v="81903785151"/>
  </r>
  <r>
    <x v="4"/>
    <x v="85"/>
    <n v="119841205108"/>
    <n v="37203775459"/>
    <n v="82637429649"/>
    <n v="82637429649"/>
  </r>
  <r>
    <x v="4"/>
    <x v="86"/>
    <n v="120161968035"/>
    <n v="37109837277"/>
    <n v="83052130758"/>
    <n v="83052130758"/>
  </r>
  <r>
    <x v="4"/>
    <x v="87"/>
    <n v="120553684431"/>
    <n v="37026552783"/>
    <n v="83527131648"/>
    <n v="83527131648"/>
  </r>
  <r>
    <x v="4"/>
    <x v="88"/>
    <n v="121229266648"/>
    <n v="36973583817"/>
    <n v="84255682831"/>
    <n v="84255682831"/>
  </r>
  <r>
    <x v="4"/>
    <x v="89"/>
    <n v="121849520885"/>
    <n v="36900534793"/>
    <n v="84948986092"/>
    <n v="84948986092"/>
  </r>
  <r>
    <x v="4"/>
    <x v="90"/>
    <n v="121918306111"/>
    <n v="36860684519"/>
    <n v="85057621592"/>
    <n v="85057621592"/>
  </r>
  <r>
    <x v="4"/>
    <x v="91"/>
    <n v="121764644082"/>
    <n v="36792731093"/>
    <n v="84971912989"/>
    <n v="8497191298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2">
  <r>
    <x v="0"/>
    <x v="0"/>
    <n v="3779547383680"/>
  </r>
  <r>
    <x v="0"/>
    <x v="1"/>
    <n v="1807299742573"/>
  </r>
  <r>
    <x v="0"/>
    <x v="2"/>
    <n v="1106960755025"/>
  </r>
  <r>
    <x v="0"/>
    <x v="3"/>
    <n v="1248622751759"/>
  </r>
  <r>
    <x v="0"/>
    <x v="4"/>
    <n v="2995257670063"/>
  </r>
  <r>
    <x v="0"/>
    <x v="5"/>
    <n v="1573077129141"/>
  </r>
  <r>
    <x v="0"/>
    <x v="6"/>
    <n v="3525599566229"/>
  </r>
  <r>
    <x v="0"/>
    <x v="7"/>
    <n v="975380154984"/>
  </r>
  <r>
    <x v="0"/>
    <x v="8"/>
    <n v="1441984934899"/>
  </r>
  <r>
    <x v="0"/>
    <x v="9"/>
    <n v="260794942129"/>
  </r>
  <r>
    <x v="0"/>
    <x v="10"/>
    <n v="326805264954"/>
  </r>
  <r>
    <x v="0"/>
    <x v="11"/>
    <n v="104850759423"/>
  </r>
  <r>
    <x v="0"/>
    <x v="12"/>
    <n v="71564310617"/>
  </r>
  <r>
    <x v="0"/>
    <x v="13"/>
    <n v="1504460906442"/>
  </r>
  <r>
    <x v="0"/>
    <x v="14"/>
    <n v="1631604760870"/>
  </r>
  <r>
    <x v="0"/>
    <x v="15"/>
    <n v="182020699242"/>
  </r>
  <r>
    <x v="0"/>
    <x v="16"/>
    <n v="439305650323"/>
  </r>
  <r>
    <x v="0"/>
    <x v="17"/>
    <n v="307474504926"/>
  </r>
  <r>
    <x v="0"/>
    <x v="18"/>
    <n v="144269810181"/>
  </r>
  <r>
    <x v="0"/>
    <x v="19"/>
    <n v="32839950000"/>
  </r>
  <r>
    <x v="0"/>
    <x v="20"/>
    <n v="1334343401879"/>
  </r>
  <r>
    <x v="0"/>
    <x v="21"/>
    <n v="2678490554874"/>
  </r>
  <r>
    <x v="0"/>
    <x v="22"/>
    <n v="2227170638646"/>
  </r>
  <r>
    <x v="0"/>
    <x v="23"/>
    <n v="2010292221460"/>
  </r>
  <r>
    <x v="0"/>
    <x v="24"/>
    <n v="617172076286"/>
  </r>
  <r>
    <x v="0"/>
    <x v="25"/>
    <n v="373997425567"/>
  </r>
  <r>
    <x v="0"/>
    <x v="26"/>
    <n v="847716536036"/>
  </r>
  <r>
    <x v="0"/>
    <x v="27"/>
    <n v="310865397833"/>
  </r>
  <r>
    <x v="1"/>
    <x v="22"/>
    <n v="106807795863"/>
  </r>
  <r>
    <x v="1"/>
    <x v="4"/>
    <n v="135744014157"/>
  </r>
  <r>
    <x v="1"/>
    <x v="14"/>
    <n v="71351858878"/>
  </r>
  <r>
    <x v="1"/>
    <x v="8"/>
    <n v="74318244674"/>
  </r>
  <r>
    <x v="1"/>
    <x v="25"/>
    <n v="22397518610"/>
  </r>
  <r>
    <x v="1"/>
    <x v="27"/>
    <n v="27437117641"/>
  </r>
  <r>
    <x v="1"/>
    <x v="15"/>
    <n v="10472049825"/>
  </r>
  <r>
    <x v="1"/>
    <x v="16"/>
    <n v="18911401044"/>
  </r>
  <r>
    <x v="1"/>
    <x v="11"/>
    <n v="10095720847"/>
  </r>
  <r>
    <x v="1"/>
    <x v="3"/>
    <n v="66657608048"/>
  </r>
  <r>
    <x v="1"/>
    <x v="24"/>
    <n v="24884830308"/>
  </r>
  <r>
    <x v="1"/>
    <x v="10"/>
    <n v="15925715429"/>
  </r>
  <r>
    <x v="1"/>
    <x v="1"/>
    <n v="83974165751"/>
  </r>
  <r>
    <x v="1"/>
    <x v="7"/>
    <n v="51615377231"/>
  </r>
  <r>
    <x v="1"/>
    <x v="0"/>
    <n v="197793048886"/>
  </r>
  <r>
    <x v="1"/>
    <x v="17"/>
    <n v="21471929122"/>
  </r>
  <r>
    <x v="1"/>
    <x v="21"/>
    <n v="104459872089"/>
  </r>
  <r>
    <x v="1"/>
    <x v="26"/>
    <n v="39298942575"/>
  </r>
  <r>
    <x v="1"/>
    <x v="12"/>
    <n v="1893901762"/>
  </r>
  <r>
    <x v="1"/>
    <x v="6"/>
    <n v="173589291968"/>
  </r>
  <r>
    <x v="1"/>
    <x v="5"/>
    <n v="59050200544"/>
  </r>
  <r>
    <x v="1"/>
    <x v="20"/>
    <n v="80718179227"/>
  </r>
  <r>
    <x v="1"/>
    <x v="23"/>
    <n v="87320686526"/>
  </r>
  <r>
    <x v="1"/>
    <x v="2"/>
    <n v="65450632194"/>
  </r>
  <r>
    <x v="1"/>
    <x v="13"/>
    <n v="111659089749"/>
  </r>
  <r>
    <x v="1"/>
    <x v="9"/>
    <n v="12290471728"/>
  </r>
  <r>
    <x v="1"/>
    <x v="18"/>
    <n v="8833727826"/>
  </r>
  <r>
    <x v="2"/>
    <x v="0"/>
    <n v="99842008436"/>
  </r>
  <r>
    <x v="2"/>
    <x v="22"/>
    <n v="57958242199"/>
  </r>
  <r>
    <x v="2"/>
    <x v="10"/>
    <n v="15291731859"/>
  </r>
  <r>
    <x v="2"/>
    <x v="23"/>
    <n v="50010885393"/>
  </r>
  <r>
    <x v="2"/>
    <x v="14"/>
    <n v="57868550302"/>
  </r>
  <r>
    <x v="2"/>
    <x v="5"/>
    <n v="46629772205"/>
  </r>
  <r>
    <x v="2"/>
    <x v="16"/>
    <n v="11137788208"/>
  </r>
  <r>
    <x v="2"/>
    <x v="13"/>
    <n v="41463458897"/>
  </r>
  <r>
    <x v="2"/>
    <x v="6"/>
    <n v="92951340535"/>
  </r>
  <r>
    <x v="2"/>
    <x v="1"/>
    <n v="45057589677"/>
  </r>
  <r>
    <x v="2"/>
    <x v="27"/>
    <n v="14177448306"/>
  </r>
  <r>
    <x v="2"/>
    <x v="25"/>
    <n v="9811940442"/>
  </r>
  <r>
    <x v="2"/>
    <x v="4"/>
    <n v="71524973797"/>
  </r>
  <r>
    <x v="2"/>
    <x v="7"/>
    <n v="26003051327"/>
  </r>
  <r>
    <x v="2"/>
    <x v="26"/>
    <n v="15198361663"/>
  </r>
  <r>
    <x v="2"/>
    <x v="21"/>
    <n v="68528948674"/>
  </r>
  <r>
    <x v="2"/>
    <x v="24"/>
    <n v="11995240503"/>
  </r>
  <r>
    <x v="2"/>
    <x v="15"/>
    <n v="7639626092"/>
  </r>
  <r>
    <x v="2"/>
    <x v="9"/>
    <n v="8841239829"/>
  </r>
  <r>
    <x v="2"/>
    <x v="8"/>
    <n v="50549846326"/>
  </r>
  <r>
    <x v="2"/>
    <x v="3"/>
    <n v="44038951382"/>
  </r>
  <r>
    <x v="2"/>
    <x v="2"/>
    <n v="38402193454"/>
  </r>
  <r>
    <x v="2"/>
    <x v="20"/>
    <n v="45625132038"/>
  </r>
  <r>
    <x v="2"/>
    <x v="17"/>
    <n v="8849908963"/>
  </r>
  <r>
    <x v="2"/>
    <x v="11"/>
    <n v="1731940096"/>
  </r>
  <r>
    <x v="2"/>
    <x v="18"/>
    <n v="8338571272"/>
  </r>
  <r>
    <x v="3"/>
    <x v="8"/>
    <n v="43362360606"/>
  </r>
  <r>
    <x v="3"/>
    <x v="5"/>
    <n v="48504974020"/>
  </r>
  <r>
    <x v="3"/>
    <x v="0"/>
    <n v="77198181818"/>
  </r>
  <r>
    <x v="3"/>
    <x v="14"/>
    <n v="38523121950"/>
  </r>
  <r>
    <x v="3"/>
    <x v="23"/>
    <n v="43749795223"/>
  </r>
  <r>
    <x v="3"/>
    <x v="6"/>
    <n v="67300977396"/>
  </r>
  <r>
    <x v="3"/>
    <x v="26"/>
    <n v="10700957405"/>
  </r>
  <r>
    <x v="3"/>
    <x v="7"/>
    <n v="14515389926"/>
  </r>
  <r>
    <x v="3"/>
    <x v="16"/>
    <n v="9071499968"/>
  </r>
  <r>
    <x v="3"/>
    <x v="24"/>
    <n v="10252239058"/>
  </r>
  <r>
    <x v="3"/>
    <x v="2"/>
    <n v="24526707543"/>
  </r>
  <r>
    <x v="3"/>
    <x v="15"/>
    <n v="8227744938"/>
  </r>
  <r>
    <x v="3"/>
    <x v="22"/>
    <n v="46220122367"/>
  </r>
  <r>
    <x v="3"/>
    <x v="1"/>
    <n v="54253606617"/>
  </r>
  <r>
    <x v="3"/>
    <x v="9"/>
    <n v="6911337860"/>
  </r>
  <r>
    <x v="3"/>
    <x v="17"/>
    <n v="8444058678"/>
  </r>
  <r>
    <x v="3"/>
    <x v="27"/>
    <n v="8933659870"/>
  </r>
  <r>
    <x v="3"/>
    <x v="21"/>
    <n v="50991182415"/>
  </r>
  <r>
    <x v="3"/>
    <x v="25"/>
    <n v="14389984338"/>
  </r>
  <r>
    <x v="3"/>
    <x v="4"/>
    <n v="63042309190"/>
  </r>
  <r>
    <x v="3"/>
    <x v="13"/>
    <n v="46315274125"/>
  </r>
  <r>
    <x v="3"/>
    <x v="3"/>
    <n v="35160281929"/>
  </r>
  <r>
    <x v="3"/>
    <x v="20"/>
    <n v="41226878359"/>
  </r>
  <r>
    <x v="3"/>
    <x v="10"/>
    <n v="13244059837"/>
  </r>
  <r>
    <x v="3"/>
    <x v="18"/>
    <n v="2409940808"/>
  </r>
  <r>
    <x v="4"/>
    <x v="9"/>
    <n v="8685481326"/>
  </r>
  <r>
    <x v="4"/>
    <x v="20"/>
    <n v="34315439335"/>
  </r>
  <r>
    <x v="4"/>
    <x v="4"/>
    <n v="51301182602"/>
  </r>
  <r>
    <x v="4"/>
    <x v="0"/>
    <n v="64358085141"/>
  </r>
  <r>
    <x v="4"/>
    <x v="16"/>
    <n v="13683090356"/>
  </r>
  <r>
    <x v="4"/>
    <x v="25"/>
    <n v="12998597989"/>
  </r>
  <r>
    <x v="4"/>
    <x v="27"/>
    <n v="8397188980"/>
  </r>
  <r>
    <x v="4"/>
    <x v="17"/>
    <n v="6950162100"/>
  </r>
  <r>
    <x v="4"/>
    <x v="24"/>
    <n v="8796558355"/>
  </r>
  <r>
    <x v="4"/>
    <x v="23"/>
    <n v="52417224269"/>
  </r>
  <r>
    <x v="4"/>
    <x v="7"/>
    <n v="9920161889"/>
  </r>
  <r>
    <x v="4"/>
    <x v="1"/>
    <n v="37385170979"/>
  </r>
  <r>
    <x v="4"/>
    <x v="10"/>
    <n v="8382246275"/>
  </r>
  <r>
    <x v="4"/>
    <x v="13"/>
    <n v="47682631553"/>
  </r>
  <r>
    <x v="4"/>
    <x v="21"/>
    <n v="46997805330"/>
  </r>
  <r>
    <x v="4"/>
    <x v="6"/>
    <n v="61066073693"/>
  </r>
  <r>
    <x v="4"/>
    <x v="14"/>
    <n v="44908221985"/>
  </r>
  <r>
    <x v="4"/>
    <x v="15"/>
    <n v="2373248876"/>
  </r>
  <r>
    <x v="4"/>
    <x v="8"/>
    <n v="39817064676"/>
  </r>
  <r>
    <x v="4"/>
    <x v="5"/>
    <n v="42554772175"/>
  </r>
  <r>
    <x v="4"/>
    <x v="3"/>
    <n v="24157028658"/>
  </r>
  <r>
    <x v="4"/>
    <x v="22"/>
    <n v="42427950160"/>
  </r>
  <r>
    <x v="4"/>
    <x v="2"/>
    <n v="14077083009"/>
  </r>
  <r>
    <x v="4"/>
    <x v="26"/>
    <n v="10296826538"/>
  </r>
  <r>
    <x v="5"/>
    <x v="8"/>
    <n v="34725776251"/>
  </r>
  <r>
    <x v="5"/>
    <x v="23"/>
    <n v="36743807957"/>
  </r>
  <r>
    <x v="5"/>
    <x v="3"/>
    <n v="13688164931"/>
  </r>
  <r>
    <x v="5"/>
    <x v="25"/>
    <n v="8281855268"/>
  </r>
  <r>
    <x v="5"/>
    <x v="16"/>
    <n v="12456894282"/>
  </r>
  <r>
    <x v="5"/>
    <x v="22"/>
    <n v="51506266743"/>
  </r>
  <r>
    <x v="5"/>
    <x v="10"/>
    <n v="8248653813"/>
  </r>
  <r>
    <x v="5"/>
    <x v="1"/>
    <n v="44212053893"/>
  </r>
  <r>
    <x v="5"/>
    <x v="17"/>
    <n v="8956665916"/>
  </r>
  <r>
    <x v="5"/>
    <x v="21"/>
    <n v="40402005892"/>
  </r>
  <r>
    <x v="5"/>
    <x v="7"/>
    <n v="10162589671"/>
  </r>
  <r>
    <x v="5"/>
    <x v="14"/>
    <n v="45155022503"/>
  </r>
  <r>
    <x v="5"/>
    <x v="2"/>
    <n v="9787486359"/>
  </r>
  <r>
    <x v="5"/>
    <x v="4"/>
    <n v="46266352135"/>
  </r>
  <r>
    <x v="5"/>
    <x v="26"/>
    <n v="9001416392"/>
  </r>
  <r>
    <x v="5"/>
    <x v="0"/>
    <n v="55891741997"/>
  </r>
  <r>
    <x v="5"/>
    <x v="5"/>
    <n v="39283499230"/>
  </r>
  <r>
    <x v="5"/>
    <x v="6"/>
    <n v="50392136121"/>
  </r>
  <r>
    <x v="5"/>
    <x v="27"/>
    <n v="6796254360"/>
  </r>
  <r>
    <x v="5"/>
    <x v="13"/>
    <n v="41222665288"/>
  </r>
  <r>
    <x v="5"/>
    <x v="20"/>
    <n v="23945375900"/>
  </r>
  <r>
    <x v="5"/>
    <x v="9"/>
    <n v="2809575892"/>
  </r>
  <r>
    <x v="5"/>
    <x v="24"/>
    <n v="13486320072"/>
  </r>
  <r>
    <x v="6"/>
    <x v="23"/>
    <n v="41271739466"/>
  </r>
  <r>
    <x v="6"/>
    <x v="4"/>
    <n v="39845322295"/>
  </r>
  <r>
    <x v="6"/>
    <x v="13"/>
    <n v="39053077900"/>
  </r>
  <r>
    <x v="6"/>
    <x v="27"/>
    <n v="8596177560"/>
  </r>
  <r>
    <x v="6"/>
    <x v="25"/>
    <n v="8173617460"/>
  </r>
  <r>
    <x v="6"/>
    <x v="5"/>
    <n v="35663349457"/>
  </r>
  <r>
    <x v="6"/>
    <x v="22"/>
    <n v="36271430125"/>
  </r>
  <r>
    <x v="6"/>
    <x v="26"/>
    <n v="12840336937"/>
  </r>
  <r>
    <x v="6"/>
    <x v="8"/>
    <n v="23933566994"/>
  </r>
  <r>
    <x v="6"/>
    <x v="10"/>
    <n v="6880753629"/>
  </r>
  <r>
    <x v="6"/>
    <x v="0"/>
    <n v="47120902534"/>
  </r>
  <r>
    <x v="6"/>
    <x v="6"/>
    <n v="45566486496"/>
  </r>
  <r>
    <x v="6"/>
    <x v="24"/>
    <n v="12392850383"/>
  </r>
  <r>
    <x v="6"/>
    <x v="3"/>
    <n v="9981639178"/>
  </r>
  <r>
    <x v="6"/>
    <x v="17"/>
    <n v="2807875892"/>
  </r>
  <r>
    <x v="6"/>
    <x v="2"/>
    <n v="10100137682"/>
  </r>
  <r>
    <x v="6"/>
    <x v="21"/>
    <n v="53548682057"/>
  </r>
  <r>
    <x v="6"/>
    <x v="1"/>
    <n v="44584169001"/>
  </r>
  <r>
    <x v="6"/>
    <x v="7"/>
    <n v="8519446824"/>
  </r>
  <r>
    <x v="6"/>
    <x v="20"/>
    <n v="13531758400"/>
  </r>
  <r>
    <x v="6"/>
    <x v="14"/>
    <n v="41300437734"/>
  </r>
  <r>
    <x v="6"/>
    <x v="16"/>
    <n v="9272704715"/>
  </r>
  <r>
    <x v="7"/>
    <x v="0"/>
    <n v="41247880899"/>
  </r>
  <r>
    <x v="7"/>
    <x v="3"/>
    <n v="10225827770"/>
  </r>
  <r>
    <x v="7"/>
    <x v="7"/>
    <n v="13138519139"/>
  </r>
  <r>
    <x v="7"/>
    <x v="8"/>
    <n v="13792071108"/>
  </r>
  <r>
    <x v="7"/>
    <x v="22"/>
    <n v="40846476885"/>
  </r>
  <r>
    <x v="7"/>
    <x v="20"/>
    <n v="9883380830"/>
  </r>
  <r>
    <x v="7"/>
    <x v="27"/>
    <n v="2807125892"/>
  </r>
  <r>
    <x v="7"/>
    <x v="14"/>
    <n v="38510044615"/>
  </r>
  <r>
    <x v="7"/>
    <x v="4"/>
    <n v="54576830011"/>
  </r>
  <r>
    <x v="7"/>
    <x v="1"/>
    <n v="40884871173"/>
  </r>
  <r>
    <x v="7"/>
    <x v="6"/>
    <n v="39636683707"/>
  </r>
  <r>
    <x v="7"/>
    <x v="5"/>
    <n v="23259473607"/>
  </r>
  <r>
    <x v="7"/>
    <x v="13"/>
    <n v="33652813524"/>
  </r>
  <r>
    <x v="7"/>
    <x v="26"/>
    <n v="12249466540"/>
  </r>
  <r>
    <x v="7"/>
    <x v="24"/>
    <n v="9225099460"/>
  </r>
  <r>
    <x v="7"/>
    <x v="16"/>
    <n v="7599641491"/>
  </r>
  <r>
    <x v="7"/>
    <x v="23"/>
    <n v="45029577801"/>
  </r>
  <r>
    <x v="7"/>
    <x v="2"/>
    <n v="8476072638"/>
  </r>
  <r>
    <x v="7"/>
    <x v="21"/>
    <n v="33460456609"/>
  </r>
  <r>
    <x v="7"/>
    <x v="25"/>
    <n v="6873912144"/>
  </r>
  <r>
    <x v="7"/>
    <x v="10"/>
    <n v="8908242872"/>
  </r>
  <r>
    <x v="8"/>
    <x v="22"/>
    <n v="44360929585"/>
  </r>
  <r>
    <x v="8"/>
    <x v="25"/>
    <n v="8895354488"/>
  </r>
  <r>
    <x v="8"/>
    <x v="14"/>
    <n v="33878446686"/>
  </r>
  <r>
    <x v="8"/>
    <x v="6"/>
    <n v="54110235723"/>
  </r>
  <r>
    <x v="8"/>
    <x v="24"/>
    <n v="7574985007"/>
  </r>
  <r>
    <x v="8"/>
    <x v="2"/>
    <n v="13068878605"/>
  </r>
  <r>
    <x v="8"/>
    <x v="1"/>
    <n v="37930434679"/>
  </r>
  <r>
    <x v="8"/>
    <x v="5"/>
    <n v="14047654839"/>
  </r>
  <r>
    <x v="8"/>
    <x v="3"/>
    <n v="8499578699"/>
  </r>
  <r>
    <x v="8"/>
    <x v="8"/>
    <n v="10001614491"/>
  </r>
  <r>
    <x v="8"/>
    <x v="16"/>
    <n v="6932215787"/>
  </r>
  <r>
    <x v="8"/>
    <x v="26"/>
    <n v="8858088427"/>
  </r>
  <r>
    <x v="8"/>
    <x v="0"/>
    <n v="42705034176"/>
  </r>
  <r>
    <x v="8"/>
    <x v="4"/>
    <n v="31732866197"/>
  </r>
  <r>
    <x v="8"/>
    <x v="23"/>
    <n v="40446216085"/>
  </r>
  <r>
    <x v="8"/>
    <x v="13"/>
    <n v="23037174393"/>
  </r>
  <r>
    <x v="8"/>
    <x v="7"/>
    <n v="11770155059"/>
  </r>
  <r>
    <x v="8"/>
    <x v="21"/>
    <n v="41716545845"/>
  </r>
  <r>
    <x v="8"/>
    <x v="20"/>
    <n v="10178928529"/>
  </r>
  <r>
    <x v="8"/>
    <x v="10"/>
    <n v="2806315892"/>
  </r>
  <r>
    <x v="9"/>
    <x v="23"/>
    <n v="37879942573"/>
  </r>
  <r>
    <x v="9"/>
    <x v="25"/>
    <n v="2795964893"/>
  </r>
  <r>
    <x v="9"/>
    <x v="20"/>
    <n v="8476047714"/>
  </r>
  <r>
    <x v="9"/>
    <x v="3"/>
    <n v="13330813134"/>
  </r>
  <r>
    <x v="9"/>
    <x v="13"/>
    <n v="13102100998"/>
  </r>
  <r>
    <x v="9"/>
    <x v="6"/>
    <n v="31732866197"/>
  </r>
  <r>
    <x v="9"/>
    <x v="14"/>
    <n v="23292321588"/>
  </r>
  <r>
    <x v="9"/>
    <x v="2"/>
    <n v="11708537982"/>
  </r>
  <r>
    <x v="9"/>
    <x v="22"/>
    <n v="40163098197"/>
  </r>
  <r>
    <x v="9"/>
    <x v="24"/>
    <n v="6916860241"/>
  </r>
  <r>
    <x v="9"/>
    <x v="26"/>
    <n v="7935191932"/>
  </r>
  <r>
    <x v="9"/>
    <x v="16"/>
    <n v="8844565911"/>
  </r>
  <r>
    <x v="9"/>
    <x v="0"/>
    <n v="42444509308"/>
  </r>
  <r>
    <x v="9"/>
    <x v="1"/>
    <n v="33858107980"/>
  </r>
  <r>
    <x v="9"/>
    <x v="4"/>
    <n v="41396389450"/>
  </r>
  <r>
    <x v="9"/>
    <x v="8"/>
    <n v="9710715642"/>
  </r>
  <r>
    <x v="9"/>
    <x v="5"/>
    <n v="9425461020"/>
  </r>
  <r>
    <x v="9"/>
    <x v="21"/>
    <n v="45373137792"/>
  </r>
  <r>
    <x v="9"/>
    <x v="7"/>
    <n v="9015861835"/>
  </r>
  <r>
    <x v="10"/>
    <x v="21"/>
    <n v="39017936400"/>
  </r>
  <r>
    <x v="10"/>
    <x v="8"/>
    <n v="8382288664"/>
  </r>
  <r>
    <x v="10"/>
    <x v="16"/>
    <n v="3259457781"/>
  </r>
  <r>
    <x v="10"/>
    <x v="4"/>
    <n v="44047941303"/>
  </r>
  <r>
    <x v="10"/>
    <x v="7"/>
    <n v="8170332103"/>
  </r>
  <r>
    <x v="10"/>
    <x v="22"/>
    <n v="37879942573"/>
  </r>
  <r>
    <x v="10"/>
    <x v="5"/>
    <n v="9923627790"/>
  </r>
  <r>
    <x v="10"/>
    <x v="24"/>
    <n v="8839259934"/>
  </r>
  <r>
    <x v="10"/>
    <x v="26"/>
    <n v="6739502792"/>
  </r>
  <r>
    <x v="10"/>
    <x v="2"/>
    <n v="8940739306"/>
  </r>
  <r>
    <x v="10"/>
    <x v="23"/>
    <n v="34961115219"/>
  </r>
  <r>
    <x v="10"/>
    <x v="0"/>
    <n v="40905967140"/>
  </r>
  <r>
    <x v="10"/>
    <x v="13"/>
    <n v="9471717610"/>
  </r>
  <r>
    <x v="10"/>
    <x v="1"/>
    <n v="23292321588"/>
  </r>
  <r>
    <x v="10"/>
    <x v="14"/>
    <n v="13465428214"/>
  </r>
  <r>
    <x v="10"/>
    <x v="20"/>
    <n v="13291183055"/>
  </r>
  <r>
    <x v="10"/>
    <x v="3"/>
    <n v="11118821923"/>
  </r>
  <r>
    <x v="10"/>
    <x v="6"/>
    <n v="41396068450"/>
  </r>
  <r>
    <x v="11"/>
    <x v="22"/>
    <n v="34961115219"/>
  </r>
  <r>
    <x v="11"/>
    <x v="13"/>
    <n v="9742534783"/>
  </r>
  <r>
    <x v="11"/>
    <x v="26"/>
    <n v="8417935098"/>
  </r>
  <r>
    <x v="11"/>
    <x v="0"/>
    <n v="43170477755"/>
  </r>
  <r>
    <x v="11"/>
    <x v="14"/>
    <n v="9713232560"/>
  </r>
  <r>
    <x v="11"/>
    <x v="6"/>
    <n v="44044905995"/>
  </r>
  <r>
    <x v="11"/>
    <x v="3"/>
    <n v="9100823492"/>
  </r>
  <r>
    <x v="11"/>
    <x v="7"/>
    <n v="6157156600"/>
  </r>
  <r>
    <x v="11"/>
    <x v="5"/>
    <n v="8593589439"/>
  </r>
  <r>
    <x v="11"/>
    <x v="21"/>
    <n v="36526849931"/>
  </r>
  <r>
    <x v="11"/>
    <x v="23"/>
    <n v="22717393827"/>
  </r>
  <r>
    <x v="11"/>
    <x v="8"/>
    <n v="12467188208"/>
  </r>
  <r>
    <x v="11"/>
    <x v="2"/>
    <n v="8111502641"/>
  </r>
  <r>
    <x v="11"/>
    <x v="4"/>
    <n v="40648759997"/>
  </r>
  <r>
    <x v="11"/>
    <x v="1"/>
    <n v="13465428214"/>
  </r>
  <r>
    <x v="11"/>
    <x v="20"/>
    <n v="11089196025"/>
  </r>
  <r>
    <x v="11"/>
    <x v="24"/>
    <n v="3259457287"/>
  </r>
  <r>
    <x v="12"/>
    <x v="0"/>
    <n v="46447258660"/>
  </r>
  <r>
    <x v="12"/>
    <x v="13"/>
    <n v="8310165739"/>
  </r>
  <r>
    <x v="12"/>
    <x v="8"/>
    <n v="11528351254"/>
  </r>
  <r>
    <x v="12"/>
    <x v="22"/>
    <n v="22717393827"/>
  </r>
  <r>
    <x v="12"/>
    <x v="3"/>
    <n v="7567695324"/>
  </r>
  <r>
    <x v="12"/>
    <x v="23"/>
    <n v="13794323991"/>
  </r>
  <r>
    <x v="12"/>
    <x v="20"/>
    <n v="9054934916"/>
  </r>
  <r>
    <x v="12"/>
    <x v="2"/>
    <n v="6103475343"/>
  </r>
  <r>
    <x v="12"/>
    <x v="26"/>
    <n v="4238320917"/>
  </r>
  <r>
    <x v="12"/>
    <x v="21"/>
    <n v="35394671659"/>
  </r>
  <r>
    <x v="12"/>
    <x v="4"/>
    <n v="36201144523"/>
  </r>
  <r>
    <x v="12"/>
    <x v="5"/>
    <n v="12172750598"/>
  </r>
  <r>
    <x v="12"/>
    <x v="1"/>
    <n v="9713232560"/>
  </r>
  <r>
    <x v="12"/>
    <x v="6"/>
    <n v="40648759997"/>
  </r>
  <r>
    <x v="12"/>
    <x v="14"/>
    <n v="9404923312"/>
  </r>
  <r>
    <x v="12"/>
    <x v="7"/>
    <n v="8442531077"/>
  </r>
  <r>
    <x v="13"/>
    <x v="5"/>
    <n v="12019271945"/>
  </r>
  <r>
    <x v="13"/>
    <x v="6"/>
    <n v="36201144523"/>
  </r>
  <r>
    <x v="13"/>
    <x v="21"/>
    <n v="24129869875"/>
  </r>
  <r>
    <x v="13"/>
    <x v="22"/>
    <n v="13794323991"/>
  </r>
  <r>
    <x v="13"/>
    <x v="23"/>
    <n v="9199022744"/>
  </r>
  <r>
    <x v="13"/>
    <x v="3"/>
    <n v="6368437775"/>
  </r>
  <r>
    <x v="13"/>
    <x v="7"/>
    <n v="4726333595"/>
  </r>
  <r>
    <x v="13"/>
    <x v="0"/>
    <n v="35567661781"/>
  </r>
  <r>
    <x v="13"/>
    <x v="4"/>
    <n v="35649654116"/>
  </r>
  <r>
    <x v="13"/>
    <x v="2"/>
    <n v="8383985947"/>
  </r>
  <r>
    <x v="13"/>
    <x v="20"/>
    <n v="7554987871"/>
  </r>
  <r>
    <x v="13"/>
    <x v="14"/>
    <n v="8207717367"/>
  </r>
  <r>
    <x v="13"/>
    <x v="8"/>
    <n v="9278604297"/>
  </r>
  <r>
    <x v="13"/>
    <x v="1"/>
    <n v="9404923312"/>
  </r>
  <r>
    <x v="13"/>
    <x v="13"/>
    <n v="12994380823"/>
  </r>
  <r>
    <x v="14"/>
    <x v="21"/>
    <n v="13974222080"/>
  </r>
  <r>
    <x v="14"/>
    <x v="2"/>
    <n v="4682492955"/>
  </r>
  <r>
    <x v="14"/>
    <x v="3"/>
    <n v="8333629177"/>
  </r>
  <r>
    <x v="14"/>
    <x v="5"/>
    <n v="8826580846"/>
  </r>
  <r>
    <x v="14"/>
    <x v="23"/>
    <n v="9713452543"/>
  </r>
  <r>
    <x v="14"/>
    <x v="13"/>
    <n v="10797737240"/>
  </r>
  <r>
    <x v="14"/>
    <x v="20"/>
    <n v="6366174431"/>
  </r>
  <r>
    <x v="14"/>
    <x v="22"/>
    <n v="9199022744"/>
  </r>
  <r>
    <x v="14"/>
    <x v="0"/>
    <n v="37187475449"/>
  </r>
  <r>
    <x v="14"/>
    <x v="6"/>
    <n v="35649654116"/>
  </r>
  <r>
    <x v="14"/>
    <x v="4"/>
    <n v="25362944529"/>
  </r>
  <r>
    <x v="14"/>
    <x v="8"/>
    <n v="7389740214"/>
  </r>
  <r>
    <x v="14"/>
    <x v="1"/>
    <n v="8207717367"/>
  </r>
  <r>
    <x v="14"/>
    <x v="14"/>
    <n v="12256765416"/>
  </r>
  <r>
    <x v="15"/>
    <x v="6"/>
    <n v="25362944529"/>
  </r>
  <r>
    <x v="15"/>
    <x v="4"/>
    <n v="13629862748"/>
  </r>
  <r>
    <x v="15"/>
    <x v="23"/>
    <n v="8396129663"/>
  </r>
  <r>
    <x v="15"/>
    <x v="8"/>
    <n v="6785528247"/>
  </r>
  <r>
    <x v="15"/>
    <x v="0"/>
    <n v="30993327605"/>
  </r>
  <r>
    <x v="15"/>
    <x v="21"/>
    <n v="9361358696"/>
  </r>
  <r>
    <x v="15"/>
    <x v="1"/>
    <n v="12256765416"/>
  </r>
  <r>
    <x v="15"/>
    <x v="3"/>
    <n v="5247147727"/>
  </r>
  <r>
    <x v="15"/>
    <x v="13"/>
    <n v="8869342544"/>
  </r>
  <r>
    <x v="15"/>
    <x v="20"/>
    <n v="8315944248"/>
  </r>
  <r>
    <x v="15"/>
    <x v="14"/>
    <n v="11302330794"/>
  </r>
  <r>
    <x v="15"/>
    <x v="22"/>
    <n v="9713452543"/>
  </r>
  <r>
    <x v="15"/>
    <x v="5"/>
    <n v="7170428913"/>
  </r>
  <r>
    <x v="16"/>
    <x v="22"/>
    <n v="8396129663"/>
  </r>
  <r>
    <x v="16"/>
    <x v="4"/>
    <n v="9215914030"/>
  </r>
  <r>
    <x v="16"/>
    <x v="0"/>
    <n v="17770157183"/>
  </r>
  <r>
    <x v="16"/>
    <x v="14"/>
    <n v="9086035528"/>
  </r>
  <r>
    <x v="16"/>
    <x v="20"/>
    <n v="5242907727"/>
  </r>
  <r>
    <x v="16"/>
    <x v="1"/>
    <n v="11302330794"/>
  </r>
  <r>
    <x v="16"/>
    <x v="23"/>
    <n v="12013452758"/>
  </r>
  <r>
    <x v="16"/>
    <x v="21"/>
    <n v="10020947366"/>
  </r>
  <r>
    <x v="16"/>
    <x v="6"/>
    <n v="13629862748"/>
  </r>
  <r>
    <x v="16"/>
    <x v="13"/>
    <n v="7446656035"/>
  </r>
  <r>
    <x v="16"/>
    <x v="5"/>
    <n v="6337836660"/>
  </r>
  <r>
    <x v="16"/>
    <x v="8"/>
    <n v="7521953677"/>
  </r>
  <r>
    <x v="17"/>
    <x v="14"/>
    <n v="7383730854"/>
  </r>
  <r>
    <x v="17"/>
    <x v="1"/>
    <n v="9086035528"/>
  </r>
  <r>
    <x v="17"/>
    <x v="5"/>
    <n v="7830057422"/>
  </r>
  <r>
    <x v="17"/>
    <x v="4"/>
    <n v="9804510477"/>
  </r>
  <r>
    <x v="17"/>
    <x v="8"/>
    <n v="5958996379"/>
  </r>
  <r>
    <x v="17"/>
    <x v="23"/>
    <n v="11808943725"/>
  </r>
  <r>
    <x v="17"/>
    <x v="0"/>
    <n v="10836612916"/>
  </r>
  <r>
    <x v="17"/>
    <x v="13"/>
    <n v="6266214354"/>
  </r>
  <r>
    <x v="17"/>
    <x v="22"/>
    <n v="12013452758"/>
  </r>
  <r>
    <x v="17"/>
    <x v="21"/>
    <n v="8075921743"/>
  </r>
  <r>
    <x v="17"/>
    <x v="6"/>
    <n v="9215914030"/>
  </r>
  <r>
    <x v="18"/>
    <x v="23"/>
    <n v="8794083809"/>
  </r>
  <r>
    <x v="18"/>
    <x v="4"/>
    <n v="8585903715"/>
  </r>
  <r>
    <x v="18"/>
    <x v="14"/>
    <n v="6785528247"/>
  </r>
  <r>
    <x v="18"/>
    <x v="1"/>
    <n v="7383730854"/>
  </r>
  <r>
    <x v="18"/>
    <x v="0"/>
    <n v="10244437284"/>
  </r>
  <r>
    <x v="18"/>
    <x v="21"/>
    <n v="11834374774"/>
  </r>
  <r>
    <x v="18"/>
    <x v="6"/>
    <n v="9804510477"/>
  </r>
  <r>
    <x v="18"/>
    <x v="22"/>
    <n v="11808943725"/>
  </r>
  <r>
    <x v="18"/>
    <x v="13"/>
    <n v="8252292491"/>
  </r>
  <r>
    <x v="18"/>
    <x v="5"/>
    <n v="6592287881"/>
  </r>
  <r>
    <x v="19"/>
    <x v="22"/>
    <n v="8794083809"/>
  </r>
  <r>
    <x v="19"/>
    <x v="14"/>
    <n v="7521953677"/>
  </r>
  <r>
    <x v="19"/>
    <x v="23"/>
    <n v="7170428913"/>
  </r>
  <r>
    <x v="19"/>
    <x v="4"/>
    <n v="11331098414"/>
  </r>
  <r>
    <x v="19"/>
    <x v="5"/>
    <n v="11550000"/>
  </r>
  <r>
    <x v="19"/>
    <x v="6"/>
    <n v="8585903715"/>
  </r>
  <r>
    <x v="19"/>
    <x v="0"/>
    <n v="9123800649"/>
  </r>
  <r>
    <x v="19"/>
    <x v="21"/>
    <n v="11328250640"/>
  </r>
  <r>
    <x v="19"/>
    <x v="13"/>
    <n v="5228657565"/>
  </r>
  <r>
    <x v="19"/>
    <x v="1"/>
    <n v="6785528247"/>
  </r>
  <r>
    <x v="20"/>
    <x v="22"/>
    <n v="7170428913"/>
  </r>
  <r>
    <x v="20"/>
    <x v="14"/>
    <n v="5958996379"/>
  </r>
  <r>
    <x v="20"/>
    <x v="23"/>
    <n v="6337836660"/>
  </r>
  <r>
    <x v="20"/>
    <x v="6"/>
    <n v="11331098414"/>
  </r>
  <r>
    <x v="20"/>
    <x v="21"/>
    <n v="9537181059"/>
  </r>
  <r>
    <x v="20"/>
    <x v="4"/>
    <n v="11647337825"/>
  </r>
  <r>
    <x v="20"/>
    <x v="0"/>
    <n v="8931941254"/>
  </r>
  <r>
    <x v="20"/>
    <x v="1"/>
    <n v="7521953677"/>
  </r>
  <r>
    <x v="21"/>
    <x v="1"/>
    <n v="5958996379"/>
  </r>
  <r>
    <x v="21"/>
    <x v="21"/>
    <n v="6975282473"/>
  </r>
  <r>
    <x v="21"/>
    <x v="4"/>
    <n v="9917629149"/>
  </r>
  <r>
    <x v="21"/>
    <x v="0"/>
    <n v="12592107602"/>
  </r>
  <r>
    <x v="21"/>
    <x v="6"/>
    <n v="11647337825"/>
  </r>
  <r>
    <x v="21"/>
    <x v="23"/>
    <n v="7830057422"/>
  </r>
  <r>
    <x v="21"/>
    <x v="22"/>
    <n v="6337836660"/>
  </r>
  <r>
    <x v="22"/>
    <x v="4"/>
    <n v="6643998645"/>
  </r>
  <r>
    <x v="22"/>
    <x v="22"/>
    <n v="7830057422"/>
  </r>
  <r>
    <x v="22"/>
    <x v="21"/>
    <n v="6463543221"/>
  </r>
  <r>
    <x v="22"/>
    <x v="6"/>
    <n v="9917629149"/>
  </r>
  <r>
    <x v="22"/>
    <x v="23"/>
    <n v="6592287881"/>
  </r>
  <r>
    <x v="22"/>
    <x v="0"/>
    <n v="11469010142"/>
  </r>
  <r>
    <x v="23"/>
    <x v="0"/>
    <n v="7502851920"/>
  </r>
  <r>
    <x v="23"/>
    <x v="23"/>
    <n v="11550000"/>
  </r>
  <r>
    <x v="23"/>
    <x v="4"/>
    <n v="6250770622"/>
  </r>
  <r>
    <x v="23"/>
    <x v="21"/>
    <n v="8136379040"/>
  </r>
  <r>
    <x v="23"/>
    <x v="22"/>
    <n v="6592287881"/>
  </r>
  <r>
    <x v="23"/>
    <x v="6"/>
    <n v="6643998645"/>
  </r>
  <r>
    <x v="24"/>
    <x v="22"/>
    <n v="11550000"/>
  </r>
  <r>
    <x v="24"/>
    <x v="0"/>
    <n v="7072866438"/>
  </r>
  <r>
    <x v="24"/>
    <x v="21"/>
    <n v="6537688481"/>
  </r>
  <r>
    <x v="24"/>
    <x v="6"/>
    <n v="6250770622"/>
  </r>
  <r>
    <x v="24"/>
    <x v="4"/>
    <n v="7555829276"/>
  </r>
  <r>
    <x v="25"/>
    <x v="4"/>
    <n v="7495709672"/>
  </r>
  <r>
    <x v="25"/>
    <x v="21"/>
    <n v="66149400"/>
  </r>
  <r>
    <x v="25"/>
    <x v="0"/>
    <n v="6984838177"/>
  </r>
  <r>
    <x v="25"/>
    <x v="6"/>
    <n v="7555829276"/>
  </r>
  <r>
    <x v="26"/>
    <x v="6"/>
    <n v="7495709672"/>
  </r>
  <r>
    <x v="26"/>
    <x v="0"/>
    <n v="8638366990"/>
  </r>
  <r>
    <x v="26"/>
    <x v="4"/>
    <n v="232734400"/>
  </r>
  <r>
    <x v="27"/>
    <x v="0"/>
    <n v="1590709203"/>
  </r>
  <r>
    <x v="27"/>
    <x v="6"/>
    <n v="2327344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64B327-5928-1A48-9613-D9B96748795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6:T13" firstHeaderRow="1" firstDataRow="2" firstDataCol="1"/>
  <pivotFields count="8">
    <pivotField axis="axisRow" showAll="0">
      <items count="6">
        <item x="0"/>
        <item x="1"/>
        <item x="2"/>
        <item x="3"/>
        <item x="4"/>
        <item t="default"/>
      </items>
    </pivotField>
    <pivotField numFmtId="14"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umFmtId="164" showAll="0"/>
    <pivotField numFmtId="164" showAll="0"/>
    <pivotField numFmtId="164"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6">
    <i>
      <x/>
    </i>
    <i>
      <x v="1"/>
    </i>
    <i>
      <x v="2"/>
    </i>
    <i>
      <x v="3"/>
    </i>
    <i>
      <x v="4"/>
    </i>
    <i t="grand">
      <x/>
    </i>
  </rowItems>
  <colFields count="1">
    <field x="7"/>
  </colFields>
  <colItems count="4">
    <i>
      <x v="7"/>
    </i>
    <i>
      <x v="8"/>
    </i>
    <i>
      <x v="9"/>
    </i>
    <i t="grand">
      <x/>
    </i>
  </colItems>
  <dataFields count="1">
    <dataField name="Sum of closing_balance_dpd_under10" fld="5" baseField="0" baseItem="0"/>
  </dataFields>
  <formats count="1">
    <format dxfId="3">
      <pivotArea collapsedLevelsAreSubtotals="1" fieldPosition="0">
        <references count="2">
          <reference field="0" count="4">
            <x v="1"/>
            <x v="2"/>
            <x v="3"/>
            <x v="4"/>
          </reference>
          <reference field="7" count="3" selected="0">
            <x v="7"/>
            <x v="8"/>
            <x v="9"/>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8B0D91-4FE3-3B44-8E83-B0572B36EB8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3:H113" firstHeaderRow="1" firstDataRow="2" firstDataCol="1"/>
  <pivotFields count="3">
    <pivotField axis="axisRow"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xis="axisCol" showAll="0">
      <items count="29">
        <item h="1" x="19"/>
        <item h="1" x="12"/>
        <item h="1" x="11"/>
        <item h="1" x="18"/>
        <item h="1" x="15"/>
        <item h="1" x="9"/>
        <item h="1" x="17"/>
        <item h="1" x="27"/>
        <item h="1" x="10"/>
        <item h="1" x="25"/>
        <item h="1" x="16"/>
        <item h="1" x="24"/>
        <item h="1" x="26"/>
        <item h="1" x="7"/>
        <item h="1" x="2"/>
        <item h="1" x="3"/>
        <item h="1" x="20"/>
        <item h="1" x="8"/>
        <item h="1" x="5"/>
        <item h="1" x="13"/>
        <item h="1" x="14"/>
        <item h="1" x="1"/>
        <item h="1" x="23"/>
        <item x="22"/>
        <item x="21"/>
        <item x="4"/>
        <item x="6"/>
        <item h="1" x="0"/>
        <item t="default"/>
      </items>
    </pivotField>
    <pivotField dataField="1" showAll="0"/>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1"/>
  </colFields>
  <colItems count="5">
    <i>
      <x v="23"/>
    </i>
    <i>
      <x v="24"/>
    </i>
    <i>
      <x v="25"/>
    </i>
    <i>
      <x v="26"/>
    </i>
    <i t="grand">
      <x/>
    </i>
  </colItems>
  <dataFields count="1">
    <dataField name="Sum of principal_balance_at_report_month"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62A5A-BEAD-F745-BCE7-D723DD37C66C}">
  <dimension ref="D2:AD463"/>
  <sheetViews>
    <sheetView tabSelected="1" topLeftCell="O1" workbookViewId="0">
      <selection activeCell="AD15" sqref="AD15"/>
    </sheetView>
  </sheetViews>
  <sheetFormatPr baseColWidth="10" defaultColWidth="8.83203125" defaultRowHeight="15" x14ac:dyDescent="0.2"/>
  <cols>
    <col min="1" max="5" width="8.83203125" style="1"/>
    <col min="6" max="6" width="19.83203125" style="1" bestFit="1" customWidth="1"/>
    <col min="7" max="7" width="18.33203125" style="1" bestFit="1" customWidth="1"/>
    <col min="8" max="8" width="19.83203125" style="1" bestFit="1" customWidth="1"/>
    <col min="9" max="13" width="8.83203125" style="1"/>
    <col min="14" max="14" width="27" style="1" bestFit="1" customWidth="1"/>
    <col min="15" max="15" width="18.5" style="1" bestFit="1" customWidth="1"/>
    <col min="16" max="16" width="33.5" style="1" bestFit="1" customWidth="1"/>
    <col min="17" max="18" width="21.1640625" style="1" bestFit="1" customWidth="1"/>
    <col min="19" max="19" width="22.1640625" style="1" bestFit="1" customWidth="1"/>
    <col min="20" max="20" width="11.83203125" style="1" bestFit="1" customWidth="1"/>
    <col min="21" max="24" width="8.83203125" style="1"/>
    <col min="25" max="25" width="11.83203125" style="1" bestFit="1" customWidth="1"/>
    <col min="26" max="16384" width="8.83203125" style="1"/>
  </cols>
  <sheetData>
    <row r="2" spans="4:30" ht="16" thickBot="1" x14ac:dyDescent="0.25"/>
    <row r="3" spans="4:30" ht="58" thickBot="1" x14ac:dyDescent="0.25">
      <c r="D3" s="2" t="s">
        <v>0</v>
      </c>
      <c r="E3" s="2" t="s">
        <v>1</v>
      </c>
      <c r="F3" s="2" t="s">
        <v>2</v>
      </c>
      <c r="G3" s="2" t="s">
        <v>3</v>
      </c>
      <c r="H3" s="3" t="s">
        <v>4</v>
      </c>
      <c r="I3" s="3" t="s">
        <v>5</v>
      </c>
    </row>
    <row r="4" spans="4:30" ht="16" thickBot="1" x14ac:dyDescent="0.25">
      <c r="D4" s="2" t="s">
        <v>6</v>
      </c>
      <c r="E4" s="4">
        <v>45839</v>
      </c>
      <c r="F4" s="5">
        <v>14756199</v>
      </c>
      <c r="G4" s="5">
        <v>9366003</v>
      </c>
      <c r="H4" s="5">
        <v>5390196</v>
      </c>
      <c r="I4" s="6">
        <v>14756199</v>
      </c>
    </row>
    <row r="5" spans="4:30" ht="16" thickBot="1" x14ac:dyDescent="0.25">
      <c r="D5" s="2" t="s">
        <v>6</v>
      </c>
      <c r="E5" s="4">
        <v>45840</v>
      </c>
      <c r="F5" s="5">
        <v>14756199</v>
      </c>
      <c r="G5" s="5">
        <v>9366003</v>
      </c>
      <c r="H5" s="5">
        <v>5390196</v>
      </c>
      <c r="I5" s="6">
        <v>14756199</v>
      </c>
      <c r="J5" s="4">
        <v>45839</v>
      </c>
      <c r="W5" s="1" t="s">
        <v>7</v>
      </c>
      <c r="Y5" s="1" t="s">
        <v>8</v>
      </c>
    </row>
    <row r="6" spans="4:30" ht="17" thickBot="1" x14ac:dyDescent="0.25">
      <c r="D6" s="2" t="s">
        <v>6</v>
      </c>
      <c r="E6" s="4">
        <v>45841</v>
      </c>
      <c r="F6" s="5">
        <v>14756199</v>
      </c>
      <c r="G6" s="5">
        <v>9366003</v>
      </c>
      <c r="H6" s="5">
        <v>5390196</v>
      </c>
      <c r="I6" s="6">
        <v>14756199</v>
      </c>
      <c r="J6" s="4">
        <v>45840</v>
      </c>
      <c r="P6" s="7" t="s">
        <v>9</v>
      </c>
      <c r="Q6" s="7" t="s">
        <v>10</v>
      </c>
      <c r="R6" s="8"/>
      <c r="S6" s="8"/>
      <c r="T6" s="9"/>
      <c r="V6" s="1" t="s">
        <v>11</v>
      </c>
      <c r="W6" s="10">
        <f>ROUND(SUM(Q18:S20)/SUM(Q15:S17)*365,3)</f>
        <v>0.498</v>
      </c>
      <c r="Y6" s="11">
        <f>SUM(Q18:S20)/SUM(Y15:AA17)*365</f>
        <v>0.48738193071658109</v>
      </c>
      <c r="AC6" s="12"/>
    </row>
    <row r="7" spans="4:30" ht="16" thickBot="1" x14ac:dyDescent="0.25">
      <c r="D7" s="2" t="s">
        <v>6</v>
      </c>
      <c r="E7" s="4">
        <v>45842</v>
      </c>
      <c r="F7" s="5">
        <v>14756199</v>
      </c>
      <c r="G7" s="5">
        <v>9366003</v>
      </c>
      <c r="H7" s="5">
        <v>5390196</v>
      </c>
      <c r="I7" s="6">
        <v>14756199</v>
      </c>
      <c r="J7" s="4">
        <v>45841</v>
      </c>
      <c r="P7" s="7" t="s">
        <v>12</v>
      </c>
      <c r="Q7" s="7" t="s">
        <v>13</v>
      </c>
      <c r="R7" s="13" t="s">
        <v>14</v>
      </c>
      <c r="S7" s="13" t="s">
        <v>15</v>
      </c>
      <c r="T7" s="14" t="s">
        <v>16</v>
      </c>
    </row>
    <row r="8" spans="4:30" ht="16" thickBot="1" x14ac:dyDescent="0.25">
      <c r="D8" s="2" t="s">
        <v>6</v>
      </c>
      <c r="E8" s="4">
        <v>45843</v>
      </c>
      <c r="F8" s="5">
        <v>14756199</v>
      </c>
      <c r="G8" s="5">
        <v>9366003</v>
      </c>
      <c r="H8" s="5">
        <v>5390196</v>
      </c>
      <c r="I8" s="6">
        <v>14756199</v>
      </c>
      <c r="J8" s="4">
        <v>45842</v>
      </c>
      <c r="P8" s="15" t="s">
        <v>6</v>
      </c>
      <c r="Q8" s="7">
        <v>239812300</v>
      </c>
      <c r="R8" s="13">
        <v>147123641</v>
      </c>
      <c r="S8" s="13">
        <v>125836026</v>
      </c>
      <c r="T8" s="14">
        <v>512771967</v>
      </c>
      <c r="V8" s="16"/>
    </row>
    <row r="9" spans="4:30" ht="16" thickBot="1" x14ac:dyDescent="0.25">
      <c r="D9" s="2" t="s">
        <v>6</v>
      </c>
      <c r="E9" s="4">
        <v>45844</v>
      </c>
      <c r="F9" s="5">
        <v>14756199</v>
      </c>
      <c r="G9" s="5">
        <v>9366003</v>
      </c>
      <c r="H9" s="5">
        <v>5390196</v>
      </c>
      <c r="I9" s="6">
        <v>14756199</v>
      </c>
      <c r="J9" s="4">
        <v>45843</v>
      </c>
      <c r="P9" s="17" t="s">
        <v>17</v>
      </c>
      <c r="Q9" s="18">
        <v>78436590748098</v>
      </c>
      <c r="R9" s="19">
        <v>90255148949428</v>
      </c>
      <c r="S9" s="19">
        <v>100589895287302</v>
      </c>
      <c r="T9" s="20">
        <v>269281634984828</v>
      </c>
      <c r="V9" s="16"/>
    </row>
    <row r="10" spans="4:30" ht="16" thickBot="1" x14ac:dyDescent="0.25">
      <c r="D10" s="2" t="s">
        <v>6</v>
      </c>
      <c r="E10" s="4">
        <v>45845</v>
      </c>
      <c r="F10" s="5">
        <v>14756199</v>
      </c>
      <c r="G10" s="5">
        <v>9366003</v>
      </c>
      <c r="H10" s="5">
        <v>5390196</v>
      </c>
      <c r="I10" s="6">
        <v>14756199</v>
      </c>
      <c r="J10" s="4">
        <v>45844</v>
      </c>
      <c r="P10" s="17" t="s">
        <v>18</v>
      </c>
      <c r="Q10" s="18">
        <v>7136242574215</v>
      </c>
      <c r="R10" s="19">
        <v>6746808038715</v>
      </c>
      <c r="S10" s="19">
        <v>5974343866384</v>
      </c>
      <c r="T10" s="20">
        <v>19857394479314</v>
      </c>
      <c r="V10" s="16"/>
    </row>
    <row r="11" spans="4:30" ht="16" thickBot="1" x14ac:dyDescent="0.25">
      <c r="D11" s="2" t="s">
        <v>6</v>
      </c>
      <c r="E11" s="4">
        <v>45846</v>
      </c>
      <c r="F11" s="5">
        <v>14756199</v>
      </c>
      <c r="G11" s="5">
        <v>9366003</v>
      </c>
      <c r="H11" s="5">
        <v>5390196</v>
      </c>
      <c r="I11" s="6">
        <v>14756199</v>
      </c>
      <c r="J11" s="4">
        <v>45845</v>
      </c>
      <c r="P11" s="17" t="s">
        <v>19</v>
      </c>
      <c r="Q11" s="18">
        <v>4622575283656</v>
      </c>
      <c r="R11" s="19">
        <v>6916178026946</v>
      </c>
      <c r="S11" s="19">
        <v>9155304671675</v>
      </c>
      <c r="T11" s="20">
        <v>20694057982277</v>
      </c>
    </row>
    <row r="12" spans="4:30" ht="16" thickBot="1" x14ac:dyDescent="0.25">
      <c r="D12" s="2" t="s">
        <v>6</v>
      </c>
      <c r="E12" s="4">
        <v>45847</v>
      </c>
      <c r="F12" s="5">
        <v>14756199</v>
      </c>
      <c r="G12" s="5">
        <v>9366003</v>
      </c>
      <c r="H12" s="5">
        <v>5390196</v>
      </c>
      <c r="I12" s="6">
        <v>5390196</v>
      </c>
      <c r="J12" s="4">
        <v>45846</v>
      </c>
      <c r="P12" s="17" t="s">
        <v>20</v>
      </c>
      <c r="Q12" s="18">
        <v>1614363094217</v>
      </c>
      <c r="R12" s="19">
        <v>1979638013131</v>
      </c>
      <c r="S12" s="19">
        <v>2393220164489</v>
      </c>
      <c r="T12" s="20">
        <v>5987221271837</v>
      </c>
    </row>
    <row r="13" spans="4:30" ht="16" thickBot="1" x14ac:dyDescent="0.25">
      <c r="D13" s="2" t="s">
        <v>6</v>
      </c>
      <c r="E13" s="4">
        <v>45848</v>
      </c>
      <c r="F13" s="5">
        <v>14756199</v>
      </c>
      <c r="G13" s="5">
        <v>9366003</v>
      </c>
      <c r="H13" s="5">
        <v>5390196</v>
      </c>
      <c r="I13" s="6">
        <v>5390196</v>
      </c>
      <c r="J13" s="4">
        <v>45847</v>
      </c>
      <c r="P13" s="21" t="s">
        <v>16</v>
      </c>
      <c r="Q13" s="22">
        <v>91810011512486</v>
      </c>
      <c r="R13" s="23">
        <v>105897920151861</v>
      </c>
      <c r="S13" s="23">
        <v>118112889825876</v>
      </c>
      <c r="T13" s="24">
        <v>315820821490223</v>
      </c>
    </row>
    <row r="14" spans="4:30" ht="16" thickBot="1" x14ac:dyDescent="0.25">
      <c r="D14" s="2" t="s">
        <v>6</v>
      </c>
      <c r="E14" s="4">
        <v>45849</v>
      </c>
      <c r="F14" s="5">
        <v>14756199</v>
      </c>
      <c r="G14" s="5">
        <v>9366003</v>
      </c>
      <c r="H14" s="5">
        <v>5390196</v>
      </c>
      <c r="I14" s="6">
        <v>5390196</v>
      </c>
      <c r="J14" s="4">
        <v>45848</v>
      </c>
      <c r="Q14" s="1" t="s">
        <v>21</v>
      </c>
      <c r="U14" s="1" t="s">
        <v>21</v>
      </c>
      <c r="Y14" s="1" t="s">
        <v>22</v>
      </c>
    </row>
    <row r="15" spans="4:30" ht="17" thickBot="1" x14ac:dyDescent="0.25">
      <c r="D15" s="2" t="s">
        <v>6</v>
      </c>
      <c r="E15" s="4">
        <v>45850</v>
      </c>
      <c r="F15" s="5">
        <v>14756199</v>
      </c>
      <c r="G15" s="5">
        <v>9366003</v>
      </c>
      <c r="H15" s="5">
        <v>5390196</v>
      </c>
      <c r="I15" s="6">
        <v>5390196</v>
      </c>
      <c r="J15" s="4">
        <v>45849</v>
      </c>
      <c r="O15" s="1" t="s">
        <v>23</v>
      </c>
      <c r="P15" s="1" t="s">
        <v>24</v>
      </c>
      <c r="Q15" s="25">
        <v>76815377331487</v>
      </c>
      <c r="R15" s="25">
        <v>88356842904043</v>
      </c>
      <c r="S15" s="25">
        <v>98510201219076</v>
      </c>
      <c r="Y15" s="26">
        <v>78436590748098</v>
      </c>
      <c r="Z15" s="26">
        <v>90255148949428</v>
      </c>
      <c r="AA15" s="26">
        <v>100589895287302</v>
      </c>
      <c r="AD15" s="27">
        <f>SUM(Q18:S18)/SUM(Y15:AA15)*365</f>
        <v>0.49171713811086798</v>
      </c>
    </row>
    <row r="16" spans="4:30" ht="17" thickBot="1" x14ac:dyDescent="0.25">
      <c r="D16" s="2" t="s">
        <v>6</v>
      </c>
      <c r="E16" s="4">
        <v>45851</v>
      </c>
      <c r="F16" s="5">
        <v>14756199</v>
      </c>
      <c r="G16" s="5">
        <v>9366003</v>
      </c>
      <c r="H16" s="5">
        <v>5390196</v>
      </c>
      <c r="I16" s="6">
        <v>5390196</v>
      </c>
      <c r="J16" s="4">
        <v>45850</v>
      </c>
      <c r="P16" s="1" t="s">
        <v>25</v>
      </c>
      <c r="Q16" s="25">
        <v>4524046156012</v>
      </c>
      <c r="R16" s="25">
        <v>6752896242376</v>
      </c>
      <c r="S16" s="25">
        <v>8931338959705</v>
      </c>
      <c r="Y16" s="1">
        <v>4622575283656</v>
      </c>
      <c r="Z16" s="1">
        <v>6916178026946</v>
      </c>
      <c r="AA16" s="1">
        <v>9155304671675</v>
      </c>
      <c r="AD16" s="28">
        <f>SUM(Q19:S19)/SUM(Y16:AA16)*365</f>
        <v>0.55165626694686964</v>
      </c>
    </row>
    <row r="17" spans="4:30" ht="17" thickBot="1" x14ac:dyDescent="0.25">
      <c r="D17" s="2" t="s">
        <v>6</v>
      </c>
      <c r="E17" s="4">
        <v>45852</v>
      </c>
      <c r="F17" s="5">
        <v>14756199</v>
      </c>
      <c r="G17" s="5">
        <v>9366003</v>
      </c>
      <c r="H17" s="5">
        <v>5390196</v>
      </c>
      <c r="I17" s="6">
        <v>5390196</v>
      </c>
      <c r="J17" s="4">
        <v>45851</v>
      </c>
      <c r="P17" s="1" t="s">
        <v>26</v>
      </c>
      <c r="Q17" s="25">
        <v>7046693541652</v>
      </c>
      <c r="R17" s="25">
        <v>6663812994227</v>
      </c>
      <c r="S17" s="25">
        <v>5882758745896</v>
      </c>
      <c r="Y17" s="1">
        <v>7136242574215</v>
      </c>
      <c r="Z17" s="1">
        <v>6746808038715</v>
      </c>
      <c r="AA17" s="1">
        <v>5974343866384</v>
      </c>
      <c r="AD17" s="28">
        <f>SUM(Q20:S20)/SUM(Y17:AA17)*365</f>
        <v>0.36161071846335524</v>
      </c>
    </row>
    <row r="18" spans="4:30" ht="17" thickBot="1" x14ac:dyDescent="0.25">
      <c r="D18" s="2" t="s">
        <v>6</v>
      </c>
      <c r="E18" s="4">
        <v>45853</v>
      </c>
      <c r="F18" s="5">
        <v>14756199</v>
      </c>
      <c r="G18" s="5">
        <v>9366003</v>
      </c>
      <c r="H18" s="5">
        <v>5390196</v>
      </c>
      <c r="I18" s="6">
        <v>5390196</v>
      </c>
      <c r="J18" s="4">
        <v>45852</v>
      </c>
      <c r="O18" s="1" t="s">
        <v>27</v>
      </c>
      <c r="P18" s="1" t="s">
        <v>24</v>
      </c>
      <c r="Q18" s="29">
        <f>SUM(Q24:Q32)</f>
        <v>106108627740</v>
      </c>
      <c r="R18" s="29">
        <f>SUM(R24:R32)</f>
        <v>121377125554</v>
      </c>
      <c r="S18" s="29">
        <f>SUM(S24:S32)</f>
        <v>135282451913</v>
      </c>
      <c r="U18" s="30">
        <f t="shared" ref="U18:W20" si="0">Q18/Q15*365</f>
        <v>0.50419135426448691</v>
      </c>
      <c r="V18" s="30">
        <f t="shared" si="0"/>
        <v>0.50140599608480141</v>
      </c>
      <c r="W18" s="30">
        <f t="shared" si="0"/>
        <v>0.50124854418308895</v>
      </c>
      <c r="X18" s="30"/>
    </row>
    <row r="19" spans="4:30" ht="17" thickBot="1" x14ac:dyDescent="0.25">
      <c r="D19" s="2" t="s">
        <v>6</v>
      </c>
      <c r="E19" s="4">
        <v>45854</v>
      </c>
      <c r="F19" s="5">
        <v>14756199</v>
      </c>
      <c r="G19" s="5">
        <v>9366003</v>
      </c>
      <c r="H19" s="5">
        <v>5390196</v>
      </c>
      <c r="I19" s="6">
        <v>5390196</v>
      </c>
      <c r="J19" s="4">
        <v>45853</v>
      </c>
      <c r="P19" s="1" t="s">
        <v>25</v>
      </c>
      <c r="Q19" s="25">
        <f>SUM(Q34:Q36)</f>
        <v>7243462161</v>
      </c>
      <c r="R19" s="25">
        <f>SUM(R34:R36)</f>
        <v>10646665908</v>
      </c>
      <c r="S19" s="25">
        <f>SUM(S34:S36)</f>
        <v>13386602820</v>
      </c>
      <c r="U19" s="30">
        <f t="shared" si="0"/>
        <v>0.58440245691383419</v>
      </c>
      <c r="V19" s="30">
        <f t="shared" si="0"/>
        <v>0.57546168591103708</v>
      </c>
      <c r="W19" s="30">
        <f t="shared" si="0"/>
        <v>0.54707475008443607</v>
      </c>
    </row>
    <row r="20" spans="4:30" ht="17" thickBot="1" x14ac:dyDescent="0.25">
      <c r="D20" s="2" t="s">
        <v>6</v>
      </c>
      <c r="E20" s="4">
        <v>45855</v>
      </c>
      <c r="F20" s="5">
        <v>14756199</v>
      </c>
      <c r="G20" s="5">
        <v>9366003</v>
      </c>
      <c r="H20" s="5">
        <v>5390196</v>
      </c>
      <c r="I20" s="6">
        <v>5390196</v>
      </c>
      <c r="J20" s="4">
        <v>45854</v>
      </c>
      <c r="P20" s="1" t="s">
        <v>26</v>
      </c>
      <c r="Q20" s="16">
        <f>Q39</f>
        <v>7097575425</v>
      </c>
      <c r="R20" s="16">
        <f>R39</f>
        <v>6741642587</v>
      </c>
      <c r="S20" s="16">
        <f>S39</f>
        <v>5833786603</v>
      </c>
      <c r="U20" s="30">
        <f t="shared" si="0"/>
        <v>0.36763554634698448</v>
      </c>
      <c r="V20" s="30">
        <f t="shared" si="0"/>
        <v>0.36926299498301574</v>
      </c>
      <c r="W20" s="30">
        <f t="shared" si="0"/>
        <v>0.36196148815051948</v>
      </c>
    </row>
    <row r="21" spans="4:30" ht="16" thickBot="1" x14ac:dyDescent="0.25">
      <c r="D21" s="2" t="s">
        <v>6</v>
      </c>
      <c r="E21" s="4">
        <v>45856</v>
      </c>
      <c r="F21" s="5">
        <v>14756199</v>
      </c>
      <c r="G21" s="5">
        <v>9366003</v>
      </c>
      <c r="H21" s="5">
        <v>5390196</v>
      </c>
      <c r="I21" s="6">
        <v>5390196</v>
      </c>
      <c r="J21" s="4">
        <v>45855</v>
      </c>
    </row>
    <row r="22" spans="4:30" ht="16" thickBot="1" x14ac:dyDescent="0.25">
      <c r="D22" s="2" t="s">
        <v>6</v>
      </c>
      <c r="E22" s="4">
        <v>45857</v>
      </c>
      <c r="F22" s="5">
        <v>14756199</v>
      </c>
      <c r="G22" s="5">
        <v>9366003</v>
      </c>
      <c r="H22" s="5">
        <v>5390196</v>
      </c>
      <c r="I22" s="6">
        <v>5390196</v>
      </c>
      <c r="J22" s="4">
        <v>45856</v>
      </c>
    </row>
    <row r="23" spans="4:30" ht="16" thickBot="1" x14ac:dyDescent="0.25">
      <c r="D23" s="2" t="s">
        <v>6</v>
      </c>
      <c r="E23" s="4">
        <v>45858</v>
      </c>
      <c r="F23" s="5">
        <v>14756199</v>
      </c>
      <c r="G23" s="5">
        <v>9366003</v>
      </c>
      <c r="H23" s="5">
        <v>5390196</v>
      </c>
      <c r="I23" s="6">
        <v>5390196</v>
      </c>
      <c r="J23" s="4">
        <v>45857</v>
      </c>
    </row>
    <row r="24" spans="4:30" ht="17" thickBot="1" x14ac:dyDescent="0.25">
      <c r="D24" s="2" t="s">
        <v>6</v>
      </c>
      <c r="E24" s="4">
        <v>45859</v>
      </c>
      <c r="F24" s="5">
        <v>14756199</v>
      </c>
      <c r="G24" s="5">
        <v>9366003</v>
      </c>
      <c r="H24" s="5">
        <v>5390196</v>
      </c>
      <c r="I24" s="6">
        <v>5390196</v>
      </c>
      <c r="J24" s="4">
        <v>45858</v>
      </c>
      <c r="N24" s="31" t="s">
        <v>28</v>
      </c>
      <c r="O24" s="31" t="s">
        <v>28</v>
      </c>
      <c r="P24" s="31" t="s">
        <v>29</v>
      </c>
      <c r="Q24" s="25">
        <v>48463084122</v>
      </c>
      <c r="R24" s="25">
        <v>53272770215</v>
      </c>
      <c r="S24" s="25">
        <v>57987623749</v>
      </c>
    </row>
    <row r="25" spans="4:30" ht="17" thickBot="1" x14ac:dyDescent="0.25">
      <c r="D25" s="2" t="s">
        <v>6</v>
      </c>
      <c r="E25" s="4">
        <v>45860</v>
      </c>
      <c r="F25" s="5">
        <v>14756199</v>
      </c>
      <c r="G25" s="5">
        <v>9366003</v>
      </c>
      <c r="H25" s="5">
        <v>5390196</v>
      </c>
      <c r="I25" s="6">
        <v>5390196</v>
      </c>
      <c r="J25" s="4">
        <v>45859</v>
      </c>
      <c r="N25" s="31" t="s">
        <v>28</v>
      </c>
      <c r="O25" s="31" t="s">
        <v>30</v>
      </c>
      <c r="P25" s="31" t="s">
        <v>29</v>
      </c>
      <c r="Q25" s="25">
        <v>180134709</v>
      </c>
      <c r="R25" s="25">
        <v>177793395</v>
      </c>
      <c r="S25" s="25">
        <v>162715192</v>
      </c>
    </row>
    <row r="26" spans="4:30" ht="17" thickBot="1" x14ac:dyDescent="0.25">
      <c r="D26" s="2" t="s">
        <v>6</v>
      </c>
      <c r="E26" s="4">
        <v>45861</v>
      </c>
      <c r="F26" s="5">
        <v>14756199</v>
      </c>
      <c r="G26" s="5">
        <v>9366003</v>
      </c>
      <c r="H26" s="5">
        <v>5390196</v>
      </c>
      <c r="I26" s="6">
        <v>5390196</v>
      </c>
      <c r="J26" s="4">
        <v>45860</v>
      </c>
      <c r="N26" s="31" t="s">
        <v>28</v>
      </c>
      <c r="O26" s="31" t="s">
        <v>28</v>
      </c>
      <c r="P26" s="31" t="s">
        <v>31</v>
      </c>
      <c r="Q26" s="25">
        <v>208673555</v>
      </c>
      <c r="R26" s="25">
        <v>170907800</v>
      </c>
      <c r="S26" s="25">
        <v>140807807</v>
      </c>
    </row>
    <row r="27" spans="4:30" ht="17" thickBot="1" x14ac:dyDescent="0.25">
      <c r="D27" s="2" t="s">
        <v>6</v>
      </c>
      <c r="E27" s="4">
        <v>45862</v>
      </c>
      <c r="F27" s="5">
        <v>14756199</v>
      </c>
      <c r="G27" s="5">
        <v>9366003</v>
      </c>
      <c r="H27" s="5">
        <v>5390196</v>
      </c>
      <c r="I27" s="6">
        <v>5390196</v>
      </c>
      <c r="J27" s="4">
        <v>45861</v>
      </c>
      <c r="N27" s="31" t="s">
        <v>28</v>
      </c>
      <c r="O27" s="31" t="s">
        <v>28</v>
      </c>
      <c r="P27" s="31" t="s">
        <v>32</v>
      </c>
      <c r="Q27" s="25">
        <v>619417378</v>
      </c>
      <c r="R27" s="25">
        <v>493982632</v>
      </c>
      <c r="S27" s="25">
        <v>409380520</v>
      </c>
    </row>
    <row r="28" spans="4:30" ht="17" thickBot="1" x14ac:dyDescent="0.25">
      <c r="D28" s="2" t="s">
        <v>6</v>
      </c>
      <c r="E28" s="4">
        <v>45863</v>
      </c>
      <c r="F28" s="5">
        <v>14756199</v>
      </c>
      <c r="G28" s="5">
        <v>9366003</v>
      </c>
      <c r="H28" s="5">
        <v>5390196</v>
      </c>
      <c r="I28" s="6">
        <v>5390196</v>
      </c>
      <c r="J28" s="4">
        <v>45862</v>
      </c>
      <c r="N28" s="31" t="s">
        <v>28</v>
      </c>
      <c r="O28" s="31" t="s">
        <v>28</v>
      </c>
      <c r="P28" s="31" t="s">
        <v>33</v>
      </c>
      <c r="Q28" s="25">
        <v>42400864409</v>
      </c>
      <c r="R28" s="25">
        <v>48200259590</v>
      </c>
      <c r="S28" s="25">
        <v>53511511977</v>
      </c>
    </row>
    <row r="29" spans="4:30" ht="17" thickBot="1" x14ac:dyDescent="0.25">
      <c r="D29" s="2" t="s">
        <v>6</v>
      </c>
      <c r="E29" s="4">
        <v>45864</v>
      </c>
      <c r="F29" s="5">
        <v>14756199</v>
      </c>
      <c r="G29" s="5">
        <v>9366003</v>
      </c>
      <c r="H29" s="5">
        <v>5390196</v>
      </c>
      <c r="I29" s="6">
        <v>5390196</v>
      </c>
      <c r="J29" s="4">
        <v>45863</v>
      </c>
      <c r="N29" s="31" t="s">
        <v>28</v>
      </c>
      <c r="O29" s="31" t="s">
        <v>28</v>
      </c>
      <c r="P29" s="31" t="s">
        <v>34</v>
      </c>
      <c r="Q29" s="25">
        <v>6378275744</v>
      </c>
      <c r="R29" s="25">
        <v>8067738498</v>
      </c>
      <c r="S29" s="25">
        <v>10087675211</v>
      </c>
    </row>
    <row r="30" spans="4:30" ht="17" thickBot="1" x14ac:dyDescent="0.25">
      <c r="D30" s="2" t="s">
        <v>6</v>
      </c>
      <c r="E30" s="4">
        <v>45865</v>
      </c>
      <c r="F30" s="5">
        <v>14756199</v>
      </c>
      <c r="G30" s="5">
        <v>9366003</v>
      </c>
      <c r="H30" s="5">
        <v>5390196</v>
      </c>
      <c r="I30" s="6">
        <v>5390196</v>
      </c>
      <c r="J30" s="4">
        <v>45864</v>
      </c>
      <c r="N30" s="31" t="s">
        <v>28</v>
      </c>
      <c r="O30" s="31" t="s">
        <v>28</v>
      </c>
      <c r="P30" s="31" t="s">
        <v>35</v>
      </c>
      <c r="Q30" s="25">
        <v>2629288891</v>
      </c>
      <c r="R30" s="25">
        <v>2780395647</v>
      </c>
      <c r="S30" s="25">
        <v>2886582366</v>
      </c>
    </row>
    <row r="31" spans="4:30" ht="17" thickBot="1" x14ac:dyDescent="0.25">
      <c r="D31" s="2" t="s">
        <v>6</v>
      </c>
      <c r="E31" s="4">
        <v>45866</v>
      </c>
      <c r="F31" s="5">
        <v>14203249</v>
      </c>
      <c r="G31" s="5">
        <v>9366003</v>
      </c>
      <c r="H31" s="5">
        <v>4837246</v>
      </c>
      <c r="I31" s="6">
        <v>4837246</v>
      </c>
      <c r="J31" s="4">
        <v>45865</v>
      </c>
      <c r="N31" s="31" t="s">
        <v>28</v>
      </c>
      <c r="O31" s="31" t="s">
        <v>28</v>
      </c>
      <c r="P31" s="31" t="s">
        <v>36</v>
      </c>
      <c r="Q31" s="25">
        <v>5190014930</v>
      </c>
      <c r="R31" s="25">
        <v>8151740830</v>
      </c>
      <c r="S31" s="25">
        <v>9991296076</v>
      </c>
    </row>
    <row r="32" spans="4:30" ht="17" thickBot="1" x14ac:dyDescent="0.25">
      <c r="D32" s="2" t="s">
        <v>6</v>
      </c>
      <c r="E32" s="4">
        <v>45867</v>
      </c>
      <c r="F32" s="5">
        <v>14203249</v>
      </c>
      <c r="G32" s="5">
        <v>9366003</v>
      </c>
      <c r="H32" s="5">
        <v>4837246</v>
      </c>
      <c r="I32" s="6">
        <v>4837246</v>
      </c>
      <c r="J32" s="4">
        <v>45866</v>
      </c>
      <c r="N32" s="31" t="s">
        <v>28</v>
      </c>
      <c r="O32" s="31" t="s">
        <v>28</v>
      </c>
      <c r="P32" s="31" t="s">
        <v>37</v>
      </c>
      <c r="Q32" s="25">
        <v>38874002</v>
      </c>
      <c r="R32" s="25">
        <v>61536947</v>
      </c>
      <c r="S32" s="25">
        <v>104859015</v>
      </c>
    </row>
    <row r="33" spans="4:19" ht="17" thickBot="1" x14ac:dyDescent="0.25">
      <c r="D33" s="2" t="s">
        <v>6</v>
      </c>
      <c r="E33" s="4">
        <v>45868</v>
      </c>
      <c r="F33" s="5">
        <v>14203249</v>
      </c>
      <c r="G33" s="5">
        <v>9366003</v>
      </c>
      <c r="H33" s="5">
        <v>4837246</v>
      </c>
      <c r="I33" s="6">
        <v>4837246</v>
      </c>
      <c r="J33" s="4">
        <v>45867</v>
      </c>
      <c r="Q33" s="25"/>
      <c r="R33" s="25"/>
      <c r="S33" s="25"/>
    </row>
    <row r="34" spans="4:19" ht="17" thickBot="1" x14ac:dyDescent="0.25">
      <c r="D34" s="2" t="s">
        <v>6</v>
      </c>
      <c r="E34" s="4">
        <v>45869</v>
      </c>
      <c r="F34" s="5">
        <v>14203249</v>
      </c>
      <c r="G34" s="5">
        <v>9366003</v>
      </c>
      <c r="H34" s="5">
        <v>4837246</v>
      </c>
      <c r="I34" s="6">
        <v>4837246</v>
      </c>
      <c r="J34" s="4">
        <v>45868</v>
      </c>
      <c r="N34" s="31" t="s">
        <v>19</v>
      </c>
      <c r="O34" s="31" t="s">
        <v>38</v>
      </c>
      <c r="P34" s="31" t="s">
        <v>29</v>
      </c>
      <c r="Q34" s="25">
        <v>6851571155</v>
      </c>
      <c r="R34" s="25">
        <v>7025398016</v>
      </c>
      <c r="S34" s="25">
        <v>8428697029</v>
      </c>
    </row>
    <row r="35" spans="4:19" ht="17" thickBot="1" x14ac:dyDescent="0.25">
      <c r="D35" s="2" t="s">
        <v>6</v>
      </c>
      <c r="E35" s="4">
        <v>45870</v>
      </c>
      <c r="F35" s="5">
        <v>14203249</v>
      </c>
      <c r="G35" s="5">
        <v>9366003</v>
      </c>
      <c r="H35" s="5">
        <v>4837246</v>
      </c>
      <c r="I35" s="6">
        <v>4837246</v>
      </c>
      <c r="J35" s="4">
        <v>45869</v>
      </c>
      <c r="N35" s="31" t="s">
        <v>19</v>
      </c>
      <c r="O35" s="31" t="s">
        <v>30</v>
      </c>
      <c r="P35" s="31" t="s">
        <v>29</v>
      </c>
      <c r="Q35" s="25"/>
      <c r="R35" s="25"/>
      <c r="S35" s="25"/>
    </row>
    <row r="36" spans="4:19" ht="17" thickBot="1" x14ac:dyDescent="0.25">
      <c r="D36" s="2" t="s">
        <v>6</v>
      </c>
      <c r="E36" s="4">
        <v>45871</v>
      </c>
      <c r="F36" s="5">
        <v>14203249</v>
      </c>
      <c r="G36" s="5">
        <v>9366003</v>
      </c>
      <c r="H36" s="5">
        <v>4837246</v>
      </c>
      <c r="I36" s="6">
        <v>4837246</v>
      </c>
      <c r="J36" s="4">
        <v>45870</v>
      </c>
      <c r="N36" s="31" t="s">
        <v>19</v>
      </c>
      <c r="O36" s="31" t="s">
        <v>38</v>
      </c>
      <c r="P36" s="31" t="s">
        <v>33</v>
      </c>
      <c r="Q36" s="25">
        <v>391891006</v>
      </c>
      <c r="R36" s="25">
        <v>3621267892</v>
      </c>
      <c r="S36" s="25">
        <v>4957905791</v>
      </c>
    </row>
    <row r="37" spans="4:19" ht="17" thickBot="1" x14ac:dyDescent="0.25">
      <c r="D37" s="2" t="s">
        <v>6</v>
      </c>
      <c r="E37" s="4">
        <v>45872</v>
      </c>
      <c r="F37" s="5">
        <v>14203249</v>
      </c>
      <c r="G37" s="5">
        <v>9366003</v>
      </c>
      <c r="H37" s="5">
        <v>4837246</v>
      </c>
      <c r="I37" s="6">
        <v>4837246</v>
      </c>
      <c r="J37" s="4">
        <v>45871</v>
      </c>
      <c r="N37" s="31" t="s">
        <v>19</v>
      </c>
      <c r="O37" s="31" t="s">
        <v>38</v>
      </c>
      <c r="P37" s="31" t="s">
        <v>35</v>
      </c>
      <c r="Q37" s="25">
        <v>0</v>
      </c>
      <c r="R37" s="25">
        <v>0</v>
      </c>
      <c r="S37" s="25">
        <v>2307342</v>
      </c>
    </row>
    <row r="38" spans="4:19" ht="17" thickBot="1" x14ac:dyDescent="0.25">
      <c r="D38" s="2" t="s">
        <v>6</v>
      </c>
      <c r="E38" s="4">
        <v>45873</v>
      </c>
      <c r="F38" s="5">
        <v>14203249</v>
      </c>
      <c r="G38" s="5">
        <v>9366003</v>
      </c>
      <c r="H38" s="5">
        <v>4837246</v>
      </c>
      <c r="I38" s="6">
        <v>4837246</v>
      </c>
      <c r="J38" s="4">
        <v>45872</v>
      </c>
      <c r="Q38" s="25"/>
      <c r="R38" s="25"/>
      <c r="S38" s="25"/>
    </row>
    <row r="39" spans="4:19" ht="17" thickBot="1" x14ac:dyDescent="0.25">
      <c r="D39" s="2" t="s">
        <v>6</v>
      </c>
      <c r="E39" s="4">
        <v>45874</v>
      </c>
      <c r="F39" s="5">
        <v>14203249</v>
      </c>
      <c r="G39" s="5">
        <v>9366003</v>
      </c>
      <c r="H39" s="5">
        <v>4837246</v>
      </c>
      <c r="I39" s="6">
        <v>4837246</v>
      </c>
      <c r="J39" s="4">
        <v>45873</v>
      </c>
      <c r="N39" s="31" t="s">
        <v>39</v>
      </c>
      <c r="O39" s="31"/>
      <c r="P39" s="31" t="s">
        <v>33</v>
      </c>
      <c r="Q39" s="32">
        <v>7097575425</v>
      </c>
      <c r="R39" s="32">
        <v>6741642587</v>
      </c>
      <c r="S39" s="32">
        <v>5833786603</v>
      </c>
    </row>
    <row r="40" spans="4:19" ht="16" thickBot="1" x14ac:dyDescent="0.25">
      <c r="D40" s="2" t="s">
        <v>6</v>
      </c>
      <c r="E40" s="4">
        <v>45875</v>
      </c>
      <c r="F40" s="5">
        <v>14203249</v>
      </c>
      <c r="G40" s="5">
        <v>9366003</v>
      </c>
      <c r="H40" s="5">
        <v>4837246</v>
      </c>
      <c r="I40" s="6">
        <v>4837246</v>
      </c>
      <c r="J40" s="4">
        <v>45874</v>
      </c>
    </row>
    <row r="41" spans="4:19" ht="16" thickBot="1" x14ac:dyDescent="0.25">
      <c r="D41" s="2" t="s">
        <v>6</v>
      </c>
      <c r="E41" s="4">
        <v>45876</v>
      </c>
      <c r="F41" s="5">
        <v>14203249</v>
      </c>
      <c r="G41" s="5">
        <v>9366003</v>
      </c>
      <c r="H41" s="5">
        <v>4837246</v>
      </c>
      <c r="I41" s="6">
        <v>4837246</v>
      </c>
      <c r="J41" s="4">
        <v>45875</v>
      </c>
    </row>
    <row r="42" spans="4:19" ht="16" thickBot="1" x14ac:dyDescent="0.25">
      <c r="D42" s="2" t="s">
        <v>6</v>
      </c>
      <c r="E42" s="4">
        <v>45877</v>
      </c>
      <c r="F42" s="5">
        <v>14203249</v>
      </c>
      <c r="G42" s="5">
        <v>9366003</v>
      </c>
      <c r="H42" s="5">
        <v>4837246</v>
      </c>
      <c r="I42" s="6">
        <v>4837246</v>
      </c>
      <c r="J42" s="4">
        <v>45876</v>
      </c>
      <c r="N42" s="31"/>
      <c r="O42" s="31"/>
      <c r="P42" s="31"/>
    </row>
    <row r="43" spans="4:19" ht="16" thickBot="1" x14ac:dyDescent="0.25">
      <c r="D43" s="2" t="s">
        <v>6</v>
      </c>
      <c r="E43" s="4">
        <v>45878</v>
      </c>
      <c r="F43" s="5">
        <v>14203249</v>
      </c>
      <c r="G43" s="5">
        <v>9366003</v>
      </c>
      <c r="H43" s="5">
        <v>4837246</v>
      </c>
      <c r="I43" s="6">
        <v>4837246</v>
      </c>
      <c r="J43" s="4">
        <v>45877</v>
      </c>
    </row>
    <row r="44" spans="4:19" ht="16" thickBot="1" x14ac:dyDescent="0.25">
      <c r="D44" s="2" t="s">
        <v>6</v>
      </c>
      <c r="E44" s="4">
        <v>45879</v>
      </c>
      <c r="F44" s="5">
        <v>14203249</v>
      </c>
      <c r="G44" s="5">
        <v>9366003</v>
      </c>
      <c r="H44" s="5">
        <v>4837246</v>
      </c>
      <c r="I44" s="6">
        <v>4837246</v>
      </c>
      <c r="J44" s="4">
        <v>45878</v>
      </c>
    </row>
    <row r="45" spans="4:19" ht="16" thickBot="1" x14ac:dyDescent="0.25">
      <c r="D45" s="2" t="s">
        <v>6</v>
      </c>
      <c r="E45" s="4">
        <v>45880</v>
      </c>
      <c r="F45" s="5">
        <v>14203249</v>
      </c>
      <c r="G45" s="5">
        <v>9366003</v>
      </c>
      <c r="H45" s="5">
        <v>4837246</v>
      </c>
      <c r="I45" s="6">
        <v>4837246</v>
      </c>
      <c r="J45" s="4">
        <v>45879</v>
      </c>
    </row>
    <row r="46" spans="4:19" ht="16" thickBot="1" x14ac:dyDescent="0.25">
      <c r="D46" s="2" t="s">
        <v>6</v>
      </c>
      <c r="E46" s="4">
        <v>45881</v>
      </c>
      <c r="F46" s="5">
        <v>14203249</v>
      </c>
      <c r="G46" s="5">
        <v>9366003</v>
      </c>
      <c r="H46" s="5">
        <v>4837246</v>
      </c>
      <c r="I46" s="6">
        <v>4837246</v>
      </c>
      <c r="J46" s="4">
        <v>45880</v>
      </c>
    </row>
    <row r="47" spans="4:19" ht="16" thickBot="1" x14ac:dyDescent="0.25">
      <c r="D47" s="2" t="s">
        <v>6</v>
      </c>
      <c r="E47" s="4">
        <v>45882</v>
      </c>
      <c r="F47" s="5">
        <v>14203249</v>
      </c>
      <c r="G47" s="5">
        <v>9366003</v>
      </c>
      <c r="H47" s="5">
        <v>4837246</v>
      </c>
      <c r="I47" s="6">
        <v>4837246</v>
      </c>
      <c r="J47" s="4">
        <v>45881</v>
      </c>
    </row>
    <row r="48" spans="4:19" ht="16" thickBot="1" x14ac:dyDescent="0.25">
      <c r="D48" s="2" t="s">
        <v>6</v>
      </c>
      <c r="E48" s="4">
        <v>45883</v>
      </c>
      <c r="F48" s="5">
        <v>14203249</v>
      </c>
      <c r="G48" s="5">
        <v>9366003</v>
      </c>
      <c r="H48" s="5">
        <v>4837246</v>
      </c>
      <c r="I48" s="6">
        <v>4837246</v>
      </c>
      <c r="J48" s="4">
        <v>45882</v>
      </c>
    </row>
    <row r="49" spans="4:10" ht="16" thickBot="1" x14ac:dyDescent="0.25">
      <c r="D49" s="2" t="s">
        <v>6</v>
      </c>
      <c r="E49" s="4">
        <v>45884</v>
      </c>
      <c r="F49" s="5">
        <v>14203249</v>
      </c>
      <c r="G49" s="5">
        <v>9366003</v>
      </c>
      <c r="H49" s="5">
        <v>4837246</v>
      </c>
      <c r="I49" s="6">
        <v>4837246</v>
      </c>
      <c r="J49" s="4">
        <v>45883</v>
      </c>
    </row>
    <row r="50" spans="4:10" ht="16" thickBot="1" x14ac:dyDescent="0.25">
      <c r="D50" s="2" t="s">
        <v>6</v>
      </c>
      <c r="E50" s="4">
        <v>45885</v>
      </c>
      <c r="F50" s="5">
        <v>14203249</v>
      </c>
      <c r="G50" s="5">
        <v>9366003</v>
      </c>
      <c r="H50" s="5">
        <v>4837246</v>
      </c>
      <c r="I50" s="6">
        <v>4837246</v>
      </c>
      <c r="J50" s="4">
        <v>45884</v>
      </c>
    </row>
    <row r="51" spans="4:10" ht="16" thickBot="1" x14ac:dyDescent="0.25">
      <c r="D51" s="2" t="s">
        <v>6</v>
      </c>
      <c r="E51" s="4">
        <v>45886</v>
      </c>
      <c r="F51" s="5">
        <v>14203249</v>
      </c>
      <c r="G51" s="5">
        <v>9366003</v>
      </c>
      <c r="H51" s="5">
        <v>4837246</v>
      </c>
      <c r="I51" s="6">
        <v>4837246</v>
      </c>
      <c r="J51" s="4">
        <v>45885</v>
      </c>
    </row>
    <row r="52" spans="4:10" ht="16" thickBot="1" x14ac:dyDescent="0.25">
      <c r="D52" s="2" t="s">
        <v>6</v>
      </c>
      <c r="E52" s="4">
        <v>45887</v>
      </c>
      <c r="F52" s="5">
        <v>14203249</v>
      </c>
      <c r="G52" s="5">
        <v>9366003</v>
      </c>
      <c r="H52" s="5">
        <v>4837246</v>
      </c>
      <c r="I52" s="6">
        <v>4837246</v>
      </c>
      <c r="J52" s="4">
        <v>45886</v>
      </c>
    </row>
    <row r="53" spans="4:10" ht="16" thickBot="1" x14ac:dyDescent="0.25">
      <c r="D53" s="2" t="s">
        <v>6</v>
      </c>
      <c r="E53" s="4">
        <v>45888</v>
      </c>
      <c r="F53" s="5">
        <v>14203249</v>
      </c>
      <c r="G53" s="5">
        <v>9366003</v>
      </c>
      <c r="H53" s="5">
        <v>4837246</v>
      </c>
      <c r="I53" s="6">
        <v>4837246</v>
      </c>
      <c r="J53" s="4">
        <v>45887</v>
      </c>
    </row>
    <row r="54" spans="4:10" ht="16" thickBot="1" x14ac:dyDescent="0.25">
      <c r="D54" s="2" t="s">
        <v>6</v>
      </c>
      <c r="E54" s="4">
        <v>45889</v>
      </c>
      <c r="F54" s="5">
        <v>14203249</v>
      </c>
      <c r="G54" s="5">
        <v>9366003</v>
      </c>
      <c r="H54" s="5">
        <v>4837246</v>
      </c>
      <c r="I54" s="6">
        <v>4837246</v>
      </c>
      <c r="J54" s="4">
        <v>45888</v>
      </c>
    </row>
    <row r="55" spans="4:10" ht="16" thickBot="1" x14ac:dyDescent="0.25">
      <c r="D55" s="2" t="s">
        <v>6</v>
      </c>
      <c r="E55" s="4">
        <v>45890</v>
      </c>
      <c r="F55" s="5">
        <v>14203249</v>
      </c>
      <c r="G55" s="5">
        <v>9366003</v>
      </c>
      <c r="H55" s="5">
        <v>4837246</v>
      </c>
      <c r="I55" s="6">
        <v>4837246</v>
      </c>
      <c r="J55" s="4">
        <v>45889</v>
      </c>
    </row>
    <row r="56" spans="4:10" ht="16" thickBot="1" x14ac:dyDescent="0.25">
      <c r="D56" s="2" t="s">
        <v>6</v>
      </c>
      <c r="E56" s="4">
        <v>45891</v>
      </c>
      <c r="F56" s="5">
        <v>14203249</v>
      </c>
      <c r="G56" s="5">
        <v>9366003</v>
      </c>
      <c r="H56" s="5">
        <v>4837246</v>
      </c>
      <c r="I56" s="6">
        <v>4837246</v>
      </c>
      <c r="J56" s="4">
        <v>45890</v>
      </c>
    </row>
    <row r="57" spans="4:10" ht="16" thickBot="1" x14ac:dyDescent="0.25">
      <c r="D57" s="2" t="s">
        <v>6</v>
      </c>
      <c r="E57" s="4">
        <v>45892</v>
      </c>
      <c r="F57" s="5">
        <v>14203249</v>
      </c>
      <c r="G57" s="5">
        <v>9366003</v>
      </c>
      <c r="H57" s="5">
        <v>4837246</v>
      </c>
      <c r="I57" s="6">
        <v>4837246</v>
      </c>
      <c r="J57" s="4">
        <v>45891</v>
      </c>
    </row>
    <row r="58" spans="4:10" ht="16" thickBot="1" x14ac:dyDescent="0.25">
      <c r="D58" s="2" t="s">
        <v>6</v>
      </c>
      <c r="E58" s="4">
        <v>45893</v>
      </c>
      <c r="F58" s="5">
        <v>14203249</v>
      </c>
      <c r="G58" s="5">
        <v>9366003</v>
      </c>
      <c r="H58" s="5">
        <v>4837246</v>
      </c>
      <c r="I58" s="6">
        <v>4837246</v>
      </c>
      <c r="J58" s="4">
        <v>45892</v>
      </c>
    </row>
    <row r="59" spans="4:10" ht="16" thickBot="1" x14ac:dyDescent="0.25">
      <c r="D59" s="2" t="s">
        <v>6</v>
      </c>
      <c r="E59" s="4">
        <v>45894</v>
      </c>
      <c r="F59" s="5">
        <v>14203249</v>
      </c>
      <c r="G59" s="5">
        <v>9366003</v>
      </c>
      <c r="H59" s="5">
        <v>4837246</v>
      </c>
      <c r="I59" s="6">
        <v>4837246</v>
      </c>
      <c r="J59" s="4">
        <v>45893</v>
      </c>
    </row>
    <row r="60" spans="4:10" ht="16" thickBot="1" x14ac:dyDescent="0.25">
      <c r="D60" s="2" t="s">
        <v>6</v>
      </c>
      <c r="E60" s="4">
        <v>45895</v>
      </c>
      <c r="F60" s="5">
        <v>14203249</v>
      </c>
      <c r="G60" s="5">
        <v>9366003</v>
      </c>
      <c r="H60" s="5">
        <v>4837246</v>
      </c>
      <c r="I60" s="6">
        <v>4837246</v>
      </c>
      <c r="J60" s="4">
        <v>45894</v>
      </c>
    </row>
    <row r="61" spans="4:10" ht="16" thickBot="1" x14ac:dyDescent="0.25">
      <c r="D61" s="2" t="s">
        <v>6</v>
      </c>
      <c r="E61" s="4">
        <v>45896</v>
      </c>
      <c r="F61" s="5">
        <v>13637052</v>
      </c>
      <c r="G61" s="5">
        <v>9366003</v>
      </c>
      <c r="H61" s="5">
        <v>4271049</v>
      </c>
      <c r="I61" s="6">
        <v>4271049</v>
      </c>
      <c r="J61" s="4">
        <v>45895</v>
      </c>
    </row>
    <row r="62" spans="4:10" ht="16" thickBot="1" x14ac:dyDescent="0.25">
      <c r="D62" s="2" t="s">
        <v>6</v>
      </c>
      <c r="E62" s="4">
        <v>45897</v>
      </c>
      <c r="F62" s="5">
        <v>13637052</v>
      </c>
      <c r="G62" s="5">
        <v>9366003</v>
      </c>
      <c r="H62" s="5">
        <v>4271049</v>
      </c>
      <c r="I62" s="6">
        <v>4271049</v>
      </c>
      <c r="J62" s="4">
        <v>45896</v>
      </c>
    </row>
    <row r="63" spans="4:10" ht="16" thickBot="1" x14ac:dyDescent="0.25">
      <c r="D63" s="2" t="s">
        <v>6</v>
      </c>
      <c r="E63" s="4">
        <v>45898</v>
      </c>
      <c r="F63" s="5">
        <v>13637052</v>
      </c>
      <c r="G63" s="5">
        <v>9366003</v>
      </c>
      <c r="H63" s="5">
        <v>4271049</v>
      </c>
      <c r="I63" s="6">
        <v>4271049</v>
      </c>
      <c r="J63" s="4">
        <v>45897</v>
      </c>
    </row>
    <row r="64" spans="4:10" ht="16" thickBot="1" x14ac:dyDescent="0.25">
      <c r="D64" s="2" t="s">
        <v>6</v>
      </c>
      <c r="E64" s="4">
        <v>45899</v>
      </c>
      <c r="F64" s="5">
        <v>13637052</v>
      </c>
      <c r="G64" s="5">
        <v>9366003</v>
      </c>
      <c r="H64" s="5">
        <v>4271049</v>
      </c>
      <c r="I64" s="6">
        <v>4271049</v>
      </c>
      <c r="J64" s="4">
        <v>45898</v>
      </c>
    </row>
    <row r="65" spans="4:10" ht="16" thickBot="1" x14ac:dyDescent="0.25">
      <c r="D65" s="2" t="s">
        <v>6</v>
      </c>
      <c r="E65" s="4">
        <v>45900</v>
      </c>
      <c r="F65" s="5">
        <v>13637052</v>
      </c>
      <c r="G65" s="5">
        <v>9366003</v>
      </c>
      <c r="H65" s="5">
        <v>4271049</v>
      </c>
      <c r="I65" s="6">
        <v>4271049</v>
      </c>
      <c r="J65" s="4">
        <v>45899</v>
      </c>
    </row>
    <row r="66" spans="4:10" ht="16" thickBot="1" x14ac:dyDescent="0.25">
      <c r="D66" s="2" t="s">
        <v>6</v>
      </c>
      <c r="E66" s="4">
        <v>45901</v>
      </c>
      <c r="F66" s="5">
        <v>13637052</v>
      </c>
      <c r="G66" s="5">
        <v>9366003</v>
      </c>
      <c r="H66" s="5">
        <v>4271049</v>
      </c>
      <c r="I66" s="6">
        <v>4271049</v>
      </c>
      <c r="J66" s="4">
        <v>45900</v>
      </c>
    </row>
    <row r="67" spans="4:10" ht="16" thickBot="1" x14ac:dyDescent="0.25">
      <c r="D67" s="2" t="s">
        <v>6</v>
      </c>
      <c r="E67" s="4">
        <v>45902</v>
      </c>
      <c r="F67" s="5">
        <v>13637052</v>
      </c>
      <c r="G67" s="5">
        <v>9366003</v>
      </c>
      <c r="H67" s="5">
        <v>4271049</v>
      </c>
      <c r="I67" s="6">
        <v>4271049</v>
      </c>
      <c r="J67" s="4">
        <v>45901</v>
      </c>
    </row>
    <row r="68" spans="4:10" ht="16" thickBot="1" x14ac:dyDescent="0.25">
      <c r="D68" s="2" t="s">
        <v>6</v>
      </c>
      <c r="E68" s="4">
        <v>45903</v>
      </c>
      <c r="F68" s="5">
        <v>13637052</v>
      </c>
      <c r="G68" s="5">
        <v>9366003</v>
      </c>
      <c r="H68" s="5">
        <v>4271049</v>
      </c>
      <c r="I68" s="6">
        <v>4271049</v>
      </c>
      <c r="J68" s="4">
        <v>45902</v>
      </c>
    </row>
    <row r="69" spans="4:10" ht="16" thickBot="1" x14ac:dyDescent="0.25">
      <c r="D69" s="2" t="s">
        <v>6</v>
      </c>
      <c r="E69" s="4">
        <v>45904</v>
      </c>
      <c r="F69" s="5">
        <v>13637052</v>
      </c>
      <c r="G69" s="5">
        <v>9366003</v>
      </c>
      <c r="H69" s="5">
        <v>4271049</v>
      </c>
      <c r="I69" s="6">
        <v>4271049</v>
      </c>
      <c r="J69" s="4">
        <v>45903</v>
      </c>
    </row>
    <row r="70" spans="4:10" ht="16" thickBot="1" x14ac:dyDescent="0.25">
      <c r="D70" s="2" t="s">
        <v>6</v>
      </c>
      <c r="E70" s="4">
        <v>45905</v>
      </c>
      <c r="F70" s="5">
        <v>13637052</v>
      </c>
      <c r="G70" s="5">
        <v>9366003</v>
      </c>
      <c r="H70" s="5">
        <v>4271049</v>
      </c>
      <c r="I70" s="6">
        <v>4271049</v>
      </c>
      <c r="J70" s="4">
        <v>45904</v>
      </c>
    </row>
    <row r="71" spans="4:10" ht="16" thickBot="1" x14ac:dyDescent="0.25">
      <c r="D71" s="2" t="s">
        <v>6</v>
      </c>
      <c r="E71" s="4">
        <v>45906</v>
      </c>
      <c r="F71" s="5">
        <v>13637052</v>
      </c>
      <c r="G71" s="5">
        <v>9366003</v>
      </c>
      <c r="H71" s="5">
        <v>4271049</v>
      </c>
      <c r="I71" s="6">
        <v>4271049</v>
      </c>
      <c r="J71" s="4">
        <v>45905</v>
      </c>
    </row>
    <row r="72" spans="4:10" ht="16" thickBot="1" x14ac:dyDescent="0.25">
      <c r="D72" s="2" t="s">
        <v>6</v>
      </c>
      <c r="E72" s="4">
        <v>45907</v>
      </c>
      <c r="F72" s="5">
        <v>13637052</v>
      </c>
      <c r="G72" s="5">
        <v>9366003</v>
      </c>
      <c r="H72" s="5">
        <v>4271049</v>
      </c>
      <c r="I72" s="6">
        <v>4271049</v>
      </c>
      <c r="J72" s="4">
        <v>45906</v>
      </c>
    </row>
    <row r="73" spans="4:10" ht="16" thickBot="1" x14ac:dyDescent="0.25">
      <c r="D73" s="2" t="s">
        <v>6</v>
      </c>
      <c r="E73" s="4">
        <v>45908</v>
      </c>
      <c r="F73" s="5">
        <v>13637052</v>
      </c>
      <c r="G73" s="5">
        <v>9366003</v>
      </c>
      <c r="H73" s="5">
        <v>4271049</v>
      </c>
      <c r="I73" s="6">
        <v>4271049</v>
      </c>
      <c r="J73" s="4">
        <v>45907</v>
      </c>
    </row>
    <row r="74" spans="4:10" ht="16" thickBot="1" x14ac:dyDescent="0.25">
      <c r="D74" s="2" t="s">
        <v>6</v>
      </c>
      <c r="E74" s="4">
        <v>45909</v>
      </c>
      <c r="F74" s="5">
        <v>13637052</v>
      </c>
      <c r="G74" s="5">
        <v>9366003</v>
      </c>
      <c r="H74" s="5">
        <v>4271049</v>
      </c>
      <c r="I74" s="6">
        <v>4271049</v>
      </c>
      <c r="J74" s="4">
        <v>45908</v>
      </c>
    </row>
    <row r="75" spans="4:10" ht="16" thickBot="1" x14ac:dyDescent="0.25">
      <c r="D75" s="2" t="s">
        <v>6</v>
      </c>
      <c r="E75" s="4">
        <v>45910</v>
      </c>
      <c r="F75" s="5">
        <v>13637052</v>
      </c>
      <c r="G75" s="5">
        <v>9366003</v>
      </c>
      <c r="H75" s="5">
        <v>4271049</v>
      </c>
      <c r="I75" s="6">
        <v>4271049</v>
      </c>
      <c r="J75" s="4">
        <v>45909</v>
      </c>
    </row>
    <row r="76" spans="4:10" ht="16" thickBot="1" x14ac:dyDescent="0.25">
      <c r="D76" s="2" t="s">
        <v>6</v>
      </c>
      <c r="E76" s="4">
        <v>45911</v>
      </c>
      <c r="F76" s="5">
        <v>13637052</v>
      </c>
      <c r="G76" s="5">
        <v>9366003</v>
      </c>
      <c r="H76" s="5">
        <v>4271049</v>
      </c>
      <c r="I76" s="6">
        <v>4271049</v>
      </c>
      <c r="J76" s="4">
        <v>45910</v>
      </c>
    </row>
    <row r="77" spans="4:10" ht="16" thickBot="1" x14ac:dyDescent="0.25">
      <c r="D77" s="2" t="s">
        <v>6</v>
      </c>
      <c r="E77" s="4">
        <v>45912</v>
      </c>
      <c r="F77" s="5">
        <v>13637052</v>
      </c>
      <c r="G77" s="5">
        <v>9366003</v>
      </c>
      <c r="H77" s="5">
        <v>4271049</v>
      </c>
      <c r="I77" s="6">
        <v>4271049</v>
      </c>
      <c r="J77" s="4">
        <v>45911</v>
      </c>
    </row>
    <row r="78" spans="4:10" ht="16" thickBot="1" x14ac:dyDescent="0.25">
      <c r="D78" s="2" t="s">
        <v>6</v>
      </c>
      <c r="E78" s="4">
        <v>45913</v>
      </c>
      <c r="F78" s="5">
        <v>13637052</v>
      </c>
      <c r="G78" s="5">
        <v>9366003</v>
      </c>
      <c r="H78" s="5">
        <v>4271049</v>
      </c>
      <c r="I78" s="6">
        <v>4271049</v>
      </c>
      <c r="J78" s="4">
        <v>45912</v>
      </c>
    </row>
    <row r="79" spans="4:10" ht="16" thickBot="1" x14ac:dyDescent="0.25">
      <c r="D79" s="2" t="s">
        <v>6</v>
      </c>
      <c r="E79" s="4">
        <v>45914</v>
      </c>
      <c r="F79" s="5">
        <v>13637052</v>
      </c>
      <c r="G79" s="5">
        <v>9366003</v>
      </c>
      <c r="H79" s="5">
        <v>4271049</v>
      </c>
      <c r="I79" s="6">
        <v>4271049</v>
      </c>
      <c r="J79" s="4">
        <v>45913</v>
      </c>
    </row>
    <row r="80" spans="4:10" ht="16" thickBot="1" x14ac:dyDescent="0.25">
      <c r="D80" s="2" t="s">
        <v>6</v>
      </c>
      <c r="E80" s="4">
        <v>45915</v>
      </c>
      <c r="F80" s="5">
        <v>13637052</v>
      </c>
      <c r="G80" s="5">
        <v>9366003</v>
      </c>
      <c r="H80" s="5">
        <v>4271049</v>
      </c>
      <c r="I80" s="6">
        <v>4271049</v>
      </c>
      <c r="J80" s="4">
        <v>45914</v>
      </c>
    </row>
    <row r="81" spans="4:10" ht="16" thickBot="1" x14ac:dyDescent="0.25">
      <c r="D81" s="2" t="s">
        <v>6</v>
      </c>
      <c r="E81" s="4">
        <v>45916</v>
      </c>
      <c r="F81" s="5">
        <v>13637052</v>
      </c>
      <c r="G81" s="5">
        <v>9366003</v>
      </c>
      <c r="H81" s="5">
        <v>4271049</v>
      </c>
      <c r="I81" s="6">
        <v>4271049</v>
      </c>
      <c r="J81" s="4">
        <v>45915</v>
      </c>
    </row>
    <row r="82" spans="4:10" ht="16" thickBot="1" x14ac:dyDescent="0.25">
      <c r="D82" s="2" t="s">
        <v>6</v>
      </c>
      <c r="E82" s="4">
        <v>45917</v>
      </c>
      <c r="F82" s="5">
        <v>13637052</v>
      </c>
      <c r="G82" s="5">
        <v>9366003</v>
      </c>
      <c r="H82" s="5">
        <v>4271049</v>
      </c>
      <c r="I82" s="6">
        <v>4271049</v>
      </c>
      <c r="J82" s="4">
        <v>45916</v>
      </c>
    </row>
    <row r="83" spans="4:10" ht="16" thickBot="1" x14ac:dyDescent="0.25">
      <c r="D83" s="2" t="s">
        <v>6</v>
      </c>
      <c r="E83" s="4">
        <v>45918</v>
      </c>
      <c r="F83" s="5">
        <v>13637052</v>
      </c>
      <c r="G83" s="5">
        <v>9366003</v>
      </c>
      <c r="H83" s="5">
        <v>4271049</v>
      </c>
      <c r="I83" s="6">
        <v>4271049</v>
      </c>
      <c r="J83" s="4">
        <v>45917</v>
      </c>
    </row>
    <row r="84" spans="4:10" ht="16" thickBot="1" x14ac:dyDescent="0.25">
      <c r="D84" s="2" t="s">
        <v>6</v>
      </c>
      <c r="E84" s="4">
        <v>45919</v>
      </c>
      <c r="F84" s="5">
        <v>13637052</v>
      </c>
      <c r="G84" s="5">
        <v>9366003</v>
      </c>
      <c r="H84" s="5">
        <v>4271049</v>
      </c>
      <c r="I84" s="6">
        <v>4271049</v>
      </c>
      <c r="J84" s="4">
        <v>45918</v>
      </c>
    </row>
    <row r="85" spans="4:10" ht="16" thickBot="1" x14ac:dyDescent="0.25">
      <c r="D85" s="2" t="s">
        <v>6</v>
      </c>
      <c r="E85" s="4">
        <v>45920</v>
      </c>
      <c r="F85" s="5">
        <v>13637052</v>
      </c>
      <c r="G85" s="5">
        <v>9366003</v>
      </c>
      <c r="H85" s="5">
        <v>4271049</v>
      </c>
      <c r="I85" s="6">
        <v>4271049</v>
      </c>
      <c r="J85" s="4">
        <v>45919</v>
      </c>
    </row>
    <row r="86" spans="4:10" ht="16" thickBot="1" x14ac:dyDescent="0.25">
      <c r="D86" s="2" t="s">
        <v>6</v>
      </c>
      <c r="E86" s="4">
        <v>45921</v>
      </c>
      <c r="F86" s="5">
        <v>13637052</v>
      </c>
      <c r="G86" s="5">
        <v>9366003</v>
      </c>
      <c r="H86" s="5">
        <v>4271049</v>
      </c>
      <c r="I86" s="6">
        <v>4271049</v>
      </c>
      <c r="J86" s="4">
        <v>45920</v>
      </c>
    </row>
    <row r="87" spans="4:10" ht="16" thickBot="1" x14ac:dyDescent="0.25">
      <c r="D87" s="2" t="s">
        <v>6</v>
      </c>
      <c r="E87" s="4">
        <v>45922</v>
      </c>
      <c r="F87" s="5">
        <v>13637052</v>
      </c>
      <c r="G87" s="5">
        <v>9366003</v>
      </c>
      <c r="H87" s="5">
        <v>4271049</v>
      </c>
      <c r="I87" s="6">
        <v>4271049</v>
      </c>
      <c r="J87" s="4">
        <v>45921</v>
      </c>
    </row>
    <row r="88" spans="4:10" ht="16" thickBot="1" x14ac:dyDescent="0.25">
      <c r="D88" s="2" t="s">
        <v>6</v>
      </c>
      <c r="E88" s="4">
        <v>45923</v>
      </c>
      <c r="F88" s="5">
        <v>13637052</v>
      </c>
      <c r="G88" s="5">
        <v>9366003</v>
      </c>
      <c r="H88" s="5">
        <v>4271049</v>
      </c>
      <c r="I88" s="6">
        <v>4271049</v>
      </c>
      <c r="J88" s="4">
        <v>45922</v>
      </c>
    </row>
    <row r="89" spans="4:10" ht="16" thickBot="1" x14ac:dyDescent="0.25">
      <c r="D89" s="2" t="s">
        <v>6</v>
      </c>
      <c r="E89" s="4">
        <v>45924</v>
      </c>
      <c r="F89" s="5">
        <v>13637052</v>
      </c>
      <c r="G89" s="5">
        <v>9366003</v>
      </c>
      <c r="H89" s="5">
        <v>4271049</v>
      </c>
      <c r="I89" s="6">
        <v>4271049</v>
      </c>
      <c r="J89" s="4">
        <v>45923</v>
      </c>
    </row>
    <row r="90" spans="4:10" ht="16" thickBot="1" x14ac:dyDescent="0.25">
      <c r="D90" s="2" t="s">
        <v>6</v>
      </c>
      <c r="E90" s="4">
        <v>45925</v>
      </c>
      <c r="F90" s="5">
        <v>13637052</v>
      </c>
      <c r="G90" s="5">
        <v>9366003</v>
      </c>
      <c r="H90" s="5">
        <v>4271049</v>
      </c>
      <c r="I90" s="6">
        <v>4271049</v>
      </c>
      <c r="J90" s="4">
        <v>45924</v>
      </c>
    </row>
    <row r="91" spans="4:10" ht="16" thickBot="1" x14ac:dyDescent="0.25">
      <c r="D91" s="2" t="s">
        <v>6</v>
      </c>
      <c r="E91" s="4">
        <v>45926</v>
      </c>
      <c r="F91" s="5">
        <v>13637052</v>
      </c>
      <c r="G91" s="5">
        <v>9366003</v>
      </c>
      <c r="H91" s="5">
        <v>4271049</v>
      </c>
      <c r="I91" s="6">
        <v>4271049</v>
      </c>
      <c r="J91" s="4">
        <v>45925</v>
      </c>
    </row>
    <row r="92" spans="4:10" ht="16" thickBot="1" x14ac:dyDescent="0.25">
      <c r="D92" s="2" t="s">
        <v>6</v>
      </c>
      <c r="E92" s="4">
        <v>45927</v>
      </c>
      <c r="F92" s="5">
        <v>13063191</v>
      </c>
      <c r="G92" s="5">
        <v>9366003</v>
      </c>
      <c r="H92" s="5">
        <v>3697188</v>
      </c>
      <c r="I92" s="6">
        <v>3697188</v>
      </c>
      <c r="J92" s="4">
        <v>45926</v>
      </c>
    </row>
    <row r="93" spans="4:10" ht="16" thickBot="1" x14ac:dyDescent="0.25">
      <c r="D93" s="2" t="s">
        <v>6</v>
      </c>
      <c r="E93" s="4">
        <v>45928</v>
      </c>
      <c r="F93" s="5">
        <v>13063191</v>
      </c>
      <c r="G93" s="5">
        <v>9366003</v>
      </c>
      <c r="H93" s="5">
        <v>3697188</v>
      </c>
      <c r="I93" s="6">
        <v>3697188</v>
      </c>
      <c r="J93" s="4">
        <v>45927</v>
      </c>
    </row>
    <row r="94" spans="4:10" ht="16" thickBot="1" x14ac:dyDescent="0.25">
      <c r="D94" s="2" t="s">
        <v>6</v>
      </c>
      <c r="E94" s="4">
        <v>45929</v>
      </c>
      <c r="F94" s="5">
        <v>13063191</v>
      </c>
      <c r="G94" s="5">
        <v>9366003</v>
      </c>
      <c r="H94" s="5">
        <v>3697188</v>
      </c>
      <c r="I94" s="6">
        <v>3697188</v>
      </c>
      <c r="J94" s="4">
        <v>45928</v>
      </c>
    </row>
    <row r="95" spans="4:10" ht="16" thickBot="1" x14ac:dyDescent="0.25">
      <c r="D95" s="2" t="s">
        <v>6</v>
      </c>
      <c r="E95" s="4">
        <v>45930</v>
      </c>
      <c r="F95" s="5">
        <v>13063191</v>
      </c>
      <c r="G95" s="5">
        <v>9366003</v>
      </c>
      <c r="H95" s="5">
        <v>3697188</v>
      </c>
      <c r="I95" s="6">
        <v>3697188</v>
      </c>
      <c r="J95" s="4">
        <v>45929</v>
      </c>
    </row>
    <row r="96" spans="4:10" ht="16" thickBot="1" x14ac:dyDescent="0.25">
      <c r="D96" s="2" t="s">
        <v>17</v>
      </c>
      <c r="E96" s="4">
        <v>45839</v>
      </c>
      <c r="F96" s="5">
        <v>2902399733643</v>
      </c>
      <c r="G96" s="5">
        <v>660200592686</v>
      </c>
      <c r="H96" s="5">
        <v>2242199140957</v>
      </c>
      <c r="I96" s="6">
        <v>2288594563696</v>
      </c>
      <c r="J96" s="4">
        <v>45930</v>
      </c>
    </row>
    <row r="97" spans="4:9" ht="16" thickBot="1" x14ac:dyDescent="0.25">
      <c r="D97" s="2" t="s">
        <v>17</v>
      </c>
      <c r="E97" s="4">
        <v>45840</v>
      </c>
      <c r="F97" s="5">
        <v>2932754939272</v>
      </c>
      <c r="G97" s="5">
        <v>662880676500</v>
      </c>
      <c r="H97" s="5">
        <v>2269874262772</v>
      </c>
      <c r="I97" s="6">
        <v>2317176397929</v>
      </c>
    </row>
    <row r="98" spans="4:9" ht="16" thickBot="1" x14ac:dyDescent="0.25">
      <c r="D98" s="2" t="s">
        <v>17</v>
      </c>
      <c r="E98" s="4">
        <v>45841</v>
      </c>
      <c r="F98" s="5">
        <v>2950568334295</v>
      </c>
      <c r="G98" s="5">
        <v>666504316809</v>
      </c>
      <c r="H98" s="5">
        <v>2284064017486</v>
      </c>
      <c r="I98" s="6">
        <v>2335928371557</v>
      </c>
    </row>
    <row r="99" spans="4:9" ht="16" thickBot="1" x14ac:dyDescent="0.25">
      <c r="D99" s="2" t="s">
        <v>17</v>
      </c>
      <c r="E99" s="4">
        <v>45842</v>
      </c>
      <c r="F99" s="5">
        <v>2971365399224</v>
      </c>
      <c r="G99" s="5">
        <v>669080301041</v>
      </c>
      <c r="H99" s="5">
        <v>2302285098183</v>
      </c>
      <c r="I99" s="6">
        <v>2350967631736</v>
      </c>
    </row>
    <row r="100" spans="4:9" ht="16" thickBot="1" x14ac:dyDescent="0.25">
      <c r="D100" s="2" t="s">
        <v>17</v>
      </c>
      <c r="E100" s="4">
        <v>45843</v>
      </c>
      <c r="F100" s="5">
        <v>2992546280340</v>
      </c>
      <c r="G100" s="5">
        <v>673220276193</v>
      </c>
      <c r="H100" s="5">
        <v>2319326004147</v>
      </c>
      <c r="I100" s="6">
        <v>2369924242290</v>
      </c>
    </row>
    <row r="101" spans="4:9" ht="16" thickBot="1" x14ac:dyDescent="0.25">
      <c r="D101" s="2" t="s">
        <v>17</v>
      </c>
      <c r="E101" s="4">
        <v>45844</v>
      </c>
      <c r="F101" s="5">
        <v>3013845866748</v>
      </c>
      <c r="G101" s="5">
        <v>679246533221</v>
      </c>
      <c r="H101" s="5">
        <v>2334599333527</v>
      </c>
      <c r="I101" s="6">
        <v>2388998772568</v>
      </c>
    </row>
    <row r="102" spans="4:9" ht="16" thickBot="1" x14ac:dyDescent="0.25">
      <c r="D102" s="2" t="s">
        <v>17</v>
      </c>
      <c r="E102" s="4">
        <v>45845</v>
      </c>
      <c r="F102" s="5">
        <v>3027424615803</v>
      </c>
      <c r="G102" s="5">
        <v>671404011778</v>
      </c>
      <c r="H102" s="5">
        <v>2356020604025</v>
      </c>
      <c r="I102" s="6">
        <v>2400114880849</v>
      </c>
    </row>
    <row r="103" spans="4:9" ht="16" thickBot="1" x14ac:dyDescent="0.25">
      <c r="D103" s="2" t="s">
        <v>17</v>
      </c>
      <c r="E103" s="4">
        <v>45846</v>
      </c>
      <c r="F103" s="5">
        <v>3045779389381</v>
      </c>
      <c r="G103" s="5">
        <v>683330732027</v>
      </c>
      <c r="H103" s="5">
        <v>2362448657354</v>
      </c>
      <c r="I103" s="6">
        <v>2416464263642</v>
      </c>
    </row>
    <row r="104" spans="4:9" ht="16" thickBot="1" x14ac:dyDescent="0.25">
      <c r="D104" s="2" t="s">
        <v>17</v>
      </c>
      <c r="E104" s="4">
        <v>45847</v>
      </c>
      <c r="F104" s="5">
        <v>3063403106918</v>
      </c>
      <c r="G104" s="5">
        <v>685572771439</v>
      </c>
      <c r="H104" s="5">
        <v>2377830335479</v>
      </c>
      <c r="I104" s="6">
        <v>2425312444712</v>
      </c>
    </row>
    <row r="105" spans="4:9" ht="16" thickBot="1" x14ac:dyDescent="0.25">
      <c r="D105" s="2" t="s">
        <v>17</v>
      </c>
      <c r="E105" s="4">
        <v>45848</v>
      </c>
      <c r="F105" s="5">
        <v>3084437426416</v>
      </c>
      <c r="G105" s="5">
        <v>683943401227</v>
      </c>
      <c r="H105" s="5">
        <v>2400494025189</v>
      </c>
      <c r="I105" s="6">
        <v>2449020841427</v>
      </c>
    </row>
    <row r="106" spans="4:9" ht="16" thickBot="1" x14ac:dyDescent="0.25">
      <c r="D106" s="2" t="s">
        <v>17</v>
      </c>
      <c r="E106" s="4">
        <v>45849</v>
      </c>
      <c r="F106" s="5">
        <v>3102817658547</v>
      </c>
      <c r="G106" s="5">
        <v>684953636094</v>
      </c>
      <c r="H106" s="5">
        <v>2417864022453</v>
      </c>
      <c r="I106" s="6">
        <v>2469542425901</v>
      </c>
    </row>
    <row r="107" spans="4:9" ht="16" thickBot="1" x14ac:dyDescent="0.25">
      <c r="D107" s="2" t="s">
        <v>17</v>
      </c>
      <c r="E107" s="4">
        <v>45850</v>
      </c>
      <c r="F107" s="5">
        <v>3119361299415</v>
      </c>
      <c r="G107" s="5">
        <v>688049526267</v>
      </c>
      <c r="H107" s="5">
        <v>2431311773148</v>
      </c>
      <c r="I107" s="6">
        <v>2484476613720</v>
      </c>
    </row>
    <row r="108" spans="4:9" ht="16" thickBot="1" x14ac:dyDescent="0.25">
      <c r="D108" s="2" t="s">
        <v>17</v>
      </c>
      <c r="E108" s="4">
        <v>45851</v>
      </c>
      <c r="F108" s="5">
        <v>3141087961345</v>
      </c>
      <c r="G108" s="5">
        <v>694414625078</v>
      </c>
      <c r="H108" s="5">
        <v>2446673336267</v>
      </c>
      <c r="I108" s="6">
        <v>2503766935053</v>
      </c>
    </row>
    <row r="109" spans="4:9" ht="16" thickBot="1" x14ac:dyDescent="0.25">
      <c r="D109" s="2" t="s">
        <v>17</v>
      </c>
      <c r="E109" s="4">
        <v>45852</v>
      </c>
      <c r="F109" s="5">
        <v>3154964850354</v>
      </c>
      <c r="G109" s="5">
        <v>686746447787</v>
      </c>
      <c r="H109" s="5">
        <v>2468218402567</v>
      </c>
      <c r="I109" s="6">
        <v>2515687922411</v>
      </c>
    </row>
    <row r="110" spans="4:9" ht="16" thickBot="1" x14ac:dyDescent="0.25">
      <c r="D110" s="2" t="s">
        <v>17</v>
      </c>
      <c r="E110" s="4">
        <v>45853</v>
      </c>
      <c r="F110" s="5">
        <v>3173175529531</v>
      </c>
      <c r="G110" s="5">
        <v>696740301930</v>
      </c>
      <c r="H110" s="5">
        <v>2476435227601</v>
      </c>
      <c r="I110" s="6">
        <v>2531798561415</v>
      </c>
    </row>
    <row r="111" spans="4:9" ht="16" thickBot="1" x14ac:dyDescent="0.25">
      <c r="D111" s="2" t="s">
        <v>17</v>
      </c>
      <c r="E111" s="4">
        <v>45854</v>
      </c>
      <c r="F111" s="5">
        <v>3190351810823</v>
      </c>
      <c r="G111" s="5">
        <v>695993330213</v>
      </c>
      <c r="H111" s="5">
        <v>2494358480610</v>
      </c>
      <c r="I111" s="6">
        <v>2547014015163</v>
      </c>
    </row>
    <row r="112" spans="4:9" ht="16" thickBot="1" x14ac:dyDescent="0.25">
      <c r="D112" s="2" t="s">
        <v>17</v>
      </c>
      <c r="E112" s="4">
        <v>45855</v>
      </c>
      <c r="F112" s="5">
        <v>3204116329211</v>
      </c>
      <c r="G112" s="5">
        <v>696597362220</v>
      </c>
      <c r="H112" s="5">
        <v>2507518966991</v>
      </c>
      <c r="I112" s="6">
        <v>2562524366152</v>
      </c>
    </row>
    <row r="113" spans="4:9" ht="16" thickBot="1" x14ac:dyDescent="0.25">
      <c r="D113" s="2" t="s">
        <v>17</v>
      </c>
      <c r="E113" s="4">
        <v>45856</v>
      </c>
      <c r="F113" s="5">
        <v>3219044953677</v>
      </c>
      <c r="G113" s="5">
        <v>698301216385</v>
      </c>
      <c r="H113" s="5">
        <v>2520743737292</v>
      </c>
      <c r="I113" s="6">
        <v>2572360929616</v>
      </c>
    </row>
    <row r="114" spans="4:9" ht="16" thickBot="1" x14ac:dyDescent="0.25">
      <c r="D114" s="2" t="s">
        <v>17</v>
      </c>
      <c r="E114" s="4">
        <v>45857</v>
      </c>
      <c r="F114" s="5">
        <v>3232853254426</v>
      </c>
      <c r="G114" s="5">
        <v>703118248225</v>
      </c>
      <c r="H114" s="5">
        <v>2529735006201</v>
      </c>
      <c r="I114" s="6">
        <v>2583753525176</v>
      </c>
    </row>
    <row r="115" spans="4:9" ht="16" thickBot="1" x14ac:dyDescent="0.25">
      <c r="D115" s="2" t="s">
        <v>17</v>
      </c>
      <c r="E115" s="4">
        <v>45858</v>
      </c>
      <c r="F115" s="5">
        <v>3251835683596</v>
      </c>
      <c r="G115" s="5">
        <v>709248747217</v>
      </c>
      <c r="H115" s="5">
        <v>2542586936379</v>
      </c>
      <c r="I115" s="6">
        <v>2599522390870</v>
      </c>
    </row>
    <row r="116" spans="4:9" ht="16" thickBot="1" x14ac:dyDescent="0.25">
      <c r="D116" s="2" t="s">
        <v>17</v>
      </c>
      <c r="E116" s="4">
        <v>45859</v>
      </c>
      <c r="F116" s="5">
        <v>3261944949702</v>
      </c>
      <c r="G116" s="5">
        <v>700920659029</v>
      </c>
      <c r="H116" s="5">
        <v>2561024290673</v>
      </c>
      <c r="I116" s="6">
        <v>2607240226000</v>
      </c>
    </row>
    <row r="117" spans="4:9" ht="16" thickBot="1" x14ac:dyDescent="0.25">
      <c r="D117" s="2" t="s">
        <v>17</v>
      </c>
      <c r="E117" s="4">
        <v>45860</v>
      </c>
      <c r="F117" s="5">
        <v>3276790033462</v>
      </c>
      <c r="G117" s="5">
        <v>713500880178</v>
      </c>
      <c r="H117" s="5">
        <v>2563289153284</v>
      </c>
      <c r="I117" s="6">
        <v>2619626751748</v>
      </c>
    </row>
    <row r="118" spans="4:9" ht="16" thickBot="1" x14ac:dyDescent="0.25">
      <c r="D118" s="2" t="s">
        <v>17</v>
      </c>
      <c r="E118" s="4">
        <v>45861</v>
      </c>
      <c r="F118" s="5">
        <v>3293685055552</v>
      </c>
      <c r="G118" s="5">
        <v>713537081055</v>
      </c>
      <c r="H118" s="5">
        <v>2580147974497</v>
      </c>
      <c r="I118" s="6">
        <v>2634108919190</v>
      </c>
    </row>
    <row r="119" spans="4:9" ht="16" thickBot="1" x14ac:dyDescent="0.25">
      <c r="D119" s="2" t="s">
        <v>17</v>
      </c>
      <c r="E119" s="4">
        <v>45862</v>
      </c>
      <c r="F119" s="5">
        <v>3306680388420</v>
      </c>
      <c r="G119" s="5">
        <v>717091630941</v>
      </c>
      <c r="H119" s="5">
        <v>2589588757479</v>
      </c>
      <c r="I119" s="6">
        <v>2648388274358</v>
      </c>
    </row>
    <row r="120" spans="4:9" ht="16" thickBot="1" x14ac:dyDescent="0.25">
      <c r="D120" s="2" t="s">
        <v>17</v>
      </c>
      <c r="E120" s="4">
        <v>45863</v>
      </c>
      <c r="F120" s="5">
        <v>3320957944223</v>
      </c>
      <c r="G120" s="5">
        <v>716539259642</v>
      </c>
      <c r="H120" s="5">
        <v>2604418684581</v>
      </c>
      <c r="I120" s="6">
        <v>2656632539644</v>
      </c>
    </row>
    <row r="121" spans="4:9" ht="16" thickBot="1" x14ac:dyDescent="0.25">
      <c r="D121" s="2" t="s">
        <v>17</v>
      </c>
      <c r="E121" s="4">
        <v>45864</v>
      </c>
      <c r="F121" s="5">
        <v>3332842065089</v>
      </c>
      <c r="G121" s="5">
        <v>718319819406</v>
      </c>
      <c r="H121" s="5">
        <v>2614522245683</v>
      </c>
      <c r="I121" s="6">
        <v>2666054995642</v>
      </c>
    </row>
    <row r="122" spans="4:9" ht="16" thickBot="1" x14ac:dyDescent="0.25">
      <c r="D122" s="2" t="s">
        <v>17</v>
      </c>
      <c r="E122" s="4">
        <v>45865</v>
      </c>
      <c r="F122" s="5">
        <v>3350989616735</v>
      </c>
      <c r="G122" s="5">
        <v>721988724039</v>
      </c>
      <c r="H122" s="5">
        <v>2629000892696</v>
      </c>
      <c r="I122" s="6">
        <v>2682090899502</v>
      </c>
    </row>
    <row r="123" spans="4:9" ht="16" thickBot="1" x14ac:dyDescent="0.25">
      <c r="D123" s="2" t="s">
        <v>17</v>
      </c>
      <c r="E123" s="4">
        <v>45866</v>
      </c>
      <c r="F123" s="5">
        <v>3348859917857</v>
      </c>
      <c r="G123" s="5">
        <v>714445683719</v>
      </c>
      <c r="H123" s="5">
        <v>2634414234138</v>
      </c>
      <c r="I123" s="6">
        <v>2677663087325</v>
      </c>
    </row>
    <row r="124" spans="4:9" ht="16" thickBot="1" x14ac:dyDescent="0.25">
      <c r="D124" s="2" t="s">
        <v>17</v>
      </c>
      <c r="E124" s="4">
        <v>45867</v>
      </c>
      <c r="F124" s="5">
        <v>3367530585214</v>
      </c>
      <c r="G124" s="5">
        <v>744190305278</v>
      </c>
      <c r="H124" s="5">
        <v>2623340279936</v>
      </c>
      <c r="I124" s="6">
        <v>2693593104169</v>
      </c>
    </row>
    <row r="125" spans="4:9" ht="16" thickBot="1" x14ac:dyDescent="0.25">
      <c r="D125" s="2" t="s">
        <v>17</v>
      </c>
      <c r="E125" s="4">
        <v>45868</v>
      </c>
      <c r="F125" s="5">
        <v>3385624054834</v>
      </c>
      <c r="G125" s="5">
        <v>733095387344</v>
      </c>
      <c r="H125" s="5">
        <v>2652528667490</v>
      </c>
      <c r="I125" s="6">
        <v>2709257730821</v>
      </c>
    </row>
    <row r="126" spans="4:9" ht="16" thickBot="1" x14ac:dyDescent="0.25">
      <c r="D126" s="2" t="s">
        <v>17</v>
      </c>
      <c r="E126" s="4">
        <v>45869</v>
      </c>
      <c r="F126" s="5">
        <v>3403443159096</v>
      </c>
      <c r="G126" s="5">
        <v>724928376694</v>
      </c>
      <c r="H126" s="5">
        <v>2678514782402</v>
      </c>
      <c r="I126" s="6">
        <v>2728984123816</v>
      </c>
    </row>
    <row r="127" spans="4:9" ht="16" thickBot="1" x14ac:dyDescent="0.25">
      <c r="D127" s="2" t="s">
        <v>17</v>
      </c>
      <c r="E127" s="4">
        <v>45870</v>
      </c>
      <c r="F127" s="5">
        <v>3420556528091</v>
      </c>
      <c r="G127" s="5">
        <v>720393402038</v>
      </c>
      <c r="H127" s="5">
        <v>2700163126053</v>
      </c>
      <c r="I127" s="6">
        <v>2740231772481</v>
      </c>
    </row>
    <row r="128" spans="4:9" ht="16" thickBot="1" x14ac:dyDescent="0.25">
      <c r="D128" s="2" t="s">
        <v>17</v>
      </c>
      <c r="E128" s="4">
        <v>45871</v>
      </c>
      <c r="F128" s="5">
        <v>3438156621256</v>
      </c>
      <c r="G128" s="5">
        <v>729474948365</v>
      </c>
      <c r="H128" s="5">
        <v>2708681672891</v>
      </c>
      <c r="I128" s="6">
        <v>2755302685133</v>
      </c>
    </row>
    <row r="129" spans="4:9" ht="16" thickBot="1" x14ac:dyDescent="0.25">
      <c r="D129" s="2" t="s">
        <v>17</v>
      </c>
      <c r="E129" s="4">
        <v>45872</v>
      </c>
      <c r="F129" s="5">
        <v>3459934467328</v>
      </c>
      <c r="G129" s="5">
        <v>740965701537</v>
      </c>
      <c r="H129" s="5">
        <v>2718968765791</v>
      </c>
      <c r="I129" s="6">
        <v>2774234550853</v>
      </c>
    </row>
    <row r="130" spans="4:9" ht="16" thickBot="1" x14ac:dyDescent="0.25">
      <c r="D130" s="2" t="s">
        <v>17</v>
      </c>
      <c r="E130" s="4">
        <v>45873</v>
      </c>
      <c r="F130" s="5">
        <v>3471685473720</v>
      </c>
      <c r="G130" s="5">
        <v>731841545759</v>
      </c>
      <c r="H130" s="5">
        <v>2739843927961</v>
      </c>
      <c r="I130" s="6">
        <v>2784332578254</v>
      </c>
    </row>
    <row r="131" spans="4:9" ht="16" thickBot="1" x14ac:dyDescent="0.25">
      <c r="D131" s="2" t="s">
        <v>17</v>
      </c>
      <c r="E131" s="4">
        <v>45874</v>
      </c>
      <c r="F131" s="5">
        <v>3488880888567</v>
      </c>
      <c r="G131" s="5">
        <v>751062582165</v>
      </c>
      <c r="H131" s="5">
        <v>2737818306402</v>
      </c>
      <c r="I131" s="6">
        <v>2800154304258</v>
      </c>
    </row>
    <row r="132" spans="4:9" ht="16" thickBot="1" x14ac:dyDescent="0.25">
      <c r="D132" s="2" t="s">
        <v>17</v>
      </c>
      <c r="E132" s="4">
        <v>45875</v>
      </c>
      <c r="F132" s="5">
        <v>3504115215735</v>
      </c>
      <c r="G132" s="5">
        <v>752748712062</v>
      </c>
      <c r="H132" s="5">
        <v>2751366503673</v>
      </c>
      <c r="I132" s="6">
        <v>2813266659996</v>
      </c>
    </row>
    <row r="133" spans="4:9" ht="16" thickBot="1" x14ac:dyDescent="0.25">
      <c r="D133" s="2" t="s">
        <v>17</v>
      </c>
      <c r="E133" s="4">
        <v>45876</v>
      </c>
      <c r="F133" s="5">
        <v>3517436967570</v>
      </c>
      <c r="G133" s="5">
        <v>752684116950</v>
      </c>
      <c r="H133" s="5">
        <v>2764752850620</v>
      </c>
      <c r="I133" s="6">
        <v>2828251339201</v>
      </c>
    </row>
    <row r="134" spans="4:9" ht="16" thickBot="1" x14ac:dyDescent="0.25">
      <c r="D134" s="2" t="s">
        <v>17</v>
      </c>
      <c r="E134" s="4">
        <v>45877</v>
      </c>
      <c r="F134" s="5">
        <v>3530852678069</v>
      </c>
      <c r="G134" s="5">
        <v>751961501127</v>
      </c>
      <c r="H134" s="5">
        <v>2778891176942</v>
      </c>
      <c r="I134" s="6">
        <v>2828708850714</v>
      </c>
    </row>
    <row r="135" spans="4:9" ht="16" thickBot="1" x14ac:dyDescent="0.25">
      <c r="D135" s="2" t="s">
        <v>17</v>
      </c>
      <c r="E135" s="4">
        <v>45878</v>
      </c>
      <c r="F135" s="5">
        <v>3541124161674</v>
      </c>
      <c r="G135" s="5">
        <v>753536297818</v>
      </c>
      <c r="H135" s="5">
        <v>2787587863856</v>
      </c>
      <c r="I135" s="6">
        <v>2840604410140</v>
      </c>
    </row>
    <row r="136" spans="4:9" ht="16" thickBot="1" x14ac:dyDescent="0.25">
      <c r="D136" s="2" t="s">
        <v>17</v>
      </c>
      <c r="E136" s="4">
        <v>45879</v>
      </c>
      <c r="F136" s="5">
        <v>3560306706694</v>
      </c>
      <c r="G136" s="5">
        <v>758685365777</v>
      </c>
      <c r="H136" s="5">
        <v>2801621340917</v>
      </c>
      <c r="I136" s="6">
        <v>2860853637057</v>
      </c>
    </row>
    <row r="137" spans="4:9" ht="16" thickBot="1" x14ac:dyDescent="0.25">
      <c r="D137" s="2" t="s">
        <v>17</v>
      </c>
      <c r="E137" s="4">
        <v>45880</v>
      </c>
      <c r="F137" s="5">
        <v>3563961677357</v>
      </c>
      <c r="G137" s="5">
        <v>749257514048</v>
      </c>
      <c r="H137" s="5">
        <v>2814704163309</v>
      </c>
      <c r="I137" s="6">
        <v>2866594443740</v>
      </c>
    </row>
    <row r="138" spans="4:9" ht="16" thickBot="1" x14ac:dyDescent="0.25">
      <c r="D138" s="2" t="s">
        <v>17</v>
      </c>
      <c r="E138" s="4">
        <v>45881</v>
      </c>
      <c r="F138" s="5">
        <v>3574907642555</v>
      </c>
      <c r="G138" s="5">
        <v>763770325047</v>
      </c>
      <c r="H138" s="5">
        <v>2811137317508</v>
      </c>
      <c r="I138" s="6">
        <v>2874985214037</v>
      </c>
    </row>
    <row r="139" spans="4:9" ht="16" thickBot="1" x14ac:dyDescent="0.25">
      <c r="D139" s="2" t="s">
        <v>17</v>
      </c>
      <c r="E139" s="4">
        <v>45882</v>
      </c>
      <c r="F139" s="5">
        <v>3587227415688</v>
      </c>
      <c r="G139" s="5">
        <v>766751492070</v>
      </c>
      <c r="H139" s="5">
        <v>2820475923618</v>
      </c>
      <c r="I139" s="6">
        <v>2883902757910</v>
      </c>
    </row>
    <row r="140" spans="4:9" ht="16" thickBot="1" x14ac:dyDescent="0.25">
      <c r="D140" s="2" t="s">
        <v>17</v>
      </c>
      <c r="E140" s="4">
        <v>45883</v>
      </c>
      <c r="F140" s="5">
        <v>3596503986527</v>
      </c>
      <c r="G140" s="5">
        <v>767968882926</v>
      </c>
      <c r="H140" s="5">
        <v>2828535103601</v>
      </c>
      <c r="I140" s="6">
        <v>2894851123027</v>
      </c>
    </row>
    <row r="141" spans="4:9" ht="16" thickBot="1" x14ac:dyDescent="0.25">
      <c r="D141" s="2" t="s">
        <v>17</v>
      </c>
      <c r="E141" s="4">
        <v>45884</v>
      </c>
      <c r="F141" s="5">
        <v>3609305725855</v>
      </c>
      <c r="G141" s="5">
        <v>767848578908</v>
      </c>
      <c r="H141" s="5">
        <v>2841457146947</v>
      </c>
      <c r="I141" s="6">
        <v>2900927908472</v>
      </c>
    </row>
    <row r="142" spans="4:9" ht="16" thickBot="1" x14ac:dyDescent="0.25">
      <c r="D142" s="2" t="s">
        <v>17</v>
      </c>
      <c r="E142" s="4">
        <v>45885</v>
      </c>
      <c r="F142" s="5">
        <v>3623244217917</v>
      </c>
      <c r="G142" s="5">
        <v>771358106876</v>
      </c>
      <c r="H142" s="5">
        <v>2851886111041</v>
      </c>
      <c r="I142" s="6">
        <v>2912188202251</v>
      </c>
    </row>
    <row r="143" spans="4:9" ht="16" thickBot="1" x14ac:dyDescent="0.25">
      <c r="D143" s="2" t="s">
        <v>17</v>
      </c>
      <c r="E143" s="4">
        <v>45886</v>
      </c>
      <c r="F143" s="5">
        <v>3642863943373</v>
      </c>
      <c r="G143" s="5">
        <v>776267513344</v>
      </c>
      <c r="H143" s="5">
        <v>2866596430029</v>
      </c>
      <c r="I143" s="6">
        <v>2928839325604</v>
      </c>
    </row>
    <row r="144" spans="4:9" ht="16" thickBot="1" x14ac:dyDescent="0.25">
      <c r="D144" s="2" t="s">
        <v>17</v>
      </c>
      <c r="E144" s="4">
        <v>45887</v>
      </c>
      <c r="F144" s="5">
        <v>3652503134813</v>
      </c>
      <c r="G144" s="5">
        <v>768476703155</v>
      </c>
      <c r="H144" s="5">
        <v>2884026431658</v>
      </c>
      <c r="I144" s="6">
        <v>2936199951732</v>
      </c>
    </row>
    <row r="145" spans="4:9" ht="16" thickBot="1" x14ac:dyDescent="0.25">
      <c r="D145" s="2" t="s">
        <v>17</v>
      </c>
      <c r="E145" s="4">
        <v>45888</v>
      </c>
      <c r="F145" s="5">
        <v>3664466771196</v>
      </c>
      <c r="G145" s="5">
        <v>783464206238</v>
      </c>
      <c r="H145" s="5">
        <v>2881002564958</v>
      </c>
      <c r="I145" s="6">
        <v>2945796577903</v>
      </c>
    </row>
    <row r="146" spans="4:9" ht="16" thickBot="1" x14ac:dyDescent="0.25">
      <c r="D146" s="2" t="s">
        <v>17</v>
      </c>
      <c r="E146" s="4">
        <v>45889</v>
      </c>
      <c r="F146" s="5">
        <v>3678515165463</v>
      </c>
      <c r="G146" s="5">
        <v>785233984957</v>
      </c>
      <c r="H146" s="5">
        <v>2893281180506</v>
      </c>
      <c r="I146" s="6">
        <v>2957199978660</v>
      </c>
    </row>
    <row r="147" spans="4:9" ht="16" thickBot="1" x14ac:dyDescent="0.25">
      <c r="D147" s="2" t="s">
        <v>17</v>
      </c>
      <c r="E147" s="4">
        <v>45890</v>
      </c>
      <c r="F147" s="5">
        <v>3691948724532</v>
      </c>
      <c r="G147" s="5">
        <v>787226819035</v>
      </c>
      <c r="H147" s="5">
        <v>2904721905497</v>
      </c>
      <c r="I147" s="6">
        <v>2972231126596</v>
      </c>
    </row>
    <row r="148" spans="4:9" ht="16" thickBot="1" x14ac:dyDescent="0.25">
      <c r="D148" s="2" t="s">
        <v>17</v>
      </c>
      <c r="E148" s="4">
        <v>45891</v>
      </c>
      <c r="F148" s="5">
        <v>3702899284992</v>
      </c>
      <c r="G148" s="5">
        <v>790253057087</v>
      </c>
      <c r="H148" s="5">
        <v>2912646227905</v>
      </c>
      <c r="I148" s="6">
        <v>2975763044538</v>
      </c>
    </row>
    <row r="149" spans="4:9" ht="16" thickBot="1" x14ac:dyDescent="0.25">
      <c r="D149" s="2" t="s">
        <v>17</v>
      </c>
      <c r="E149" s="4">
        <v>45892</v>
      </c>
      <c r="F149" s="5">
        <v>3714499700745</v>
      </c>
      <c r="G149" s="5">
        <v>794934368866</v>
      </c>
      <c r="H149" s="5">
        <v>2919565331879</v>
      </c>
      <c r="I149" s="6">
        <v>2983654861138</v>
      </c>
    </row>
    <row r="150" spans="4:9" ht="16" thickBot="1" x14ac:dyDescent="0.25">
      <c r="D150" s="2" t="s">
        <v>17</v>
      </c>
      <c r="E150" s="4">
        <v>45893</v>
      </c>
      <c r="F150" s="5">
        <v>3731295394132</v>
      </c>
      <c r="G150" s="5">
        <v>801237167496</v>
      </c>
      <c r="H150" s="5">
        <v>2930058226636</v>
      </c>
      <c r="I150" s="6">
        <v>2996932931467</v>
      </c>
    </row>
    <row r="151" spans="4:9" ht="16" thickBot="1" x14ac:dyDescent="0.25">
      <c r="D151" s="2" t="s">
        <v>17</v>
      </c>
      <c r="E151" s="4">
        <v>45894</v>
      </c>
      <c r="F151" s="5">
        <v>3739698152043</v>
      </c>
      <c r="G151" s="5">
        <v>792809892612</v>
      </c>
      <c r="H151" s="5">
        <v>2946888259431</v>
      </c>
      <c r="I151" s="6">
        <v>3002094351075</v>
      </c>
    </row>
    <row r="152" spans="4:9" ht="16" thickBot="1" x14ac:dyDescent="0.25">
      <c r="D152" s="2" t="s">
        <v>17</v>
      </c>
      <c r="E152" s="4">
        <v>45895</v>
      </c>
      <c r="F152" s="5">
        <v>3753424573826</v>
      </c>
      <c r="G152" s="5">
        <v>807897841890</v>
      </c>
      <c r="H152" s="5">
        <v>2945526731936</v>
      </c>
      <c r="I152" s="6">
        <v>3012652753437</v>
      </c>
    </row>
    <row r="153" spans="4:9" ht="16" thickBot="1" x14ac:dyDescent="0.25">
      <c r="D153" s="2" t="s">
        <v>17</v>
      </c>
      <c r="E153" s="4">
        <v>45896</v>
      </c>
      <c r="F153" s="5">
        <v>3767732208975</v>
      </c>
      <c r="G153" s="5">
        <v>812089021166</v>
      </c>
      <c r="H153" s="5">
        <v>2955643187809</v>
      </c>
      <c r="I153" s="6">
        <v>3023564112328</v>
      </c>
    </row>
    <row r="154" spans="4:9" ht="16" thickBot="1" x14ac:dyDescent="0.25">
      <c r="D154" s="2" t="s">
        <v>17</v>
      </c>
      <c r="E154" s="4">
        <v>45897</v>
      </c>
      <c r="F154" s="5">
        <v>3767287816485</v>
      </c>
      <c r="G154" s="5">
        <v>814995224032</v>
      </c>
      <c r="H154" s="5">
        <v>2952317025235</v>
      </c>
      <c r="I154" s="6">
        <v>3024625144528</v>
      </c>
    </row>
    <row r="155" spans="4:9" ht="16" thickBot="1" x14ac:dyDescent="0.25">
      <c r="D155" s="2" t="s">
        <v>17</v>
      </c>
      <c r="E155" s="4">
        <v>45898</v>
      </c>
      <c r="F155" s="5">
        <v>3779861942901</v>
      </c>
      <c r="G155" s="5">
        <v>840745692870</v>
      </c>
      <c r="H155" s="5">
        <v>2939140682813</v>
      </c>
      <c r="I155" s="6">
        <v>3029892704536</v>
      </c>
    </row>
    <row r="156" spans="4:9" ht="16" thickBot="1" x14ac:dyDescent="0.25">
      <c r="D156" s="2" t="s">
        <v>17</v>
      </c>
      <c r="E156" s="4">
        <v>45899</v>
      </c>
      <c r="F156" s="5">
        <v>3799926406680</v>
      </c>
      <c r="G156" s="5">
        <v>827802955783</v>
      </c>
      <c r="H156" s="5">
        <v>2972147883679</v>
      </c>
      <c r="I156" s="6">
        <v>3046410658880</v>
      </c>
    </row>
    <row r="157" spans="4:9" ht="16" thickBot="1" x14ac:dyDescent="0.25">
      <c r="D157" s="2" t="s">
        <v>17</v>
      </c>
      <c r="E157" s="4">
        <v>45900</v>
      </c>
      <c r="F157" s="5">
        <v>3816513228261</v>
      </c>
      <c r="G157" s="5">
        <v>821148128101</v>
      </c>
      <c r="H157" s="5">
        <v>2995389532942</v>
      </c>
      <c r="I157" s="6">
        <v>3059900989482</v>
      </c>
    </row>
    <row r="158" spans="4:9" ht="16" thickBot="1" x14ac:dyDescent="0.25">
      <c r="D158" s="2" t="s">
        <v>17</v>
      </c>
      <c r="E158" s="4">
        <v>45901</v>
      </c>
      <c r="F158" s="5">
        <v>3833659536335</v>
      </c>
      <c r="G158" s="5">
        <v>816703955968</v>
      </c>
      <c r="H158" s="5">
        <v>3016980013149</v>
      </c>
      <c r="I158" s="6">
        <v>3073486042974</v>
      </c>
    </row>
    <row r="159" spans="4:9" ht="16" thickBot="1" x14ac:dyDescent="0.25">
      <c r="D159" s="2" t="s">
        <v>17</v>
      </c>
      <c r="E159" s="4">
        <v>45902</v>
      </c>
      <c r="F159" s="5">
        <v>3851279888248</v>
      </c>
      <c r="G159" s="5">
        <v>814133692605</v>
      </c>
      <c r="H159" s="5">
        <v>3037170628425</v>
      </c>
      <c r="I159" s="6">
        <v>3086838146567</v>
      </c>
    </row>
    <row r="160" spans="4:9" ht="16" thickBot="1" x14ac:dyDescent="0.25">
      <c r="D160" s="2" t="s">
        <v>17</v>
      </c>
      <c r="E160" s="4">
        <v>45903</v>
      </c>
      <c r="F160" s="5">
        <v>3857194863529</v>
      </c>
      <c r="G160" s="5">
        <v>809203169161</v>
      </c>
      <c r="H160" s="5">
        <v>3048016127150</v>
      </c>
      <c r="I160" s="6">
        <v>3089564273700</v>
      </c>
    </row>
    <row r="161" spans="4:9" ht="16" thickBot="1" x14ac:dyDescent="0.25">
      <c r="D161" s="2" t="s">
        <v>17</v>
      </c>
      <c r="E161" s="4">
        <v>45904</v>
      </c>
      <c r="F161" s="5">
        <v>3881255211210</v>
      </c>
      <c r="G161" s="5">
        <v>842854064338</v>
      </c>
      <c r="H161" s="5">
        <v>3038425579654</v>
      </c>
      <c r="I161" s="6">
        <v>3115331088353</v>
      </c>
    </row>
    <row r="162" spans="4:9" ht="16" thickBot="1" x14ac:dyDescent="0.25">
      <c r="D162" s="2" t="s">
        <v>17</v>
      </c>
      <c r="E162" s="4">
        <v>45905</v>
      </c>
      <c r="F162" s="5">
        <v>3906708714439</v>
      </c>
      <c r="G162" s="5">
        <v>843106158700</v>
      </c>
      <c r="H162" s="5">
        <v>3063626988521</v>
      </c>
      <c r="I162" s="6">
        <v>3132998660668</v>
      </c>
    </row>
    <row r="163" spans="4:9" ht="16" thickBot="1" x14ac:dyDescent="0.25">
      <c r="D163" s="2" t="s">
        <v>17</v>
      </c>
      <c r="E163" s="4">
        <v>45906</v>
      </c>
      <c r="F163" s="5">
        <v>3930158892294</v>
      </c>
      <c r="G163" s="5">
        <v>847042135922</v>
      </c>
      <c r="H163" s="5">
        <v>3083141189154</v>
      </c>
      <c r="I163" s="6">
        <v>3153055356574</v>
      </c>
    </row>
    <row r="164" spans="4:9" ht="16" thickBot="1" x14ac:dyDescent="0.25">
      <c r="D164" s="2" t="s">
        <v>17</v>
      </c>
      <c r="E164" s="4">
        <v>45907</v>
      </c>
      <c r="F164" s="5">
        <v>3958692455427</v>
      </c>
      <c r="G164" s="5">
        <v>853395443239</v>
      </c>
      <c r="H164" s="5">
        <v>3105321444970</v>
      </c>
      <c r="I164" s="6">
        <v>3178339625593</v>
      </c>
    </row>
    <row r="165" spans="4:9" ht="16" thickBot="1" x14ac:dyDescent="0.25">
      <c r="D165" s="2" t="s">
        <v>17</v>
      </c>
      <c r="E165" s="4">
        <v>45908</v>
      </c>
      <c r="F165" s="5">
        <v>3979624646490</v>
      </c>
      <c r="G165" s="5">
        <v>841323944922</v>
      </c>
      <c r="H165" s="5">
        <v>3138325134350</v>
      </c>
      <c r="I165" s="6">
        <v>3186074580699</v>
      </c>
    </row>
    <row r="166" spans="4:9" ht="16" thickBot="1" x14ac:dyDescent="0.25">
      <c r="D166" s="2" t="s">
        <v>17</v>
      </c>
      <c r="E166" s="4">
        <v>45909</v>
      </c>
      <c r="F166" s="5">
        <v>4009509258341</v>
      </c>
      <c r="G166" s="5">
        <v>861072155423</v>
      </c>
      <c r="H166" s="5">
        <v>3148459977603</v>
      </c>
      <c r="I166" s="6">
        <v>3217587731896</v>
      </c>
    </row>
    <row r="167" spans="4:9" ht="16" thickBot="1" x14ac:dyDescent="0.25">
      <c r="D167" s="2" t="s">
        <v>17</v>
      </c>
      <c r="E167" s="4">
        <v>45910</v>
      </c>
      <c r="F167" s="5">
        <v>4039098665807</v>
      </c>
      <c r="G167" s="5">
        <v>856484131713</v>
      </c>
      <c r="H167" s="5">
        <v>3182637408779</v>
      </c>
      <c r="I167" s="6">
        <v>3250576410257</v>
      </c>
    </row>
    <row r="168" spans="4:9" ht="16" thickBot="1" x14ac:dyDescent="0.25">
      <c r="D168" s="2" t="s">
        <v>17</v>
      </c>
      <c r="E168" s="4">
        <v>45911</v>
      </c>
      <c r="F168" s="5">
        <v>4065145372484</v>
      </c>
      <c r="G168" s="5">
        <v>856363001225</v>
      </c>
      <c r="H168" s="5">
        <v>3208805245944</v>
      </c>
      <c r="I168" s="6">
        <v>3278994477816</v>
      </c>
    </row>
    <row r="169" spans="4:9" ht="16" thickBot="1" x14ac:dyDescent="0.25">
      <c r="D169" s="2" t="s">
        <v>17</v>
      </c>
      <c r="E169" s="4">
        <v>45912</v>
      </c>
      <c r="F169" s="5">
        <v>4086922885188</v>
      </c>
      <c r="G169" s="5">
        <v>858063264605</v>
      </c>
      <c r="H169" s="5">
        <v>3228876952227</v>
      </c>
      <c r="I169" s="6">
        <v>3302506058750</v>
      </c>
    </row>
    <row r="170" spans="4:9" ht="16" thickBot="1" x14ac:dyDescent="0.25">
      <c r="D170" s="2" t="s">
        <v>17</v>
      </c>
      <c r="E170" s="4">
        <v>45913</v>
      </c>
      <c r="F170" s="5">
        <v>4108980695862</v>
      </c>
      <c r="G170" s="5">
        <v>863562104504</v>
      </c>
      <c r="H170" s="5">
        <v>3245428932194</v>
      </c>
      <c r="I170" s="6">
        <v>3325616900774</v>
      </c>
    </row>
    <row r="171" spans="4:9" ht="16" thickBot="1" x14ac:dyDescent="0.25">
      <c r="D171" s="2" t="s">
        <v>17</v>
      </c>
      <c r="E171" s="4">
        <v>45914</v>
      </c>
      <c r="F171" s="5">
        <v>4137620265638</v>
      </c>
      <c r="G171" s="5">
        <v>870441335096</v>
      </c>
      <c r="H171" s="5">
        <v>3267189271378</v>
      </c>
      <c r="I171" s="6">
        <v>3340578249152</v>
      </c>
    </row>
    <row r="172" spans="4:9" ht="16" thickBot="1" x14ac:dyDescent="0.25">
      <c r="D172" s="2" t="s">
        <v>17</v>
      </c>
      <c r="E172" s="4">
        <v>45915</v>
      </c>
      <c r="F172" s="5">
        <v>4155963926905</v>
      </c>
      <c r="G172" s="5">
        <v>858955816184</v>
      </c>
      <c r="H172" s="5">
        <v>3297018451557</v>
      </c>
      <c r="I172" s="6">
        <v>3355850974813</v>
      </c>
    </row>
    <row r="173" spans="4:9" ht="16" thickBot="1" x14ac:dyDescent="0.25">
      <c r="D173" s="2" t="s">
        <v>17</v>
      </c>
      <c r="E173" s="4">
        <v>45916</v>
      </c>
      <c r="F173" s="5">
        <v>4179769881767</v>
      </c>
      <c r="G173" s="5">
        <v>873766919101</v>
      </c>
      <c r="H173" s="5">
        <v>3306013303502</v>
      </c>
      <c r="I173" s="6">
        <v>3376595791093</v>
      </c>
    </row>
    <row r="174" spans="4:9" ht="16" thickBot="1" x14ac:dyDescent="0.25">
      <c r="D174" s="2" t="s">
        <v>17</v>
      </c>
      <c r="E174" s="4">
        <v>45917</v>
      </c>
      <c r="F174" s="5">
        <v>4201504566945</v>
      </c>
      <c r="G174" s="5">
        <v>875273483818</v>
      </c>
      <c r="H174" s="5">
        <v>3326241423963</v>
      </c>
      <c r="I174" s="6">
        <v>3395475565741</v>
      </c>
    </row>
    <row r="175" spans="4:9" ht="16" thickBot="1" x14ac:dyDescent="0.25">
      <c r="D175" s="2" t="s">
        <v>17</v>
      </c>
      <c r="E175" s="4">
        <v>45918</v>
      </c>
      <c r="F175" s="5">
        <v>4221836494558</v>
      </c>
      <c r="G175" s="5">
        <v>878247672998</v>
      </c>
      <c r="H175" s="5">
        <v>3343599162396</v>
      </c>
      <c r="I175" s="6">
        <v>3417547588258</v>
      </c>
    </row>
    <row r="176" spans="4:9" ht="16" thickBot="1" x14ac:dyDescent="0.25">
      <c r="D176" s="2" t="s">
        <v>17</v>
      </c>
      <c r="E176" s="4">
        <v>45919</v>
      </c>
      <c r="F176" s="5">
        <v>4243362959733</v>
      </c>
      <c r="G176" s="5">
        <v>882855068608</v>
      </c>
      <c r="H176" s="5">
        <v>3360518231961</v>
      </c>
      <c r="I176" s="6">
        <v>3431318218716</v>
      </c>
    </row>
    <row r="177" spans="4:9" ht="16" thickBot="1" x14ac:dyDescent="0.25">
      <c r="D177" s="2" t="s">
        <v>17</v>
      </c>
      <c r="E177" s="4">
        <v>45920</v>
      </c>
      <c r="F177" s="5">
        <v>4264657485330</v>
      </c>
      <c r="G177" s="5">
        <v>888282587429</v>
      </c>
      <c r="H177" s="5">
        <v>3376385238737</v>
      </c>
      <c r="I177" s="6">
        <v>3448772477663</v>
      </c>
    </row>
    <row r="178" spans="4:9" ht="16" thickBot="1" x14ac:dyDescent="0.25">
      <c r="D178" s="2" t="s">
        <v>17</v>
      </c>
      <c r="E178" s="4">
        <v>45921</v>
      </c>
      <c r="F178" s="5">
        <v>4289701749631</v>
      </c>
      <c r="G178" s="5">
        <v>895018088072</v>
      </c>
      <c r="H178" s="5">
        <v>3394694002395</v>
      </c>
      <c r="I178" s="6">
        <v>3470187748500</v>
      </c>
    </row>
    <row r="179" spans="4:9" ht="16" thickBot="1" x14ac:dyDescent="0.25">
      <c r="D179" s="2" t="s">
        <v>17</v>
      </c>
      <c r="E179" s="4">
        <v>45922</v>
      </c>
      <c r="F179" s="5">
        <v>4305436299109</v>
      </c>
      <c r="G179" s="5">
        <v>885761806622</v>
      </c>
      <c r="H179" s="5">
        <v>3419684833323</v>
      </c>
      <c r="I179" s="6">
        <v>3482055476207</v>
      </c>
    </row>
    <row r="180" spans="4:9" ht="16" thickBot="1" x14ac:dyDescent="0.25">
      <c r="D180" s="2" t="s">
        <v>17</v>
      </c>
      <c r="E180" s="4">
        <v>45923</v>
      </c>
      <c r="F180" s="5">
        <v>4326869087195</v>
      </c>
      <c r="G180" s="5">
        <v>901927176759</v>
      </c>
      <c r="H180" s="5">
        <v>3424941910436</v>
      </c>
      <c r="I180" s="6">
        <v>3499947805757</v>
      </c>
    </row>
    <row r="181" spans="4:9" ht="16" thickBot="1" x14ac:dyDescent="0.25">
      <c r="D181" s="2" t="s">
        <v>17</v>
      </c>
      <c r="E181" s="4">
        <v>45924</v>
      </c>
      <c r="F181" s="5">
        <v>4348318138079</v>
      </c>
      <c r="G181" s="5">
        <v>904391011174</v>
      </c>
      <c r="H181" s="5">
        <v>3443927126905</v>
      </c>
      <c r="I181" s="6">
        <v>3517989713935</v>
      </c>
    </row>
    <row r="182" spans="4:9" ht="16" thickBot="1" x14ac:dyDescent="0.25">
      <c r="D182" s="2" t="s">
        <v>17</v>
      </c>
      <c r="E182" s="4">
        <v>45925</v>
      </c>
      <c r="F182" s="5">
        <v>4370035432698</v>
      </c>
      <c r="G182" s="5">
        <v>907267219799</v>
      </c>
      <c r="H182" s="5">
        <v>3462768212899</v>
      </c>
      <c r="I182" s="6">
        <v>3541243550136</v>
      </c>
    </row>
    <row r="183" spans="4:9" ht="16" thickBot="1" x14ac:dyDescent="0.25">
      <c r="D183" s="2" t="s">
        <v>17</v>
      </c>
      <c r="E183" s="4">
        <v>45926</v>
      </c>
      <c r="F183" s="5">
        <v>4391141946311</v>
      </c>
      <c r="G183" s="5">
        <v>908844722944</v>
      </c>
      <c r="H183" s="5">
        <v>3482297223367</v>
      </c>
      <c r="I183" s="6">
        <v>3553995973784</v>
      </c>
    </row>
    <row r="184" spans="4:9" ht="16" thickBot="1" x14ac:dyDescent="0.25">
      <c r="D184" s="2" t="s">
        <v>17</v>
      </c>
      <c r="E184" s="4">
        <v>45927</v>
      </c>
      <c r="F184" s="5">
        <v>4410419245729</v>
      </c>
      <c r="G184" s="5">
        <v>914832300916</v>
      </c>
      <c r="H184" s="5">
        <v>3495598974305</v>
      </c>
      <c r="I184" s="6">
        <v>3570106592044</v>
      </c>
    </row>
    <row r="185" spans="4:9" ht="16" thickBot="1" x14ac:dyDescent="0.25">
      <c r="D185" s="2" t="s">
        <v>17</v>
      </c>
      <c r="E185" s="4">
        <v>45928</v>
      </c>
      <c r="F185" s="5">
        <v>4434195085709</v>
      </c>
      <c r="G185" s="5">
        <v>923068506108</v>
      </c>
      <c r="H185" s="5">
        <v>3511138609093</v>
      </c>
      <c r="I185" s="6">
        <v>3589512046200</v>
      </c>
    </row>
    <row r="186" spans="4:9" ht="16" thickBot="1" x14ac:dyDescent="0.25">
      <c r="D186" s="2" t="s">
        <v>17</v>
      </c>
      <c r="E186" s="4">
        <v>45929</v>
      </c>
      <c r="F186" s="5">
        <v>4440543014792</v>
      </c>
      <c r="G186" s="5">
        <v>913305040679</v>
      </c>
      <c r="H186" s="5">
        <v>3527250003605</v>
      </c>
      <c r="I186" s="6">
        <v>3591731509978</v>
      </c>
    </row>
    <row r="187" spans="4:9" ht="16" thickBot="1" x14ac:dyDescent="0.25">
      <c r="D187" s="2" t="s">
        <v>17</v>
      </c>
      <c r="E187" s="4">
        <v>45930</v>
      </c>
      <c r="F187" s="5">
        <v>4468394120706</v>
      </c>
      <c r="G187" s="5">
        <v>942686533064</v>
      </c>
      <c r="H187" s="5">
        <v>3525719617134</v>
      </c>
      <c r="I187" s="6">
        <v>3616016650704</v>
      </c>
    </row>
    <row r="188" spans="4:9" ht="16" thickBot="1" x14ac:dyDescent="0.25">
      <c r="D188" s="2" t="s">
        <v>18</v>
      </c>
      <c r="E188" s="4">
        <v>45839</v>
      </c>
      <c r="F188" s="5">
        <v>298111120654</v>
      </c>
      <c r="G188" s="5">
        <v>72657248975</v>
      </c>
      <c r="H188" s="5">
        <v>225453871679</v>
      </c>
      <c r="I188" s="6">
        <v>226668069020</v>
      </c>
    </row>
    <row r="189" spans="4:9" ht="16" thickBot="1" x14ac:dyDescent="0.25">
      <c r="D189" s="2" t="s">
        <v>18</v>
      </c>
      <c r="E189" s="4">
        <v>45840</v>
      </c>
      <c r="F189" s="5">
        <v>300349813784</v>
      </c>
      <c r="G189" s="5">
        <v>72740803298</v>
      </c>
      <c r="H189" s="5">
        <v>227609010486</v>
      </c>
      <c r="I189" s="6">
        <v>228822437119</v>
      </c>
    </row>
    <row r="190" spans="4:9" ht="16" thickBot="1" x14ac:dyDescent="0.25">
      <c r="D190" s="2" t="s">
        <v>18</v>
      </c>
      <c r="E190" s="4">
        <v>45841</v>
      </c>
      <c r="F190" s="5">
        <v>301241216205</v>
      </c>
      <c r="G190" s="5">
        <v>72807940634</v>
      </c>
      <c r="H190" s="5">
        <v>228433275571</v>
      </c>
      <c r="I190" s="6">
        <v>229674307798</v>
      </c>
    </row>
    <row r="191" spans="4:9" ht="16" thickBot="1" x14ac:dyDescent="0.25">
      <c r="D191" s="2" t="s">
        <v>18</v>
      </c>
      <c r="E191" s="4">
        <v>45842</v>
      </c>
      <c r="F191" s="5">
        <v>301906433587</v>
      </c>
      <c r="G191" s="5">
        <v>78561192280</v>
      </c>
      <c r="H191" s="5">
        <v>223345241307</v>
      </c>
      <c r="I191" s="6">
        <v>230312382782</v>
      </c>
    </row>
    <row r="192" spans="4:9" ht="16" thickBot="1" x14ac:dyDescent="0.25">
      <c r="D192" s="2" t="s">
        <v>18</v>
      </c>
      <c r="E192" s="4">
        <v>45843</v>
      </c>
      <c r="F192" s="5">
        <v>302731823557</v>
      </c>
      <c r="G192" s="5">
        <v>78524089550</v>
      </c>
      <c r="H192" s="5">
        <v>224207734007</v>
      </c>
      <c r="I192" s="6">
        <v>231101670351</v>
      </c>
    </row>
    <row r="193" spans="4:9" ht="16" thickBot="1" x14ac:dyDescent="0.25">
      <c r="D193" s="2" t="s">
        <v>18</v>
      </c>
      <c r="E193" s="4">
        <v>45844</v>
      </c>
      <c r="F193" s="5">
        <v>303616537367</v>
      </c>
      <c r="G193" s="5">
        <v>78759845285</v>
      </c>
      <c r="H193" s="5">
        <v>224856692082</v>
      </c>
      <c r="I193" s="6">
        <v>231930287943</v>
      </c>
    </row>
    <row r="194" spans="4:9" ht="16" thickBot="1" x14ac:dyDescent="0.25">
      <c r="D194" s="2" t="s">
        <v>18</v>
      </c>
      <c r="E194" s="4">
        <v>45845</v>
      </c>
      <c r="F194" s="5">
        <v>304416736818</v>
      </c>
      <c r="G194" s="5">
        <v>78768610254</v>
      </c>
      <c r="H194" s="5">
        <v>225648126564</v>
      </c>
      <c r="I194" s="6">
        <v>232705170224</v>
      </c>
    </row>
    <row r="195" spans="4:9" ht="16" thickBot="1" x14ac:dyDescent="0.25">
      <c r="D195" s="2" t="s">
        <v>18</v>
      </c>
      <c r="E195" s="4">
        <v>45846</v>
      </c>
      <c r="F195" s="5">
        <v>304524859480</v>
      </c>
      <c r="G195" s="5">
        <v>78614741464</v>
      </c>
      <c r="H195" s="5">
        <v>225910118016</v>
      </c>
      <c r="I195" s="6">
        <v>232842162999</v>
      </c>
    </row>
    <row r="196" spans="4:9" ht="16" thickBot="1" x14ac:dyDescent="0.25">
      <c r="D196" s="2" t="s">
        <v>18</v>
      </c>
      <c r="E196" s="4">
        <v>45847</v>
      </c>
      <c r="F196" s="5">
        <v>304896243408</v>
      </c>
      <c r="G196" s="5">
        <v>78597339494</v>
      </c>
      <c r="H196" s="5">
        <v>226298903914</v>
      </c>
      <c r="I196" s="6">
        <v>233126383882</v>
      </c>
    </row>
    <row r="197" spans="4:9" ht="16" thickBot="1" x14ac:dyDescent="0.25">
      <c r="D197" s="2" t="s">
        <v>18</v>
      </c>
      <c r="E197" s="4">
        <v>45848</v>
      </c>
      <c r="F197" s="5">
        <v>304860340348</v>
      </c>
      <c r="G197" s="5">
        <v>78639861002</v>
      </c>
      <c r="H197" s="5">
        <v>226220479346</v>
      </c>
      <c r="I197" s="6">
        <v>233009854208</v>
      </c>
    </row>
    <row r="198" spans="4:9" ht="16" thickBot="1" x14ac:dyDescent="0.25">
      <c r="D198" s="2" t="s">
        <v>18</v>
      </c>
      <c r="E198" s="4">
        <v>45849</v>
      </c>
      <c r="F198" s="5">
        <v>304531287732</v>
      </c>
      <c r="G198" s="5">
        <v>78704188663</v>
      </c>
      <c r="H198" s="5">
        <v>225827099069</v>
      </c>
      <c r="I198" s="6">
        <v>232631622325</v>
      </c>
    </row>
    <row r="199" spans="4:9" ht="16" thickBot="1" x14ac:dyDescent="0.25">
      <c r="D199" s="2" t="s">
        <v>18</v>
      </c>
      <c r="E199" s="4">
        <v>45850</v>
      </c>
      <c r="F199" s="5">
        <v>305048348227</v>
      </c>
      <c r="G199" s="5">
        <v>78734355535</v>
      </c>
      <c r="H199" s="5">
        <v>226313992692</v>
      </c>
      <c r="I199" s="6">
        <v>233126019892</v>
      </c>
    </row>
    <row r="200" spans="4:9" ht="16" thickBot="1" x14ac:dyDescent="0.25">
      <c r="D200" s="2" t="s">
        <v>18</v>
      </c>
      <c r="E200" s="4">
        <v>45851</v>
      </c>
      <c r="F200" s="5">
        <v>306151750331</v>
      </c>
      <c r="G200" s="5">
        <v>78866842636</v>
      </c>
      <c r="H200" s="5">
        <v>227284907695</v>
      </c>
      <c r="I200" s="6">
        <v>234111388601</v>
      </c>
    </row>
    <row r="201" spans="4:9" ht="16" thickBot="1" x14ac:dyDescent="0.25">
      <c r="D201" s="2" t="s">
        <v>18</v>
      </c>
      <c r="E201" s="4">
        <v>45852</v>
      </c>
      <c r="F201" s="5">
        <v>306870751556</v>
      </c>
      <c r="G201" s="5">
        <v>78830916727</v>
      </c>
      <c r="H201" s="5">
        <v>228039834829</v>
      </c>
      <c r="I201" s="6">
        <v>229186529470</v>
      </c>
    </row>
    <row r="202" spans="4:9" ht="16" thickBot="1" x14ac:dyDescent="0.25">
      <c r="D202" s="2" t="s">
        <v>18</v>
      </c>
      <c r="E202" s="4">
        <v>45853</v>
      </c>
      <c r="F202" s="5">
        <v>306996407937</v>
      </c>
      <c r="G202" s="5">
        <v>78873207982</v>
      </c>
      <c r="H202" s="5">
        <v>228123199955</v>
      </c>
      <c r="I202" s="6">
        <v>229247324561</v>
      </c>
    </row>
    <row r="203" spans="4:9" ht="16" thickBot="1" x14ac:dyDescent="0.25">
      <c r="D203" s="2" t="s">
        <v>18</v>
      </c>
      <c r="E203" s="4">
        <v>45854</v>
      </c>
      <c r="F203" s="5">
        <v>307424534295</v>
      </c>
      <c r="G203" s="5">
        <v>78868841212</v>
      </c>
      <c r="H203" s="5">
        <v>228555693083</v>
      </c>
      <c r="I203" s="6">
        <v>229602879291</v>
      </c>
    </row>
    <row r="204" spans="4:9" ht="16" thickBot="1" x14ac:dyDescent="0.25">
      <c r="D204" s="2" t="s">
        <v>18</v>
      </c>
      <c r="E204" s="4">
        <v>45855</v>
      </c>
      <c r="F204" s="5">
        <v>307369773102</v>
      </c>
      <c r="G204" s="5">
        <v>78760988044</v>
      </c>
      <c r="H204" s="5">
        <v>228608785058</v>
      </c>
      <c r="I204" s="6">
        <v>229608060230</v>
      </c>
    </row>
    <row r="205" spans="4:9" ht="16" thickBot="1" x14ac:dyDescent="0.25">
      <c r="D205" s="2" t="s">
        <v>18</v>
      </c>
      <c r="E205" s="4">
        <v>45856</v>
      </c>
      <c r="F205" s="5">
        <v>307606174918</v>
      </c>
      <c r="G205" s="5">
        <v>78772558494</v>
      </c>
      <c r="H205" s="5">
        <v>228833616424</v>
      </c>
      <c r="I205" s="6">
        <v>229853036084</v>
      </c>
    </row>
    <row r="206" spans="4:9" ht="16" thickBot="1" x14ac:dyDescent="0.25">
      <c r="D206" s="2" t="s">
        <v>18</v>
      </c>
      <c r="E206" s="4">
        <v>45857</v>
      </c>
      <c r="F206" s="5">
        <v>308318689018</v>
      </c>
      <c r="G206" s="5">
        <v>78844092657</v>
      </c>
      <c r="H206" s="5">
        <v>229474596361</v>
      </c>
      <c r="I206" s="6">
        <v>230531182846</v>
      </c>
    </row>
    <row r="207" spans="4:9" ht="16" thickBot="1" x14ac:dyDescent="0.25">
      <c r="D207" s="2" t="s">
        <v>18</v>
      </c>
      <c r="E207" s="4">
        <v>45858</v>
      </c>
      <c r="F207" s="5">
        <v>308962525874</v>
      </c>
      <c r="G207" s="5">
        <v>78926120662</v>
      </c>
      <c r="H207" s="5">
        <v>230036405212</v>
      </c>
      <c r="I207" s="6">
        <v>231104237751</v>
      </c>
    </row>
    <row r="208" spans="4:9" ht="16" thickBot="1" x14ac:dyDescent="0.25">
      <c r="D208" s="2" t="s">
        <v>18</v>
      </c>
      <c r="E208" s="4">
        <v>45859</v>
      </c>
      <c r="F208" s="5">
        <v>308951222700</v>
      </c>
      <c r="G208" s="5">
        <v>78924765660</v>
      </c>
      <c r="H208" s="5">
        <v>230026457040</v>
      </c>
      <c r="I208" s="6">
        <v>231042860792</v>
      </c>
    </row>
    <row r="209" spans="4:9" ht="16" thickBot="1" x14ac:dyDescent="0.25">
      <c r="D209" s="2" t="s">
        <v>18</v>
      </c>
      <c r="E209" s="4">
        <v>45860</v>
      </c>
      <c r="F209" s="5">
        <v>308416331444</v>
      </c>
      <c r="G209" s="5">
        <v>78848257918</v>
      </c>
      <c r="H209" s="5">
        <v>229568073526</v>
      </c>
      <c r="I209" s="6">
        <v>230457937964</v>
      </c>
    </row>
    <row r="210" spans="4:9" ht="16" thickBot="1" x14ac:dyDescent="0.25">
      <c r="D210" s="2" t="s">
        <v>18</v>
      </c>
      <c r="E210" s="4">
        <v>45861</v>
      </c>
      <c r="F210" s="5">
        <v>308237732740</v>
      </c>
      <c r="G210" s="5">
        <v>78870852833</v>
      </c>
      <c r="H210" s="5">
        <v>229366879907</v>
      </c>
      <c r="I210" s="6">
        <v>230236295669</v>
      </c>
    </row>
    <row r="211" spans="4:9" ht="16" thickBot="1" x14ac:dyDescent="0.25">
      <c r="D211" s="2" t="s">
        <v>18</v>
      </c>
      <c r="E211" s="4">
        <v>45862</v>
      </c>
      <c r="F211" s="5">
        <v>308231491559</v>
      </c>
      <c r="G211" s="5">
        <v>78755622906</v>
      </c>
      <c r="H211" s="5">
        <v>229475868653</v>
      </c>
      <c r="I211" s="6">
        <v>230243142734</v>
      </c>
    </row>
    <row r="212" spans="4:9" ht="16" thickBot="1" x14ac:dyDescent="0.25">
      <c r="D212" s="2" t="s">
        <v>18</v>
      </c>
      <c r="E212" s="4">
        <v>45863</v>
      </c>
      <c r="F212" s="5">
        <v>307954724341</v>
      </c>
      <c r="G212" s="5">
        <v>78822519367</v>
      </c>
      <c r="H212" s="5">
        <v>229132204974</v>
      </c>
      <c r="I212" s="6">
        <v>229933396986</v>
      </c>
    </row>
    <row r="213" spans="4:9" ht="16" thickBot="1" x14ac:dyDescent="0.25">
      <c r="D213" s="2" t="s">
        <v>18</v>
      </c>
      <c r="E213" s="4">
        <v>45864</v>
      </c>
      <c r="F213" s="5">
        <v>307849743625</v>
      </c>
      <c r="G213" s="5">
        <v>78900614370</v>
      </c>
      <c r="H213" s="5">
        <v>228949129255</v>
      </c>
      <c r="I213" s="6">
        <v>229766280483</v>
      </c>
    </row>
    <row r="214" spans="4:9" ht="16" thickBot="1" x14ac:dyDescent="0.25">
      <c r="D214" s="2" t="s">
        <v>18</v>
      </c>
      <c r="E214" s="4">
        <v>45865</v>
      </c>
      <c r="F214" s="5">
        <v>307952964965</v>
      </c>
      <c r="G214" s="5">
        <v>78957899461</v>
      </c>
      <c r="H214" s="5">
        <v>228995065504</v>
      </c>
      <c r="I214" s="6">
        <v>229864973732</v>
      </c>
    </row>
    <row r="215" spans="4:9" ht="16" thickBot="1" x14ac:dyDescent="0.25">
      <c r="D215" s="2" t="s">
        <v>18</v>
      </c>
      <c r="E215" s="4">
        <v>45866</v>
      </c>
      <c r="F215" s="5">
        <v>307377776051</v>
      </c>
      <c r="G215" s="5">
        <v>78850716514</v>
      </c>
      <c r="H215" s="5">
        <v>228527059537</v>
      </c>
      <c r="I215" s="6">
        <v>229296999271</v>
      </c>
    </row>
    <row r="216" spans="4:9" ht="16" thickBot="1" x14ac:dyDescent="0.25">
      <c r="D216" s="2" t="s">
        <v>18</v>
      </c>
      <c r="E216" s="4">
        <v>45867</v>
      </c>
      <c r="F216" s="5">
        <v>305885502860</v>
      </c>
      <c r="G216" s="5">
        <v>78860637496</v>
      </c>
      <c r="H216" s="5">
        <v>227024865364</v>
      </c>
      <c r="I216" s="6">
        <v>227825503603</v>
      </c>
    </row>
    <row r="217" spans="4:9" ht="16" thickBot="1" x14ac:dyDescent="0.25">
      <c r="D217" s="2" t="s">
        <v>18</v>
      </c>
      <c r="E217" s="4">
        <v>45868</v>
      </c>
      <c r="F217" s="5">
        <v>303821088664</v>
      </c>
      <c r="G217" s="5">
        <v>78960198237</v>
      </c>
      <c r="H217" s="5">
        <v>224860890427</v>
      </c>
      <c r="I217" s="6">
        <v>225758961611</v>
      </c>
    </row>
    <row r="218" spans="4:9" ht="16" thickBot="1" x14ac:dyDescent="0.25">
      <c r="D218" s="2" t="s">
        <v>18</v>
      </c>
      <c r="E218" s="4">
        <v>45869</v>
      </c>
      <c r="F218" s="5">
        <v>300619607926</v>
      </c>
      <c r="G218" s="5">
        <v>78934143811</v>
      </c>
      <c r="H218" s="5">
        <v>221685464115</v>
      </c>
      <c r="I218" s="6">
        <v>222621213993</v>
      </c>
    </row>
    <row r="219" spans="4:9" ht="16" thickBot="1" x14ac:dyDescent="0.25">
      <c r="D219" s="2" t="s">
        <v>18</v>
      </c>
      <c r="E219" s="4">
        <v>45870</v>
      </c>
      <c r="F219" s="5">
        <v>299479416924</v>
      </c>
      <c r="G219" s="5">
        <v>78923059680</v>
      </c>
      <c r="H219" s="5">
        <v>220556357244</v>
      </c>
      <c r="I219" s="6">
        <v>221532774685</v>
      </c>
    </row>
    <row r="220" spans="4:9" ht="16" thickBot="1" x14ac:dyDescent="0.25">
      <c r="D220" s="2" t="s">
        <v>18</v>
      </c>
      <c r="E220" s="4">
        <v>45871</v>
      </c>
      <c r="F220" s="5">
        <v>300579118892</v>
      </c>
      <c r="G220" s="5">
        <v>84342167642</v>
      </c>
      <c r="H220" s="5">
        <v>216236951250</v>
      </c>
      <c r="I220" s="6">
        <v>222624203544</v>
      </c>
    </row>
    <row r="221" spans="4:9" ht="16" thickBot="1" x14ac:dyDescent="0.25">
      <c r="D221" s="2" t="s">
        <v>18</v>
      </c>
      <c r="E221" s="4">
        <v>45872</v>
      </c>
      <c r="F221" s="5">
        <v>301624931048</v>
      </c>
      <c r="G221" s="5">
        <v>84300413468</v>
      </c>
      <c r="H221" s="5">
        <v>217324517580</v>
      </c>
      <c r="I221" s="6">
        <v>223695407222</v>
      </c>
    </row>
    <row r="222" spans="4:9" ht="16" thickBot="1" x14ac:dyDescent="0.25">
      <c r="D222" s="2" t="s">
        <v>18</v>
      </c>
      <c r="E222" s="4">
        <v>45873</v>
      </c>
      <c r="F222" s="5">
        <v>302900976920</v>
      </c>
      <c r="G222" s="5">
        <v>84235090475</v>
      </c>
      <c r="H222" s="5">
        <v>218665886445</v>
      </c>
      <c r="I222" s="6">
        <v>224933329982</v>
      </c>
    </row>
    <row r="223" spans="4:9" ht="16" thickBot="1" x14ac:dyDescent="0.25">
      <c r="D223" s="2" t="s">
        <v>18</v>
      </c>
      <c r="E223" s="4">
        <v>45874</v>
      </c>
      <c r="F223" s="5">
        <v>302689463668</v>
      </c>
      <c r="G223" s="5">
        <v>84119314351</v>
      </c>
      <c r="H223" s="5">
        <v>218570149317</v>
      </c>
      <c r="I223" s="6">
        <v>224722042201</v>
      </c>
    </row>
    <row r="224" spans="4:9" ht="16" thickBot="1" x14ac:dyDescent="0.25">
      <c r="D224" s="2" t="s">
        <v>18</v>
      </c>
      <c r="E224" s="4">
        <v>45875</v>
      </c>
      <c r="F224" s="5">
        <v>302305370572</v>
      </c>
      <c r="G224" s="5">
        <v>84156285894</v>
      </c>
      <c r="H224" s="5">
        <v>218149084678</v>
      </c>
      <c r="I224" s="6">
        <v>224355349205</v>
      </c>
    </row>
    <row r="225" spans="4:9" ht="16" thickBot="1" x14ac:dyDescent="0.25">
      <c r="D225" s="2" t="s">
        <v>18</v>
      </c>
      <c r="E225" s="4">
        <v>45876</v>
      </c>
      <c r="F225" s="5">
        <v>301931398453</v>
      </c>
      <c r="G225" s="5">
        <v>84094374010</v>
      </c>
      <c r="H225" s="5">
        <v>217837024443</v>
      </c>
      <c r="I225" s="6">
        <v>224007912084</v>
      </c>
    </row>
    <row r="226" spans="4:9" ht="16" thickBot="1" x14ac:dyDescent="0.25">
      <c r="D226" s="2" t="s">
        <v>18</v>
      </c>
      <c r="E226" s="4">
        <v>45877</v>
      </c>
      <c r="F226" s="5">
        <v>301225266006</v>
      </c>
      <c r="G226" s="5">
        <v>84143085775</v>
      </c>
      <c r="H226" s="5">
        <v>217082180231</v>
      </c>
      <c r="I226" s="6">
        <v>223298652866</v>
      </c>
    </row>
    <row r="227" spans="4:9" ht="16" thickBot="1" x14ac:dyDescent="0.25">
      <c r="D227" s="2" t="s">
        <v>18</v>
      </c>
      <c r="E227" s="4">
        <v>45878</v>
      </c>
      <c r="F227" s="5">
        <v>301204707472</v>
      </c>
      <c r="G227" s="5">
        <v>84146454719</v>
      </c>
      <c r="H227" s="5">
        <v>217058252753</v>
      </c>
      <c r="I227" s="6">
        <v>223227782369</v>
      </c>
    </row>
    <row r="228" spans="4:9" ht="16" thickBot="1" x14ac:dyDescent="0.25">
      <c r="D228" s="2" t="s">
        <v>18</v>
      </c>
      <c r="E228" s="4">
        <v>45879</v>
      </c>
      <c r="F228" s="5">
        <v>301517291744</v>
      </c>
      <c r="G228" s="5">
        <v>84221688684</v>
      </c>
      <c r="H228" s="5">
        <v>217295603060</v>
      </c>
      <c r="I228" s="6">
        <v>223518968888</v>
      </c>
    </row>
    <row r="229" spans="4:9" ht="16" thickBot="1" x14ac:dyDescent="0.25">
      <c r="D229" s="2" t="s">
        <v>18</v>
      </c>
      <c r="E229" s="4">
        <v>45880</v>
      </c>
      <c r="F229" s="5">
        <v>301006518182</v>
      </c>
      <c r="G229" s="5">
        <v>84171398632</v>
      </c>
      <c r="H229" s="5">
        <v>216835119550</v>
      </c>
      <c r="I229" s="6">
        <v>222981577585</v>
      </c>
    </row>
    <row r="230" spans="4:9" ht="16" thickBot="1" x14ac:dyDescent="0.25">
      <c r="D230" s="2" t="s">
        <v>18</v>
      </c>
      <c r="E230" s="4">
        <v>45881</v>
      </c>
      <c r="F230" s="5">
        <v>300578076643</v>
      </c>
      <c r="G230" s="5">
        <v>84089956208</v>
      </c>
      <c r="H230" s="5">
        <v>216488120435</v>
      </c>
      <c r="I230" s="6">
        <v>217280249176</v>
      </c>
    </row>
    <row r="231" spans="4:9" ht="16" thickBot="1" x14ac:dyDescent="0.25">
      <c r="D231" s="2" t="s">
        <v>18</v>
      </c>
      <c r="E231" s="4">
        <v>45882</v>
      </c>
      <c r="F231" s="5">
        <v>299911261895</v>
      </c>
      <c r="G231" s="5">
        <v>84078626762</v>
      </c>
      <c r="H231" s="5">
        <v>215832635133</v>
      </c>
      <c r="I231" s="6">
        <v>216638678967</v>
      </c>
    </row>
    <row r="232" spans="4:9" ht="16" thickBot="1" x14ac:dyDescent="0.25">
      <c r="D232" s="2" t="s">
        <v>18</v>
      </c>
      <c r="E232" s="4">
        <v>45883</v>
      </c>
      <c r="F232" s="5">
        <v>299829671562</v>
      </c>
      <c r="G232" s="5">
        <v>84091577369</v>
      </c>
      <c r="H232" s="5">
        <v>215738094193</v>
      </c>
      <c r="I232" s="6">
        <v>216575168560</v>
      </c>
    </row>
    <row r="233" spans="4:9" ht="16" thickBot="1" x14ac:dyDescent="0.25">
      <c r="D233" s="2" t="s">
        <v>18</v>
      </c>
      <c r="E233" s="4">
        <v>45884</v>
      </c>
      <c r="F233" s="5">
        <v>299919164509</v>
      </c>
      <c r="G233" s="5">
        <v>84087901931</v>
      </c>
      <c r="H233" s="5">
        <v>215831262578</v>
      </c>
      <c r="I233" s="6">
        <v>216703100328</v>
      </c>
    </row>
    <row r="234" spans="4:9" ht="16" thickBot="1" x14ac:dyDescent="0.25">
      <c r="D234" s="2" t="s">
        <v>18</v>
      </c>
      <c r="E234" s="4">
        <v>45885</v>
      </c>
      <c r="F234" s="5">
        <v>300055219759</v>
      </c>
      <c r="G234" s="5">
        <v>84115057085</v>
      </c>
      <c r="H234" s="5">
        <v>215940162674</v>
      </c>
      <c r="I234" s="6">
        <v>216817344545</v>
      </c>
    </row>
    <row r="235" spans="4:9" ht="16" thickBot="1" x14ac:dyDescent="0.25">
      <c r="D235" s="2" t="s">
        <v>18</v>
      </c>
      <c r="E235" s="4">
        <v>45886</v>
      </c>
      <c r="F235" s="5">
        <v>300228937192</v>
      </c>
      <c r="G235" s="5">
        <v>84189296216</v>
      </c>
      <c r="H235" s="5">
        <v>216039640976</v>
      </c>
      <c r="I235" s="6">
        <v>216935474796</v>
      </c>
    </row>
    <row r="236" spans="4:9" ht="16" thickBot="1" x14ac:dyDescent="0.25">
      <c r="D236" s="2" t="s">
        <v>18</v>
      </c>
      <c r="E236" s="4">
        <v>45887</v>
      </c>
      <c r="F236" s="5">
        <v>299887108777</v>
      </c>
      <c r="G236" s="5">
        <v>84217335156</v>
      </c>
      <c r="H236" s="5">
        <v>215669773621</v>
      </c>
      <c r="I236" s="6">
        <v>216596826958</v>
      </c>
    </row>
    <row r="237" spans="4:9" ht="16" thickBot="1" x14ac:dyDescent="0.25">
      <c r="D237" s="2" t="s">
        <v>18</v>
      </c>
      <c r="E237" s="4">
        <v>45888</v>
      </c>
      <c r="F237" s="5">
        <v>299786590816</v>
      </c>
      <c r="G237" s="5">
        <v>84233898999</v>
      </c>
      <c r="H237" s="5">
        <v>215552691817</v>
      </c>
      <c r="I237" s="6">
        <v>216515129297</v>
      </c>
    </row>
    <row r="238" spans="4:9" ht="16" thickBot="1" x14ac:dyDescent="0.25">
      <c r="D238" s="2" t="s">
        <v>18</v>
      </c>
      <c r="E238" s="4">
        <v>45889</v>
      </c>
      <c r="F238" s="5">
        <v>299425331277</v>
      </c>
      <c r="G238" s="5">
        <v>84162442424</v>
      </c>
      <c r="H238" s="5">
        <v>215262888853</v>
      </c>
      <c r="I238" s="6">
        <v>216210612589</v>
      </c>
    </row>
    <row r="239" spans="4:9" ht="16" thickBot="1" x14ac:dyDescent="0.25">
      <c r="D239" s="2" t="s">
        <v>18</v>
      </c>
      <c r="E239" s="4">
        <v>45890</v>
      </c>
      <c r="F239" s="5">
        <v>298945944055</v>
      </c>
      <c r="G239" s="5">
        <v>84154960103</v>
      </c>
      <c r="H239" s="5">
        <v>214790983952</v>
      </c>
      <c r="I239" s="6">
        <v>215726226453</v>
      </c>
    </row>
    <row r="240" spans="4:9" ht="16" thickBot="1" x14ac:dyDescent="0.25">
      <c r="D240" s="2" t="s">
        <v>18</v>
      </c>
      <c r="E240" s="4">
        <v>45891</v>
      </c>
      <c r="F240" s="5">
        <v>298337509771</v>
      </c>
      <c r="G240" s="5">
        <v>84126281052</v>
      </c>
      <c r="H240" s="5">
        <v>214211228719</v>
      </c>
      <c r="I240" s="6">
        <v>215146840572</v>
      </c>
    </row>
    <row r="241" spans="4:9" ht="16" thickBot="1" x14ac:dyDescent="0.25">
      <c r="D241" s="2" t="s">
        <v>18</v>
      </c>
      <c r="E241" s="4">
        <v>45892</v>
      </c>
      <c r="F241" s="5">
        <v>298233190087</v>
      </c>
      <c r="G241" s="5">
        <v>84169401375</v>
      </c>
      <c r="H241" s="5">
        <v>214063788712</v>
      </c>
      <c r="I241" s="6">
        <v>214971825937</v>
      </c>
    </row>
    <row r="242" spans="4:9" ht="16" thickBot="1" x14ac:dyDescent="0.25">
      <c r="D242" s="2" t="s">
        <v>18</v>
      </c>
      <c r="E242" s="4">
        <v>45893</v>
      </c>
      <c r="F242" s="5">
        <v>298200784691</v>
      </c>
      <c r="G242" s="5">
        <v>84305389644</v>
      </c>
      <c r="H242" s="5">
        <v>213895395047</v>
      </c>
      <c r="I242" s="6">
        <v>214914007042</v>
      </c>
    </row>
    <row r="243" spans="4:9" ht="16" thickBot="1" x14ac:dyDescent="0.25">
      <c r="D243" s="2" t="s">
        <v>18</v>
      </c>
      <c r="E243" s="4">
        <v>45894</v>
      </c>
      <c r="F243" s="5">
        <v>297978748856</v>
      </c>
      <c r="G243" s="5">
        <v>84423232526</v>
      </c>
      <c r="H243" s="5">
        <v>213555516330</v>
      </c>
      <c r="I243" s="6">
        <v>214638607377</v>
      </c>
    </row>
    <row r="244" spans="4:9" ht="16" thickBot="1" x14ac:dyDescent="0.25">
      <c r="D244" s="2" t="s">
        <v>18</v>
      </c>
      <c r="E244" s="4">
        <v>45895</v>
      </c>
      <c r="F244" s="5">
        <v>297692506261</v>
      </c>
      <c r="G244" s="5">
        <v>84441958864</v>
      </c>
      <c r="H244" s="5">
        <v>213250547397</v>
      </c>
      <c r="I244" s="6">
        <v>214328903952</v>
      </c>
    </row>
    <row r="245" spans="4:9" ht="16" thickBot="1" x14ac:dyDescent="0.25">
      <c r="D245" s="2" t="s">
        <v>18</v>
      </c>
      <c r="E245" s="4">
        <v>45896</v>
      </c>
      <c r="F245" s="5">
        <v>297169359120</v>
      </c>
      <c r="G245" s="5">
        <v>84520719130</v>
      </c>
      <c r="H245" s="5">
        <v>212648639990</v>
      </c>
      <c r="I245" s="6">
        <v>213794953267</v>
      </c>
    </row>
    <row r="246" spans="4:9" ht="16" thickBot="1" x14ac:dyDescent="0.25">
      <c r="D246" s="2" t="s">
        <v>18</v>
      </c>
      <c r="E246" s="4">
        <v>45897</v>
      </c>
      <c r="F246" s="5">
        <v>295881485447</v>
      </c>
      <c r="G246" s="5">
        <v>84589840765</v>
      </c>
      <c r="H246" s="5">
        <v>211291644682</v>
      </c>
      <c r="I246" s="6">
        <v>212466722169</v>
      </c>
    </row>
    <row r="247" spans="4:9" ht="16" thickBot="1" x14ac:dyDescent="0.25">
      <c r="D247" s="2" t="s">
        <v>18</v>
      </c>
      <c r="E247" s="4">
        <v>45898</v>
      </c>
      <c r="F247" s="5">
        <v>292362235667</v>
      </c>
      <c r="G247" s="5">
        <v>84565567352</v>
      </c>
      <c r="H247" s="5">
        <v>207796668315</v>
      </c>
      <c r="I247" s="6">
        <v>208928436159</v>
      </c>
    </row>
    <row r="248" spans="4:9" ht="16" thickBot="1" x14ac:dyDescent="0.25">
      <c r="D248" s="2" t="s">
        <v>18</v>
      </c>
      <c r="E248" s="4">
        <v>45899</v>
      </c>
      <c r="F248" s="5">
        <v>290398963255</v>
      </c>
      <c r="G248" s="5">
        <v>84617245898</v>
      </c>
      <c r="H248" s="5">
        <v>205781717357</v>
      </c>
      <c r="I248" s="6">
        <v>206934260767</v>
      </c>
    </row>
    <row r="249" spans="4:9" ht="16" thickBot="1" x14ac:dyDescent="0.25">
      <c r="D249" s="2" t="s">
        <v>18</v>
      </c>
      <c r="E249" s="4">
        <v>45900</v>
      </c>
      <c r="F249" s="5">
        <v>289284950835</v>
      </c>
      <c r="G249" s="5">
        <v>84724483940</v>
      </c>
      <c r="H249" s="5">
        <v>204560466895</v>
      </c>
      <c r="I249" s="6">
        <v>205786669173</v>
      </c>
    </row>
    <row r="250" spans="4:9" ht="16" thickBot="1" x14ac:dyDescent="0.25">
      <c r="D250" s="2" t="s">
        <v>18</v>
      </c>
      <c r="E250" s="4">
        <v>45901</v>
      </c>
      <c r="F250" s="5">
        <v>288913504986</v>
      </c>
      <c r="G250" s="5">
        <v>84835602330</v>
      </c>
      <c r="H250" s="5">
        <v>204077902656</v>
      </c>
      <c r="I250" s="6">
        <v>205385984850</v>
      </c>
    </row>
    <row r="251" spans="4:9" ht="16" thickBot="1" x14ac:dyDescent="0.25">
      <c r="D251" s="2" t="s">
        <v>18</v>
      </c>
      <c r="E251" s="4">
        <v>45902</v>
      </c>
      <c r="F251" s="5">
        <v>290220892194</v>
      </c>
      <c r="G251" s="5">
        <v>90974854266</v>
      </c>
      <c r="H251" s="5">
        <v>199246037928</v>
      </c>
      <c r="I251" s="6">
        <v>206652550767</v>
      </c>
    </row>
    <row r="252" spans="4:9" ht="16" thickBot="1" x14ac:dyDescent="0.25">
      <c r="D252" s="2" t="s">
        <v>18</v>
      </c>
      <c r="E252" s="4">
        <v>45903</v>
      </c>
      <c r="F252" s="5">
        <v>290868356649</v>
      </c>
      <c r="G252" s="5">
        <v>90901145471</v>
      </c>
      <c r="H252" s="5">
        <v>199967211178</v>
      </c>
      <c r="I252" s="6">
        <v>207263299939</v>
      </c>
    </row>
    <row r="253" spans="4:9" ht="16" thickBot="1" x14ac:dyDescent="0.25">
      <c r="D253" s="2" t="s">
        <v>18</v>
      </c>
      <c r="E253" s="4">
        <v>45904</v>
      </c>
      <c r="F253" s="5">
        <v>291093629181</v>
      </c>
      <c r="G253" s="5">
        <v>90763815689</v>
      </c>
      <c r="H253" s="5">
        <v>200329813492</v>
      </c>
      <c r="I253" s="6">
        <v>207410980210</v>
      </c>
    </row>
    <row r="254" spans="4:9" ht="16" thickBot="1" x14ac:dyDescent="0.25">
      <c r="D254" s="2" t="s">
        <v>18</v>
      </c>
      <c r="E254" s="4">
        <v>45905</v>
      </c>
      <c r="F254" s="5">
        <v>290978827785</v>
      </c>
      <c r="G254" s="5">
        <v>90780190476</v>
      </c>
      <c r="H254" s="5">
        <v>200198637309</v>
      </c>
      <c r="I254" s="6">
        <v>207314130802</v>
      </c>
    </row>
    <row r="255" spans="4:9" ht="16" thickBot="1" x14ac:dyDescent="0.25">
      <c r="D255" s="2" t="s">
        <v>18</v>
      </c>
      <c r="E255" s="4">
        <v>45906</v>
      </c>
      <c r="F255" s="5">
        <v>290614276648</v>
      </c>
      <c r="G255" s="5">
        <v>90850331423</v>
      </c>
      <c r="H255" s="5">
        <v>199763945225</v>
      </c>
      <c r="I255" s="6">
        <v>206890249792</v>
      </c>
    </row>
    <row r="256" spans="4:9" ht="16" thickBot="1" x14ac:dyDescent="0.25">
      <c r="D256" s="2" t="s">
        <v>18</v>
      </c>
      <c r="E256" s="4">
        <v>45907</v>
      </c>
      <c r="F256" s="5">
        <v>290867101527</v>
      </c>
      <c r="G256" s="5">
        <v>90912634132</v>
      </c>
      <c r="H256" s="5">
        <v>199954467395</v>
      </c>
      <c r="I256" s="6">
        <v>207074028356</v>
      </c>
    </row>
    <row r="257" spans="4:9" ht="16" thickBot="1" x14ac:dyDescent="0.25">
      <c r="D257" s="2" t="s">
        <v>18</v>
      </c>
      <c r="E257" s="4">
        <v>45908</v>
      </c>
      <c r="F257" s="5">
        <v>290396784485</v>
      </c>
      <c r="G257" s="5">
        <v>90865892152</v>
      </c>
      <c r="H257" s="5">
        <v>199530892333</v>
      </c>
      <c r="I257" s="6">
        <v>206566810408</v>
      </c>
    </row>
    <row r="258" spans="4:9" ht="16" thickBot="1" x14ac:dyDescent="0.25">
      <c r="D258" s="2" t="s">
        <v>18</v>
      </c>
      <c r="E258" s="4">
        <v>45909</v>
      </c>
      <c r="F258" s="5">
        <v>290701647530</v>
      </c>
      <c r="G258" s="5">
        <v>90869795511</v>
      </c>
      <c r="H258" s="5">
        <v>199831852019</v>
      </c>
      <c r="I258" s="6">
        <v>206838179152</v>
      </c>
    </row>
    <row r="259" spans="4:9" ht="16" thickBot="1" x14ac:dyDescent="0.25">
      <c r="D259" s="2" t="s">
        <v>18</v>
      </c>
      <c r="E259" s="4">
        <v>45910</v>
      </c>
      <c r="F259" s="5">
        <v>289655011453</v>
      </c>
      <c r="G259" s="5">
        <v>90826723353</v>
      </c>
      <c r="H259" s="5">
        <v>198828288100</v>
      </c>
      <c r="I259" s="6">
        <v>205810174547</v>
      </c>
    </row>
    <row r="260" spans="4:9" ht="16" thickBot="1" x14ac:dyDescent="0.25">
      <c r="D260" s="2" t="s">
        <v>18</v>
      </c>
      <c r="E260" s="4">
        <v>45911</v>
      </c>
      <c r="F260" s="5">
        <v>288784301094</v>
      </c>
      <c r="G260" s="5">
        <v>90839544207</v>
      </c>
      <c r="H260" s="5">
        <v>197944756887</v>
      </c>
      <c r="I260" s="6">
        <v>204880494847</v>
      </c>
    </row>
    <row r="261" spans="4:9" ht="16" thickBot="1" x14ac:dyDescent="0.25">
      <c r="D261" s="2" t="s">
        <v>18</v>
      </c>
      <c r="E261" s="4">
        <v>45912</v>
      </c>
      <c r="F261" s="5">
        <v>287897860994</v>
      </c>
      <c r="G261" s="5">
        <v>90825651271</v>
      </c>
      <c r="H261" s="5">
        <v>197072209723</v>
      </c>
      <c r="I261" s="6">
        <v>198144095307</v>
      </c>
    </row>
    <row r="262" spans="4:9" ht="16" thickBot="1" x14ac:dyDescent="0.25">
      <c r="D262" s="2" t="s">
        <v>18</v>
      </c>
      <c r="E262" s="4">
        <v>45913</v>
      </c>
      <c r="F262" s="5">
        <v>287779390959</v>
      </c>
      <c r="G262" s="5">
        <v>90805604759</v>
      </c>
      <c r="H262" s="5">
        <v>196973786200</v>
      </c>
      <c r="I262" s="6">
        <v>198037334028</v>
      </c>
    </row>
    <row r="263" spans="4:9" ht="16" thickBot="1" x14ac:dyDescent="0.25">
      <c r="D263" s="2" t="s">
        <v>18</v>
      </c>
      <c r="E263" s="4">
        <v>45914</v>
      </c>
      <c r="F263" s="5">
        <v>288125943025</v>
      </c>
      <c r="G263" s="5">
        <v>90882389929</v>
      </c>
      <c r="H263" s="5">
        <v>197243553096</v>
      </c>
      <c r="I263" s="6">
        <v>198351598832</v>
      </c>
    </row>
    <row r="264" spans="4:9" ht="16" thickBot="1" x14ac:dyDescent="0.25">
      <c r="D264" s="2" t="s">
        <v>18</v>
      </c>
      <c r="E264" s="4">
        <v>45915</v>
      </c>
      <c r="F264" s="5">
        <v>287355820986</v>
      </c>
      <c r="G264" s="5">
        <v>90833839988</v>
      </c>
      <c r="H264" s="5">
        <v>196521980998</v>
      </c>
      <c r="I264" s="6">
        <v>197576617713</v>
      </c>
    </row>
    <row r="265" spans="4:9" ht="16" thickBot="1" x14ac:dyDescent="0.25">
      <c r="D265" s="2" t="s">
        <v>18</v>
      </c>
      <c r="E265" s="4">
        <v>45916</v>
      </c>
      <c r="F265" s="5">
        <v>286863357941</v>
      </c>
      <c r="G265" s="5">
        <v>90795042935</v>
      </c>
      <c r="H265" s="5">
        <v>196068315006</v>
      </c>
      <c r="I265" s="6">
        <v>197085203665</v>
      </c>
    </row>
    <row r="266" spans="4:9" ht="16" thickBot="1" x14ac:dyDescent="0.25">
      <c r="D266" s="2" t="s">
        <v>18</v>
      </c>
      <c r="E266" s="4">
        <v>45917</v>
      </c>
      <c r="F266" s="5">
        <v>286231559540</v>
      </c>
      <c r="G266" s="5">
        <v>90810593936</v>
      </c>
      <c r="H266" s="5">
        <v>195420965604</v>
      </c>
      <c r="I266" s="6">
        <v>196395586475</v>
      </c>
    </row>
    <row r="267" spans="4:9" ht="16" thickBot="1" x14ac:dyDescent="0.25">
      <c r="D267" s="2" t="s">
        <v>18</v>
      </c>
      <c r="E267" s="4">
        <v>45918</v>
      </c>
      <c r="F267" s="5">
        <v>285891283725</v>
      </c>
      <c r="G267" s="5">
        <v>90761326065</v>
      </c>
      <c r="H267" s="5">
        <v>195129957660</v>
      </c>
      <c r="I267" s="6">
        <v>196091365771</v>
      </c>
    </row>
    <row r="268" spans="4:9" ht="16" thickBot="1" x14ac:dyDescent="0.25">
      <c r="D268" s="2" t="s">
        <v>18</v>
      </c>
      <c r="E268" s="4">
        <v>45919</v>
      </c>
      <c r="F268" s="5">
        <v>285566652140</v>
      </c>
      <c r="G268" s="5">
        <v>90804084362</v>
      </c>
      <c r="H268" s="5">
        <v>194762567778</v>
      </c>
      <c r="I268" s="6">
        <v>195787815411</v>
      </c>
    </row>
    <row r="269" spans="4:9" ht="16" thickBot="1" x14ac:dyDescent="0.25">
      <c r="D269" s="2" t="s">
        <v>18</v>
      </c>
      <c r="E269" s="4">
        <v>45920</v>
      </c>
      <c r="F269" s="5">
        <v>285391897237</v>
      </c>
      <c r="G269" s="5">
        <v>90798118890</v>
      </c>
      <c r="H269" s="5">
        <v>194593778347</v>
      </c>
      <c r="I269" s="6">
        <v>195557359728</v>
      </c>
    </row>
    <row r="270" spans="4:9" ht="16" thickBot="1" x14ac:dyDescent="0.25">
      <c r="D270" s="2" t="s">
        <v>18</v>
      </c>
      <c r="E270" s="4">
        <v>45921</v>
      </c>
      <c r="F270" s="5">
        <v>285058957832</v>
      </c>
      <c r="G270" s="5">
        <v>90893597615</v>
      </c>
      <c r="H270" s="5">
        <v>194165360217</v>
      </c>
      <c r="I270" s="6">
        <v>195140543952</v>
      </c>
    </row>
    <row r="271" spans="4:9" ht="16" thickBot="1" x14ac:dyDescent="0.25">
      <c r="D271" s="2" t="s">
        <v>18</v>
      </c>
      <c r="E271" s="4">
        <v>45922</v>
      </c>
      <c r="F271" s="5">
        <v>284891126325</v>
      </c>
      <c r="G271" s="5">
        <v>90917704302</v>
      </c>
      <c r="H271" s="5">
        <v>193973422023</v>
      </c>
      <c r="I271" s="6">
        <v>194938358436</v>
      </c>
    </row>
    <row r="272" spans="4:9" ht="16" thickBot="1" x14ac:dyDescent="0.25">
      <c r="D272" s="2" t="s">
        <v>18</v>
      </c>
      <c r="E272" s="4">
        <v>45923</v>
      </c>
      <c r="F272" s="5">
        <v>284847170763</v>
      </c>
      <c r="G272" s="5">
        <v>90925182749</v>
      </c>
      <c r="H272" s="5">
        <v>193921988014</v>
      </c>
      <c r="I272" s="6">
        <v>194864537136</v>
      </c>
    </row>
    <row r="273" spans="4:9" ht="16" thickBot="1" x14ac:dyDescent="0.25">
      <c r="D273" s="2" t="s">
        <v>18</v>
      </c>
      <c r="E273" s="4">
        <v>45924</v>
      </c>
      <c r="F273" s="5">
        <v>284289915158</v>
      </c>
      <c r="G273" s="5">
        <v>90909503916</v>
      </c>
      <c r="H273" s="5">
        <v>193380411242</v>
      </c>
      <c r="I273" s="6">
        <v>194319835925</v>
      </c>
    </row>
    <row r="274" spans="4:9" ht="16" thickBot="1" x14ac:dyDescent="0.25">
      <c r="D274" s="2" t="s">
        <v>18</v>
      </c>
      <c r="E274" s="4">
        <v>45925</v>
      </c>
      <c r="F274" s="5">
        <v>283702504767</v>
      </c>
      <c r="G274" s="5">
        <v>90873821741</v>
      </c>
      <c r="H274" s="5">
        <v>192828683026</v>
      </c>
      <c r="I274" s="6">
        <v>193717342004</v>
      </c>
    </row>
    <row r="275" spans="4:9" ht="16" thickBot="1" x14ac:dyDescent="0.25">
      <c r="D275" s="2" t="s">
        <v>18</v>
      </c>
      <c r="E275" s="4">
        <v>45926</v>
      </c>
      <c r="F275" s="5">
        <v>282893942665</v>
      </c>
      <c r="G275" s="5">
        <v>90903004659</v>
      </c>
      <c r="H275" s="5">
        <v>191990938006</v>
      </c>
      <c r="I275" s="6">
        <v>192934498365</v>
      </c>
    </row>
    <row r="276" spans="4:9" ht="16" thickBot="1" x14ac:dyDescent="0.25">
      <c r="D276" s="2" t="s">
        <v>18</v>
      </c>
      <c r="E276" s="4">
        <v>45927</v>
      </c>
      <c r="F276" s="5">
        <v>282752235470</v>
      </c>
      <c r="G276" s="5">
        <v>90953904981</v>
      </c>
      <c r="H276" s="5">
        <v>191798330489</v>
      </c>
      <c r="I276" s="6">
        <v>192806957714</v>
      </c>
    </row>
    <row r="277" spans="4:9" ht="16" thickBot="1" x14ac:dyDescent="0.25">
      <c r="D277" s="2" t="s">
        <v>18</v>
      </c>
      <c r="E277" s="4">
        <v>45928</v>
      </c>
      <c r="F277" s="5">
        <v>282257682989</v>
      </c>
      <c r="G277" s="5">
        <v>91007263247</v>
      </c>
      <c r="H277" s="5">
        <v>191250419742</v>
      </c>
      <c r="I277" s="6">
        <v>192267457148</v>
      </c>
    </row>
    <row r="278" spans="4:9" ht="16" thickBot="1" x14ac:dyDescent="0.25">
      <c r="D278" s="2" t="s">
        <v>18</v>
      </c>
      <c r="E278" s="4">
        <v>45929</v>
      </c>
      <c r="F278" s="5">
        <v>281101821502</v>
      </c>
      <c r="G278" s="5">
        <v>91134131692</v>
      </c>
      <c r="H278" s="5">
        <v>189967689810</v>
      </c>
      <c r="I278" s="6">
        <v>191088398121</v>
      </c>
    </row>
    <row r="279" spans="4:9" ht="16" thickBot="1" x14ac:dyDescent="0.25">
      <c r="D279" s="2" t="s">
        <v>18</v>
      </c>
      <c r="E279" s="4">
        <v>45930</v>
      </c>
      <c r="F279" s="5">
        <v>277132402651</v>
      </c>
      <c r="G279" s="5">
        <v>91111818258</v>
      </c>
      <c r="H279" s="5">
        <v>186020584393</v>
      </c>
      <c r="I279" s="6">
        <v>187152076983</v>
      </c>
    </row>
    <row r="280" spans="4:9" ht="16" thickBot="1" x14ac:dyDescent="0.25">
      <c r="D280" s="2" t="s">
        <v>19</v>
      </c>
      <c r="E280" s="4">
        <v>45839</v>
      </c>
      <c r="F280" s="5">
        <v>222435075260</v>
      </c>
      <c r="G280" s="5">
        <v>90817151033</v>
      </c>
      <c r="H280" s="5">
        <v>131617924227</v>
      </c>
      <c r="I280" s="6">
        <v>134925605535</v>
      </c>
    </row>
    <row r="281" spans="4:9" ht="16" thickBot="1" x14ac:dyDescent="0.25">
      <c r="D281" s="2" t="s">
        <v>19</v>
      </c>
      <c r="E281" s="4">
        <v>45840</v>
      </c>
      <c r="F281" s="5">
        <v>222864669244</v>
      </c>
      <c r="G281" s="5">
        <v>90967792618</v>
      </c>
      <c r="H281" s="5">
        <v>131896876626</v>
      </c>
      <c r="I281" s="6">
        <v>135209289873</v>
      </c>
    </row>
    <row r="282" spans="4:9" ht="16" thickBot="1" x14ac:dyDescent="0.25">
      <c r="D282" s="2" t="s">
        <v>19</v>
      </c>
      <c r="E282" s="4">
        <v>45841</v>
      </c>
      <c r="F282" s="5">
        <v>223130805219</v>
      </c>
      <c r="G282" s="5">
        <v>91123574466</v>
      </c>
      <c r="H282" s="5">
        <v>132007230753</v>
      </c>
      <c r="I282" s="6">
        <v>135521108552</v>
      </c>
    </row>
    <row r="283" spans="4:9" ht="16" thickBot="1" x14ac:dyDescent="0.25">
      <c r="D283" s="2" t="s">
        <v>19</v>
      </c>
      <c r="E283" s="4">
        <v>45842</v>
      </c>
      <c r="F283" s="5">
        <v>223490021045</v>
      </c>
      <c r="G283" s="5">
        <v>91336434154</v>
      </c>
      <c r="H283" s="5">
        <v>132153586891</v>
      </c>
      <c r="I283" s="6">
        <v>135430621194</v>
      </c>
    </row>
    <row r="284" spans="4:9" ht="16" thickBot="1" x14ac:dyDescent="0.25">
      <c r="D284" s="2" t="s">
        <v>19</v>
      </c>
      <c r="E284" s="4">
        <v>45843</v>
      </c>
      <c r="F284" s="5">
        <v>224975988730</v>
      </c>
      <c r="G284" s="5">
        <v>91559890604</v>
      </c>
      <c r="H284" s="5">
        <v>133416098126</v>
      </c>
      <c r="I284" s="6">
        <v>136664575130</v>
      </c>
    </row>
    <row r="285" spans="4:9" ht="16" thickBot="1" x14ac:dyDescent="0.25">
      <c r="D285" s="2" t="s">
        <v>19</v>
      </c>
      <c r="E285" s="4">
        <v>45844</v>
      </c>
      <c r="F285" s="5">
        <v>226087683236</v>
      </c>
      <c r="G285" s="5">
        <v>91848899341</v>
      </c>
      <c r="H285" s="5">
        <v>134238783895</v>
      </c>
      <c r="I285" s="6">
        <v>137661929345</v>
      </c>
    </row>
    <row r="286" spans="4:9" ht="16" thickBot="1" x14ac:dyDescent="0.25">
      <c r="D286" s="2" t="s">
        <v>19</v>
      </c>
      <c r="E286" s="4">
        <v>45845</v>
      </c>
      <c r="F286" s="5">
        <v>226317123909</v>
      </c>
      <c r="G286" s="5">
        <v>91583934681</v>
      </c>
      <c r="H286" s="5">
        <v>134733189228</v>
      </c>
      <c r="I286" s="6">
        <v>137671257577</v>
      </c>
    </row>
    <row r="287" spans="4:9" ht="16" thickBot="1" x14ac:dyDescent="0.25">
      <c r="D287" s="2" t="s">
        <v>19</v>
      </c>
      <c r="E287" s="4">
        <v>45846</v>
      </c>
      <c r="F287" s="5">
        <v>226565095564</v>
      </c>
      <c r="G287" s="5">
        <v>92193746362</v>
      </c>
      <c r="H287" s="5">
        <v>134371349202</v>
      </c>
      <c r="I287" s="6">
        <v>137730156401</v>
      </c>
    </row>
    <row r="288" spans="4:9" ht="16" thickBot="1" x14ac:dyDescent="0.25">
      <c r="D288" s="2" t="s">
        <v>19</v>
      </c>
      <c r="E288" s="4">
        <v>45847</v>
      </c>
      <c r="F288" s="5">
        <v>226849065282</v>
      </c>
      <c r="G288" s="5">
        <v>92275462327</v>
      </c>
      <c r="H288" s="5">
        <v>134573602955</v>
      </c>
      <c r="I288" s="6">
        <v>137816316871</v>
      </c>
    </row>
    <row r="289" spans="4:9" ht="16" thickBot="1" x14ac:dyDescent="0.25">
      <c r="D289" s="2" t="s">
        <v>19</v>
      </c>
      <c r="E289" s="4">
        <v>45848</v>
      </c>
      <c r="F289" s="5">
        <v>224304694624</v>
      </c>
      <c r="G289" s="5">
        <v>92270659837</v>
      </c>
      <c r="H289" s="5">
        <v>132034034787</v>
      </c>
      <c r="I289" s="6">
        <v>135358763377</v>
      </c>
    </row>
    <row r="290" spans="4:9" ht="16" thickBot="1" x14ac:dyDescent="0.25">
      <c r="D290" s="2" t="s">
        <v>19</v>
      </c>
      <c r="E290" s="4">
        <v>45849</v>
      </c>
      <c r="F290" s="5">
        <v>224697741514</v>
      </c>
      <c r="G290" s="5">
        <v>92421011742</v>
      </c>
      <c r="H290" s="5">
        <v>132276729772</v>
      </c>
      <c r="I290" s="6">
        <v>135293549894</v>
      </c>
    </row>
    <row r="291" spans="4:9" ht="16" thickBot="1" x14ac:dyDescent="0.25">
      <c r="D291" s="2" t="s">
        <v>19</v>
      </c>
      <c r="E291" s="4">
        <v>45850</v>
      </c>
      <c r="F291" s="5">
        <v>226219648264</v>
      </c>
      <c r="G291" s="5">
        <v>92616259603</v>
      </c>
      <c r="H291" s="5">
        <v>133603388661</v>
      </c>
      <c r="I291" s="6">
        <v>136627466190</v>
      </c>
    </row>
    <row r="292" spans="4:9" ht="16" thickBot="1" x14ac:dyDescent="0.25">
      <c r="D292" s="2" t="s">
        <v>19</v>
      </c>
      <c r="E292" s="4">
        <v>45851</v>
      </c>
      <c r="F292" s="5">
        <v>227920821026</v>
      </c>
      <c r="G292" s="5">
        <v>92877238174</v>
      </c>
      <c r="H292" s="5">
        <v>135043582852</v>
      </c>
      <c r="I292" s="6">
        <v>138169768755</v>
      </c>
    </row>
    <row r="293" spans="4:9" ht="16" thickBot="1" x14ac:dyDescent="0.25">
      <c r="D293" s="2" t="s">
        <v>19</v>
      </c>
      <c r="E293" s="4">
        <v>45852</v>
      </c>
      <c r="F293" s="5">
        <v>228328073527</v>
      </c>
      <c r="G293" s="5">
        <v>92591981097</v>
      </c>
      <c r="H293" s="5">
        <v>135736092430</v>
      </c>
      <c r="I293" s="6">
        <v>138385552677</v>
      </c>
    </row>
    <row r="294" spans="4:9" ht="16" thickBot="1" x14ac:dyDescent="0.25">
      <c r="D294" s="2" t="s">
        <v>19</v>
      </c>
      <c r="E294" s="4">
        <v>45853</v>
      </c>
      <c r="F294" s="5">
        <v>227753670978</v>
      </c>
      <c r="G294" s="5">
        <v>93274618926</v>
      </c>
      <c r="H294" s="5">
        <v>134479052052</v>
      </c>
      <c r="I294" s="6">
        <v>137609511350</v>
      </c>
    </row>
    <row r="295" spans="4:9" ht="16" thickBot="1" x14ac:dyDescent="0.25">
      <c r="D295" s="2" t="s">
        <v>19</v>
      </c>
      <c r="E295" s="4">
        <v>45854</v>
      </c>
      <c r="F295" s="5">
        <v>228072969809</v>
      </c>
      <c r="G295" s="5">
        <v>93365650878</v>
      </c>
      <c r="H295" s="5">
        <v>134707318931</v>
      </c>
      <c r="I295" s="6">
        <v>137782471152</v>
      </c>
    </row>
    <row r="296" spans="4:9" ht="16" thickBot="1" x14ac:dyDescent="0.25">
      <c r="D296" s="2" t="s">
        <v>19</v>
      </c>
      <c r="E296" s="4">
        <v>45855</v>
      </c>
      <c r="F296" s="5">
        <v>228842085921</v>
      </c>
      <c r="G296" s="5">
        <v>93450587226</v>
      </c>
      <c r="H296" s="5">
        <v>135391498695</v>
      </c>
      <c r="I296" s="6">
        <v>138622165902</v>
      </c>
    </row>
    <row r="297" spans="4:9" ht="16" thickBot="1" x14ac:dyDescent="0.25">
      <c r="D297" s="2" t="s">
        <v>19</v>
      </c>
      <c r="E297" s="4">
        <v>45856</v>
      </c>
      <c r="F297" s="5">
        <v>229171585651</v>
      </c>
      <c r="G297" s="5">
        <v>93496505687</v>
      </c>
      <c r="H297" s="5">
        <v>135675079964</v>
      </c>
      <c r="I297" s="6">
        <v>138619530405</v>
      </c>
    </row>
    <row r="298" spans="4:9" ht="16" thickBot="1" x14ac:dyDescent="0.25">
      <c r="D298" s="2" t="s">
        <v>19</v>
      </c>
      <c r="E298" s="4">
        <v>45857</v>
      </c>
      <c r="F298" s="5">
        <v>230471842125</v>
      </c>
      <c r="G298" s="5">
        <v>93725049891</v>
      </c>
      <c r="H298" s="5">
        <v>136746792234</v>
      </c>
      <c r="I298" s="6">
        <v>139807910194</v>
      </c>
    </row>
    <row r="299" spans="4:9" ht="16" thickBot="1" x14ac:dyDescent="0.25">
      <c r="D299" s="2" t="s">
        <v>19</v>
      </c>
      <c r="E299" s="4">
        <v>45858</v>
      </c>
      <c r="F299" s="5">
        <v>231598856515</v>
      </c>
      <c r="G299" s="5">
        <v>93957100748</v>
      </c>
      <c r="H299" s="5">
        <v>137641755767</v>
      </c>
      <c r="I299" s="6">
        <v>140755754028</v>
      </c>
    </row>
    <row r="300" spans="4:9" ht="16" thickBot="1" x14ac:dyDescent="0.25">
      <c r="D300" s="2" t="s">
        <v>19</v>
      </c>
      <c r="E300" s="4">
        <v>45859</v>
      </c>
      <c r="F300" s="5">
        <v>231312543600</v>
      </c>
      <c r="G300" s="5">
        <v>93716686393</v>
      </c>
      <c r="H300" s="5">
        <v>137595857207</v>
      </c>
      <c r="I300" s="6">
        <v>140275844615</v>
      </c>
    </row>
    <row r="301" spans="4:9" ht="16" thickBot="1" x14ac:dyDescent="0.25">
      <c r="D301" s="2" t="s">
        <v>19</v>
      </c>
      <c r="E301" s="4">
        <v>45860</v>
      </c>
      <c r="F301" s="5">
        <v>237869709925</v>
      </c>
      <c r="G301" s="5">
        <v>94552237479</v>
      </c>
      <c r="H301" s="5">
        <v>143317472446</v>
      </c>
      <c r="I301" s="6">
        <v>146653244153</v>
      </c>
    </row>
    <row r="302" spans="4:9" ht="16" thickBot="1" x14ac:dyDescent="0.25">
      <c r="D302" s="2" t="s">
        <v>19</v>
      </c>
      <c r="E302" s="4">
        <v>45861</v>
      </c>
      <c r="F302" s="5">
        <v>247380705159</v>
      </c>
      <c r="G302" s="5">
        <v>94585699884</v>
      </c>
      <c r="H302" s="5">
        <v>152795005275</v>
      </c>
      <c r="I302" s="6">
        <v>155986325047</v>
      </c>
    </row>
    <row r="303" spans="4:9" ht="16" thickBot="1" x14ac:dyDescent="0.25">
      <c r="D303" s="2" t="s">
        <v>19</v>
      </c>
      <c r="E303" s="4">
        <v>45862</v>
      </c>
      <c r="F303" s="5">
        <v>254669244065</v>
      </c>
      <c r="G303" s="5">
        <v>94757678686</v>
      </c>
      <c r="H303" s="5">
        <v>159911565379</v>
      </c>
      <c r="I303" s="6">
        <v>163337423169</v>
      </c>
    </row>
    <row r="304" spans="4:9" ht="16" thickBot="1" x14ac:dyDescent="0.25">
      <c r="D304" s="2" t="s">
        <v>19</v>
      </c>
      <c r="E304" s="4">
        <v>45863</v>
      </c>
      <c r="F304" s="5">
        <v>260528859404</v>
      </c>
      <c r="G304" s="5">
        <v>94861283420</v>
      </c>
      <c r="H304" s="5">
        <v>165667575984</v>
      </c>
      <c r="I304" s="6">
        <v>168673608181</v>
      </c>
    </row>
    <row r="305" spans="4:9" ht="16" thickBot="1" x14ac:dyDescent="0.25">
      <c r="D305" s="2" t="s">
        <v>19</v>
      </c>
      <c r="E305" s="4">
        <v>45864</v>
      </c>
      <c r="F305" s="5">
        <v>265454061252</v>
      </c>
      <c r="G305" s="5">
        <v>95171044895</v>
      </c>
      <c r="H305" s="5">
        <v>170283016357</v>
      </c>
      <c r="I305" s="6">
        <v>173386044174</v>
      </c>
    </row>
    <row r="306" spans="4:9" ht="16" thickBot="1" x14ac:dyDescent="0.25">
      <c r="D306" s="2" t="s">
        <v>19</v>
      </c>
      <c r="E306" s="4">
        <v>45865</v>
      </c>
      <c r="F306" s="5">
        <v>270064229168</v>
      </c>
      <c r="G306" s="5">
        <v>95514978358</v>
      </c>
      <c r="H306" s="5">
        <v>174549250810</v>
      </c>
      <c r="I306" s="6">
        <v>177823574666</v>
      </c>
    </row>
    <row r="307" spans="4:9" ht="16" thickBot="1" x14ac:dyDescent="0.25">
      <c r="D307" s="2" t="s">
        <v>19</v>
      </c>
      <c r="E307" s="4">
        <v>45866</v>
      </c>
      <c r="F307" s="5">
        <v>275168027447</v>
      </c>
      <c r="G307" s="5">
        <v>95248731465</v>
      </c>
      <c r="H307" s="5">
        <v>179919295982</v>
      </c>
      <c r="I307" s="6">
        <v>182807122718</v>
      </c>
    </row>
    <row r="308" spans="4:9" ht="16" thickBot="1" x14ac:dyDescent="0.25">
      <c r="D308" s="2" t="s">
        <v>19</v>
      </c>
      <c r="E308" s="4">
        <v>45867</v>
      </c>
      <c r="F308" s="5">
        <v>279611582107</v>
      </c>
      <c r="G308" s="5">
        <v>95934990467</v>
      </c>
      <c r="H308" s="5">
        <v>183676591640</v>
      </c>
      <c r="I308" s="6">
        <v>187037306111</v>
      </c>
    </row>
    <row r="309" spans="4:9" ht="16" thickBot="1" x14ac:dyDescent="0.25">
      <c r="D309" s="2" t="s">
        <v>19</v>
      </c>
      <c r="E309" s="4">
        <v>45868</v>
      </c>
      <c r="F309" s="5">
        <v>282455970181</v>
      </c>
      <c r="G309" s="5">
        <v>96123109680</v>
      </c>
      <c r="H309" s="5">
        <v>186332860501</v>
      </c>
      <c r="I309" s="6">
        <v>189699207941</v>
      </c>
    </row>
    <row r="310" spans="4:9" ht="16" thickBot="1" x14ac:dyDescent="0.25">
      <c r="D310" s="2" t="s">
        <v>19</v>
      </c>
      <c r="E310" s="4">
        <v>45869</v>
      </c>
      <c r="F310" s="5">
        <v>283932806264</v>
      </c>
      <c r="G310" s="5">
        <v>96279109881</v>
      </c>
      <c r="H310" s="5">
        <v>187653696383</v>
      </c>
      <c r="I310" s="6">
        <v>191232278479</v>
      </c>
    </row>
    <row r="311" spans="4:9" ht="16" thickBot="1" x14ac:dyDescent="0.25">
      <c r="D311" s="2" t="s">
        <v>19</v>
      </c>
      <c r="E311" s="4">
        <v>45870</v>
      </c>
      <c r="F311" s="5">
        <v>288065819178</v>
      </c>
      <c r="G311" s="5">
        <v>96488377799</v>
      </c>
      <c r="H311" s="5">
        <v>191577441379</v>
      </c>
      <c r="I311" s="6">
        <v>194858063681</v>
      </c>
    </row>
    <row r="312" spans="4:9" ht="16" thickBot="1" x14ac:dyDescent="0.25">
      <c r="D312" s="2" t="s">
        <v>19</v>
      </c>
      <c r="E312" s="4">
        <v>45871</v>
      </c>
      <c r="F312" s="5">
        <v>291854511579</v>
      </c>
      <c r="G312" s="5">
        <v>96762351757</v>
      </c>
      <c r="H312" s="5">
        <v>195092159822</v>
      </c>
      <c r="I312" s="6">
        <v>198422941710</v>
      </c>
    </row>
    <row r="313" spans="4:9" ht="16" thickBot="1" x14ac:dyDescent="0.25">
      <c r="D313" s="2" t="s">
        <v>19</v>
      </c>
      <c r="E313" s="4">
        <v>45872</v>
      </c>
      <c r="F313" s="5">
        <v>295586398460</v>
      </c>
      <c r="G313" s="5">
        <v>97064771587</v>
      </c>
      <c r="H313" s="5">
        <v>198521626873</v>
      </c>
      <c r="I313" s="6">
        <v>201923936155</v>
      </c>
    </row>
    <row r="314" spans="4:9" ht="16" thickBot="1" x14ac:dyDescent="0.25">
      <c r="D314" s="2" t="s">
        <v>19</v>
      </c>
      <c r="E314" s="4">
        <v>45873</v>
      </c>
      <c r="F314" s="5">
        <v>298616353289</v>
      </c>
      <c r="G314" s="5">
        <v>96849955529</v>
      </c>
      <c r="H314" s="5">
        <v>201766397760</v>
      </c>
      <c r="I314" s="6">
        <v>204790523257</v>
      </c>
    </row>
    <row r="315" spans="4:9" ht="16" thickBot="1" x14ac:dyDescent="0.25">
      <c r="D315" s="2" t="s">
        <v>19</v>
      </c>
      <c r="E315" s="4">
        <v>45874</v>
      </c>
      <c r="F315" s="5">
        <v>301189147434</v>
      </c>
      <c r="G315" s="5">
        <v>97649085081</v>
      </c>
      <c r="H315" s="5">
        <v>203540062353</v>
      </c>
      <c r="I315" s="6">
        <v>207111568901</v>
      </c>
    </row>
    <row r="316" spans="4:9" ht="16" thickBot="1" x14ac:dyDescent="0.25">
      <c r="D316" s="2" t="s">
        <v>19</v>
      </c>
      <c r="E316" s="4">
        <v>45875</v>
      </c>
      <c r="F316" s="5">
        <v>303716121811</v>
      </c>
      <c r="G316" s="5">
        <v>97699620657</v>
      </c>
      <c r="H316" s="5">
        <v>206016501154</v>
      </c>
      <c r="I316" s="6">
        <v>209419482748</v>
      </c>
    </row>
    <row r="317" spans="4:9" ht="16" thickBot="1" x14ac:dyDescent="0.25">
      <c r="D317" s="2" t="s">
        <v>19</v>
      </c>
      <c r="E317" s="4">
        <v>45876</v>
      </c>
      <c r="F317" s="5">
        <v>305549558923</v>
      </c>
      <c r="G317" s="5">
        <v>97917352630</v>
      </c>
      <c r="H317" s="5">
        <v>207632206293</v>
      </c>
      <c r="I317" s="6">
        <v>211336651243</v>
      </c>
    </row>
    <row r="318" spans="4:9" ht="16" thickBot="1" x14ac:dyDescent="0.25">
      <c r="D318" s="2" t="s">
        <v>19</v>
      </c>
      <c r="E318" s="4">
        <v>45877</v>
      </c>
      <c r="F318" s="5">
        <v>305724228961</v>
      </c>
      <c r="G318" s="5">
        <v>97991458901</v>
      </c>
      <c r="H318" s="5">
        <v>207732770060</v>
      </c>
      <c r="I318" s="6">
        <v>211088405364</v>
      </c>
    </row>
    <row r="319" spans="4:9" ht="16" thickBot="1" x14ac:dyDescent="0.25">
      <c r="D319" s="2" t="s">
        <v>19</v>
      </c>
      <c r="E319" s="4">
        <v>45878</v>
      </c>
      <c r="F319" s="5">
        <v>307959706416</v>
      </c>
      <c r="G319" s="5">
        <v>98050493681</v>
      </c>
      <c r="H319" s="5">
        <v>209909212735</v>
      </c>
      <c r="I319" s="6">
        <v>213139052356</v>
      </c>
    </row>
    <row r="320" spans="4:9" ht="16" thickBot="1" x14ac:dyDescent="0.25">
      <c r="D320" s="2" t="s">
        <v>19</v>
      </c>
      <c r="E320" s="4">
        <v>45879</v>
      </c>
      <c r="F320" s="5">
        <v>311162133902</v>
      </c>
      <c r="G320" s="5">
        <v>98357226642</v>
      </c>
      <c r="H320" s="5">
        <v>212804907260</v>
      </c>
      <c r="I320" s="6">
        <v>216176077972</v>
      </c>
    </row>
    <row r="321" spans="4:9" ht="16" thickBot="1" x14ac:dyDescent="0.25">
      <c r="D321" s="2" t="s">
        <v>19</v>
      </c>
      <c r="E321" s="4">
        <v>45880</v>
      </c>
      <c r="F321" s="5">
        <v>311682909649</v>
      </c>
      <c r="G321" s="5">
        <v>97908397298</v>
      </c>
      <c r="H321" s="5">
        <v>213774512351</v>
      </c>
      <c r="I321" s="6">
        <v>216567905437</v>
      </c>
    </row>
    <row r="322" spans="4:9" ht="16" thickBot="1" x14ac:dyDescent="0.25">
      <c r="D322" s="2" t="s">
        <v>19</v>
      </c>
      <c r="E322" s="4">
        <v>45881</v>
      </c>
      <c r="F322" s="5">
        <v>312973197010</v>
      </c>
      <c r="G322" s="5">
        <v>98646491698</v>
      </c>
      <c r="H322" s="5">
        <v>214326705312</v>
      </c>
      <c r="I322" s="6">
        <v>217668634226</v>
      </c>
    </row>
    <row r="323" spans="4:9" ht="16" thickBot="1" x14ac:dyDescent="0.25">
      <c r="D323" s="2" t="s">
        <v>19</v>
      </c>
      <c r="E323" s="4">
        <v>45882</v>
      </c>
      <c r="F323" s="5">
        <v>314790246347</v>
      </c>
      <c r="G323" s="5">
        <v>98863396934</v>
      </c>
      <c r="H323" s="5">
        <v>215926849413</v>
      </c>
      <c r="I323" s="6">
        <v>219333259242</v>
      </c>
    </row>
    <row r="324" spans="4:9" ht="16" thickBot="1" x14ac:dyDescent="0.25">
      <c r="D324" s="2" t="s">
        <v>19</v>
      </c>
      <c r="E324" s="4">
        <v>45883</v>
      </c>
      <c r="F324" s="5">
        <v>316462331808</v>
      </c>
      <c r="G324" s="5">
        <v>99100611698</v>
      </c>
      <c r="H324" s="5">
        <v>217361720110</v>
      </c>
      <c r="I324" s="6">
        <v>221090788840</v>
      </c>
    </row>
    <row r="325" spans="4:9" ht="16" thickBot="1" x14ac:dyDescent="0.25">
      <c r="D325" s="2" t="s">
        <v>19</v>
      </c>
      <c r="E325" s="4">
        <v>45884</v>
      </c>
      <c r="F325" s="5">
        <v>316972414929</v>
      </c>
      <c r="G325" s="5">
        <v>99318514739</v>
      </c>
      <c r="H325" s="5">
        <v>217653900190</v>
      </c>
      <c r="I325" s="6">
        <v>221173005767</v>
      </c>
    </row>
    <row r="326" spans="4:9" ht="16" thickBot="1" x14ac:dyDescent="0.25">
      <c r="D326" s="2" t="s">
        <v>19</v>
      </c>
      <c r="E326" s="4">
        <v>45885</v>
      </c>
      <c r="F326" s="5">
        <v>319625610759</v>
      </c>
      <c r="G326" s="5">
        <v>99615982554</v>
      </c>
      <c r="H326" s="5">
        <v>220009628205</v>
      </c>
      <c r="I326" s="6">
        <v>223715014820</v>
      </c>
    </row>
    <row r="327" spans="4:9" ht="16" thickBot="1" x14ac:dyDescent="0.25">
      <c r="D327" s="2" t="s">
        <v>19</v>
      </c>
      <c r="E327" s="4">
        <v>45886</v>
      </c>
      <c r="F327" s="5">
        <v>322373309402</v>
      </c>
      <c r="G327" s="5">
        <v>99950353875</v>
      </c>
      <c r="H327" s="5">
        <v>222422955527</v>
      </c>
      <c r="I327" s="6">
        <v>226203398714</v>
      </c>
    </row>
    <row r="328" spans="4:9" ht="16" thickBot="1" x14ac:dyDescent="0.25">
      <c r="D328" s="2" t="s">
        <v>19</v>
      </c>
      <c r="E328" s="4">
        <v>45887</v>
      </c>
      <c r="F328" s="5">
        <v>323868210775</v>
      </c>
      <c r="G328" s="5">
        <v>99675143474</v>
      </c>
      <c r="H328" s="5">
        <v>224193067301</v>
      </c>
      <c r="I328" s="6">
        <v>227535396495</v>
      </c>
    </row>
    <row r="329" spans="4:9" ht="16" thickBot="1" x14ac:dyDescent="0.25">
      <c r="D329" s="2" t="s">
        <v>19</v>
      </c>
      <c r="E329" s="4">
        <v>45888</v>
      </c>
      <c r="F329" s="5">
        <v>325123677031</v>
      </c>
      <c r="G329" s="5">
        <v>100436677090</v>
      </c>
      <c r="H329" s="5">
        <v>224686999941</v>
      </c>
      <c r="I329" s="6">
        <v>228626165166</v>
      </c>
    </row>
    <row r="330" spans="4:9" ht="16" thickBot="1" x14ac:dyDescent="0.25">
      <c r="D330" s="2" t="s">
        <v>19</v>
      </c>
      <c r="E330" s="4">
        <v>45889</v>
      </c>
      <c r="F330" s="5">
        <v>326259215389</v>
      </c>
      <c r="G330" s="5">
        <v>100748784679</v>
      </c>
      <c r="H330" s="5">
        <v>225510430710</v>
      </c>
      <c r="I330" s="6">
        <v>229563245522</v>
      </c>
    </row>
    <row r="331" spans="4:9" ht="16" thickBot="1" x14ac:dyDescent="0.25">
      <c r="D331" s="2" t="s">
        <v>19</v>
      </c>
      <c r="E331" s="4">
        <v>45890</v>
      </c>
      <c r="F331" s="5">
        <v>326456021472</v>
      </c>
      <c r="G331" s="5">
        <v>100890052766</v>
      </c>
      <c r="H331" s="5">
        <v>225565968706</v>
      </c>
      <c r="I331" s="6">
        <v>229867721991</v>
      </c>
    </row>
    <row r="332" spans="4:9" ht="16" thickBot="1" x14ac:dyDescent="0.25">
      <c r="D332" s="2" t="s">
        <v>19</v>
      </c>
      <c r="E332" s="4">
        <v>45891</v>
      </c>
      <c r="F332" s="5">
        <v>326768231317</v>
      </c>
      <c r="G332" s="5">
        <v>102332515128</v>
      </c>
      <c r="H332" s="5">
        <v>224435716189</v>
      </c>
      <c r="I332" s="6">
        <v>229674939829</v>
      </c>
    </row>
    <row r="333" spans="4:9" ht="16" thickBot="1" x14ac:dyDescent="0.25">
      <c r="D333" s="2" t="s">
        <v>19</v>
      </c>
      <c r="E333" s="4">
        <v>45892</v>
      </c>
      <c r="F333" s="5">
        <v>329368388122</v>
      </c>
      <c r="G333" s="5">
        <v>104369072433</v>
      </c>
      <c r="H333" s="5">
        <v>224999315689</v>
      </c>
      <c r="I333" s="6">
        <v>232027710952</v>
      </c>
    </row>
    <row r="334" spans="4:9" ht="16" thickBot="1" x14ac:dyDescent="0.25">
      <c r="D334" s="2" t="s">
        <v>19</v>
      </c>
      <c r="E334" s="4">
        <v>45893</v>
      </c>
      <c r="F334" s="5">
        <v>331881858608</v>
      </c>
      <c r="G334" s="5">
        <v>105667737034</v>
      </c>
      <c r="H334" s="5">
        <v>226214121574</v>
      </c>
      <c r="I334" s="6">
        <v>234301516747</v>
      </c>
    </row>
    <row r="335" spans="4:9" ht="16" thickBot="1" x14ac:dyDescent="0.25">
      <c r="D335" s="2" t="s">
        <v>19</v>
      </c>
      <c r="E335" s="4">
        <v>45894</v>
      </c>
      <c r="F335" s="5">
        <v>333588025314</v>
      </c>
      <c r="G335" s="5">
        <v>106120207630</v>
      </c>
      <c r="H335" s="5">
        <v>227467817684</v>
      </c>
      <c r="I335" s="6">
        <v>235654093537</v>
      </c>
    </row>
    <row r="336" spans="4:9" ht="16" thickBot="1" x14ac:dyDescent="0.25">
      <c r="D336" s="2" t="s">
        <v>19</v>
      </c>
      <c r="E336" s="4">
        <v>45895</v>
      </c>
      <c r="F336" s="5">
        <v>335901682178</v>
      </c>
      <c r="G336" s="5">
        <v>107531803288</v>
      </c>
      <c r="H336" s="5">
        <v>228369878890</v>
      </c>
      <c r="I336" s="6">
        <v>237690738719</v>
      </c>
    </row>
    <row r="337" spans="4:9" ht="16" thickBot="1" x14ac:dyDescent="0.25">
      <c r="D337" s="2" t="s">
        <v>19</v>
      </c>
      <c r="E337" s="4">
        <v>45896</v>
      </c>
      <c r="F337" s="5">
        <v>338125939879</v>
      </c>
      <c r="G337" s="5">
        <v>108147124157</v>
      </c>
      <c r="H337" s="5">
        <v>229978815722</v>
      </c>
      <c r="I337" s="6">
        <v>239612152401</v>
      </c>
    </row>
    <row r="338" spans="4:9" ht="16" thickBot="1" x14ac:dyDescent="0.25">
      <c r="D338" s="2" t="s">
        <v>19</v>
      </c>
      <c r="E338" s="4">
        <v>45897</v>
      </c>
      <c r="F338" s="5">
        <v>340330870526</v>
      </c>
      <c r="G338" s="5">
        <v>108881504204</v>
      </c>
      <c r="H338" s="5">
        <v>231449366322</v>
      </c>
      <c r="I338" s="6">
        <v>241879249309</v>
      </c>
    </row>
    <row r="339" spans="4:9" ht="16" thickBot="1" x14ac:dyDescent="0.25">
      <c r="D339" s="2" t="s">
        <v>19</v>
      </c>
      <c r="E339" s="4">
        <v>45898</v>
      </c>
      <c r="F339" s="5">
        <v>341830206594</v>
      </c>
      <c r="G339" s="5">
        <v>109377696537</v>
      </c>
      <c r="H339" s="5">
        <v>232452510057</v>
      </c>
      <c r="I339" s="6">
        <v>242827910431</v>
      </c>
    </row>
    <row r="340" spans="4:9" ht="16" thickBot="1" x14ac:dyDescent="0.25">
      <c r="D340" s="2" t="s">
        <v>19</v>
      </c>
      <c r="E340" s="4">
        <v>45899</v>
      </c>
      <c r="F340" s="5">
        <v>344289252358</v>
      </c>
      <c r="G340" s="5">
        <v>109895360939</v>
      </c>
      <c r="H340" s="5">
        <v>234393891419</v>
      </c>
      <c r="I340" s="6">
        <v>244996069132</v>
      </c>
    </row>
    <row r="341" spans="4:9" ht="16" thickBot="1" x14ac:dyDescent="0.25">
      <c r="D341" s="2" t="s">
        <v>19</v>
      </c>
      <c r="E341" s="4">
        <v>45900</v>
      </c>
      <c r="F341" s="5">
        <v>347507295310</v>
      </c>
      <c r="G341" s="5">
        <v>110398509935</v>
      </c>
      <c r="H341" s="5">
        <v>237108785375</v>
      </c>
      <c r="I341" s="6">
        <v>247902406282</v>
      </c>
    </row>
    <row r="342" spans="4:9" ht="16" thickBot="1" x14ac:dyDescent="0.25">
      <c r="D342" s="2" t="s">
        <v>19</v>
      </c>
      <c r="E342" s="4">
        <v>45901</v>
      </c>
      <c r="F342" s="5">
        <v>350619139785</v>
      </c>
      <c r="G342" s="5">
        <v>110603956308</v>
      </c>
      <c r="H342" s="5">
        <v>240015183477</v>
      </c>
      <c r="I342" s="6">
        <v>249816497905</v>
      </c>
    </row>
    <row r="343" spans="4:9" ht="16" thickBot="1" x14ac:dyDescent="0.25">
      <c r="D343" s="2" t="s">
        <v>19</v>
      </c>
      <c r="E343" s="4">
        <v>45902</v>
      </c>
      <c r="F343" s="5">
        <v>353377188016</v>
      </c>
      <c r="G343" s="5">
        <v>110344660381</v>
      </c>
      <c r="H343" s="5">
        <v>243032527635</v>
      </c>
      <c r="I343" s="6">
        <v>250889071438</v>
      </c>
    </row>
    <row r="344" spans="4:9" ht="16" thickBot="1" x14ac:dyDescent="0.25">
      <c r="D344" s="2" t="s">
        <v>19</v>
      </c>
      <c r="E344" s="4">
        <v>45903</v>
      </c>
      <c r="F344" s="5">
        <v>354165774592</v>
      </c>
      <c r="G344" s="5">
        <v>109926329981</v>
      </c>
      <c r="H344" s="5">
        <v>244239444611</v>
      </c>
      <c r="I344" s="6">
        <v>250716633304</v>
      </c>
    </row>
    <row r="345" spans="4:9" ht="16" thickBot="1" x14ac:dyDescent="0.25">
      <c r="D345" s="2" t="s">
        <v>19</v>
      </c>
      <c r="E345" s="4">
        <v>45904</v>
      </c>
      <c r="F345" s="5">
        <v>357550595033</v>
      </c>
      <c r="G345" s="5">
        <v>113225945004</v>
      </c>
      <c r="H345" s="5">
        <v>244324650029</v>
      </c>
      <c r="I345" s="6">
        <v>253556110955</v>
      </c>
    </row>
    <row r="346" spans="4:9" ht="16" thickBot="1" x14ac:dyDescent="0.25">
      <c r="D346" s="2" t="s">
        <v>19</v>
      </c>
      <c r="E346" s="4">
        <v>45905</v>
      </c>
      <c r="F346" s="5">
        <v>360815894271</v>
      </c>
      <c r="G346" s="5">
        <v>113406904293</v>
      </c>
      <c r="H346" s="5">
        <v>247408989978</v>
      </c>
      <c r="I346" s="6">
        <v>255736846098</v>
      </c>
    </row>
    <row r="347" spans="4:9" ht="16" thickBot="1" x14ac:dyDescent="0.25">
      <c r="D347" s="2" t="s">
        <v>19</v>
      </c>
      <c r="E347" s="4">
        <v>45906</v>
      </c>
      <c r="F347" s="5">
        <v>364439319243</v>
      </c>
      <c r="G347" s="5">
        <v>113756159861</v>
      </c>
      <c r="H347" s="5">
        <v>250683159382</v>
      </c>
      <c r="I347" s="6">
        <v>258750838135</v>
      </c>
    </row>
    <row r="348" spans="4:9" ht="16" thickBot="1" x14ac:dyDescent="0.25">
      <c r="D348" s="2" t="s">
        <v>19</v>
      </c>
      <c r="E348" s="4">
        <v>45907</v>
      </c>
      <c r="F348" s="5">
        <v>368790138677</v>
      </c>
      <c r="G348" s="5">
        <v>114273633252</v>
      </c>
      <c r="H348" s="5">
        <v>254516505425</v>
      </c>
      <c r="I348" s="6">
        <v>262376425930</v>
      </c>
    </row>
    <row r="349" spans="4:9" ht="16" thickBot="1" x14ac:dyDescent="0.25">
      <c r="D349" s="2" t="s">
        <v>19</v>
      </c>
      <c r="E349" s="4">
        <v>45908</v>
      </c>
      <c r="F349" s="5">
        <v>371754762005</v>
      </c>
      <c r="G349" s="5">
        <v>113993594052</v>
      </c>
      <c r="H349" s="5">
        <v>257761167953</v>
      </c>
      <c r="I349" s="6">
        <v>264790787936</v>
      </c>
    </row>
    <row r="350" spans="4:9" ht="16" thickBot="1" x14ac:dyDescent="0.25">
      <c r="D350" s="2" t="s">
        <v>19</v>
      </c>
      <c r="E350" s="4">
        <v>45909</v>
      </c>
      <c r="F350" s="5">
        <v>376973633789</v>
      </c>
      <c r="G350" s="5">
        <v>115219114239</v>
      </c>
      <c r="H350" s="5">
        <v>261754519550</v>
      </c>
      <c r="I350" s="6">
        <v>269514835422</v>
      </c>
    </row>
    <row r="351" spans="4:9" ht="16" thickBot="1" x14ac:dyDescent="0.25">
      <c r="D351" s="2" t="s">
        <v>19</v>
      </c>
      <c r="E351" s="4">
        <v>45910</v>
      </c>
      <c r="F351" s="5">
        <v>378914691116</v>
      </c>
      <c r="G351" s="5">
        <v>115062007084</v>
      </c>
      <c r="H351" s="5">
        <v>263852684032</v>
      </c>
      <c r="I351" s="6">
        <v>271192675911</v>
      </c>
    </row>
    <row r="352" spans="4:9" ht="16" thickBot="1" x14ac:dyDescent="0.25">
      <c r="D352" s="2" t="s">
        <v>19</v>
      </c>
      <c r="E352" s="4">
        <v>45911</v>
      </c>
      <c r="F352" s="5">
        <v>384634121836</v>
      </c>
      <c r="G352" s="5">
        <v>115250440237</v>
      </c>
      <c r="H352" s="5">
        <v>269383681599</v>
      </c>
      <c r="I352" s="6">
        <v>276776328648</v>
      </c>
    </row>
    <row r="353" spans="4:9" ht="16" thickBot="1" x14ac:dyDescent="0.25">
      <c r="D353" s="2" t="s">
        <v>19</v>
      </c>
      <c r="E353" s="4">
        <v>45912</v>
      </c>
      <c r="F353" s="5">
        <v>389663843226</v>
      </c>
      <c r="G353" s="5">
        <v>115492220079</v>
      </c>
      <c r="H353" s="5">
        <v>274171623147</v>
      </c>
      <c r="I353" s="6">
        <v>281966378026</v>
      </c>
    </row>
    <row r="354" spans="4:9" ht="16" thickBot="1" x14ac:dyDescent="0.25">
      <c r="D354" s="2" t="s">
        <v>19</v>
      </c>
      <c r="E354" s="4">
        <v>45913</v>
      </c>
      <c r="F354" s="5">
        <v>395700857241</v>
      </c>
      <c r="G354" s="5">
        <v>115950371999</v>
      </c>
      <c r="H354" s="5">
        <v>279750485242</v>
      </c>
      <c r="I354" s="6">
        <v>288126752188</v>
      </c>
    </row>
    <row r="355" spans="4:9" ht="16" thickBot="1" x14ac:dyDescent="0.25">
      <c r="D355" s="2" t="s">
        <v>19</v>
      </c>
      <c r="E355" s="4">
        <v>45914</v>
      </c>
      <c r="F355" s="5">
        <v>402816890680</v>
      </c>
      <c r="G355" s="5">
        <v>116449762303</v>
      </c>
      <c r="H355" s="5">
        <v>286367128377</v>
      </c>
      <c r="I355" s="6">
        <v>293201832413</v>
      </c>
    </row>
    <row r="356" spans="4:9" ht="16" thickBot="1" x14ac:dyDescent="0.25">
      <c r="D356" s="2" t="s">
        <v>19</v>
      </c>
      <c r="E356" s="4">
        <v>45915</v>
      </c>
      <c r="F356" s="5">
        <v>407099565079</v>
      </c>
      <c r="G356" s="5">
        <v>116100986239</v>
      </c>
      <c r="H356" s="5">
        <v>290998578840</v>
      </c>
      <c r="I356" s="6">
        <v>297081201007</v>
      </c>
    </row>
    <row r="357" spans="4:9" ht="16" thickBot="1" x14ac:dyDescent="0.25">
      <c r="D357" s="2" t="s">
        <v>19</v>
      </c>
      <c r="E357" s="4">
        <v>45916</v>
      </c>
      <c r="F357" s="5">
        <v>412570631288</v>
      </c>
      <c r="G357" s="5">
        <v>117151739393</v>
      </c>
      <c r="H357" s="5">
        <v>295418891895</v>
      </c>
      <c r="I357" s="6">
        <v>302163557117</v>
      </c>
    </row>
    <row r="358" spans="4:9" ht="16" thickBot="1" x14ac:dyDescent="0.25">
      <c r="D358" s="2" t="s">
        <v>19</v>
      </c>
      <c r="E358" s="4">
        <v>45917</v>
      </c>
      <c r="F358" s="5">
        <v>418611203996</v>
      </c>
      <c r="G358" s="5">
        <v>117359357445</v>
      </c>
      <c r="H358" s="5">
        <v>301251846551</v>
      </c>
      <c r="I358" s="6">
        <v>307806473809</v>
      </c>
    </row>
    <row r="359" spans="4:9" ht="16" thickBot="1" x14ac:dyDescent="0.25">
      <c r="D359" s="2" t="s">
        <v>19</v>
      </c>
      <c r="E359" s="4">
        <v>45918</v>
      </c>
      <c r="F359" s="5">
        <v>425915464064</v>
      </c>
      <c r="G359" s="5">
        <v>117938999119</v>
      </c>
      <c r="H359" s="5">
        <v>307976464945</v>
      </c>
      <c r="I359" s="6">
        <v>314973432780</v>
      </c>
    </row>
    <row r="360" spans="4:9" ht="16" thickBot="1" x14ac:dyDescent="0.25">
      <c r="D360" s="2" t="s">
        <v>19</v>
      </c>
      <c r="E360" s="4">
        <v>45919</v>
      </c>
      <c r="F360" s="5">
        <v>431676610576</v>
      </c>
      <c r="G360" s="5">
        <v>118338104494</v>
      </c>
      <c r="H360" s="5">
        <v>313338506082</v>
      </c>
      <c r="I360" s="6">
        <v>319995244980</v>
      </c>
    </row>
    <row r="361" spans="4:9" ht="16" thickBot="1" x14ac:dyDescent="0.25">
      <c r="D361" s="2" t="s">
        <v>19</v>
      </c>
      <c r="E361" s="4">
        <v>45920</v>
      </c>
      <c r="F361" s="5">
        <v>438292808092</v>
      </c>
      <c r="G361" s="5">
        <v>118952155884</v>
      </c>
      <c r="H361" s="5">
        <v>319340652208</v>
      </c>
      <c r="I361" s="6">
        <v>326211143749</v>
      </c>
    </row>
    <row r="362" spans="4:9" ht="16" thickBot="1" x14ac:dyDescent="0.25">
      <c r="D362" s="2" t="s">
        <v>19</v>
      </c>
      <c r="E362" s="4">
        <v>45921</v>
      </c>
      <c r="F362" s="5">
        <v>444769824826</v>
      </c>
      <c r="G362" s="5">
        <v>119703178146</v>
      </c>
      <c r="H362" s="5">
        <v>325066646680</v>
      </c>
      <c r="I362" s="6">
        <v>332263729075</v>
      </c>
    </row>
    <row r="363" spans="4:9" ht="16" thickBot="1" x14ac:dyDescent="0.25">
      <c r="D363" s="2" t="s">
        <v>19</v>
      </c>
      <c r="E363" s="4">
        <v>45922</v>
      </c>
      <c r="F363" s="5">
        <v>450387883156</v>
      </c>
      <c r="G363" s="5">
        <v>119598317556</v>
      </c>
      <c r="H363" s="5">
        <v>330789565600</v>
      </c>
      <c r="I363" s="6">
        <v>337441784816</v>
      </c>
    </row>
    <row r="364" spans="4:9" ht="16" thickBot="1" x14ac:dyDescent="0.25">
      <c r="D364" s="2" t="s">
        <v>19</v>
      </c>
      <c r="E364" s="4">
        <v>45923</v>
      </c>
      <c r="F364" s="5">
        <v>456229937384</v>
      </c>
      <c r="G364" s="5">
        <v>120680453276</v>
      </c>
      <c r="H364" s="5">
        <v>335549484108</v>
      </c>
      <c r="I364" s="6">
        <v>342933077389</v>
      </c>
    </row>
    <row r="365" spans="4:9" ht="16" thickBot="1" x14ac:dyDescent="0.25">
      <c r="D365" s="2" t="s">
        <v>19</v>
      </c>
      <c r="E365" s="4">
        <v>45924</v>
      </c>
      <c r="F365" s="5">
        <v>461233249832</v>
      </c>
      <c r="G365" s="5">
        <v>121013663497</v>
      </c>
      <c r="H365" s="5">
        <v>340219586335</v>
      </c>
      <c r="I365" s="6">
        <v>347547521518</v>
      </c>
    </row>
    <row r="366" spans="4:9" ht="16" thickBot="1" x14ac:dyDescent="0.25">
      <c r="D366" s="2" t="s">
        <v>19</v>
      </c>
      <c r="E366" s="4">
        <v>45925</v>
      </c>
      <c r="F366" s="5">
        <v>466874766872</v>
      </c>
      <c r="G366" s="5">
        <v>121329148582</v>
      </c>
      <c r="H366" s="5">
        <v>345545618290</v>
      </c>
      <c r="I366" s="6">
        <v>353107707696</v>
      </c>
    </row>
    <row r="367" spans="4:9" ht="16" thickBot="1" x14ac:dyDescent="0.25">
      <c r="D367" s="2" t="s">
        <v>19</v>
      </c>
      <c r="E367" s="4">
        <v>45926</v>
      </c>
      <c r="F367" s="5">
        <v>472692045381</v>
      </c>
      <c r="G367" s="5">
        <v>121823187577</v>
      </c>
      <c r="H367" s="5">
        <v>350868857804</v>
      </c>
      <c r="I367" s="6">
        <v>358147195605</v>
      </c>
    </row>
    <row r="368" spans="4:9" ht="16" thickBot="1" x14ac:dyDescent="0.25">
      <c r="D368" s="2" t="s">
        <v>19</v>
      </c>
      <c r="E368" s="4">
        <v>45927</v>
      </c>
      <c r="F368" s="5">
        <v>479188467863</v>
      </c>
      <c r="G368" s="5">
        <v>122441639015</v>
      </c>
      <c r="H368" s="5">
        <v>356746828848</v>
      </c>
      <c r="I368" s="6">
        <v>364204909524</v>
      </c>
    </row>
    <row r="369" spans="4:9" ht="16" thickBot="1" x14ac:dyDescent="0.25">
      <c r="D369" s="2" t="s">
        <v>19</v>
      </c>
      <c r="E369" s="4">
        <v>45928</v>
      </c>
      <c r="F369" s="5">
        <v>485617455689</v>
      </c>
      <c r="G369" s="5">
        <v>123269256033</v>
      </c>
      <c r="H369" s="5">
        <v>362348199656</v>
      </c>
      <c r="I369" s="6">
        <v>370149656248</v>
      </c>
    </row>
    <row r="370" spans="4:9" ht="16" thickBot="1" x14ac:dyDescent="0.25">
      <c r="D370" s="2" t="s">
        <v>19</v>
      </c>
      <c r="E370" s="4">
        <v>45929</v>
      </c>
      <c r="F370" s="5">
        <v>490517891184</v>
      </c>
      <c r="G370" s="5">
        <v>123170618664</v>
      </c>
      <c r="H370" s="5">
        <v>367347272520</v>
      </c>
      <c r="I370" s="6">
        <v>374617190113</v>
      </c>
    </row>
    <row r="371" spans="4:9" ht="16" thickBot="1" x14ac:dyDescent="0.25">
      <c r="D371" s="2" t="s">
        <v>19</v>
      </c>
      <c r="E371" s="4">
        <v>45930</v>
      </c>
      <c r="F371" s="5">
        <v>495616165590</v>
      </c>
      <c r="G371" s="5">
        <v>124345956684</v>
      </c>
      <c r="H371" s="5">
        <v>371270208906</v>
      </c>
      <c r="I371" s="6">
        <v>379248831940</v>
      </c>
    </row>
    <row r="372" spans="4:9" ht="16" thickBot="1" x14ac:dyDescent="0.25">
      <c r="D372" s="2" t="s">
        <v>20</v>
      </c>
      <c r="E372" s="4">
        <v>45839</v>
      </c>
      <c r="F372" s="5">
        <v>72519248620</v>
      </c>
      <c r="G372" s="5">
        <v>24773870466</v>
      </c>
      <c r="H372" s="5">
        <v>47745378154</v>
      </c>
      <c r="I372" s="6">
        <v>47745378154</v>
      </c>
    </row>
    <row r="373" spans="4:9" ht="16" thickBot="1" x14ac:dyDescent="0.25">
      <c r="D373" s="2" t="s">
        <v>20</v>
      </c>
      <c r="E373" s="4">
        <v>45840</v>
      </c>
      <c r="F373" s="5">
        <v>72697374272</v>
      </c>
      <c r="G373" s="5">
        <v>24726237627</v>
      </c>
      <c r="H373" s="5">
        <v>47971136645</v>
      </c>
      <c r="I373" s="6">
        <v>47971136645</v>
      </c>
    </row>
    <row r="374" spans="4:9" ht="16" thickBot="1" x14ac:dyDescent="0.25">
      <c r="D374" s="2" t="s">
        <v>20</v>
      </c>
      <c r="E374" s="4">
        <v>45841</v>
      </c>
      <c r="F374" s="5">
        <v>72774227724</v>
      </c>
      <c r="G374" s="5">
        <v>24695539523</v>
      </c>
      <c r="H374" s="5">
        <v>48078688201</v>
      </c>
      <c r="I374" s="6">
        <v>48078688201</v>
      </c>
    </row>
    <row r="375" spans="4:9" ht="16" thickBot="1" x14ac:dyDescent="0.25">
      <c r="D375" s="2" t="s">
        <v>20</v>
      </c>
      <c r="E375" s="4">
        <v>45842</v>
      </c>
      <c r="F375" s="5">
        <v>72208379003</v>
      </c>
      <c r="G375" s="5">
        <v>24645223022</v>
      </c>
      <c r="H375" s="5">
        <v>47563155981</v>
      </c>
      <c r="I375" s="6">
        <v>47563155981</v>
      </c>
    </row>
    <row r="376" spans="4:9" ht="16" thickBot="1" x14ac:dyDescent="0.25">
      <c r="D376" s="2" t="s">
        <v>20</v>
      </c>
      <c r="E376" s="4">
        <v>45843</v>
      </c>
      <c r="F376" s="5">
        <v>70955543110</v>
      </c>
      <c r="G376" s="5">
        <v>24580918429</v>
      </c>
      <c r="H376" s="5">
        <v>46374624681</v>
      </c>
      <c r="I376" s="6">
        <v>46374624681</v>
      </c>
    </row>
    <row r="377" spans="4:9" ht="16" thickBot="1" x14ac:dyDescent="0.25">
      <c r="D377" s="2" t="s">
        <v>20</v>
      </c>
      <c r="E377" s="4">
        <v>45844</v>
      </c>
      <c r="F377" s="5">
        <v>71841058309</v>
      </c>
      <c r="G377" s="5">
        <v>33459264172</v>
      </c>
      <c r="H377" s="5">
        <v>38381794137</v>
      </c>
      <c r="I377" s="6">
        <v>47305990768</v>
      </c>
    </row>
    <row r="378" spans="4:9" ht="16" thickBot="1" x14ac:dyDescent="0.25">
      <c r="D378" s="2" t="s">
        <v>20</v>
      </c>
      <c r="E378" s="4">
        <v>45845</v>
      </c>
      <c r="F378" s="5">
        <v>72591582037</v>
      </c>
      <c r="G378" s="5">
        <v>31431474419</v>
      </c>
      <c r="H378" s="5">
        <v>41160107618</v>
      </c>
      <c r="I378" s="6">
        <v>48100506900</v>
      </c>
    </row>
    <row r="379" spans="4:9" ht="16" thickBot="1" x14ac:dyDescent="0.25">
      <c r="D379" s="2" t="s">
        <v>20</v>
      </c>
      <c r="E379" s="4">
        <v>45846</v>
      </c>
      <c r="F379" s="5">
        <v>73396058023</v>
      </c>
      <c r="G379" s="5">
        <v>30643885068</v>
      </c>
      <c r="H379" s="5">
        <v>42752172955</v>
      </c>
      <c r="I379" s="6">
        <v>48944071260</v>
      </c>
    </row>
    <row r="380" spans="4:9" ht="16" thickBot="1" x14ac:dyDescent="0.25">
      <c r="D380" s="2" t="s">
        <v>20</v>
      </c>
      <c r="E380" s="4">
        <v>45847</v>
      </c>
      <c r="F380" s="5">
        <v>74403362711</v>
      </c>
      <c r="G380" s="5">
        <v>30153692556</v>
      </c>
      <c r="H380" s="5">
        <v>44249670155</v>
      </c>
      <c r="I380" s="6">
        <v>49981220527</v>
      </c>
    </row>
    <row r="381" spans="4:9" ht="16" thickBot="1" x14ac:dyDescent="0.25">
      <c r="D381" s="2" t="s">
        <v>20</v>
      </c>
      <c r="E381" s="4">
        <v>45848</v>
      </c>
      <c r="F381" s="5">
        <v>75199827805</v>
      </c>
      <c r="G381" s="5">
        <v>29485221257</v>
      </c>
      <c r="H381" s="5">
        <v>45714606548</v>
      </c>
      <c r="I381" s="6">
        <v>50850219678</v>
      </c>
    </row>
    <row r="382" spans="4:9" ht="16" thickBot="1" x14ac:dyDescent="0.25">
      <c r="D382" s="2" t="s">
        <v>20</v>
      </c>
      <c r="E382" s="4">
        <v>45849</v>
      </c>
      <c r="F382" s="5">
        <v>75826884998</v>
      </c>
      <c r="G382" s="5">
        <v>29092099209</v>
      </c>
      <c r="H382" s="5">
        <v>46734785789</v>
      </c>
      <c r="I382" s="6">
        <v>51516167704</v>
      </c>
    </row>
    <row r="383" spans="4:9" ht="16" thickBot="1" x14ac:dyDescent="0.25">
      <c r="D383" s="2" t="s">
        <v>20</v>
      </c>
      <c r="E383" s="4">
        <v>45850</v>
      </c>
      <c r="F383" s="5">
        <v>76474348467</v>
      </c>
      <c r="G383" s="5">
        <v>28874458251</v>
      </c>
      <c r="H383" s="5">
        <v>47599890216</v>
      </c>
      <c r="I383" s="6">
        <v>52196830444</v>
      </c>
    </row>
    <row r="384" spans="4:9" ht="16" thickBot="1" x14ac:dyDescent="0.25">
      <c r="D384" s="2" t="s">
        <v>20</v>
      </c>
      <c r="E384" s="4">
        <v>45851</v>
      </c>
      <c r="F384" s="5">
        <v>77107892080</v>
      </c>
      <c r="G384" s="5">
        <v>28755657717</v>
      </c>
      <c r="H384" s="5">
        <v>48352234363</v>
      </c>
      <c r="I384" s="6">
        <v>52845456856</v>
      </c>
    </row>
    <row r="385" spans="4:9" ht="16" thickBot="1" x14ac:dyDescent="0.25">
      <c r="D385" s="2" t="s">
        <v>20</v>
      </c>
      <c r="E385" s="4">
        <v>45852</v>
      </c>
      <c r="F385" s="5">
        <v>77724715310</v>
      </c>
      <c r="G385" s="5">
        <v>28550261933</v>
      </c>
      <c r="H385" s="5">
        <v>49174453377</v>
      </c>
      <c r="I385" s="6">
        <v>53499868398</v>
      </c>
    </row>
    <row r="386" spans="4:9" ht="16" thickBot="1" x14ac:dyDescent="0.25">
      <c r="D386" s="2" t="s">
        <v>20</v>
      </c>
      <c r="E386" s="4">
        <v>45853</v>
      </c>
      <c r="F386" s="5">
        <v>78358578310</v>
      </c>
      <c r="G386" s="5">
        <v>28285523963</v>
      </c>
      <c r="H386" s="5">
        <v>50073054347</v>
      </c>
      <c r="I386" s="6">
        <v>54164304991</v>
      </c>
    </row>
    <row r="387" spans="4:9" ht="16" thickBot="1" x14ac:dyDescent="0.25">
      <c r="D387" s="2" t="s">
        <v>20</v>
      </c>
      <c r="E387" s="4">
        <v>45854</v>
      </c>
      <c r="F387" s="5">
        <v>78923396640</v>
      </c>
      <c r="G387" s="5">
        <v>28097407512</v>
      </c>
      <c r="H387" s="5">
        <v>50825989128</v>
      </c>
      <c r="I387" s="6">
        <v>50825989128</v>
      </c>
    </row>
    <row r="388" spans="4:9" ht="16" thickBot="1" x14ac:dyDescent="0.25">
      <c r="D388" s="2" t="s">
        <v>20</v>
      </c>
      <c r="E388" s="4">
        <v>45855</v>
      </c>
      <c r="F388" s="5">
        <v>79399003588</v>
      </c>
      <c r="G388" s="5">
        <v>27951671661</v>
      </c>
      <c r="H388" s="5">
        <v>51447331927</v>
      </c>
      <c r="I388" s="6">
        <v>51447331927</v>
      </c>
    </row>
    <row r="389" spans="4:9" ht="16" thickBot="1" x14ac:dyDescent="0.25">
      <c r="D389" s="2" t="s">
        <v>20</v>
      </c>
      <c r="E389" s="4">
        <v>45856</v>
      </c>
      <c r="F389" s="5">
        <v>79862791914</v>
      </c>
      <c r="G389" s="5">
        <v>27824474873</v>
      </c>
      <c r="H389" s="5">
        <v>52038317041</v>
      </c>
      <c r="I389" s="6">
        <v>52038317041</v>
      </c>
    </row>
    <row r="390" spans="4:9" ht="16" thickBot="1" x14ac:dyDescent="0.25">
      <c r="D390" s="2" t="s">
        <v>20</v>
      </c>
      <c r="E390" s="4">
        <v>45857</v>
      </c>
      <c r="F390" s="5">
        <v>80416687122</v>
      </c>
      <c r="G390" s="5">
        <v>27756513778</v>
      </c>
      <c r="H390" s="5">
        <v>52660173344</v>
      </c>
      <c r="I390" s="6">
        <v>52660173344</v>
      </c>
    </row>
    <row r="391" spans="4:9" ht="16" thickBot="1" x14ac:dyDescent="0.25">
      <c r="D391" s="2" t="s">
        <v>20</v>
      </c>
      <c r="E391" s="4">
        <v>45858</v>
      </c>
      <c r="F391" s="5">
        <v>80957303423</v>
      </c>
      <c r="G391" s="5">
        <v>27708376873</v>
      </c>
      <c r="H391" s="5">
        <v>53248926550</v>
      </c>
      <c r="I391" s="6">
        <v>53248926550</v>
      </c>
    </row>
    <row r="392" spans="4:9" ht="16" thickBot="1" x14ac:dyDescent="0.25">
      <c r="D392" s="2" t="s">
        <v>20</v>
      </c>
      <c r="E392" s="4">
        <v>45859</v>
      </c>
      <c r="F392" s="5">
        <v>81008208546</v>
      </c>
      <c r="G392" s="5">
        <v>27620638785</v>
      </c>
      <c r="H392" s="5">
        <v>53387569761</v>
      </c>
      <c r="I392" s="6">
        <v>53387569761</v>
      </c>
    </row>
    <row r="393" spans="4:9" ht="16" thickBot="1" x14ac:dyDescent="0.25">
      <c r="D393" s="2" t="s">
        <v>20</v>
      </c>
      <c r="E393" s="4">
        <v>45860</v>
      </c>
      <c r="F393" s="5">
        <v>81034993060</v>
      </c>
      <c r="G393" s="5">
        <v>27577796721</v>
      </c>
      <c r="H393" s="5">
        <v>53457196339</v>
      </c>
      <c r="I393" s="6">
        <v>53457196339</v>
      </c>
    </row>
    <row r="394" spans="4:9" ht="16" thickBot="1" x14ac:dyDescent="0.25">
      <c r="D394" s="2" t="s">
        <v>20</v>
      </c>
      <c r="E394" s="4">
        <v>45861</v>
      </c>
      <c r="F394" s="5">
        <v>81368557100</v>
      </c>
      <c r="G394" s="5">
        <v>27532805600</v>
      </c>
      <c r="H394" s="5">
        <v>53835751500</v>
      </c>
      <c r="I394" s="6">
        <v>53835751500</v>
      </c>
    </row>
    <row r="395" spans="4:9" ht="16" thickBot="1" x14ac:dyDescent="0.25">
      <c r="D395" s="2" t="s">
        <v>20</v>
      </c>
      <c r="E395" s="4">
        <v>45862</v>
      </c>
      <c r="F395" s="5">
        <v>81828002330</v>
      </c>
      <c r="G395" s="5">
        <v>27486428650</v>
      </c>
      <c r="H395" s="5">
        <v>54341573680</v>
      </c>
      <c r="I395" s="6">
        <v>54341573680</v>
      </c>
    </row>
    <row r="396" spans="4:9" ht="16" thickBot="1" x14ac:dyDescent="0.25">
      <c r="D396" s="2" t="s">
        <v>20</v>
      </c>
      <c r="E396" s="4">
        <v>45863</v>
      </c>
      <c r="F396" s="5">
        <v>82022176375</v>
      </c>
      <c r="G396" s="5">
        <v>27434467332</v>
      </c>
      <c r="H396" s="5">
        <v>54587709043</v>
      </c>
      <c r="I396" s="6">
        <v>54587709043</v>
      </c>
    </row>
    <row r="397" spans="4:9" ht="16" thickBot="1" x14ac:dyDescent="0.25">
      <c r="D397" s="2" t="s">
        <v>20</v>
      </c>
      <c r="E397" s="4">
        <v>45864</v>
      </c>
      <c r="F397" s="5">
        <v>82605107602</v>
      </c>
      <c r="G397" s="5">
        <v>27388645046</v>
      </c>
      <c r="H397" s="5">
        <v>55216462556</v>
      </c>
      <c r="I397" s="6">
        <v>55216462556</v>
      </c>
    </row>
    <row r="398" spans="4:9" ht="16" thickBot="1" x14ac:dyDescent="0.25">
      <c r="D398" s="2" t="s">
        <v>20</v>
      </c>
      <c r="E398" s="4">
        <v>45865</v>
      </c>
      <c r="F398" s="5">
        <v>83181615044</v>
      </c>
      <c r="G398" s="5">
        <v>27361966551</v>
      </c>
      <c r="H398" s="5">
        <v>55819648493</v>
      </c>
      <c r="I398" s="6">
        <v>55819648493</v>
      </c>
    </row>
    <row r="399" spans="4:9" ht="16" thickBot="1" x14ac:dyDescent="0.25">
      <c r="D399" s="2" t="s">
        <v>20</v>
      </c>
      <c r="E399" s="4">
        <v>45866</v>
      </c>
      <c r="F399" s="5">
        <v>83466411169</v>
      </c>
      <c r="G399" s="5">
        <v>27307291476</v>
      </c>
      <c r="H399" s="5">
        <v>56159119693</v>
      </c>
      <c r="I399" s="6">
        <v>56159119693</v>
      </c>
    </row>
    <row r="400" spans="4:9" ht="16" thickBot="1" x14ac:dyDescent="0.25">
      <c r="D400" s="2" t="s">
        <v>20</v>
      </c>
      <c r="E400" s="4">
        <v>45867</v>
      </c>
      <c r="F400" s="5">
        <v>83809682863</v>
      </c>
      <c r="G400" s="5">
        <v>27269040463</v>
      </c>
      <c r="H400" s="5">
        <v>56540642400</v>
      </c>
      <c r="I400" s="6">
        <v>56540642400</v>
      </c>
    </row>
    <row r="401" spans="4:9" ht="16" thickBot="1" x14ac:dyDescent="0.25">
      <c r="D401" s="2" t="s">
        <v>20</v>
      </c>
      <c r="E401" s="4">
        <v>45868</v>
      </c>
      <c r="F401" s="5">
        <v>84009071229</v>
      </c>
      <c r="G401" s="5">
        <v>27219666644</v>
      </c>
      <c r="H401" s="5">
        <v>56789404585</v>
      </c>
      <c r="I401" s="6">
        <v>56789404585</v>
      </c>
    </row>
    <row r="402" spans="4:9" ht="16" thickBot="1" x14ac:dyDescent="0.25">
      <c r="D402" s="2" t="s">
        <v>20</v>
      </c>
      <c r="E402" s="4">
        <v>45869</v>
      </c>
      <c r="F402" s="5">
        <v>84045265293</v>
      </c>
      <c r="G402" s="5">
        <v>27175608304</v>
      </c>
      <c r="H402" s="5">
        <v>56869656989</v>
      </c>
      <c r="I402" s="6">
        <v>56869656989</v>
      </c>
    </row>
    <row r="403" spans="4:9" ht="16" thickBot="1" x14ac:dyDescent="0.25">
      <c r="D403" s="2" t="s">
        <v>20</v>
      </c>
      <c r="E403" s="4">
        <v>45870</v>
      </c>
      <c r="F403" s="5">
        <v>84025419881</v>
      </c>
      <c r="G403" s="5">
        <v>27142181056</v>
      </c>
      <c r="H403" s="5">
        <v>56883238825</v>
      </c>
      <c r="I403" s="6">
        <v>56883238825</v>
      </c>
    </row>
    <row r="404" spans="4:9" ht="16" thickBot="1" x14ac:dyDescent="0.25">
      <c r="D404" s="2" t="s">
        <v>20</v>
      </c>
      <c r="E404" s="4">
        <v>45871</v>
      </c>
      <c r="F404" s="5">
        <v>84326061756</v>
      </c>
      <c r="G404" s="5">
        <v>27107607039</v>
      </c>
      <c r="H404" s="5">
        <v>57218454717</v>
      </c>
      <c r="I404" s="6">
        <v>57218454717</v>
      </c>
    </row>
    <row r="405" spans="4:9" ht="16" thickBot="1" x14ac:dyDescent="0.25">
      <c r="D405" s="2" t="s">
        <v>20</v>
      </c>
      <c r="E405" s="4">
        <v>45872</v>
      </c>
      <c r="F405" s="5">
        <v>84555739621</v>
      </c>
      <c r="G405" s="5">
        <v>27086182817</v>
      </c>
      <c r="H405" s="5">
        <v>57469556804</v>
      </c>
      <c r="I405" s="6">
        <v>57469556804</v>
      </c>
    </row>
    <row r="406" spans="4:9" ht="16" thickBot="1" x14ac:dyDescent="0.25">
      <c r="D406" s="2" t="s">
        <v>20</v>
      </c>
      <c r="E406" s="4">
        <v>45873</v>
      </c>
      <c r="F406" s="5">
        <v>83125574457</v>
      </c>
      <c r="G406" s="5">
        <v>27037888373</v>
      </c>
      <c r="H406" s="5">
        <v>56087686084</v>
      </c>
      <c r="I406" s="6">
        <v>56087686084</v>
      </c>
    </row>
    <row r="407" spans="4:9" ht="16" thickBot="1" x14ac:dyDescent="0.25">
      <c r="D407" s="2" t="s">
        <v>20</v>
      </c>
      <c r="E407" s="4">
        <v>45874</v>
      </c>
      <c r="F407" s="5">
        <v>83845842659</v>
      </c>
      <c r="G407" s="5">
        <v>36412103856</v>
      </c>
      <c r="H407" s="5">
        <v>47433738803</v>
      </c>
      <c r="I407" s="6">
        <v>56857039931</v>
      </c>
    </row>
    <row r="408" spans="4:9" ht="16" thickBot="1" x14ac:dyDescent="0.25">
      <c r="D408" s="2" t="s">
        <v>20</v>
      </c>
      <c r="E408" s="4">
        <v>45875</v>
      </c>
      <c r="F408" s="5">
        <v>84799884826</v>
      </c>
      <c r="G408" s="5">
        <v>35155470256</v>
      </c>
      <c r="H408" s="5">
        <v>49644414570</v>
      </c>
      <c r="I408" s="6">
        <v>57860904703</v>
      </c>
    </row>
    <row r="409" spans="4:9" ht="16" thickBot="1" x14ac:dyDescent="0.25">
      <c r="D409" s="2" t="s">
        <v>20</v>
      </c>
      <c r="E409" s="4">
        <v>45876</v>
      </c>
      <c r="F409" s="5">
        <v>85584259980</v>
      </c>
      <c r="G409" s="5">
        <v>34407055389</v>
      </c>
      <c r="H409" s="5">
        <v>51177204591</v>
      </c>
      <c r="I409" s="6">
        <v>58686233507</v>
      </c>
    </row>
    <row r="410" spans="4:9" ht="16" thickBot="1" x14ac:dyDescent="0.25">
      <c r="D410" s="2" t="s">
        <v>20</v>
      </c>
      <c r="E410" s="4">
        <v>45877</v>
      </c>
      <c r="F410" s="5">
        <v>86373157657</v>
      </c>
      <c r="G410" s="5">
        <v>33781452208</v>
      </c>
      <c r="H410" s="5">
        <v>52591705449</v>
      </c>
      <c r="I410" s="6">
        <v>59533670670</v>
      </c>
    </row>
    <row r="411" spans="4:9" ht="16" thickBot="1" x14ac:dyDescent="0.25">
      <c r="D411" s="2" t="s">
        <v>20</v>
      </c>
      <c r="E411" s="4">
        <v>45878</v>
      </c>
      <c r="F411" s="5">
        <v>87001966588</v>
      </c>
      <c r="G411" s="5">
        <v>33042968063</v>
      </c>
      <c r="H411" s="5">
        <v>53958998525</v>
      </c>
      <c r="I411" s="6">
        <v>60190535149</v>
      </c>
    </row>
    <row r="412" spans="4:9" ht="16" thickBot="1" x14ac:dyDescent="0.25">
      <c r="D412" s="2" t="s">
        <v>20</v>
      </c>
      <c r="E412" s="4">
        <v>45879</v>
      </c>
      <c r="F412" s="5">
        <v>87764456265</v>
      </c>
      <c r="G412" s="5">
        <v>32713220634</v>
      </c>
      <c r="H412" s="5">
        <v>55051235631</v>
      </c>
      <c r="I412" s="6">
        <v>60975581251</v>
      </c>
    </row>
    <row r="413" spans="4:9" ht="16" thickBot="1" x14ac:dyDescent="0.25">
      <c r="D413" s="2" t="s">
        <v>20</v>
      </c>
      <c r="E413" s="4">
        <v>45880</v>
      </c>
      <c r="F413" s="5">
        <v>88669327631</v>
      </c>
      <c r="G413" s="5">
        <v>32353431388</v>
      </c>
      <c r="H413" s="5">
        <v>56315896243</v>
      </c>
      <c r="I413" s="6">
        <v>61923481753</v>
      </c>
    </row>
    <row r="414" spans="4:9" ht="16" thickBot="1" x14ac:dyDescent="0.25">
      <c r="D414" s="2" t="s">
        <v>20</v>
      </c>
      <c r="E414" s="4">
        <v>45881</v>
      </c>
      <c r="F414" s="5">
        <v>89408182714</v>
      </c>
      <c r="G414" s="5">
        <v>32033449684</v>
      </c>
      <c r="H414" s="5">
        <v>57374733030</v>
      </c>
      <c r="I414" s="6">
        <v>62697800346</v>
      </c>
    </row>
    <row r="415" spans="4:9" ht="16" thickBot="1" x14ac:dyDescent="0.25">
      <c r="D415" s="2" t="s">
        <v>20</v>
      </c>
      <c r="E415" s="4">
        <v>45882</v>
      </c>
      <c r="F415" s="5">
        <v>90014470089</v>
      </c>
      <c r="G415" s="5">
        <v>31782642656</v>
      </c>
      <c r="H415" s="5">
        <v>58231827433</v>
      </c>
      <c r="I415" s="6">
        <v>63333369554</v>
      </c>
    </row>
    <row r="416" spans="4:9" ht="16" thickBot="1" x14ac:dyDescent="0.25">
      <c r="D416" s="2" t="s">
        <v>20</v>
      </c>
      <c r="E416" s="4">
        <v>45883</v>
      </c>
      <c r="F416" s="5">
        <v>90750179343</v>
      </c>
      <c r="G416" s="5">
        <v>31474381912</v>
      </c>
      <c r="H416" s="5">
        <v>59275797431</v>
      </c>
      <c r="I416" s="6">
        <v>64085899324</v>
      </c>
    </row>
    <row r="417" spans="4:9" ht="16" thickBot="1" x14ac:dyDescent="0.25">
      <c r="D417" s="2" t="s">
        <v>20</v>
      </c>
      <c r="E417" s="4">
        <v>45884</v>
      </c>
      <c r="F417" s="5">
        <v>91336846555</v>
      </c>
      <c r="G417" s="5">
        <v>31277351365</v>
      </c>
      <c r="H417" s="5">
        <v>60059495190</v>
      </c>
      <c r="I417" s="6">
        <v>60059495190</v>
      </c>
    </row>
    <row r="418" spans="4:9" ht="16" thickBot="1" x14ac:dyDescent="0.25">
      <c r="D418" s="2" t="s">
        <v>20</v>
      </c>
      <c r="E418" s="4">
        <v>45885</v>
      </c>
      <c r="F418" s="5">
        <v>91883727065</v>
      </c>
      <c r="G418" s="5">
        <v>31150110332</v>
      </c>
      <c r="H418" s="5">
        <v>60733616733</v>
      </c>
      <c r="I418" s="6">
        <v>60733616733</v>
      </c>
    </row>
    <row r="419" spans="4:9" ht="16" thickBot="1" x14ac:dyDescent="0.25">
      <c r="D419" s="2" t="s">
        <v>20</v>
      </c>
      <c r="E419" s="4">
        <v>45886</v>
      </c>
      <c r="F419" s="5">
        <v>92395413418</v>
      </c>
      <c r="G419" s="5">
        <v>31064865401</v>
      </c>
      <c r="H419" s="5">
        <v>61330548017</v>
      </c>
      <c r="I419" s="6">
        <v>61330548017</v>
      </c>
    </row>
    <row r="420" spans="4:9" ht="16" thickBot="1" x14ac:dyDescent="0.25">
      <c r="D420" s="2" t="s">
        <v>20</v>
      </c>
      <c r="E420" s="4">
        <v>45887</v>
      </c>
      <c r="F420" s="5">
        <v>92840942190</v>
      </c>
      <c r="G420" s="5">
        <v>30963942976</v>
      </c>
      <c r="H420" s="5">
        <v>61876999214</v>
      </c>
      <c r="I420" s="6">
        <v>61876999214</v>
      </c>
    </row>
    <row r="421" spans="4:9" ht="16" thickBot="1" x14ac:dyDescent="0.25">
      <c r="D421" s="2" t="s">
        <v>20</v>
      </c>
      <c r="E421" s="4">
        <v>45888</v>
      </c>
      <c r="F421" s="5">
        <v>93277549535</v>
      </c>
      <c r="G421" s="5">
        <v>30819974469</v>
      </c>
      <c r="H421" s="5">
        <v>62457575066</v>
      </c>
      <c r="I421" s="6">
        <v>62457575066</v>
      </c>
    </row>
    <row r="422" spans="4:9" ht="16" thickBot="1" x14ac:dyDescent="0.25">
      <c r="D422" s="2" t="s">
        <v>20</v>
      </c>
      <c r="E422" s="4">
        <v>45889</v>
      </c>
      <c r="F422" s="5">
        <v>93799465953</v>
      </c>
      <c r="G422" s="5">
        <v>30745296835</v>
      </c>
      <c r="H422" s="5">
        <v>63054169118</v>
      </c>
      <c r="I422" s="6">
        <v>63054169118</v>
      </c>
    </row>
    <row r="423" spans="4:9" ht="16" thickBot="1" x14ac:dyDescent="0.25">
      <c r="D423" s="2" t="s">
        <v>20</v>
      </c>
      <c r="E423" s="4">
        <v>45890</v>
      </c>
      <c r="F423" s="5">
        <v>93924941532</v>
      </c>
      <c r="G423" s="5">
        <v>30685284326</v>
      </c>
      <c r="H423" s="5">
        <v>63239657206</v>
      </c>
      <c r="I423" s="6">
        <v>63239657206</v>
      </c>
    </row>
    <row r="424" spans="4:9" ht="16" thickBot="1" x14ac:dyDescent="0.25">
      <c r="D424" s="2" t="s">
        <v>20</v>
      </c>
      <c r="E424" s="4">
        <v>45891</v>
      </c>
      <c r="F424" s="5">
        <v>94295376726</v>
      </c>
      <c r="G424" s="5">
        <v>30628134675</v>
      </c>
      <c r="H424" s="5">
        <v>63667242051</v>
      </c>
      <c r="I424" s="6">
        <v>63667242051</v>
      </c>
    </row>
    <row r="425" spans="4:9" ht="16" thickBot="1" x14ac:dyDescent="0.25">
      <c r="D425" s="2" t="s">
        <v>20</v>
      </c>
      <c r="E425" s="4">
        <v>45892</v>
      </c>
      <c r="F425" s="5">
        <v>94668282875</v>
      </c>
      <c r="G425" s="5">
        <v>30586552059</v>
      </c>
      <c r="H425" s="5">
        <v>64081730816</v>
      </c>
      <c r="I425" s="6">
        <v>64081730816</v>
      </c>
    </row>
    <row r="426" spans="4:9" ht="16" thickBot="1" x14ac:dyDescent="0.25">
      <c r="D426" s="2" t="s">
        <v>20</v>
      </c>
      <c r="E426" s="4">
        <v>45893</v>
      </c>
      <c r="F426" s="5">
        <v>95193627775</v>
      </c>
      <c r="G426" s="5">
        <v>30555692541</v>
      </c>
      <c r="H426" s="5">
        <v>64637935234</v>
      </c>
      <c r="I426" s="6">
        <v>64637935234</v>
      </c>
    </row>
    <row r="427" spans="4:9" ht="16" thickBot="1" x14ac:dyDescent="0.25">
      <c r="D427" s="2" t="s">
        <v>20</v>
      </c>
      <c r="E427" s="4">
        <v>45894</v>
      </c>
      <c r="F427" s="5">
        <v>104885313856</v>
      </c>
      <c r="G427" s="5">
        <v>31645150126</v>
      </c>
      <c r="H427" s="5">
        <v>73240163730</v>
      </c>
      <c r="I427" s="6">
        <v>73240163730</v>
      </c>
    </row>
    <row r="428" spans="4:9" ht="16" thickBot="1" x14ac:dyDescent="0.25">
      <c r="D428" s="2" t="s">
        <v>20</v>
      </c>
      <c r="E428" s="4">
        <v>45895</v>
      </c>
      <c r="F428" s="5">
        <v>105267706754</v>
      </c>
      <c r="G428" s="5">
        <v>31593097087</v>
      </c>
      <c r="H428" s="5">
        <v>73674609667</v>
      </c>
      <c r="I428" s="6">
        <v>73674609667</v>
      </c>
    </row>
    <row r="429" spans="4:9" ht="16" thickBot="1" x14ac:dyDescent="0.25">
      <c r="D429" s="2" t="s">
        <v>20</v>
      </c>
      <c r="E429" s="4">
        <v>45896</v>
      </c>
      <c r="F429" s="5">
        <v>105637550712</v>
      </c>
      <c r="G429" s="5">
        <v>31563071484</v>
      </c>
      <c r="H429" s="5">
        <v>74074479228</v>
      </c>
      <c r="I429" s="6">
        <v>74074479228</v>
      </c>
    </row>
    <row r="430" spans="4:9" ht="16" thickBot="1" x14ac:dyDescent="0.25">
      <c r="D430" s="2" t="s">
        <v>20</v>
      </c>
      <c r="E430" s="4">
        <v>45897</v>
      </c>
      <c r="F430" s="5">
        <v>105962261952</v>
      </c>
      <c r="G430" s="5">
        <v>31516783502</v>
      </c>
      <c r="H430" s="5">
        <v>74445478450</v>
      </c>
      <c r="I430" s="6">
        <v>74445478450</v>
      </c>
    </row>
    <row r="431" spans="4:9" ht="16" thickBot="1" x14ac:dyDescent="0.25">
      <c r="D431" s="2" t="s">
        <v>20</v>
      </c>
      <c r="E431" s="4">
        <v>45898</v>
      </c>
      <c r="F431" s="5">
        <v>106092017041</v>
      </c>
      <c r="G431" s="5">
        <v>31443714149</v>
      </c>
      <c r="H431" s="5">
        <v>74648302892</v>
      </c>
      <c r="I431" s="6">
        <v>74648302892</v>
      </c>
    </row>
    <row r="432" spans="4:9" ht="16" thickBot="1" x14ac:dyDescent="0.25">
      <c r="D432" s="2" t="s">
        <v>20</v>
      </c>
      <c r="E432" s="4">
        <v>45899</v>
      </c>
      <c r="F432" s="5">
        <v>106499320329</v>
      </c>
      <c r="G432" s="5">
        <v>31411315587</v>
      </c>
      <c r="H432" s="5">
        <v>75088004742</v>
      </c>
      <c r="I432" s="6">
        <v>75088004742</v>
      </c>
    </row>
    <row r="433" spans="4:9" ht="16" thickBot="1" x14ac:dyDescent="0.25">
      <c r="D433" s="2" t="s">
        <v>20</v>
      </c>
      <c r="E433" s="4">
        <v>45900</v>
      </c>
      <c r="F433" s="5">
        <v>106882449807</v>
      </c>
      <c r="G433" s="5">
        <v>31357896648</v>
      </c>
      <c r="H433" s="5">
        <v>75524553159</v>
      </c>
      <c r="I433" s="6">
        <v>75524553159</v>
      </c>
    </row>
    <row r="434" spans="4:9" ht="16" thickBot="1" x14ac:dyDescent="0.25">
      <c r="D434" s="2" t="s">
        <v>20</v>
      </c>
      <c r="E434" s="4">
        <v>45901</v>
      </c>
      <c r="F434" s="5">
        <v>107199741891</v>
      </c>
      <c r="G434" s="5">
        <v>31340913488</v>
      </c>
      <c r="H434" s="5">
        <v>75858828403</v>
      </c>
      <c r="I434" s="6">
        <v>75858828403</v>
      </c>
    </row>
    <row r="435" spans="4:9" ht="16" thickBot="1" x14ac:dyDescent="0.25">
      <c r="D435" s="2" t="s">
        <v>20</v>
      </c>
      <c r="E435" s="4">
        <v>45902</v>
      </c>
      <c r="F435" s="5">
        <v>107529525112</v>
      </c>
      <c r="G435" s="5">
        <v>31323988422</v>
      </c>
      <c r="H435" s="5">
        <v>76205536690</v>
      </c>
      <c r="I435" s="6">
        <v>76205536690</v>
      </c>
    </row>
    <row r="436" spans="4:9" ht="16" thickBot="1" x14ac:dyDescent="0.25">
      <c r="D436" s="2" t="s">
        <v>20</v>
      </c>
      <c r="E436" s="4">
        <v>45903</v>
      </c>
      <c r="F436" s="5">
        <v>107075050263</v>
      </c>
      <c r="G436" s="5">
        <v>31264443548</v>
      </c>
      <c r="H436" s="5">
        <v>75810606715</v>
      </c>
      <c r="I436" s="6">
        <v>75810606715</v>
      </c>
    </row>
    <row r="437" spans="4:9" ht="16" thickBot="1" x14ac:dyDescent="0.25">
      <c r="D437" s="2" t="s">
        <v>20</v>
      </c>
      <c r="E437" s="4">
        <v>45904</v>
      </c>
      <c r="F437" s="5">
        <v>105057180798</v>
      </c>
      <c r="G437" s="5">
        <v>31182399660</v>
      </c>
      <c r="H437" s="5">
        <v>73874781138</v>
      </c>
      <c r="I437" s="6">
        <v>73874781138</v>
      </c>
    </row>
    <row r="438" spans="4:9" ht="16" thickBot="1" x14ac:dyDescent="0.25">
      <c r="D438" s="2" t="s">
        <v>20</v>
      </c>
      <c r="E438" s="4">
        <v>45905</v>
      </c>
      <c r="F438" s="5">
        <v>105490984660</v>
      </c>
      <c r="G438" s="5">
        <v>44740362342</v>
      </c>
      <c r="H438" s="5">
        <v>60750622318</v>
      </c>
      <c r="I438" s="6">
        <v>74380660111</v>
      </c>
    </row>
    <row r="439" spans="4:9" ht="16" thickBot="1" x14ac:dyDescent="0.25">
      <c r="D439" s="2" t="s">
        <v>20</v>
      </c>
      <c r="E439" s="4">
        <v>45906</v>
      </c>
      <c r="F439" s="5">
        <v>106734993840</v>
      </c>
      <c r="G439" s="5">
        <v>43241263402</v>
      </c>
      <c r="H439" s="5">
        <v>63493730438</v>
      </c>
      <c r="I439" s="6">
        <v>75662906978</v>
      </c>
    </row>
    <row r="440" spans="4:9" ht="16" thickBot="1" x14ac:dyDescent="0.25">
      <c r="D440" s="2" t="s">
        <v>20</v>
      </c>
      <c r="E440" s="4">
        <v>45907</v>
      </c>
      <c r="F440" s="5">
        <v>107790206463</v>
      </c>
      <c r="G440" s="5">
        <v>42605774426</v>
      </c>
      <c r="H440" s="5">
        <v>65184432037</v>
      </c>
      <c r="I440" s="6">
        <v>76749006981</v>
      </c>
    </row>
    <row r="441" spans="4:9" ht="16" thickBot="1" x14ac:dyDescent="0.25">
      <c r="D441" s="2" t="s">
        <v>20</v>
      </c>
      <c r="E441" s="4">
        <v>45908</v>
      </c>
      <c r="F441" s="5">
        <v>108727369882</v>
      </c>
      <c r="G441" s="5">
        <v>41838511616</v>
      </c>
      <c r="H441" s="5">
        <v>66888858266</v>
      </c>
      <c r="I441" s="6">
        <v>77718651241</v>
      </c>
    </row>
    <row r="442" spans="4:9" ht="16" thickBot="1" x14ac:dyDescent="0.25">
      <c r="D442" s="2" t="s">
        <v>20</v>
      </c>
      <c r="E442" s="4">
        <v>45909</v>
      </c>
      <c r="F442" s="5">
        <v>109663617644</v>
      </c>
      <c r="G442" s="5">
        <v>40959041970</v>
      </c>
      <c r="H442" s="5">
        <v>68704575674</v>
      </c>
      <c r="I442" s="6">
        <v>78713027544</v>
      </c>
    </row>
    <row r="443" spans="4:9" ht="16" thickBot="1" x14ac:dyDescent="0.25">
      <c r="D443" s="2" t="s">
        <v>20</v>
      </c>
      <c r="E443" s="4">
        <v>45910</v>
      </c>
      <c r="F443" s="5">
        <v>110526756143</v>
      </c>
      <c r="G443" s="5">
        <v>40169298971</v>
      </c>
      <c r="H443" s="5">
        <v>70357457172</v>
      </c>
      <c r="I443" s="6">
        <v>79626882437</v>
      </c>
    </row>
    <row r="444" spans="4:9" ht="16" thickBot="1" x14ac:dyDescent="0.25">
      <c r="D444" s="2" t="s">
        <v>20</v>
      </c>
      <c r="E444" s="4">
        <v>45911</v>
      </c>
      <c r="F444" s="5">
        <v>111204868570</v>
      </c>
      <c r="G444" s="5">
        <v>39629817097</v>
      </c>
      <c r="H444" s="5">
        <v>71575051473</v>
      </c>
      <c r="I444" s="6">
        <v>80356751664</v>
      </c>
    </row>
    <row r="445" spans="4:9" ht="16" thickBot="1" x14ac:dyDescent="0.25">
      <c r="D445" s="2" t="s">
        <v>20</v>
      </c>
      <c r="E445" s="4">
        <v>45912</v>
      </c>
      <c r="F445" s="5">
        <v>112024916168</v>
      </c>
      <c r="G445" s="5">
        <v>39286685241</v>
      </c>
      <c r="H445" s="5">
        <v>72738230927</v>
      </c>
      <c r="I445" s="6">
        <v>81212122138</v>
      </c>
    </row>
    <row r="446" spans="4:9" ht="16" thickBot="1" x14ac:dyDescent="0.25">
      <c r="D446" s="2" t="s">
        <v>20</v>
      </c>
      <c r="E446" s="4">
        <v>45913</v>
      </c>
      <c r="F446" s="5">
        <v>112896423114</v>
      </c>
      <c r="G446" s="5">
        <v>39039767533</v>
      </c>
      <c r="H446" s="5">
        <v>73856655581</v>
      </c>
      <c r="I446" s="6">
        <v>82109809761</v>
      </c>
    </row>
    <row r="447" spans="4:9" ht="16" thickBot="1" x14ac:dyDescent="0.25">
      <c r="D447" s="2" t="s">
        <v>20</v>
      </c>
      <c r="E447" s="4">
        <v>45914</v>
      </c>
      <c r="F447" s="5">
        <v>113821962739</v>
      </c>
      <c r="G447" s="5">
        <v>38700911781</v>
      </c>
      <c r="H447" s="5">
        <v>75121050958</v>
      </c>
      <c r="I447" s="6">
        <v>83054374609</v>
      </c>
    </row>
    <row r="448" spans="4:9" ht="16" thickBot="1" x14ac:dyDescent="0.25">
      <c r="D448" s="2" t="s">
        <v>20</v>
      </c>
      <c r="E448" s="4">
        <v>45915</v>
      </c>
      <c r="F448" s="5">
        <v>114465298904</v>
      </c>
      <c r="G448" s="5">
        <v>38424016048</v>
      </c>
      <c r="H448" s="5">
        <v>76041282856</v>
      </c>
      <c r="I448" s="6">
        <v>76041282856</v>
      </c>
    </row>
    <row r="449" spans="4:9" ht="16" thickBot="1" x14ac:dyDescent="0.25">
      <c r="D449" s="2" t="s">
        <v>20</v>
      </c>
      <c r="E449" s="4">
        <v>45916</v>
      </c>
      <c r="F449" s="5">
        <v>115170736510</v>
      </c>
      <c r="G449" s="5">
        <v>38198721242</v>
      </c>
      <c r="H449" s="5">
        <v>76972015268</v>
      </c>
      <c r="I449" s="6">
        <v>76972015268</v>
      </c>
    </row>
    <row r="450" spans="4:9" ht="16" thickBot="1" x14ac:dyDescent="0.25">
      <c r="D450" s="2" t="s">
        <v>20</v>
      </c>
      <c r="E450" s="4">
        <v>45917</v>
      </c>
      <c r="F450" s="5">
        <v>115840055302</v>
      </c>
      <c r="G450" s="5">
        <v>38050686739</v>
      </c>
      <c r="H450" s="5">
        <v>77789368563</v>
      </c>
      <c r="I450" s="6">
        <v>77789368563</v>
      </c>
    </row>
    <row r="451" spans="4:9" ht="16" thickBot="1" x14ac:dyDescent="0.25">
      <c r="D451" s="2" t="s">
        <v>20</v>
      </c>
      <c r="E451" s="4">
        <v>45918</v>
      </c>
      <c r="F451" s="5">
        <v>116403531407</v>
      </c>
      <c r="G451" s="5">
        <v>37830285605</v>
      </c>
      <c r="H451" s="5">
        <v>78573245802</v>
      </c>
      <c r="I451" s="6">
        <v>78573245802</v>
      </c>
    </row>
    <row r="452" spans="4:9" ht="16" thickBot="1" x14ac:dyDescent="0.25">
      <c r="D452" s="2" t="s">
        <v>20</v>
      </c>
      <c r="E452" s="4">
        <v>45919</v>
      </c>
      <c r="F452" s="5">
        <v>117217254744</v>
      </c>
      <c r="G452" s="5">
        <v>37680537008</v>
      </c>
      <c r="H452" s="5">
        <v>79536717736</v>
      </c>
      <c r="I452" s="6">
        <v>79536717736</v>
      </c>
    </row>
    <row r="453" spans="4:9" ht="16" thickBot="1" x14ac:dyDescent="0.25">
      <c r="D453" s="2" t="s">
        <v>20</v>
      </c>
      <c r="E453" s="4">
        <v>45920</v>
      </c>
      <c r="F453" s="5">
        <v>117950489794</v>
      </c>
      <c r="G453" s="5">
        <v>37567507929</v>
      </c>
      <c r="H453" s="5">
        <v>80382981865</v>
      </c>
      <c r="I453" s="6">
        <v>80382981865</v>
      </c>
    </row>
    <row r="454" spans="4:9" ht="16" thickBot="1" x14ac:dyDescent="0.25">
      <c r="D454" s="2" t="s">
        <v>20</v>
      </c>
      <c r="E454" s="4">
        <v>45921</v>
      </c>
      <c r="F454" s="5">
        <v>118380612382</v>
      </c>
      <c r="G454" s="5">
        <v>37472195697</v>
      </c>
      <c r="H454" s="5">
        <v>80908416685</v>
      </c>
      <c r="I454" s="6">
        <v>80908416685</v>
      </c>
    </row>
    <row r="455" spans="4:9" ht="16" thickBot="1" x14ac:dyDescent="0.25">
      <c r="D455" s="2" t="s">
        <v>20</v>
      </c>
      <c r="E455" s="4">
        <v>45922</v>
      </c>
      <c r="F455" s="5">
        <v>118711606473</v>
      </c>
      <c r="G455" s="5">
        <v>37384097879</v>
      </c>
      <c r="H455" s="5">
        <v>81327508594</v>
      </c>
      <c r="I455" s="6">
        <v>81327508594</v>
      </c>
    </row>
    <row r="456" spans="4:9" ht="16" thickBot="1" x14ac:dyDescent="0.25">
      <c r="D456" s="2" t="s">
        <v>20</v>
      </c>
      <c r="E456" s="4">
        <v>45923</v>
      </c>
      <c r="F456" s="5">
        <v>119196822757</v>
      </c>
      <c r="G456" s="5">
        <v>37293037606</v>
      </c>
      <c r="H456" s="5">
        <v>81903785151</v>
      </c>
      <c r="I456" s="6">
        <v>81903785151</v>
      </c>
    </row>
    <row r="457" spans="4:9" ht="16" thickBot="1" x14ac:dyDescent="0.25">
      <c r="D457" s="2" t="s">
        <v>20</v>
      </c>
      <c r="E457" s="4">
        <v>45924</v>
      </c>
      <c r="F457" s="5">
        <v>119841205108</v>
      </c>
      <c r="G457" s="5">
        <v>37203775459</v>
      </c>
      <c r="H457" s="5">
        <v>82637429649</v>
      </c>
      <c r="I457" s="6">
        <v>82637429649</v>
      </c>
    </row>
    <row r="458" spans="4:9" ht="16" thickBot="1" x14ac:dyDescent="0.25">
      <c r="D458" s="2" t="s">
        <v>20</v>
      </c>
      <c r="E458" s="4">
        <v>45925</v>
      </c>
      <c r="F458" s="5">
        <v>120161968035</v>
      </c>
      <c r="G458" s="5">
        <v>37109837277</v>
      </c>
      <c r="H458" s="5">
        <v>83052130758</v>
      </c>
      <c r="I458" s="6">
        <v>83052130758</v>
      </c>
    </row>
    <row r="459" spans="4:9" ht="16" thickBot="1" x14ac:dyDescent="0.25">
      <c r="D459" s="2" t="s">
        <v>20</v>
      </c>
      <c r="E459" s="4">
        <v>45926</v>
      </c>
      <c r="F459" s="5">
        <v>120553684431</v>
      </c>
      <c r="G459" s="5">
        <v>37026552783</v>
      </c>
      <c r="H459" s="5">
        <v>83527131648</v>
      </c>
      <c r="I459" s="6">
        <v>83527131648</v>
      </c>
    </row>
    <row r="460" spans="4:9" ht="16" thickBot="1" x14ac:dyDescent="0.25">
      <c r="D460" s="2" t="s">
        <v>20</v>
      </c>
      <c r="E460" s="4">
        <v>45927</v>
      </c>
      <c r="F460" s="5">
        <v>121229266648</v>
      </c>
      <c r="G460" s="5">
        <v>36973583817</v>
      </c>
      <c r="H460" s="5">
        <v>84255682831</v>
      </c>
      <c r="I460" s="6">
        <v>84255682831</v>
      </c>
    </row>
    <row r="461" spans="4:9" ht="16" thickBot="1" x14ac:dyDescent="0.25">
      <c r="D461" s="2" t="s">
        <v>20</v>
      </c>
      <c r="E461" s="4">
        <v>45928</v>
      </c>
      <c r="F461" s="5">
        <v>121849520885</v>
      </c>
      <c r="G461" s="5">
        <v>36900534793</v>
      </c>
      <c r="H461" s="5">
        <v>84948986092</v>
      </c>
      <c r="I461" s="6">
        <v>84948986092</v>
      </c>
    </row>
    <row r="462" spans="4:9" ht="16" thickBot="1" x14ac:dyDescent="0.25">
      <c r="D462" s="2" t="s">
        <v>20</v>
      </c>
      <c r="E462" s="4">
        <v>45929</v>
      </c>
      <c r="F462" s="5">
        <v>121918306111</v>
      </c>
      <c r="G462" s="5">
        <v>36860684519</v>
      </c>
      <c r="H462" s="5">
        <v>85057621592</v>
      </c>
      <c r="I462" s="6">
        <v>85057621592</v>
      </c>
    </row>
    <row r="463" spans="4:9" ht="16" thickBot="1" x14ac:dyDescent="0.25">
      <c r="D463" s="2" t="s">
        <v>20</v>
      </c>
      <c r="E463" s="4">
        <v>45930</v>
      </c>
      <c r="F463" s="5">
        <v>121764644082</v>
      </c>
      <c r="G463" s="5">
        <v>36792731093</v>
      </c>
      <c r="H463" s="5">
        <v>84971912989</v>
      </c>
      <c r="I463" s="6">
        <v>84971912989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19675-F808-E843-84D2-4F6D0F364A42}">
  <sheetPr>
    <tabColor rgb="FFFF0000"/>
  </sheetPr>
  <dimension ref="A1:T130"/>
  <sheetViews>
    <sheetView showGridLines="0" zoomScale="90" workbookViewId="0">
      <pane xSplit="1" ySplit="2" topLeftCell="B28" activePane="bottomRight" state="frozen"/>
      <selection activeCell="AD15" sqref="AD15"/>
      <selection pane="topRight" activeCell="AD15" sqref="AD15"/>
      <selection pane="bottomLeft" activeCell="AD15" sqref="AD15"/>
      <selection pane="bottomRight" activeCell="AD15" sqref="AD15"/>
    </sheetView>
  </sheetViews>
  <sheetFormatPr baseColWidth="10" defaultColWidth="8.83203125" defaultRowHeight="14" x14ac:dyDescent="0.15"/>
  <cols>
    <col min="1" max="1" width="8.83203125" style="34"/>
    <col min="2" max="2" width="5.5" style="34" customWidth="1"/>
    <col min="3" max="3" width="5" style="34" customWidth="1"/>
    <col min="4" max="5" width="8.83203125" style="34"/>
    <col min="6" max="6" width="14.5" style="34" customWidth="1"/>
    <col min="7" max="16384" width="8.83203125" style="34"/>
  </cols>
  <sheetData>
    <row r="1" spans="1:20" ht="25" x14ac:dyDescent="0.25">
      <c r="A1" s="33" t="s">
        <v>40</v>
      </c>
    </row>
    <row r="2" spans="1:20" ht="25" x14ac:dyDescent="0.25">
      <c r="A2" s="33"/>
      <c r="B2" s="35" t="s">
        <v>41</v>
      </c>
      <c r="N2" s="36" t="s">
        <v>42</v>
      </c>
      <c r="O2" s="36" t="s">
        <v>43</v>
      </c>
      <c r="P2" s="36">
        <v>20251001</v>
      </c>
    </row>
    <row r="3" spans="1:20" ht="25" x14ac:dyDescent="0.15">
      <c r="B3" s="37" t="s">
        <v>44</v>
      </c>
    </row>
    <row r="4" spans="1:20" s="38" customFormat="1" ht="16" x14ac:dyDescent="0.2">
      <c r="B4" s="39"/>
      <c r="C4" s="39" t="s">
        <v>45</v>
      </c>
    </row>
    <row r="5" spans="1:20" x14ac:dyDescent="0.15">
      <c r="D5" s="40" t="s">
        <v>46</v>
      </c>
      <c r="E5" s="41"/>
      <c r="Q5" s="41"/>
      <c r="R5" s="41"/>
      <c r="S5" s="41"/>
      <c r="T5" s="41"/>
    </row>
    <row r="6" spans="1:20" x14ac:dyDescent="0.15">
      <c r="D6" s="40" t="s">
        <v>47</v>
      </c>
      <c r="E6" s="41"/>
      <c r="Q6" s="41"/>
      <c r="R6" s="41"/>
      <c r="S6" s="41"/>
      <c r="T6" s="41"/>
    </row>
    <row r="7" spans="1:20" x14ac:dyDescent="0.15">
      <c r="D7" s="40" t="s">
        <v>48</v>
      </c>
      <c r="E7" s="41"/>
      <c r="Q7" s="41"/>
      <c r="R7" s="41"/>
      <c r="S7" s="41"/>
      <c r="T7" s="41"/>
    </row>
    <row r="8" spans="1:20" x14ac:dyDescent="0.15">
      <c r="D8" s="40" t="s">
        <v>49</v>
      </c>
      <c r="E8" s="41"/>
      <c r="Q8" s="41"/>
      <c r="R8" s="41"/>
      <c r="S8" s="41"/>
      <c r="T8" s="41"/>
    </row>
    <row r="9" spans="1:20" x14ac:dyDescent="0.15">
      <c r="D9" s="40" t="s">
        <v>50</v>
      </c>
      <c r="E9" s="41"/>
      <c r="Q9" s="41"/>
      <c r="R9" s="41"/>
      <c r="S9" s="41"/>
      <c r="T9" s="41"/>
    </row>
    <row r="10" spans="1:20" x14ac:dyDescent="0.15">
      <c r="D10" s="40" t="s">
        <v>51</v>
      </c>
      <c r="E10" s="41"/>
      <c r="Q10" s="41"/>
      <c r="R10" s="41"/>
      <c r="S10" s="41"/>
      <c r="T10" s="41"/>
    </row>
    <row r="11" spans="1:20" x14ac:dyDescent="0.15">
      <c r="E11" s="40" t="s">
        <v>52</v>
      </c>
      <c r="Q11" s="41"/>
      <c r="R11" s="41"/>
      <c r="S11" s="41"/>
      <c r="T11" s="41"/>
    </row>
    <row r="12" spans="1:20" x14ac:dyDescent="0.15">
      <c r="E12" s="40" t="s">
        <v>53</v>
      </c>
      <c r="Q12" s="41"/>
      <c r="R12" s="41"/>
      <c r="S12" s="41"/>
      <c r="T12" s="41"/>
    </row>
    <row r="13" spans="1:20" x14ac:dyDescent="0.15">
      <c r="E13" s="40" t="s">
        <v>54</v>
      </c>
      <c r="Q13" s="41"/>
      <c r="R13" s="41"/>
      <c r="S13" s="41"/>
      <c r="T13" s="41"/>
    </row>
    <row r="14" spans="1:20" x14ac:dyDescent="0.15">
      <c r="E14" s="41"/>
      <c r="Q14" s="41"/>
      <c r="R14" s="41"/>
      <c r="S14" s="41"/>
      <c r="T14" s="41"/>
    </row>
    <row r="15" spans="1:20" x14ac:dyDescent="0.15">
      <c r="C15" s="42" t="s">
        <v>55</v>
      </c>
      <c r="D15" s="41"/>
      <c r="E15" s="41"/>
      <c r="Q15" s="41"/>
      <c r="R15" s="41"/>
      <c r="S15" s="41"/>
      <c r="T15" s="41"/>
    </row>
    <row r="16" spans="1:20" x14ac:dyDescent="0.15">
      <c r="D16" s="40" t="s">
        <v>56</v>
      </c>
      <c r="E16" s="41"/>
      <c r="Q16" s="41"/>
      <c r="R16" s="41"/>
      <c r="S16" s="41"/>
      <c r="T16" s="41"/>
    </row>
    <row r="17" spans="2:20" x14ac:dyDescent="0.15">
      <c r="D17" s="40" t="s">
        <v>57</v>
      </c>
      <c r="E17" s="41"/>
      <c r="Q17" s="41"/>
      <c r="R17" s="41"/>
      <c r="S17" s="41"/>
      <c r="T17" s="41"/>
    </row>
    <row r="18" spans="2:20" x14ac:dyDescent="0.15">
      <c r="D18" s="40" t="s">
        <v>58</v>
      </c>
      <c r="E18" s="41"/>
      <c r="Q18" s="41"/>
      <c r="R18" s="41"/>
      <c r="S18" s="41"/>
      <c r="T18" s="41"/>
    </row>
    <row r="19" spans="2:20" ht="12" customHeight="1" x14ac:dyDescent="0.15">
      <c r="B19" s="37"/>
      <c r="C19" s="42"/>
      <c r="D19" s="40"/>
      <c r="E19" s="41"/>
      <c r="Q19" s="41"/>
      <c r="R19" s="41"/>
      <c r="S19" s="41"/>
      <c r="T19" s="41"/>
    </row>
    <row r="20" spans="2:20" ht="25" x14ac:dyDescent="0.15">
      <c r="B20" s="37" t="s">
        <v>59</v>
      </c>
      <c r="D20" s="40"/>
      <c r="E20" s="41"/>
      <c r="Q20" s="41"/>
      <c r="R20" s="41"/>
      <c r="S20" s="41"/>
      <c r="T20" s="41"/>
    </row>
    <row r="21" spans="2:20" x14ac:dyDescent="0.15">
      <c r="D21" s="43" t="s">
        <v>60</v>
      </c>
      <c r="E21" s="41"/>
      <c r="Q21" s="41"/>
      <c r="R21" s="41"/>
      <c r="S21" s="41"/>
      <c r="T21" s="41"/>
    </row>
    <row r="22" spans="2:20" x14ac:dyDescent="0.15">
      <c r="D22" s="40"/>
      <c r="E22" s="44" t="s">
        <v>61</v>
      </c>
      <c r="F22" s="45"/>
      <c r="G22" s="45"/>
      <c r="H22" s="45"/>
      <c r="Q22" s="41"/>
      <c r="R22" s="41"/>
      <c r="S22" s="41"/>
      <c r="T22" s="41"/>
    </row>
    <row r="23" spans="2:20" x14ac:dyDescent="0.15">
      <c r="D23" s="40"/>
      <c r="E23" s="46" t="s">
        <v>62</v>
      </c>
      <c r="Q23" s="41"/>
      <c r="R23" s="41"/>
      <c r="S23" s="41"/>
      <c r="T23" s="41"/>
    </row>
    <row r="24" spans="2:20" x14ac:dyDescent="0.15">
      <c r="D24" s="40"/>
      <c r="E24" s="46"/>
      <c r="F24" s="40" t="s">
        <v>63</v>
      </c>
      <c r="Q24" s="41"/>
      <c r="R24" s="41"/>
      <c r="S24" s="41"/>
      <c r="T24" s="41"/>
    </row>
    <row r="25" spans="2:20" x14ac:dyDescent="0.15">
      <c r="D25" s="40"/>
      <c r="F25" s="47" t="s">
        <v>64</v>
      </c>
      <c r="Q25" s="41"/>
      <c r="R25" s="41"/>
      <c r="S25" s="41"/>
      <c r="T25" s="41"/>
    </row>
    <row r="26" spans="2:20" x14ac:dyDescent="0.15">
      <c r="D26" s="40"/>
      <c r="E26" s="46" t="s">
        <v>65</v>
      </c>
      <c r="Q26" s="41"/>
      <c r="R26" s="41"/>
      <c r="S26" s="41"/>
      <c r="T26" s="41"/>
    </row>
    <row r="27" spans="2:20" x14ac:dyDescent="0.15">
      <c r="D27" s="40"/>
      <c r="E27" s="46"/>
      <c r="F27" s="47" t="s">
        <v>66</v>
      </c>
      <c r="Q27" s="41"/>
      <c r="R27" s="41"/>
      <c r="S27" s="41"/>
      <c r="T27" s="41"/>
    </row>
    <row r="28" spans="2:20" x14ac:dyDescent="0.15">
      <c r="D28" s="40"/>
      <c r="E28" s="46"/>
      <c r="F28" s="47" t="s">
        <v>67</v>
      </c>
      <c r="Q28" s="41"/>
      <c r="R28" s="41"/>
      <c r="S28" s="41"/>
      <c r="T28" s="41"/>
    </row>
    <row r="29" spans="2:20" x14ac:dyDescent="0.15">
      <c r="D29" s="40"/>
      <c r="E29" s="41"/>
      <c r="Q29" s="41"/>
      <c r="R29" s="41"/>
      <c r="S29" s="41"/>
      <c r="T29" s="41"/>
    </row>
    <row r="30" spans="2:20" x14ac:dyDescent="0.15">
      <c r="D30" s="43" t="s">
        <v>68</v>
      </c>
      <c r="E30" s="41"/>
      <c r="Q30" s="41"/>
      <c r="R30" s="41"/>
      <c r="S30" s="41"/>
      <c r="T30" s="41"/>
    </row>
    <row r="31" spans="2:20" x14ac:dyDescent="0.15">
      <c r="D31" s="40"/>
      <c r="E31" s="46" t="s">
        <v>69</v>
      </c>
      <c r="Q31" s="41"/>
      <c r="R31" s="41"/>
      <c r="S31" s="41"/>
      <c r="T31" s="41"/>
    </row>
    <row r="32" spans="2:20" x14ac:dyDescent="0.15">
      <c r="D32" s="40"/>
      <c r="E32" s="46"/>
      <c r="Q32" s="41"/>
      <c r="R32" s="41"/>
      <c r="S32" s="41"/>
      <c r="T32" s="41"/>
    </row>
    <row r="33" spans="2:20" x14ac:dyDescent="0.15">
      <c r="D33" s="40"/>
      <c r="E33" s="41"/>
      <c r="Q33" s="41"/>
      <c r="R33" s="41"/>
      <c r="S33" s="41"/>
      <c r="T33" s="41"/>
    </row>
    <row r="34" spans="2:20" ht="25" x14ac:dyDescent="0.15">
      <c r="B34" s="37" t="s">
        <v>70</v>
      </c>
      <c r="D34" s="40"/>
      <c r="E34" s="41"/>
      <c r="Q34" s="41"/>
      <c r="R34" s="41"/>
      <c r="S34" s="41"/>
      <c r="T34" s="41"/>
    </row>
    <row r="35" spans="2:20" ht="19" thickBot="1" x14ac:dyDescent="0.25">
      <c r="B35" s="48"/>
      <c r="C35" s="49" t="s">
        <v>71</v>
      </c>
      <c r="D35" s="50"/>
      <c r="E35" s="51"/>
      <c r="F35" s="50"/>
      <c r="G35" s="50"/>
      <c r="H35" s="50"/>
      <c r="I35" s="48"/>
      <c r="J35" s="50"/>
      <c r="K35" s="50"/>
      <c r="L35" s="50"/>
      <c r="M35" s="48"/>
      <c r="N35" s="50"/>
      <c r="O35" s="50"/>
      <c r="P35" s="50"/>
      <c r="Q35" s="41"/>
      <c r="R35" s="41"/>
      <c r="S35" s="41"/>
      <c r="T35" s="41"/>
    </row>
    <row r="36" spans="2:20" ht="12" customHeight="1" thickTop="1" x14ac:dyDescent="0.15">
      <c r="B36" s="37"/>
      <c r="D36" s="40"/>
      <c r="E36" s="41"/>
      <c r="Q36" s="41"/>
      <c r="R36" s="41"/>
      <c r="S36" s="41"/>
      <c r="T36" s="41"/>
    </row>
    <row r="37" spans="2:20" s="53" customFormat="1" ht="15" customHeight="1" x14ac:dyDescent="0.15">
      <c r="B37" s="52"/>
      <c r="E37" s="54"/>
      <c r="G37" s="55" t="s">
        <v>72</v>
      </c>
      <c r="L37" s="55" t="s">
        <v>73</v>
      </c>
      <c r="Q37" s="54"/>
      <c r="R37" s="54"/>
      <c r="S37" s="54"/>
      <c r="T37" s="54"/>
    </row>
    <row r="38" spans="2:20" ht="12" customHeight="1" x14ac:dyDescent="0.15">
      <c r="B38" s="37"/>
      <c r="D38" s="56" t="s">
        <v>74</v>
      </c>
      <c r="E38" s="57"/>
      <c r="F38" s="53"/>
      <c r="G38" s="58" t="s">
        <v>75</v>
      </c>
      <c r="H38" s="59"/>
      <c r="I38" s="59"/>
      <c r="J38" s="59"/>
      <c r="K38" s="59"/>
      <c r="L38" s="60" t="s">
        <v>76</v>
      </c>
      <c r="Q38" s="41"/>
      <c r="R38" s="41"/>
      <c r="S38" s="41"/>
      <c r="T38" s="41"/>
    </row>
    <row r="39" spans="2:20" ht="12" customHeight="1" x14ac:dyDescent="0.15">
      <c r="B39" s="37"/>
      <c r="D39" s="56" t="s">
        <v>77</v>
      </c>
      <c r="E39" s="57"/>
      <c r="F39" s="53"/>
      <c r="G39" s="58" t="s">
        <v>78</v>
      </c>
      <c r="H39" s="59"/>
      <c r="I39" s="59"/>
      <c r="J39" s="59"/>
      <c r="K39" s="59"/>
      <c r="L39" s="60" t="s">
        <v>79</v>
      </c>
      <c r="Q39" s="41"/>
      <c r="R39" s="41"/>
      <c r="S39" s="41"/>
      <c r="T39" s="41"/>
    </row>
    <row r="40" spans="2:20" ht="20" customHeight="1" thickBot="1" x14ac:dyDescent="0.25">
      <c r="B40" s="48"/>
      <c r="C40" s="49" t="s">
        <v>80</v>
      </c>
      <c r="D40" s="50"/>
      <c r="E40" s="51"/>
      <c r="F40" s="50"/>
      <c r="G40" s="50"/>
      <c r="H40" s="50"/>
      <c r="I40" s="48"/>
      <c r="J40" s="50"/>
      <c r="K40" s="50"/>
      <c r="L40" s="50"/>
      <c r="M40" s="48"/>
      <c r="N40" s="50"/>
      <c r="O40" s="50"/>
      <c r="P40" s="50"/>
      <c r="Q40" s="61"/>
      <c r="R40" s="41"/>
      <c r="S40" s="41"/>
      <c r="T40" s="41"/>
    </row>
    <row r="41" spans="2:20" ht="12" customHeight="1" thickTop="1" x14ac:dyDescent="0.15">
      <c r="B41" s="52"/>
      <c r="D41" s="40"/>
      <c r="E41" s="41"/>
      <c r="Q41" s="41"/>
      <c r="R41" s="41"/>
      <c r="S41" s="41"/>
      <c r="T41" s="41"/>
    </row>
    <row r="42" spans="2:20" s="53" customFormat="1" ht="15" customHeight="1" x14ac:dyDescent="0.15">
      <c r="B42" s="52"/>
      <c r="E42" s="54"/>
      <c r="G42" s="55" t="s">
        <v>72</v>
      </c>
      <c r="L42" s="55" t="s">
        <v>73</v>
      </c>
      <c r="Q42" s="54"/>
      <c r="R42" s="54"/>
      <c r="S42" s="54"/>
      <c r="T42" s="54"/>
    </row>
    <row r="43" spans="2:20" s="53" customFormat="1" ht="15" customHeight="1" x14ac:dyDescent="0.15">
      <c r="B43" s="52"/>
      <c r="C43" s="62" t="s">
        <v>81</v>
      </c>
      <c r="D43" s="63"/>
      <c r="E43" s="64"/>
      <c r="F43" s="63"/>
      <c r="G43" s="65"/>
      <c r="H43" s="63"/>
      <c r="I43" s="63"/>
      <c r="J43" s="63"/>
      <c r="K43" s="63"/>
      <c r="L43" s="65"/>
      <c r="Q43" s="54"/>
      <c r="R43" s="54"/>
      <c r="S43" s="54"/>
      <c r="T43" s="54"/>
    </row>
    <row r="44" spans="2:20" ht="12" customHeight="1" x14ac:dyDescent="0.15">
      <c r="B44" s="52"/>
      <c r="C44" s="56"/>
      <c r="D44" s="56" t="s">
        <v>82</v>
      </c>
      <c r="E44" s="57"/>
      <c r="F44" s="59"/>
      <c r="G44" s="58" t="s">
        <v>83</v>
      </c>
      <c r="H44" s="59"/>
      <c r="I44" s="59"/>
      <c r="J44" s="59"/>
      <c r="K44" s="59"/>
      <c r="L44" s="60" t="s">
        <v>84</v>
      </c>
      <c r="Q44" s="41"/>
      <c r="R44" s="41"/>
      <c r="S44" s="41"/>
      <c r="T44" s="41"/>
    </row>
    <row r="45" spans="2:20" ht="12" customHeight="1" x14ac:dyDescent="0.15">
      <c r="B45" s="52"/>
      <c r="C45" s="56"/>
      <c r="D45" s="56" t="s">
        <v>85</v>
      </c>
      <c r="E45" s="57"/>
      <c r="F45" s="59"/>
      <c r="G45" s="58" t="s">
        <v>86</v>
      </c>
      <c r="H45" s="59"/>
      <c r="I45" s="59"/>
      <c r="J45" s="59"/>
      <c r="K45" s="59"/>
      <c r="L45" s="60" t="s">
        <v>87</v>
      </c>
      <c r="Q45" s="41"/>
      <c r="R45" s="41"/>
      <c r="S45" s="41"/>
      <c r="T45" s="41"/>
    </row>
    <row r="46" spans="2:20" ht="12" customHeight="1" x14ac:dyDescent="0.15">
      <c r="B46" s="52"/>
      <c r="C46" s="56"/>
      <c r="D46" s="56" t="s">
        <v>88</v>
      </c>
      <c r="E46" s="57"/>
      <c r="F46" s="59"/>
      <c r="G46" s="58" t="s">
        <v>89</v>
      </c>
      <c r="H46" s="59"/>
      <c r="I46" s="59"/>
      <c r="J46" s="59"/>
      <c r="K46" s="59"/>
      <c r="L46" s="60" t="s">
        <v>90</v>
      </c>
      <c r="Q46" s="41"/>
      <c r="R46" s="41"/>
      <c r="S46" s="41"/>
      <c r="T46" s="41"/>
    </row>
    <row r="47" spans="2:20" ht="12" customHeight="1" x14ac:dyDescent="0.15">
      <c r="B47" s="52"/>
      <c r="C47" s="56"/>
      <c r="D47" s="56" t="s">
        <v>91</v>
      </c>
      <c r="E47" s="57"/>
      <c r="F47" s="59"/>
      <c r="G47" s="58" t="s">
        <v>92</v>
      </c>
      <c r="H47" s="59"/>
      <c r="I47" s="59"/>
      <c r="J47" s="59"/>
      <c r="K47" s="59"/>
      <c r="L47" s="60" t="s">
        <v>93</v>
      </c>
      <c r="Q47" s="41"/>
      <c r="R47" s="41"/>
      <c r="S47" s="41"/>
      <c r="T47" s="41"/>
    </row>
    <row r="48" spans="2:20" ht="12" customHeight="1" x14ac:dyDescent="0.15">
      <c r="B48" s="52"/>
      <c r="C48" s="59"/>
      <c r="D48" s="56" t="s">
        <v>94</v>
      </c>
      <c r="E48" s="57"/>
      <c r="F48" s="59"/>
      <c r="G48" s="58" t="s">
        <v>95</v>
      </c>
      <c r="H48" s="59"/>
      <c r="I48" s="59"/>
      <c r="J48" s="59"/>
      <c r="K48" s="59"/>
      <c r="L48" s="66" t="s">
        <v>96</v>
      </c>
      <c r="Q48" s="41"/>
      <c r="R48" s="41"/>
      <c r="S48" s="41"/>
      <c r="T48" s="41"/>
    </row>
    <row r="49" spans="2:20" ht="12" customHeight="1" x14ac:dyDescent="0.15">
      <c r="B49" s="37"/>
      <c r="C49" s="59"/>
      <c r="D49" s="67"/>
      <c r="E49" s="57"/>
      <c r="F49" s="59"/>
      <c r="G49" s="59"/>
      <c r="H49" s="59"/>
      <c r="I49" s="59"/>
      <c r="J49" s="59"/>
      <c r="K49" s="59"/>
      <c r="L49" s="59"/>
      <c r="Q49" s="41"/>
      <c r="R49" s="41"/>
      <c r="S49" s="41"/>
      <c r="T49" s="41"/>
    </row>
    <row r="50" spans="2:20" ht="12" customHeight="1" x14ac:dyDescent="0.15">
      <c r="B50" s="37"/>
      <c r="C50" s="68" t="s">
        <v>97</v>
      </c>
      <c r="D50" s="40"/>
      <c r="E50" s="41"/>
      <c r="Q50" s="41"/>
      <c r="R50" s="41"/>
      <c r="S50" s="41"/>
      <c r="T50" s="41"/>
    </row>
    <row r="51" spans="2:20" ht="12" customHeight="1" x14ac:dyDescent="0.15">
      <c r="B51" s="37"/>
      <c r="C51" s="59"/>
      <c r="D51" s="56" t="s">
        <v>98</v>
      </c>
      <c r="E51" s="41"/>
      <c r="G51" s="58" t="s">
        <v>99</v>
      </c>
      <c r="L51" s="66"/>
      <c r="Q51" s="41"/>
      <c r="R51" s="41"/>
      <c r="S51" s="41"/>
      <c r="T51" s="41"/>
    </row>
    <row r="52" spans="2:20" ht="12" customHeight="1" x14ac:dyDescent="0.15">
      <c r="B52" s="37"/>
      <c r="C52" s="59"/>
      <c r="D52" s="56" t="s">
        <v>11</v>
      </c>
      <c r="E52" s="41"/>
      <c r="G52" s="58" t="s">
        <v>100</v>
      </c>
      <c r="L52" s="66"/>
      <c r="Q52" s="41"/>
      <c r="R52" s="41"/>
      <c r="S52" s="41"/>
      <c r="T52" s="41"/>
    </row>
    <row r="53" spans="2:20" ht="12" customHeight="1" x14ac:dyDescent="0.15">
      <c r="B53" s="37"/>
      <c r="C53" s="59"/>
      <c r="D53" s="56" t="s">
        <v>101</v>
      </c>
      <c r="E53" s="41"/>
      <c r="G53" s="58" t="s">
        <v>102</v>
      </c>
      <c r="L53" s="66" t="s">
        <v>103</v>
      </c>
      <c r="Q53" s="41"/>
      <c r="R53" s="41"/>
      <c r="S53" s="41"/>
      <c r="T53" s="41"/>
    </row>
    <row r="54" spans="2:20" ht="12" customHeight="1" x14ac:dyDescent="0.15">
      <c r="B54" s="37"/>
      <c r="C54" s="59"/>
      <c r="D54" s="56" t="s">
        <v>104</v>
      </c>
      <c r="E54" s="41"/>
      <c r="G54" s="58" t="s">
        <v>105</v>
      </c>
      <c r="L54" s="66"/>
      <c r="Q54" s="41"/>
      <c r="R54" s="41"/>
      <c r="S54" s="41"/>
      <c r="T54" s="41"/>
    </row>
    <row r="55" spans="2:20" ht="12" customHeight="1" x14ac:dyDescent="0.15">
      <c r="B55" s="37"/>
      <c r="D55" s="40"/>
      <c r="E55" s="41"/>
      <c r="G55" s="58"/>
      <c r="L55" s="66"/>
      <c r="Q55" s="41"/>
      <c r="R55" s="41"/>
      <c r="S55" s="41"/>
      <c r="T55" s="41"/>
    </row>
    <row r="56" spans="2:20" ht="12" customHeight="1" x14ac:dyDescent="0.15">
      <c r="B56" s="37"/>
      <c r="C56" s="68" t="s">
        <v>106</v>
      </c>
      <c r="D56" s="40"/>
      <c r="E56" s="41"/>
      <c r="G56" s="58"/>
      <c r="L56" s="66"/>
      <c r="Q56" s="41"/>
      <c r="R56" s="41"/>
      <c r="S56" s="41"/>
      <c r="T56" s="41"/>
    </row>
    <row r="57" spans="2:20" ht="12" customHeight="1" x14ac:dyDescent="0.15">
      <c r="B57" s="37"/>
      <c r="D57" s="56" t="s">
        <v>98</v>
      </c>
      <c r="E57" s="41"/>
      <c r="G57" s="58" t="s">
        <v>99</v>
      </c>
      <c r="L57" s="66"/>
      <c r="Q57" s="41"/>
      <c r="R57" s="41"/>
      <c r="S57" s="41"/>
      <c r="T57" s="41"/>
    </row>
    <row r="58" spans="2:20" ht="12" customHeight="1" x14ac:dyDescent="0.15">
      <c r="B58" s="37"/>
      <c r="D58" s="56" t="s">
        <v>107</v>
      </c>
      <c r="E58" s="41"/>
      <c r="G58" s="58" t="s">
        <v>108</v>
      </c>
      <c r="L58" s="66"/>
      <c r="Q58" s="41"/>
      <c r="R58" s="41"/>
      <c r="S58" s="41"/>
      <c r="T58" s="41"/>
    </row>
    <row r="59" spans="2:20" ht="12" customHeight="1" x14ac:dyDescent="0.15">
      <c r="B59" s="37"/>
      <c r="D59" s="56" t="s">
        <v>109</v>
      </c>
      <c r="E59" s="41"/>
      <c r="G59" s="58" t="s">
        <v>110</v>
      </c>
      <c r="L59" s="66"/>
      <c r="Q59" s="41"/>
      <c r="R59" s="41"/>
      <c r="S59" s="41"/>
      <c r="T59" s="41"/>
    </row>
    <row r="60" spans="2:20" ht="12" customHeight="1" x14ac:dyDescent="0.15">
      <c r="B60" s="37"/>
      <c r="D60" s="56" t="s">
        <v>111</v>
      </c>
      <c r="E60" s="41"/>
      <c r="G60" s="58" t="s">
        <v>112</v>
      </c>
      <c r="L60" s="66" t="s">
        <v>113</v>
      </c>
      <c r="Q60" s="41"/>
      <c r="R60" s="41"/>
      <c r="S60" s="41"/>
      <c r="T60" s="41"/>
    </row>
    <row r="61" spans="2:20" ht="12" customHeight="1" x14ac:dyDescent="0.15">
      <c r="B61" s="37"/>
      <c r="C61" s="68" t="s">
        <v>114</v>
      </c>
      <c r="D61" s="59"/>
      <c r="E61" s="57"/>
      <c r="G61" s="58"/>
      <c r="L61" s="66"/>
      <c r="Q61" s="41"/>
      <c r="R61" s="41"/>
      <c r="S61" s="41"/>
      <c r="T61" s="41"/>
    </row>
    <row r="62" spans="2:20" ht="12" customHeight="1" x14ac:dyDescent="0.15">
      <c r="B62" s="37"/>
      <c r="C62" s="69"/>
      <c r="D62" s="56" t="s">
        <v>115</v>
      </c>
      <c r="E62" s="56"/>
      <c r="G62" s="58" t="s">
        <v>116</v>
      </c>
      <c r="L62" s="66" t="s">
        <v>117</v>
      </c>
      <c r="Q62" s="41"/>
      <c r="R62" s="41"/>
      <c r="S62" s="41"/>
      <c r="T62" s="41"/>
    </row>
    <row r="63" spans="2:20" x14ac:dyDescent="0.15">
      <c r="D63" s="56" t="s">
        <v>118</v>
      </c>
      <c r="E63" s="56"/>
      <c r="G63" s="58" t="s">
        <v>119</v>
      </c>
    </row>
    <row r="64" spans="2:20" ht="12" customHeight="1" x14ac:dyDescent="0.15">
      <c r="B64" s="37"/>
      <c r="C64" s="56"/>
      <c r="D64" s="56" t="s">
        <v>120</v>
      </c>
      <c r="E64" s="57"/>
      <c r="G64" s="58" t="s">
        <v>121</v>
      </c>
      <c r="L64" s="66"/>
      <c r="Q64" s="41"/>
      <c r="R64" s="41"/>
      <c r="S64" s="41"/>
      <c r="T64" s="41"/>
    </row>
    <row r="65" spans="2:20" ht="12" customHeight="1" x14ac:dyDescent="0.15">
      <c r="B65" s="37"/>
      <c r="C65" s="56"/>
      <c r="D65" s="56" t="s">
        <v>122</v>
      </c>
      <c r="E65" s="57"/>
      <c r="G65" s="58" t="s">
        <v>123</v>
      </c>
      <c r="L65" s="66" t="s">
        <v>124</v>
      </c>
      <c r="Q65" s="41"/>
      <c r="R65" s="41"/>
      <c r="S65" s="41"/>
      <c r="T65" s="41"/>
    </row>
    <row r="66" spans="2:20" ht="12" customHeight="1" x14ac:dyDescent="0.15">
      <c r="B66" s="37"/>
      <c r="C66" s="68" t="s">
        <v>125</v>
      </c>
      <c r="D66" s="56"/>
      <c r="E66" s="57"/>
      <c r="G66" s="58"/>
      <c r="L66" s="66"/>
      <c r="Q66" s="41"/>
      <c r="R66" s="41"/>
      <c r="S66" s="41"/>
      <c r="T66" s="41"/>
    </row>
    <row r="67" spans="2:20" ht="12" customHeight="1" x14ac:dyDescent="0.15">
      <c r="B67" s="37"/>
      <c r="C67" s="59"/>
      <c r="D67" s="67" t="s">
        <v>126</v>
      </c>
      <c r="E67" s="57"/>
      <c r="G67" s="58"/>
      <c r="L67" s="66" t="s">
        <v>127</v>
      </c>
      <c r="Q67" s="41"/>
      <c r="R67" s="41"/>
      <c r="S67" s="41"/>
      <c r="T67" s="41"/>
    </row>
    <row r="68" spans="2:20" ht="12" customHeight="1" x14ac:dyDescent="0.15">
      <c r="B68" s="37"/>
      <c r="C68" s="59"/>
      <c r="D68" s="67"/>
      <c r="E68" s="57"/>
      <c r="G68" s="58"/>
      <c r="L68" s="66"/>
      <c r="Q68" s="41"/>
      <c r="R68" s="41"/>
      <c r="S68" s="41"/>
      <c r="T68" s="41"/>
    </row>
    <row r="69" spans="2:20" ht="12" customHeight="1" x14ac:dyDescent="0.15">
      <c r="B69" s="37"/>
      <c r="C69" s="59"/>
      <c r="D69" s="67"/>
      <c r="E69" s="57"/>
      <c r="G69" s="58"/>
      <c r="L69" s="66"/>
      <c r="Q69" s="41"/>
      <c r="R69" s="41"/>
      <c r="S69" s="41"/>
      <c r="T69" s="41"/>
    </row>
    <row r="70" spans="2:20" ht="12" customHeight="1" x14ac:dyDescent="0.15">
      <c r="B70" s="37"/>
      <c r="C70" s="59"/>
      <c r="D70" s="67"/>
      <c r="E70" s="57"/>
      <c r="G70" s="58"/>
      <c r="L70" s="66"/>
      <c r="Q70" s="41"/>
      <c r="R70" s="41"/>
      <c r="S70" s="41"/>
      <c r="T70" s="41"/>
    </row>
    <row r="71" spans="2:20" ht="12" customHeight="1" x14ac:dyDescent="0.15">
      <c r="B71" s="37"/>
      <c r="D71" s="40"/>
      <c r="E71" s="41"/>
      <c r="G71" s="58"/>
      <c r="L71" s="66"/>
      <c r="Q71" s="41"/>
      <c r="R71" s="41"/>
      <c r="S71" s="41"/>
      <c r="T71" s="41"/>
    </row>
    <row r="72" spans="2:20" ht="20" customHeight="1" thickBot="1" x14ac:dyDescent="0.25">
      <c r="B72" s="48"/>
      <c r="C72" s="49" t="s">
        <v>128</v>
      </c>
      <c r="D72" s="50"/>
      <c r="E72" s="51"/>
      <c r="F72" s="50"/>
      <c r="G72" s="50"/>
      <c r="H72" s="50"/>
      <c r="I72" s="48"/>
      <c r="J72" s="50"/>
      <c r="K72" s="50"/>
      <c r="L72" s="50"/>
      <c r="M72" s="48"/>
      <c r="N72" s="50"/>
      <c r="O72" s="50"/>
      <c r="P72" s="50"/>
      <c r="Q72" s="61"/>
      <c r="R72" s="41"/>
      <c r="S72" s="41"/>
      <c r="T72" s="41"/>
    </row>
    <row r="73" spans="2:20" ht="12" customHeight="1" thickTop="1" x14ac:dyDescent="0.15">
      <c r="B73" s="37"/>
      <c r="D73" s="40"/>
      <c r="E73" s="41"/>
      <c r="G73" s="58"/>
      <c r="L73" s="66"/>
      <c r="Q73" s="41"/>
      <c r="R73" s="41"/>
      <c r="S73" s="41"/>
      <c r="T73" s="41"/>
    </row>
    <row r="74" spans="2:20" ht="20" customHeight="1" x14ac:dyDescent="0.15">
      <c r="B74" s="37"/>
      <c r="D74" s="40"/>
      <c r="E74" s="41"/>
      <c r="G74" s="55" t="s">
        <v>72</v>
      </c>
      <c r="H74" s="53"/>
      <c r="I74" s="53"/>
      <c r="J74" s="53"/>
      <c r="K74" s="53"/>
      <c r="L74" s="55" t="s">
        <v>73</v>
      </c>
      <c r="Q74" s="41"/>
      <c r="R74" s="41"/>
      <c r="S74" s="41"/>
      <c r="T74" s="41"/>
    </row>
    <row r="75" spans="2:20" ht="12" customHeight="1" x14ac:dyDescent="0.15">
      <c r="B75" s="37"/>
      <c r="C75" s="68" t="s">
        <v>129</v>
      </c>
      <c r="D75" s="56"/>
      <c r="E75" s="41"/>
      <c r="G75" s="58" t="s">
        <v>130</v>
      </c>
      <c r="L75" s="66"/>
      <c r="Q75" s="41"/>
      <c r="R75" s="41"/>
      <c r="S75" s="41"/>
      <c r="T75" s="41"/>
    </row>
    <row r="76" spans="2:20" ht="12" customHeight="1" x14ac:dyDescent="0.15">
      <c r="B76" s="37"/>
      <c r="C76" s="56"/>
      <c r="D76" s="56"/>
      <c r="E76" s="41"/>
      <c r="G76" s="58"/>
      <c r="L76" s="66"/>
      <c r="Q76" s="41"/>
      <c r="R76" s="41"/>
      <c r="S76" s="41"/>
      <c r="T76" s="41"/>
    </row>
    <row r="77" spans="2:20" ht="12" customHeight="1" x14ac:dyDescent="0.15">
      <c r="B77" s="37"/>
      <c r="C77" s="68" t="s">
        <v>131</v>
      </c>
      <c r="D77" s="69"/>
      <c r="E77" s="41"/>
      <c r="G77" s="70" t="s">
        <v>132</v>
      </c>
      <c r="L77" s="66"/>
      <c r="Q77" s="41"/>
      <c r="R77" s="41"/>
      <c r="S77" s="41"/>
      <c r="T77" s="41"/>
    </row>
    <row r="78" spans="2:20" ht="12" customHeight="1" x14ac:dyDescent="0.15">
      <c r="B78" s="37"/>
      <c r="C78" s="69"/>
      <c r="D78" s="71" t="s">
        <v>133</v>
      </c>
      <c r="E78" s="41"/>
      <c r="G78" s="70" t="s">
        <v>134</v>
      </c>
      <c r="L78" s="66"/>
      <c r="Q78" s="41"/>
      <c r="R78" s="41"/>
      <c r="S78" s="41"/>
      <c r="T78" s="41"/>
    </row>
    <row r="79" spans="2:20" ht="12" customHeight="1" x14ac:dyDescent="0.2">
      <c r="B79" s="37"/>
      <c r="C79" s="56"/>
      <c r="D79" s="56" t="s">
        <v>135</v>
      </c>
      <c r="E79" s="41"/>
      <c r="G79" s="58" t="s">
        <v>136</v>
      </c>
      <c r="L79" s="72" t="s">
        <v>137</v>
      </c>
      <c r="Q79" s="41"/>
      <c r="R79" s="41"/>
      <c r="S79" s="41"/>
      <c r="T79" s="41"/>
    </row>
    <row r="80" spans="2:20" ht="12" customHeight="1" x14ac:dyDescent="0.2">
      <c r="B80" s="37"/>
      <c r="C80" s="56"/>
      <c r="D80" s="56" t="s">
        <v>138</v>
      </c>
      <c r="E80" s="41"/>
      <c r="G80" s="58" t="s">
        <v>139</v>
      </c>
      <c r="L80" s="72" t="s">
        <v>137</v>
      </c>
      <c r="Q80" s="41"/>
      <c r="R80" s="41"/>
      <c r="S80" s="41"/>
      <c r="T80" s="41"/>
    </row>
    <row r="81" spans="2:20" ht="12" customHeight="1" x14ac:dyDescent="0.15">
      <c r="B81" s="37"/>
      <c r="C81" s="56"/>
      <c r="D81" s="56"/>
      <c r="E81" s="41"/>
      <c r="G81" s="58"/>
      <c r="L81" s="66"/>
      <c r="Q81" s="41"/>
      <c r="R81" s="41"/>
      <c r="S81" s="41"/>
      <c r="T81" s="41"/>
    </row>
    <row r="82" spans="2:20" ht="12" customHeight="1" x14ac:dyDescent="0.15">
      <c r="B82" s="37"/>
      <c r="C82" s="56"/>
      <c r="D82" s="56" t="s">
        <v>140</v>
      </c>
      <c r="E82" s="41"/>
      <c r="G82" s="58" t="s">
        <v>141</v>
      </c>
      <c r="L82" s="66"/>
      <c r="Q82" s="41"/>
      <c r="R82" s="41"/>
      <c r="S82" s="41"/>
      <c r="T82" s="41"/>
    </row>
    <row r="83" spans="2:20" ht="12" customHeight="1" x14ac:dyDescent="0.15">
      <c r="B83" s="37"/>
      <c r="C83" s="56"/>
      <c r="D83" s="56" t="s">
        <v>142</v>
      </c>
      <c r="E83" s="41"/>
      <c r="G83" s="58" t="s">
        <v>143</v>
      </c>
      <c r="L83" s="66"/>
      <c r="Q83" s="41"/>
      <c r="R83" s="41"/>
      <c r="S83" s="41"/>
      <c r="T83" s="41"/>
    </row>
    <row r="84" spans="2:20" ht="12" customHeight="1" x14ac:dyDescent="0.15">
      <c r="B84" s="37"/>
      <c r="C84" s="56"/>
      <c r="D84" s="56" t="s">
        <v>144</v>
      </c>
      <c r="E84" s="41"/>
      <c r="G84" s="58" t="s">
        <v>145</v>
      </c>
      <c r="L84" s="66"/>
      <c r="Q84" s="41"/>
      <c r="R84" s="41"/>
      <c r="S84" s="41"/>
      <c r="T84" s="41"/>
    </row>
    <row r="85" spans="2:20" ht="12" customHeight="1" x14ac:dyDescent="0.2">
      <c r="B85" s="37"/>
      <c r="C85" s="56"/>
      <c r="D85" s="56" t="s">
        <v>146</v>
      </c>
      <c r="E85" s="41"/>
      <c r="G85" s="58" t="s">
        <v>147</v>
      </c>
      <c r="L85" s="72" t="s">
        <v>137</v>
      </c>
      <c r="Q85" s="41"/>
      <c r="R85" s="41"/>
      <c r="S85" s="41"/>
      <c r="T85" s="41"/>
    </row>
    <row r="86" spans="2:20" ht="12" customHeight="1" x14ac:dyDescent="0.2">
      <c r="B86" s="73"/>
      <c r="C86" s="56"/>
      <c r="D86" s="56" t="s">
        <v>148</v>
      </c>
      <c r="E86" s="41"/>
      <c r="G86" s="58" t="s">
        <v>149</v>
      </c>
      <c r="L86" s="72" t="s">
        <v>137</v>
      </c>
      <c r="Q86" s="41"/>
      <c r="R86" s="41"/>
      <c r="S86" s="41"/>
      <c r="T86" s="41"/>
    </row>
    <row r="87" spans="2:20" ht="12" customHeight="1" x14ac:dyDescent="0.15">
      <c r="B87" s="37"/>
      <c r="C87" s="56"/>
      <c r="D87" s="56"/>
      <c r="E87" s="41"/>
      <c r="G87" s="58"/>
      <c r="L87" s="66"/>
      <c r="Q87" s="41"/>
      <c r="R87" s="41"/>
      <c r="S87" s="41"/>
      <c r="T87" s="41"/>
    </row>
    <row r="88" spans="2:20" ht="12" customHeight="1" x14ac:dyDescent="0.15">
      <c r="B88" s="37"/>
      <c r="C88" s="56"/>
      <c r="D88" s="56" t="s">
        <v>150</v>
      </c>
      <c r="E88" s="41"/>
      <c r="G88" s="58" t="s">
        <v>151</v>
      </c>
      <c r="L88" s="66"/>
      <c r="Q88" s="41"/>
      <c r="R88" s="41"/>
      <c r="S88" s="41"/>
      <c r="T88" s="41"/>
    </row>
    <row r="89" spans="2:20" ht="12" customHeight="1" x14ac:dyDescent="0.15">
      <c r="B89" s="37"/>
      <c r="C89" s="56"/>
      <c r="D89" s="56"/>
      <c r="E89" s="41"/>
      <c r="G89" s="58"/>
      <c r="L89" s="66"/>
      <c r="Q89" s="41"/>
      <c r="R89" s="41"/>
      <c r="S89" s="41"/>
      <c r="T89" s="41"/>
    </row>
    <row r="90" spans="2:20" ht="12" customHeight="1" x14ac:dyDescent="0.15">
      <c r="B90" s="37"/>
      <c r="C90" s="71" t="s">
        <v>152</v>
      </c>
      <c r="D90" s="56"/>
      <c r="E90" s="41"/>
      <c r="G90" s="58"/>
      <c r="L90" s="66"/>
      <c r="Q90" s="41"/>
      <c r="R90" s="41"/>
      <c r="S90" s="41"/>
      <c r="T90" s="41"/>
    </row>
    <row r="91" spans="2:20" ht="12" customHeight="1" x14ac:dyDescent="0.15">
      <c r="B91" s="37"/>
      <c r="C91" s="74" t="s">
        <v>153</v>
      </c>
      <c r="D91" s="56"/>
      <c r="E91" s="41"/>
      <c r="G91" s="58"/>
      <c r="L91" s="66"/>
      <c r="Q91" s="41"/>
      <c r="R91" s="41"/>
      <c r="S91" s="41"/>
      <c r="T91" s="41"/>
    </row>
    <row r="92" spans="2:20" ht="12" customHeight="1" x14ac:dyDescent="0.15">
      <c r="B92" s="37"/>
      <c r="C92" s="74" t="s">
        <v>154</v>
      </c>
      <c r="D92" s="56"/>
      <c r="E92" s="41"/>
      <c r="G92" s="58"/>
      <c r="L92" s="66"/>
      <c r="Q92" s="41"/>
      <c r="R92" s="41"/>
      <c r="S92" s="41"/>
      <c r="T92" s="41"/>
    </row>
    <row r="93" spans="2:20" ht="12" customHeight="1" x14ac:dyDescent="0.15">
      <c r="B93" s="37"/>
      <c r="C93" s="74"/>
      <c r="D93" s="56"/>
      <c r="E93" s="41"/>
      <c r="G93" s="58"/>
      <c r="L93" s="66"/>
      <c r="Q93" s="41"/>
      <c r="R93" s="41"/>
      <c r="S93" s="41"/>
      <c r="T93" s="41"/>
    </row>
    <row r="94" spans="2:20" ht="12" customHeight="1" x14ac:dyDescent="0.15">
      <c r="B94" s="37"/>
      <c r="C94" s="56"/>
      <c r="D94" s="68" t="s">
        <v>155</v>
      </c>
      <c r="E94" s="41"/>
      <c r="G94" s="58" t="s">
        <v>156</v>
      </c>
      <c r="L94" s="66"/>
      <c r="Q94" s="41"/>
      <c r="R94" s="41"/>
      <c r="S94" s="41"/>
      <c r="T94" s="41"/>
    </row>
    <row r="95" spans="2:20" ht="12" customHeight="1" x14ac:dyDescent="0.15">
      <c r="B95" s="37"/>
      <c r="C95" s="56"/>
      <c r="D95" s="71"/>
      <c r="E95" s="41"/>
      <c r="G95" s="58"/>
      <c r="L95" s="66"/>
      <c r="Q95" s="41"/>
      <c r="R95" s="41"/>
      <c r="S95" s="41"/>
      <c r="T95" s="41"/>
    </row>
    <row r="96" spans="2:20" ht="12" customHeight="1" x14ac:dyDescent="0.15">
      <c r="B96" s="37"/>
      <c r="C96" s="56"/>
      <c r="D96" s="68" t="s">
        <v>157</v>
      </c>
      <c r="E96" s="59"/>
      <c r="G96" s="58"/>
      <c r="L96" s="66"/>
      <c r="Q96" s="41"/>
      <c r="R96" s="41"/>
      <c r="S96" s="41"/>
      <c r="T96" s="41"/>
    </row>
    <row r="97" spans="2:20" ht="12" customHeight="1" x14ac:dyDescent="0.15">
      <c r="B97" s="37"/>
      <c r="C97" s="56"/>
      <c r="D97" s="68"/>
      <c r="E97" s="56" t="s">
        <v>158</v>
      </c>
      <c r="G97" s="58" t="s">
        <v>159</v>
      </c>
      <c r="L97" s="66"/>
      <c r="Q97" s="41"/>
      <c r="R97" s="41"/>
      <c r="S97" s="41"/>
      <c r="T97" s="41"/>
    </row>
    <row r="98" spans="2:20" ht="12" customHeight="1" x14ac:dyDescent="0.15">
      <c r="B98" s="37"/>
      <c r="C98" s="59"/>
      <c r="D98" s="56"/>
      <c r="E98" s="56" t="s">
        <v>160</v>
      </c>
      <c r="G98" s="58" t="s">
        <v>161</v>
      </c>
      <c r="L98" s="66"/>
      <c r="Q98" s="41"/>
      <c r="R98" s="41"/>
      <c r="S98" s="41"/>
      <c r="T98" s="41"/>
    </row>
    <row r="99" spans="2:20" ht="12" customHeight="1" x14ac:dyDescent="0.15">
      <c r="B99" s="37"/>
      <c r="C99" s="59"/>
      <c r="D99" s="56"/>
      <c r="E99" s="56" t="s">
        <v>162</v>
      </c>
      <c r="G99" s="58" t="s">
        <v>163</v>
      </c>
      <c r="L99" s="66"/>
      <c r="Q99" s="41"/>
      <c r="R99" s="41"/>
      <c r="S99" s="41"/>
      <c r="T99" s="41"/>
    </row>
    <row r="100" spans="2:20" ht="12" customHeight="1" x14ac:dyDescent="0.15">
      <c r="B100" s="37"/>
      <c r="C100" s="59"/>
      <c r="D100" s="56"/>
      <c r="E100" s="56" t="s">
        <v>164</v>
      </c>
      <c r="G100" s="58" t="s">
        <v>165</v>
      </c>
      <c r="L100" s="66" t="s">
        <v>166</v>
      </c>
      <c r="Q100" s="41"/>
      <c r="R100" s="41"/>
      <c r="S100" s="41"/>
      <c r="T100" s="41"/>
    </row>
    <row r="101" spans="2:20" ht="12" customHeight="1" x14ac:dyDescent="0.15">
      <c r="B101" s="37"/>
      <c r="C101" s="59"/>
      <c r="D101" s="67"/>
      <c r="E101" s="56" t="s">
        <v>167</v>
      </c>
      <c r="G101" s="58" t="s">
        <v>168</v>
      </c>
      <c r="L101" s="66" t="s">
        <v>169</v>
      </c>
      <c r="Q101" s="41"/>
      <c r="R101" s="41"/>
      <c r="S101" s="41"/>
      <c r="T101" s="41"/>
    </row>
    <row r="102" spans="2:20" ht="12" customHeight="1" x14ac:dyDescent="0.15">
      <c r="B102" s="37"/>
      <c r="C102" s="59"/>
      <c r="D102" s="67"/>
      <c r="E102" s="41"/>
      <c r="G102" s="58"/>
      <c r="L102" s="66"/>
      <c r="Q102" s="41"/>
      <c r="R102" s="41"/>
      <c r="S102" s="41"/>
      <c r="T102" s="41"/>
    </row>
    <row r="103" spans="2:20" ht="12" customHeight="1" x14ac:dyDescent="0.15">
      <c r="C103" s="59"/>
      <c r="D103" s="68" t="s">
        <v>170</v>
      </c>
      <c r="E103" s="59"/>
      <c r="G103" s="58"/>
      <c r="L103" s="66"/>
      <c r="Q103" s="75"/>
      <c r="R103" s="75"/>
      <c r="S103" s="75"/>
      <c r="T103" s="75"/>
    </row>
    <row r="104" spans="2:20" ht="12" customHeight="1" x14ac:dyDescent="0.15">
      <c r="C104" s="59"/>
      <c r="D104" s="59"/>
      <c r="E104" s="56" t="s">
        <v>171</v>
      </c>
      <c r="G104" s="58" t="s">
        <v>172</v>
      </c>
      <c r="L104" s="66"/>
      <c r="Q104" s="41"/>
      <c r="R104" s="41"/>
      <c r="S104" s="41"/>
      <c r="T104" s="41"/>
    </row>
    <row r="105" spans="2:20" ht="12" customHeight="1" x14ac:dyDescent="0.15">
      <c r="C105" s="59"/>
      <c r="D105" s="67"/>
      <c r="E105" s="57"/>
      <c r="G105" s="58"/>
      <c r="L105" s="66"/>
      <c r="Q105" s="41"/>
      <c r="R105" s="41"/>
      <c r="S105" s="41"/>
      <c r="T105" s="41"/>
    </row>
    <row r="106" spans="2:20" ht="12" customHeight="1" x14ac:dyDescent="0.15">
      <c r="C106" s="59"/>
      <c r="D106" s="68" t="s">
        <v>173</v>
      </c>
      <c r="E106" s="68"/>
      <c r="F106" s="68"/>
      <c r="G106" s="58"/>
      <c r="L106" s="66"/>
      <c r="Q106" s="41"/>
      <c r="R106" s="41"/>
      <c r="S106" s="41"/>
      <c r="T106" s="41"/>
    </row>
    <row r="107" spans="2:20" ht="12" customHeight="1" x14ac:dyDescent="0.15">
      <c r="C107" s="59"/>
      <c r="D107" s="68"/>
      <c r="E107" s="56" t="s">
        <v>174</v>
      </c>
      <c r="F107" s="68"/>
      <c r="G107" s="58" t="s">
        <v>175</v>
      </c>
      <c r="H107" s="42"/>
      <c r="L107" s="66"/>
      <c r="Q107" s="41"/>
      <c r="R107" s="41"/>
      <c r="S107" s="41"/>
      <c r="T107" s="41"/>
    </row>
    <row r="108" spans="2:20" ht="12" customHeight="1" x14ac:dyDescent="0.15">
      <c r="C108" s="59"/>
      <c r="D108" s="67"/>
      <c r="E108" s="41"/>
      <c r="G108" s="58"/>
      <c r="L108" s="66"/>
      <c r="Q108" s="41"/>
      <c r="R108" s="41"/>
      <c r="S108" s="41"/>
      <c r="T108" s="41"/>
    </row>
    <row r="109" spans="2:20" ht="12" customHeight="1" x14ac:dyDescent="0.15">
      <c r="C109" s="59"/>
      <c r="D109" s="68" t="s">
        <v>176</v>
      </c>
      <c r="E109" s="59"/>
      <c r="G109" s="70" t="s">
        <v>177</v>
      </c>
      <c r="L109" s="66"/>
      <c r="Q109" s="41"/>
      <c r="R109" s="41"/>
      <c r="S109" s="41"/>
      <c r="T109" s="41"/>
    </row>
    <row r="110" spans="2:20" x14ac:dyDescent="0.15">
      <c r="C110" s="59"/>
      <c r="D110" s="68"/>
      <c r="E110" s="56" t="s">
        <v>178</v>
      </c>
      <c r="G110" s="58" t="s">
        <v>179</v>
      </c>
      <c r="L110" s="66"/>
      <c r="Q110" s="41"/>
      <c r="R110" s="41"/>
      <c r="S110" s="41"/>
      <c r="T110" s="41"/>
    </row>
    <row r="111" spans="2:20" x14ac:dyDescent="0.15">
      <c r="D111" s="68"/>
      <c r="E111" s="56" t="s">
        <v>180</v>
      </c>
      <c r="G111" s="58" t="s">
        <v>181</v>
      </c>
      <c r="L111" s="66"/>
    </row>
    <row r="112" spans="2:20" x14ac:dyDescent="0.15">
      <c r="D112" s="68"/>
      <c r="E112" s="56" t="s">
        <v>182</v>
      </c>
      <c r="G112" s="58" t="s">
        <v>183</v>
      </c>
      <c r="L112" s="66"/>
    </row>
    <row r="113" spans="2:17" x14ac:dyDescent="0.15">
      <c r="D113" s="59"/>
      <c r="E113" s="56" t="s">
        <v>184</v>
      </c>
      <c r="G113" s="58" t="s">
        <v>185</v>
      </c>
      <c r="L113" s="66"/>
    </row>
    <row r="114" spans="2:17" x14ac:dyDescent="0.15">
      <c r="G114" s="58"/>
      <c r="L114" s="66"/>
    </row>
    <row r="115" spans="2:17" ht="15" thickBot="1" x14ac:dyDescent="0.2">
      <c r="B115" s="76"/>
      <c r="C115" s="77" t="s">
        <v>186</v>
      </c>
      <c r="D115" s="78"/>
      <c r="E115" s="76"/>
      <c r="F115" s="76"/>
      <c r="G115" s="76"/>
      <c r="H115" s="78"/>
      <c r="I115" s="78"/>
      <c r="J115" s="78"/>
      <c r="K115" s="78"/>
      <c r="L115" s="78"/>
      <c r="M115" s="78"/>
      <c r="N115" s="78"/>
      <c r="O115" s="78"/>
      <c r="P115" s="78"/>
      <c r="Q115" s="78"/>
    </row>
    <row r="116" spans="2:17" ht="15" thickTop="1" x14ac:dyDescent="0.15">
      <c r="G116" s="58"/>
      <c r="L116" s="66"/>
    </row>
    <row r="117" spans="2:17" x14ac:dyDescent="0.15">
      <c r="D117" s="79" t="s">
        <v>187</v>
      </c>
      <c r="G117" s="58" t="s">
        <v>188</v>
      </c>
      <c r="L117" s="66"/>
    </row>
    <row r="118" spans="2:17" x14ac:dyDescent="0.15">
      <c r="D118" s="79" t="s">
        <v>25</v>
      </c>
      <c r="G118" s="58" t="s">
        <v>189</v>
      </c>
    </row>
    <row r="119" spans="2:17" x14ac:dyDescent="0.15">
      <c r="D119" s="79" t="s">
        <v>190</v>
      </c>
      <c r="G119" s="58" t="s">
        <v>191</v>
      </c>
    </row>
    <row r="120" spans="2:17" x14ac:dyDescent="0.15">
      <c r="G120" s="58"/>
    </row>
    <row r="121" spans="2:17" x14ac:dyDescent="0.15">
      <c r="D121" s="80" t="s">
        <v>192</v>
      </c>
      <c r="E121" s="81"/>
      <c r="G121" s="58" t="s">
        <v>193</v>
      </c>
      <c r="L121" s="66"/>
    </row>
    <row r="122" spans="2:17" x14ac:dyDescent="0.15">
      <c r="D122" s="82" t="s">
        <v>194</v>
      </c>
      <c r="G122" s="58"/>
    </row>
    <row r="123" spans="2:17" x14ac:dyDescent="0.15">
      <c r="D123" s="83" t="s">
        <v>195</v>
      </c>
      <c r="G123" s="58" t="s">
        <v>196</v>
      </c>
    </row>
    <row r="124" spans="2:17" x14ac:dyDescent="0.15">
      <c r="G124" s="58"/>
    </row>
    <row r="125" spans="2:17" x14ac:dyDescent="0.15">
      <c r="G125" s="58"/>
    </row>
    <row r="126" spans="2:17" x14ac:dyDescent="0.15">
      <c r="G126" s="58"/>
    </row>
    <row r="128" spans="2:17" x14ac:dyDescent="0.15">
      <c r="B128" s="42" t="s">
        <v>197</v>
      </c>
      <c r="E128" s="42" t="s">
        <v>198</v>
      </c>
    </row>
    <row r="129" spans="2:5" x14ac:dyDescent="0.15">
      <c r="B129" s="34" t="s">
        <v>199</v>
      </c>
      <c r="E129" s="34" t="s">
        <v>200</v>
      </c>
    </row>
    <row r="130" spans="2:5" x14ac:dyDescent="0.15">
      <c r="B130" s="34" t="s">
        <v>201</v>
      </c>
      <c r="E130" s="34" t="s">
        <v>202</v>
      </c>
    </row>
  </sheetData>
  <sheetProtection insertRows="0" insertHyperlinks="0"/>
  <hyperlinks>
    <hyperlink ref="L79" location="NOTE!B90" display="xem giải thích DPD+ tại đây" xr:uid="{85195544-2D00-294B-9BC8-B15E570AE427}"/>
    <hyperlink ref="L80" location="NOTE!B90" display="xem giải thích DPD+ tại đây" xr:uid="{405FC253-A5F1-9544-BF86-8D144EE47697}"/>
    <hyperlink ref="L85" location="NOTE!B90" display="xem giải thích DPD+ tại đây" xr:uid="{6D8416BD-C883-F846-A75A-253DF5C52EE4}"/>
    <hyperlink ref="L86" location="NOTE!B90" display="xem giải thích DPD+ tại đây" xr:uid="{42E5BC15-8216-C149-B41C-15E7FCAE298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55807-2BD9-7747-B982-181B4546510E}">
  <sheetPr>
    <tabColor rgb="FFFFFF00"/>
    <pageSetUpPr fitToPage="1"/>
  </sheetPr>
  <dimension ref="A1:AG118"/>
  <sheetViews>
    <sheetView showGridLines="0" topLeftCell="A28" zoomScale="70" zoomScaleNormal="70" zoomScaleSheetLayoutView="70" workbookViewId="0">
      <selection activeCell="AD15" sqref="AD15"/>
    </sheetView>
  </sheetViews>
  <sheetFormatPr baseColWidth="10" defaultColWidth="9.1640625" defaultRowHeight="12" x14ac:dyDescent="0.15"/>
  <cols>
    <col min="1" max="1" width="4" style="84" customWidth="1"/>
    <col min="2" max="2" width="19.1640625" style="100" customWidth="1"/>
    <col min="3" max="3" width="18.33203125" style="100" bestFit="1" customWidth="1"/>
    <col min="4" max="4" width="7.33203125" style="107" customWidth="1"/>
    <col min="5" max="6" width="9" style="100" customWidth="1"/>
    <col min="7" max="7" width="11.5" style="100" customWidth="1"/>
    <col min="8" max="8" width="7.1640625" style="100" customWidth="1"/>
    <col min="9" max="9" width="15.5" style="107" customWidth="1"/>
    <col min="10" max="10" width="16.6640625" style="107" customWidth="1"/>
    <col min="11" max="11" width="11.5" style="100" customWidth="1"/>
    <col min="12" max="13" width="9" style="100" customWidth="1"/>
    <col min="14" max="16" width="8.5" style="100" customWidth="1"/>
    <col min="17" max="19" width="8.5" style="100" hidden="1" customWidth="1"/>
    <col min="20" max="20" width="8.5" style="100" customWidth="1"/>
    <col min="21" max="21" width="8.5" style="112" customWidth="1"/>
    <col min="22" max="22" width="9.1640625" style="107" customWidth="1"/>
    <col min="23" max="23" width="9.1640625" style="100"/>
    <col min="24" max="24" width="10.5" style="100" bestFit="1" customWidth="1"/>
    <col min="25" max="25" width="10.83203125" style="100" customWidth="1"/>
    <col min="26" max="38" width="9.1640625" style="100"/>
    <col min="39" max="39" width="9.1640625" style="100" customWidth="1"/>
    <col min="40" max="16384" width="9.1640625" style="100"/>
  </cols>
  <sheetData>
    <row r="1" spans="1:25" s="88" customFormat="1" ht="18" customHeight="1" x14ac:dyDescent="0.2">
      <c r="A1" s="84"/>
      <c r="B1" s="85" t="s">
        <v>203</v>
      </c>
      <c r="C1" s="86"/>
      <c r="D1" s="87">
        <v>1</v>
      </c>
      <c r="E1" s="87"/>
      <c r="F1" s="87"/>
      <c r="G1" s="87"/>
      <c r="H1" s="87"/>
      <c r="I1" s="86"/>
      <c r="J1" s="86"/>
      <c r="U1" s="89"/>
      <c r="V1" s="86"/>
    </row>
    <row r="2" spans="1:25" s="91" customFormat="1" ht="13" customHeight="1" x14ac:dyDescent="0.15">
      <c r="A2" s="90"/>
      <c r="B2" s="91" t="str">
        <f>NOTE!N2</f>
        <v>HKN</v>
      </c>
      <c r="C2" s="91">
        <f>NOTE!P2</f>
        <v>20251001</v>
      </c>
      <c r="D2" s="91" t="str">
        <f>NOTE!O2</f>
        <v>v9</v>
      </c>
      <c r="I2" s="92"/>
      <c r="K2" s="93" t="s">
        <v>204</v>
      </c>
      <c r="U2" s="94"/>
    </row>
    <row r="3" spans="1:25" s="88" customFormat="1" ht="12" customHeight="1" x14ac:dyDescent="0.2">
      <c r="A3" s="95"/>
      <c r="B3" s="56"/>
      <c r="C3" s="56"/>
      <c r="D3" s="96"/>
      <c r="E3" s="56"/>
      <c r="F3" s="56"/>
      <c r="G3" s="56"/>
      <c r="H3" s="87"/>
      <c r="I3" s="97"/>
      <c r="J3" s="86"/>
      <c r="K3" s="98" t="s">
        <v>205</v>
      </c>
      <c r="L3" s="99"/>
      <c r="M3" s="99"/>
      <c r="N3" s="100"/>
      <c r="O3" s="100"/>
      <c r="P3" s="100"/>
      <c r="U3" s="89"/>
      <c r="V3" s="86"/>
    </row>
    <row r="4" spans="1:25" s="56" customFormat="1" ht="16" thickBot="1" x14ac:dyDescent="0.25">
      <c r="A4" s="84"/>
      <c r="B4" s="101" t="s">
        <v>206</v>
      </c>
      <c r="C4" s="101" t="s">
        <v>207</v>
      </c>
      <c r="D4" s="102" t="s">
        <v>208</v>
      </c>
      <c r="E4" s="101" t="s">
        <v>74</v>
      </c>
      <c r="F4" s="101"/>
      <c r="G4" s="103" t="s">
        <v>200</v>
      </c>
      <c r="H4" s="104" t="str">
        <f>G4</f>
        <v>IFRS</v>
      </c>
      <c r="K4" s="99"/>
      <c r="L4" s="105" t="s">
        <v>209</v>
      </c>
      <c r="M4" s="99"/>
      <c r="N4" s="100"/>
      <c r="O4" s="100"/>
      <c r="P4" s="100"/>
    </row>
    <row r="5" spans="1:25" ht="16" thickBot="1" x14ac:dyDescent="0.25">
      <c r="B5" s="101" t="s">
        <v>210</v>
      </c>
      <c r="C5" s="106" t="s">
        <v>17</v>
      </c>
      <c r="D5" s="102" t="s">
        <v>211</v>
      </c>
      <c r="E5" s="101" t="s">
        <v>77</v>
      </c>
      <c r="F5" s="101"/>
      <c r="G5" s="103" t="s">
        <v>201</v>
      </c>
      <c r="H5" s="104" t="str">
        <f>G5</f>
        <v>DPD180+</v>
      </c>
      <c r="K5" s="99"/>
      <c r="L5" s="105" t="s">
        <v>212</v>
      </c>
      <c r="M5" s="99"/>
      <c r="T5" s="107"/>
      <c r="U5" s="107"/>
      <c r="V5" s="100"/>
    </row>
    <row r="6" spans="1:25" ht="16" thickBot="1" x14ac:dyDescent="0.25">
      <c r="B6" s="106" t="s">
        <v>213</v>
      </c>
      <c r="C6" s="106" t="s">
        <v>211</v>
      </c>
      <c r="D6" s="102" t="s">
        <v>211</v>
      </c>
      <c r="E6" s="106" t="s">
        <v>214</v>
      </c>
      <c r="F6" s="106"/>
      <c r="G6" s="108" t="s">
        <v>215</v>
      </c>
      <c r="H6" s="104" t="str">
        <f>G6</f>
        <v>Q3.2025</v>
      </c>
      <c r="K6" s="99"/>
      <c r="L6" s="105" t="s">
        <v>216</v>
      </c>
      <c r="M6" s="99"/>
      <c r="T6" s="107"/>
      <c r="U6" s="107"/>
      <c r="V6" s="100"/>
    </row>
    <row r="7" spans="1:25" ht="13" x14ac:dyDescent="0.15">
      <c r="A7" s="95"/>
      <c r="B7" s="68"/>
      <c r="C7" s="109"/>
      <c r="D7" s="62"/>
      <c r="I7" s="110"/>
      <c r="J7" s="111"/>
      <c r="V7" s="113"/>
    </row>
    <row r="8" spans="1:25" s="83" customFormat="1" ht="14.25" customHeight="1" thickBot="1" x14ac:dyDescent="0.2">
      <c r="A8" s="95"/>
      <c r="B8" s="77" t="s">
        <v>80</v>
      </c>
      <c r="C8" s="114"/>
      <c r="D8" s="115"/>
      <c r="E8" s="114"/>
      <c r="F8" s="114"/>
      <c r="G8" s="114"/>
      <c r="H8" s="78" t="s">
        <v>217</v>
      </c>
      <c r="I8" s="116"/>
      <c r="J8" s="116"/>
      <c r="K8" s="117" t="s">
        <v>218</v>
      </c>
      <c r="L8" s="118"/>
      <c r="M8" s="118"/>
      <c r="N8" s="118"/>
      <c r="O8" s="118"/>
      <c r="P8" s="118"/>
      <c r="Q8" s="118"/>
      <c r="R8" s="118"/>
      <c r="S8" s="118"/>
      <c r="T8" s="118"/>
      <c r="U8" s="118" t="s">
        <v>217</v>
      </c>
    </row>
    <row r="9" spans="1:25" s="83" customFormat="1" ht="13.5" customHeight="1" thickTop="1" x14ac:dyDescent="0.15">
      <c r="A9" s="95"/>
      <c r="D9" s="116"/>
      <c r="I9" s="116"/>
      <c r="J9" s="116"/>
      <c r="N9" s="119"/>
      <c r="O9" s="119"/>
      <c r="P9" s="119"/>
      <c r="Q9" s="119"/>
      <c r="R9" s="119"/>
      <c r="U9" s="120"/>
    </row>
    <row r="10" spans="1:25" s="83" customFormat="1" x14ac:dyDescent="0.15">
      <c r="A10" s="84"/>
      <c r="B10" s="82" t="s">
        <v>81</v>
      </c>
      <c r="C10" s="83" t="s">
        <v>82</v>
      </c>
      <c r="D10" s="116"/>
      <c r="E10" s="121">
        <f>DATA!G20</f>
        <v>16.179160103242385</v>
      </c>
      <c r="F10" s="119"/>
      <c r="G10" s="122"/>
      <c r="H10" s="119"/>
      <c r="I10" s="116"/>
      <c r="J10" s="116"/>
      <c r="K10" s="123"/>
      <c r="N10" s="124" t="s">
        <v>219</v>
      </c>
      <c r="O10" s="124" t="s">
        <v>220</v>
      </c>
      <c r="P10" s="124" t="s">
        <v>221</v>
      </c>
      <c r="Q10" s="124" t="s">
        <v>222</v>
      </c>
      <c r="R10" s="124" t="s">
        <v>223</v>
      </c>
      <c r="S10" s="124" t="s">
        <v>224</v>
      </c>
      <c r="T10" s="125" t="s">
        <v>225</v>
      </c>
      <c r="U10" s="126" t="s">
        <v>226</v>
      </c>
    </row>
    <row r="11" spans="1:25" s="83" customFormat="1" ht="11.25" customHeight="1" x14ac:dyDescent="0.15">
      <c r="A11" s="84"/>
      <c r="C11" s="83" t="s">
        <v>85</v>
      </c>
      <c r="D11" s="116"/>
      <c r="E11" s="127" t="s">
        <v>227</v>
      </c>
      <c r="G11" s="122"/>
      <c r="I11" s="116"/>
      <c r="J11" s="116"/>
      <c r="K11" s="82" t="s">
        <v>228</v>
      </c>
      <c r="N11" s="128">
        <f t="shared" ref="N11:S11" si="0">N29</f>
        <v>5.0874046651184219</v>
      </c>
      <c r="O11" s="128">
        <f t="shared" si="0"/>
        <v>8.1418251604013872</v>
      </c>
      <c r="P11" s="128">
        <f t="shared" si="0"/>
        <v>0.5057739221939741</v>
      </c>
      <c r="Q11" s="128">
        <f t="shared" si="0"/>
        <v>0</v>
      </c>
      <c r="R11" s="129">
        <f t="shared" si="0"/>
        <v>0</v>
      </c>
      <c r="S11" s="129">
        <f t="shared" si="0"/>
        <v>0</v>
      </c>
      <c r="T11" s="130"/>
      <c r="U11" s="131">
        <f t="shared" ref="U11:U23" si="1">N11/$E$10</f>
        <v>0.31444182718105873</v>
      </c>
    </row>
    <row r="12" spans="1:25" s="83" customFormat="1" ht="11" x14ac:dyDescent="0.15">
      <c r="A12" s="84"/>
      <c r="C12" s="83" t="s">
        <v>88</v>
      </c>
      <c r="D12" s="116"/>
      <c r="E12" s="132">
        <f>DATA!H21</f>
        <v>14</v>
      </c>
      <c r="F12" s="133"/>
      <c r="G12" s="122"/>
      <c r="I12" s="116"/>
      <c r="J12" s="134"/>
      <c r="K12" s="82" t="s">
        <v>229</v>
      </c>
      <c r="L12" s="135"/>
      <c r="N12" s="128">
        <f t="shared" ref="N12:S12" si="2">SUM(N13:N15)</f>
        <v>3.957503004876652</v>
      </c>
      <c r="O12" s="128">
        <f t="shared" si="2"/>
        <v>3.9068384257014133</v>
      </c>
      <c r="P12" s="128">
        <f>SUM(P13:P15)</f>
        <v>5.0664579175238804E-2</v>
      </c>
      <c r="Q12" s="128">
        <f t="shared" si="2"/>
        <v>0</v>
      </c>
      <c r="R12" s="129">
        <f t="shared" si="2"/>
        <v>0</v>
      </c>
      <c r="S12" s="129">
        <f t="shared" si="2"/>
        <v>0</v>
      </c>
      <c r="T12" s="136">
        <f t="shared" ref="T12:T23" si="3">N12/$E$14*12/$N$11</f>
        <v>0.46674128740075732</v>
      </c>
      <c r="U12" s="131">
        <f t="shared" si="1"/>
        <v>0.24460497205188966</v>
      </c>
    </row>
    <row r="13" spans="1:25" s="83" customFormat="1" ht="11" x14ac:dyDescent="0.15">
      <c r="A13" s="84"/>
      <c r="C13" s="83" t="s">
        <v>91</v>
      </c>
      <c r="D13" s="116"/>
      <c r="E13" s="137">
        <v>6</v>
      </c>
      <c r="G13" s="122"/>
      <c r="I13" s="138"/>
      <c r="J13" s="134"/>
      <c r="K13" s="139" t="s">
        <v>230</v>
      </c>
      <c r="N13" s="140">
        <f t="shared" ref="N13:S13" si="4">N31</f>
        <v>2.9290827371618318</v>
      </c>
      <c r="O13" s="140">
        <f>O31</f>
        <v>2.8807436942317111</v>
      </c>
      <c r="P13" s="140">
        <f t="shared" si="4"/>
        <v>4.833904293012084E-2</v>
      </c>
      <c r="Q13" s="140">
        <f t="shared" si="4"/>
        <v>0</v>
      </c>
      <c r="R13" s="141">
        <f t="shared" si="4"/>
        <v>0</v>
      </c>
      <c r="S13" s="141">
        <f t="shared" si="4"/>
        <v>0</v>
      </c>
      <c r="T13" s="142">
        <f t="shared" si="3"/>
        <v>0.34545112055798888</v>
      </c>
      <c r="U13" s="143">
        <f t="shared" si="1"/>
        <v>0.18104046924999703</v>
      </c>
    </row>
    <row r="14" spans="1:25" s="83" customFormat="1" ht="11" x14ac:dyDescent="0.15">
      <c r="A14" s="84"/>
      <c r="C14" s="83" t="s">
        <v>94</v>
      </c>
      <c r="D14" s="116"/>
      <c r="E14" s="144">
        <f>E12+E13</f>
        <v>20</v>
      </c>
      <c r="F14" s="145"/>
      <c r="G14" s="122"/>
      <c r="I14" s="138"/>
      <c r="J14" s="134"/>
      <c r="K14" s="139" t="s">
        <v>231</v>
      </c>
      <c r="N14" s="140">
        <f t="shared" ref="N14:S14" si="5">N34</f>
        <v>1.0284202677148204</v>
      </c>
      <c r="O14" s="140">
        <f>O34</f>
        <v>1.0260947314697024</v>
      </c>
      <c r="P14" s="140">
        <f t="shared" si="5"/>
        <v>2.3255362451179654E-3</v>
      </c>
      <c r="Q14" s="140">
        <f t="shared" si="5"/>
        <v>0</v>
      </c>
      <c r="R14" s="141">
        <f t="shared" si="5"/>
        <v>0</v>
      </c>
      <c r="S14" s="141">
        <f t="shared" si="5"/>
        <v>0</v>
      </c>
      <c r="T14" s="142">
        <f t="shared" si="3"/>
        <v>0.12129016684276853</v>
      </c>
      <c r="U14" s="143">
        <f t="shared" si="1"/>
        <v>6.3564502801892658E-2</v>
      </c>
    </row>
    <row r="15" spans="1:25" s="83" customFormat="1" ht="11" x14ac:dyDescent="0.15">
      <c r="A15" s="84"/>
      <c r="I15" s="138"/>
      <c r="J15" s="134"/>
      <c r="K15" s="139" t="s">
        <v>232</v>
      </c>
      <c r="N15" s="140">
        <f t="shared" ref="N15:S16" si="6">N38</f>
        <v>0</v>
      </c>
      <c r="O15" s="140">
        <f>O38</f>
        <v>0</v>
      </c>
      <c r="P15" s="140">
        <f t="shared" si="6"/>
        <v>0</v>
      </c>
      <c r="Q15" s="140">
        <f t="shared" si="6"/>
        <v>0</v>
      </c>
      <c r="R15" s="141">
        <f t="shared" si="6"/>
        <v>0</v>
      </c>
      <c r="S15" s="141">
        <f t="shared" si="6"/>
        <v>0</v>
      </c>
      <c r="T15" s="142">
        <f t="shared" si="3"/>
        <v>0</v>
      </c>
      <c r="U15" s="143">
        <f t="shared" si="1"/>
        <v>0</v>
      </c>
    </row>
    <row r="16" spans="1:25" s="83" customFormat="1" ht="11" x14ac:dyDescent="0.15">
      <c r="A16" s="84"/>
      <c r="D16" s="116"/>
      <c r="E16" s="116"/>
      <c r="F16" s="116"/>
      <c r="G16" s="146"/>
      <c r="H16" s="147"/>
      <c r="I16" s="138"/>
      <c r="J16" s="134"/>
      <c r="K16" s="82" t="s">
        <v>233</v>
      </c>
      <c r="N16" s="128">
        <f t="shared" si="6"/>
        <v>-2.486775449343404</v>
      </c>
      <c r="O16" s="128">
        <f>O39</f>
        <v>-2.4144567362792069</v>
      </c>
      <c r="P16" s="128">
        <f t="shared" si="6"/>
        <v>-7.2318713064197127E-2</v>
      </c>
      <c r="Q16" s="128">
        <f t="shared" si="6"/>
        <v>0</v>
      </c>
      <c r="R16" s="129">
        <f t="shared" si="6"/>
        <v>0</v>
      </c>
      <c r="S16" s="129">
        <f t="shared" si="6"/>
        <v>0</v>
      </c>
      <c r="T16" s="136">
        <f>N16/$E$14*12/$N$11</f>
        <v>-0.29328613857598668</v>
      </c>
      <c r="U16" s="131">
        <f t="shared" si="1"/>
        <v>-0.1537023821678507</v>
      </c>
      <c r="V16" s="119"/>
      <c r="W16" s="148"/>
      <c r="X16" s="149"/>
      <c r="Y16" s="150"/>
    </row>
    <row r="17" spans="1:25" s="83" customFormat="1" ht="11" x14ac:dyDescent="0.15">
      <c r="A17" s="84"/>
      <c r="B17" s="82" t="s">
        <v>97</v>
      </c>
      <c r="C17" s="151" t="s">
        <v>234</v>
      </c>
      <c r="D17" s="152" t="s">
        <v>235</v>
      </c>
      <c r="E17" s="151" t="s">
        <v>11</v>
      </c>
      <c r="F17" s="151" t="s">
        <v>101</v>
      </c>
      <c r="G17" s="151" t="s">
        <v>104</v>
      </c>
      <c r="I17" s="138"/>
      <c r="J17" s="134"/>
      <c r="K17" s="82" t="s">
        <v>236</v>
      </c>
      <c r="N17" s="128">
        <f t="shared" ref="N17:S17" si="7">SUM(N18:N21)</f>
        <v>-1.0519079627110122</v>
      </c>
      <c r="O17" s="128">
        <f>SUM(O18:O21)</f>
        <v>-1.0208986822946156</v>
      </c>
      <c r="P17" s="128">
        <f t="shared" si="7"/>
        <v>-3.100928041639648E-2</v>
      </c>
      <c r="Q17" s="128">
        <f t="shared" si="7"/>
        <v>0</v>
      </c>
      <c r="R17" s="129">
        <f>SUM(R18:R21)</f>
        <v>0</v>
      </c>
      <c r="S17" s="129">
        <f t="shared" si="7"/>
        <v>0</v>
      </c>
      <c r="T17" s="136">
        <f t="shared" si="3"/>
        <v>-0.12406026631890031</v>
      </c>
      <c r="U17" s="131">
        <f t="shared" si="1"/>
        <v>-6.5016228036472959E-2</v>
      </c>
    </row>
    <row r="18" spans="1:25" s="83" customFormat="1" ht="11" x14ac:dyDescent="0.15">
      <c r="A18" s="84">
        <v>1</v>
      </c>
      <c r="B18" s="84">
        <v>1</v>
      </c>
      <c r="C18" s="153">
        <v>1</v>
      </c>
      <c r="D18" s="154">
        <f>E12</f>
        <v>14</v>
      </c>
      <c r="E18" s="155">
        <f>IR!AD15</f>
        <v>0.49171713811086798</v>
      </c>
      <c r="F18" s="155">
        <f>COF!J1</f>
        <v>6.9062918814095695E-2</v>
      </c>
      <c r="G18" s="156">
        <f>E18-F18</f>
        <v>0.42265421929677227</v>
      </c>
      <c r="I18" s="138"/>
      <c r="J18" s="134"/>
      <c r="K18" s="139" t="s">
        <v>131</v>
      </c>
      <c r="N18" s="140">
        <f t="shared" ref="N18:S18" si="8">SUM(N41)</f>
        <v>-0.38973563556490698</v>
      </c>
      <c r="O18" s="140">
        <f>SUM(O41)</f>
        <v>-0.43435719703072789</v>
      </c>
      <c r="P18" s="140">
        <f t="shared" si="8"/>
        <v>4.4621561465820886E-2</v>
      </c>
      <c r="Q18" s="140">
        <f t="shared" si="8"/>
        <v>0</v>
      </c>
      <c r="R18" s="141">
        <f>SUM(R41)</f>
        <v>0</v>
      </c>
      <c r="S18" s="141">
        <f t="shared" si="8"/>
        <v>0</v>
      </c>
      <c r="T18" s="142">
        <f t="shared" si="3"/>
        <v>-4.5964769215680414E-2</v>
      </c>
      <c r="U18" s="143">
        <f t="shared" si="1"/>
        <v>-2.4088743363557048E-2</v>
      </c>
    </row>
    <row r="19" spans="1:25" s="83" customFormat="1" ht="11" x14ac:dyDescent="0.15">
      <c r="A19" s="84">
        <v>2</v>
      </c>
      <c r="B19" s="84">
        <v>2</v>
      </c>
      <c r="C19" s="153">
        <f>IF(D18="","",IF(D18&gt;$E$12,"",D18+1))</f>
        <v>15</v>
      </c>
      <c r="D19" s="157">
        <f>E14</f>
        <v>20</v>
      </c>
      <c r="E19" s="155">
        <f>E18</f>
        <v>0.49171713811086798</v>
      </c>
      <c r="F19" s="155">
        <f>COF!J1</f>
        <v>6.9062918814095695E-2</v>
      </c>
      <c r="G19" s="156">
        <f>E19-F19</f>
        <v>0.42265421929677227</v>
      </c>
      <c r="I19" s="138"/>
      <c r="J19" s="134"/>
      <c r="K19" s="139" t="s">
        <v>237</v>
      </c>
      <c r="N19" s="158">
        <f t="shared" ref="N19:S19" si="9">N45</f>
        <v>-6.6756456569251957E-2</v>
      </c>
      <c r="O19" s="140">
        <f>O45</f>
        <v>-6.6756456569251957E-2</v>
      </c>
      <c r="P19" s="158">
        <f t="shared" si="9"/>
        <v>0</v>
      </c>
      <c r="Q19" s="158">
        <f t="shared" si="9"/>
        <v>0</v>
      </c>
      <c r="R19" s="159">
        <f>R45</f>
        <v>0</v>
      </c>
      <c r="S19" s="159">
        <f t="shared" si="9"/>
        <v>0</v>
      </c>
      <c r="T19" s="142">
        <f t="shared" si="3"/>
        <v>-7.8731448701493886E-3</v>
      </c>
      <c r="U19" s="143">
        <f t="shared" si="1"/>
        <v>-4.1260767643849219E-3</v>
      </c>
    </row>
    <row r="20" spans="1:25" s="83" customFormat="1" ht="11" x14ac:dyDescent="0.15">
      <c r="A20" s="84">
        <v>3</v>
      </c>
      <c r="B20" s="84">
        <v>3</v>
      </c>
      <c r="C20" s="160"/>
      <c r="D20" s="161"/>
      <c r="E20" s="156"/>
      <c r="F20" s="156"/>
      <c r="G20" s="156"/>
      <c r="I20" s="138"/>
      <c r="J20" s="134"/>
      <c r="K20" s="139" t="s">
        <v>238</v>
      </c>
      <c r="N20" s="158">
        <f t="shared" ref="N20:S20" si="10">N48</f>
        <v>-9.8911856383436636E-2</v>
      </c>
      <c r="O20" s="158">
        <f>O48</f>
        <v>-8.0561609394318931E-2</v>
      </c>
      <c r="P20" s="158">
        <f t="shared" si="10"/>
        <v>-1.8350246989117698E-2</v>
      </c>
      <c r="Q20" s="158">
        <f t="shared" si="10"/>
        <v>0</v>
      </c>
      <c r="R20" s="159">
        <f>R48</f>
        <v>0</v>
      </c>
      <c r="S20" s="159">
        <f t="shared" si="10"/>
        <v>0</v>
      </c>
      <c r="T20" s="142">
        <f t="shared" si="3"/>
        <v>-1.1665498960004694E-2</v>
      </c>
      <c r="U20" s="143">
        <f t="shared" si="1"/>
        <v>-6.1135346799376933E-3</v>
      </c>
    </row>
    <row r="21" spans="1:25" s="83" customFormat="1" ht="11" x14ac:dyDescent="0.15">
      <c r="A21" s="84">
        <v>4</v>
      </c>
      <c r="B21" s="84">
        <v>4</v>
      </c>
      <c r="C21" s="160"/>
      <c r="D21" s="161"/>
      <c r="E21" s="162"/>
      <c r="F21" s="162"/>
      <c r="G21" s="162"/>
      <c r="I21" s="116"/>
      <c r="J21" s="116"/>
      <c r="K21" s="139" t="s">
        <v>239</v>
      </c>
      <c r="N21" s="140">
        <f t="shared" ref="N21:S21" si="11">N52</f>
        <v>-0.4965040141934165</v>
      </c>
      <c r="O21" s="140">
        <f>O52</f>
        <v>-0.43922341930031683</v>
      </c>
      <c r="P21" s="140">
        <f t="shared" si="11"/>
        <v>-5.7280594893099668E-2</v>
      </c>
      <c r="Q21" s="140">
        <f t="shared" si="11"/>
        <v>0</v>
      </c>
      <c r="R21" s="141">
        <f>R52</f>
        <v>0</v>
      </c>
      <c r="S21" s="141">
        <f t="shared" si="11"/>
        <v>0</v>
      </c>
      <c r="T21" s="142">
        <f t="shared" si="3"/>
        <v>-5.8556853273065798E-2</v>
      </c>
      <c r="U21" s="143">
        <f t="shared" si="1"/>
        <v>-3.0687873228593281E-2</v>
      </c>
    </row>
    <row r="22" spans="1:25" s="83" customFormat="1" ht="11" x14ac:dyDescent="0.15">
      <c r="A22" s="84">
        <v>5</v>
      </c>
      <c r="B22" s="84">
        <v>5</v>
      </c>
      <c r="C22" s="160"/>
      <c r="D22" s="161"/>
      <c r="E22" s="162"/>
      <c r="F22" s="162"/>
      <c r="G22" s="162"/>
      <c r="I22" s="116"/>
      <c r="J22" s="116"/>
      <c r="K22" s="82" t="s">
        <v>240</v>
      </c>
      <c r="N22" s="128">
        <f t="shared" ref="N22:S22" si="12">N12+N16+N17</f>
        <v>0.4188195928222358</v>
      </c>
      <c r="O22" s="128">
        <f t="shared" si="12"/>
        <v>0.47148300712759084</v>
      </c>
      <c r="P22" s="128">
        <f t="shared" si="12"/>
        <v>-5.2663414305354803E-2</v>
      </c>
      <c r="Q22" s="128">
        <f t="shared" si="12"/>
        <v>0</v>
      </c>
      <c r="R22" s="129">
        <f t="shared" si="12"/>
        <v>0</v>
      </c>
      <c r="S22" s="129">
        <f t="shared" si="12"/>
        <v>0</v>
      </c>
      <c r="T22" s="136">
        <f t="shared" si="3"/>
        <v>4.9394882505870423E-2</v>
      </c>
      <c r="U22" s="131">
        <f t="shared" si="1"/>
        <v>2.5886361847566007E-2</v>
      </c>
      <c r="W22" s="119"/>
      <c r="X22" s="163"/>
      <c r="Y22" s="164"/>
    </row>
    <row r="23" spans="1:25" s="83" customFormat="1" ht="11" x14ac:dyDescent="0.15">
      <c r="A23" s="84"/>
      <c r="B23" s="84">
        <v>6</v>
      </c>
      <c r="C23" s="160"/>
      <c r="D23" s="161"/>
      <c r="E23" s="162"/>
      <c r="F23" s="162"/>
      <c r="G23" s="162"/>
      <c r="I23" s="116"/>
      <c r="J23" s="116"/>
      <c r="K23" s="83" t="s">
        <v>241</v>
      </c>
      <c r="N23" s="128">
        <f t="shared" ref="N23:S23" si="13">N22-N21</f>
        <v>0.9153236070156523</v>
      </c>
      <c r="O23" s="140">
        <f t="shared" si="13"/>
        <v>0.91070642642790767</v>
      </c>
      <c r="P23" s="140">
        <f t="shared" si="13"/>
        <v>4.6171805877448652E-3</v>
      </c>
      <c r="Q23" s="140">
        <f t="shared" si="13"/>
        <v>0</v>
      </c>
      <c r="R23" s="141">
        <f t="shared" si="13"/>
        <v>0</v>
      </c>
      <c r="S23" s="141">
        <f t="shared" si="13"/>
        <v>0</v>
      </c>
      <c r="T23" s="142">
        <f t="shared" si="3"/>
        <v>0.10795173577893621</v>
      </c>
      <c r="U23" s="143">
        <f t="shared" si="1"/>
        <v>5.6574235076159288E-2</v>
      </c>
      <c r="V23" s="116"/>
    </row>
    <row r="24" spans="1:25" s="83" customFormat="1" ht="15.75" customHeight="1" x14ac:dyDescent="0.15">
      <c r="A24" s="84"/>
      <c r="B24" s="165"/>
      <c r="C24" s="166"/>
      <c r="D24" s="147"/>
      <c r="E24" s="147"/>
      <c r="F24" s="147"/>
      <c r="G24" s="147"/>
      <c r="H24" s="147"/>
      <c r="I24" s="116"/>
      <c r="J24" s="116"/>
      <c r="V24" s="120"/>
    </row>
    <row r="25" spans="1:25" s="83" customFormat="1" x14ac:dyDescent="0.15">
      <c r="A25" s="167"/>
      <c r="B25" s="82" t="s">
        <v>106</v>
      </c>
      <c r="C25" s="168" t="s">
        <v>234</v>
      </c>
      <c r="D25" s="169" t="s">
        <v>235</v>
      </c>
      <c r="E25" s="168" t="s">
        <v>107</v>
      </c>
      <c r="F25" s="170" t="s">
        <v>109</v>
      </c>
      <c r="G25" s="168" t="s">
        <v>111</v>
      </c>
      <c r="H25" s="171"/>
      <c r="I25" s="116"/>
      <c r="J25" s="138"/>
      <c r="N25" s="119"/>
      <c r="U25" s="172"/>
      <c r="V25" s="173"/>
    </row>
    <row r="26" spans="1:25" s="83" customFormat="1" ht="12" customHeight="1" thickBot="1" x14ac:dyDescent="0.2">
      <c r="A26" s="84"/>
      <c r="B26" s="174">
        <v>1</v>
      </c>
      <c r="C26" s="175">
        <v>1</v>
      </c>
      <c r="D26" s="176">
        <v>1</v>
      </c>
      <c r="E26" s="177">
        <f>DATA!E73</f>
        <v>7.5631948383508535E-2</v>
      </c>
      <c r="F26" s="155"/>
      <c r="G26" s="177">
        <f>DATA!G73</f>
        <v>0.1158498139684232</v>
      </c>
      <c r="H26" s="178" t="s">
        <v>242</v>
      </c>
      <c r="I26" s="179">
        <v>0.10601948616505852</v>
      </c>
      <c r="J26" s="116"/>
      <c r="K26" s="117" t="s">
        <v>243</v>
      </c>
      <c r="L26" s="118"/>
      <c r="M26" s="118"/>
      <c r="N26" s="118"/>
      <c r="O26" s="118"/>
      <c r="P26" s="118"/>
      <c r="Q26" s="118"/>
      <c r="R26" s="118"/>
      <c r="S26" s="118"/>
      <c r="T26" s="118"/>
      <c r="U26" s="118" t="s">
        <v>217</v>
      </c>
      <c r="V26" s="116"/>
    </row>
    <row r="27" spans="1:25" s="83" customFormat="1" ht="12" customHeight="1" x14ac:dyDescent="0.15">
      <c r="A27" s="84"/>
      <c r="B27" s="174">
        <v>2</v>
      </c>
      <c r="C27" s="175">
        <f>D26+1</f>
        <v>2</v>
      </c>
      <c r="D27" s="176">
        <v>3</v>
      </c>
      <c r="E27" s="177">
        <f>DATA!E74</f>
        <v>7.5631948383508535E-2</v>
      </c>
      <c r="F27" s="155"/>
      <c r="G27" s="177">
        <f>DATA!G74</f>
        <v>4.7684839483754599E-2</v>
      </c>
      <c r="H27" s="178" t="s">
        <v>242</v>
      </c>
      <c r="I27" s="179">
        <v>4.7922918869570244E-2</v>
      </c>
      <c r="J27" s="180"/>
      <c r="L27" s="181"/>
      <c r="M27" s="181"/>
      <c r="O27" s="181"/>
      <c r="P27" s="181"/>
      <c r="Q27" s="181"/>
      <c r="R27" s="181"/>
      <c r="U27" s="172"/>
      <c r="V27" s="180"/>
      <c r="W27" s="119"/>
      <c r="X27" s="182"/>
    </row>
    <row r="28" spans="1:25" s="83" customFormat="1" ht="11" x14ac:dyDescent="0.15">
      <c r="A28" s="84"/>
      <c r="B28" s="174">
        <v>3</v>
      </c>
      <c r="C28" s="175">
        <f>D27+1</f>
        <v>4</v>
      </c>
      <c r="D28" s="176">
        <v>14</v>
      </c>
      <c r="E28" s="177">
        <f>DATA!E75</f>
        <v>4.8252779353403413E-2</v>
      </c>
      <c r="F28" s="155"/>
      <c r="G28" s="177">
        <f>DATA!G75</f>
        <v>2.3340861830709856E-2</v>
      </c>
      <c r="H28" s="178" t="s">
        <v>242</v>
      </c>
      <c r="I28" s="179">
        <v>2.9000000000000001E-2</v>
      </c>
      <c r="J28" s="183"/>
      <c r="N28" s="124" t="s">
        <v>219</v>
      </c>
      <c r="O28" s="124" t="s">
        <v>220</v>
      </c>
      <c r="P28" s="124" t="s">
        <v>221</v>
      </c>
      <c r="Q28" s="124" t="s">
        <v>222</v>
      </c>
      <c r="R28" s="124" t="s">
        <v>223</v>
      </c>
      <c r="S28" s="124" t="s">
        <v>224</v>
      </c>
      <c r="T28" s="124" t="s">
        <v>225</v>
      </c>
      <c r="U28" s="184" t="s">
        <v>226</v>
      </c>
      <c r="V28" s="180"/>
      <c r="W28" s="119"/>
      <c r="X28" s="182"/>
    </row>
    <row r="29" spans="1:25" s="83" customFormat="1" ht="11" x14ac:dyDescent="0.15">
      <c r="A29" s="84"/>
      <c r="B29" s="174">
        <v>4</v>
      </c>
      <c r="C29" s="185">
        <f>IF(D28="","",IF(D28&gt;$E$12,"",D28+1))</f>
        <v>15</v>
      </c>
      <c r="D29" s="186"/>
      <c r="E29" s="187"/>
      <c r="F29" s="156"/>
      <c r="G29" s="187"/>
      <c r="I29" s="116"/>
      <c r="K29" s="188" t="s">
        <v>228</v>
      </c>
      <c r="N29" s="129">
        <f>SUM(SAP_Speadsheet!$D$50:$BF$50)/COUNTIF(SAP_Speadsheet!$D$50:$BF$50,"&gt;0")</f>
        <v>5.0874046651184219</v>
      </c>
      <c r="O29" s="129">
        <f>IFERROR(SUM(SAP_Speadsheet!$D$50:$P$50)/COUNTIF(SAP_Speadsheet!$D$50:$P$50,"&gt;0"),0)</f>
        <v>8.1418251604013872</v>
      </c>
      <c r="P29" s="129">
        <f>IFERROR(SUM(SAP_Speadsheet!$Q$50:$AB$50)/COUNTIF(SAP_Speadsheet!$Q$50:$AB$50,"&gt;0"),0)</f>
        <v>0.5057739221939741</v>
      </c>
      <c r="Q29" s="129">
        <f>IFERROR(SUM(SAP_Speadsheet!$AC$50:$AN$50)/COUNTIF(SAP_Speadsheet!$AC$50:$AN$50,"&gt;0"),0)</f>
        <v>0</v>
      </c>
      <c r="R29" s="129">
        <f>IFERROR(SUM(SAP_Speadsheet!$AO$50:$AZ$50)/COUNTIF(SAP_Speadsheet!$AO$50:$AZ$50,"&gt;0"),0)</f>
        <v>0</v>
      </c>
      <c r="S29" s="129">
        <f>IFERROR(SUM(SAP_Speadsheet!$BA$50:$BF$50)/COUNTIF(SAP_Speadsheet!$BA$50:$BF$50,"&gt;0"),0)</f>
        <v>0</v>
      </c>
      <c r="T29" s="189"/>
      <c r="U29" s="190">
        <f t="shared" ref="U29:U52" si="14">N29/$E$10</f>
        <v>0.31444182718105873</v>
      </c>
      <c r="V29" s="180"/>
      <c r="W29" s="119"/>
      <c r="X29" s="182"/>
    </row>
    <row r="30" spans="1:25" s="83" customFormat="1" ht="11" x14ac:dyDescent="0.15">
      <c r="A30" s="84"/>
      <c r="B30" s="174">
        <v>5</v>
      </c>
      <c r="C30" s="185" t="str">
        <f>IF(D29="","",IF(D29&gt;$E$12,"",D29+1))</f>
        <v/>
      </c>
      <c r="D30" s="186"/>
      <c r="E30" s="187">
        <f>IF(D30="",0,SUMIFS(#REF!,#REF!,Leadsheet!G$24,#REF!,Leadsheet!$A30,#REF!,Leadsheet!$C$4,#REF!,Leadsheet!$G$5,#REF!,Leadsheet!$D$5,#REF!,Leadsheet!G4))</f>
        <v>0</v>
      </c>
      <c r="F30" s="156">
        <v>0</v>
      </c>
      <c r="G30" s="187"/>
      <c r="I30" s="116"/>
      <c r="J30" s="180"/>
      <c r="K30" s="82" t="s">
        <v>229</v>
      </c>
      <c r="N30" s="191">
        <f t="shared" ref="N30:N57" si="15">SUM(O30:S30)</f>
        <v>3.9575030048766515</v>
      </c>
      <c r="O30" s="191">
        <f>SUM(SAP_Speadsheet!$E$55:$P$55)</f>
        <v>3.9068384257014128</v>
      </c>
      <c r="P30" s="191">
        <f>SUM(SAP_Speadsheet!$Q$55:$AB$55)</f>
        <v>5.0664579175238797E-2</v>
      </c>
      <c r="Q30" s="191">
        <f>SUM(SAP_Speadsheet!$AC$55:$AN$55)</f>
        <v>0</v>
      </c>
      <c r="R30" s="191">
        <f>SUM(SAP_Speadsheet!$AO$55:$AZ$55)</f>
        <v>0</v>
      </c>
      <c r="S30" s="191">
        <f>SUM(SAP_Speadsheet!$BA$55:$BF$55)</f>
        <v>0</v>
      </c>
      <c r="T30" s="136">
        <f t="shared" ref="T30:T57" si="16">N30/$E$14*12/$N$29</f>
        <v>0.46674128740075732</v>
      </c>
      <c r="U30" s="136">
        <f t="shared" si="14"/>
        <v>0.24460497205188964</v>
      </c>
      <c r="V30" s="183"/>
      <c r="W30" s="119"/>
      <c r="X30" s="182"/>
    </row>
    <row r="31" spans="1:25" s="83" customFormat="1" ht="11" x14ac:dyDescent="0.15">
      <c r="A31" s="84"/>
      <c r="B31" s="192">
        <v>6</v>
      </c>
      <c r="C31" s="185" t="str">
        <f>IF(D30="","",IF(D30&gt;$E$12,"",D30+1))</f>
        <v/>
      </c>
      <c r="D31" s="186"/>
      <c r="E31" s="156">
        <f>IF(D31="",0,SUMIFS(#REF!,#REF!,Leadsheet!G$24,#REF!,Leadsheet!$A31,#REF!,Leadsheet!$C$4,#REF!,Leadsheet!$G$5,#REF!,Leadsheet!$D$5,#REF!,Leadsheet!G4))</f>
        <v>0</v>
      </c>
      <c r="F31" s="156">
        <v>0</v>
      </c>
      <c r="G31" s="156"/>
      <c r="I31" s="193"/>
      <c r="J31" s="180"/>
      <c r="K31" s="82" t="s">
        <v>230</v>
      </c>
      <c r="N31" s="191">
        <f>SUM(O31:S31)</f>
        <v>2.9290827371618318</v>
      </c>
      <c r="O31" s="191">
        <f>SUM(SAP_Speadsheet!$E$57:$P$57)</f>
        <v>2.8807436942317111</v>
      </c>
      <c r="P31" s="191">
        <f>SUM(SAP_Speadsheet!$Q$57:$AB$57)</f>
        <v>4.833904293012084E-2</v>
      </c>
      <c r="Q31" s="191">
        <f>SUM(SAP_Speadsheet!$AC$57:$AN$57)</f>
        <v>0</v>
      </c>
      <c r="R31" s="191">
        <f>SUM(SAP_Speadsheet!$AO$57:$AZ$57)</f>
        <v>0</v>
      </c>
      <c r="S31" s="191">
        <f>SUM(SAP_Speadsheet!$BA$57:$BF$57)</f>
        <v>0</v>
      </c>
      <c r="T31" s="136">
        <f t="shared" si="16"/>
        <v>0.34545112055798888</v>
      </c>
      <c r="U31" s="136">
        <f t="shared" si="14"/>
        <v>0.18104046924999703</v>
      </c>
      <c r="V31" s="180"/>
      <c r="W31" s="119"/>
      <c r="X31" s="182"/>
    </row>
    <row r="32" spans="1:25" s="83" customFormat="1" ht="11" x14ac:dyDescent="0.15">
      <c r="A32" s="84"/>
      <c r="D32" s="116"/>
      <c r="I32" s="116"/>
      <c r="J32" s="180"/>
      <c r="K32" s="194" t="s">
        <v>244</v>
      </c>
      <c r="N32" s="195">
        <f t="shared" si="15"/>
        <v>3.5146677627643736</v>
      </c>
      <c r="O32" s="195">
        <f>SUM(SAP_Speadsheet!$E$58:$P$58)</f>
        <v>3.4430419042830733</v>
      </c>
      <c r="P32" s="195">
        <f>SUM(SAP_Speadsheet!$Q$58:$AB$58)</f>
        <v>7.1625858481300292E-2</v>
      </c>
      <c r="Q32" s="195">
        <f>SUM(SAP_Speadsheet!$AC$58:$AN$58)</f>
        <v>0</v>
      </c>
      <c r="R32" s="195">
        <f>SUM(SAP_Speadsheet!$AO$58:$AZ$58)</f>
        <v>0</v>
      </c>
      <c r="S32" s="195">
        <f>SUM(SAP_Speadsheet!$BA$58:$BF$58)</f>
        <v>0</v>
      </c>
      <c r="T32" s="142">
        <f t="shared" si="16"/>
        <v>0.41451403937208453</v>
      </c>
      <c r="U32" s="142">
        <f t="shared" si="14"/>
        <v>0.2172342532205993</v>
      </c>
      <c r="V32" s="180"/>
      <c r="W32" s="119"/>
      <c r="X32" s="182"/>
    </row>
    <row r="33" spans="1:24" s="135" customFormat="1" ht="11.25" customHeight="1" x14ac:dyDescent="0.15">
      <c r="A33" s="167"/>
      <c r="B33" s="82" t="s">
        <v>114</v>
      </c>
      <c r="C33" s="83" t="s">
        <v>115</v>
      </c>
      <c r="D33" s="196"/>
      <c r="E33" s="197"/>
      <c r="F33" s="178" t="s">
        <v>245</v>
      </c>
      <c r="G33" s="68"/>
      <c r="I33" s="193"/>
      <c r="J33" s="180"/>
      <c r="K33" s="194" t="s">
        <v>246</v>
      </c>
      <c r="L33" s="83"/>
      <c r="M33" s="83"/>
      <c r="N33" s="195">
        <f t="shared" si="15"/>
        <v>-0.58558502560254222</v>
      </c>
      <c r="O33" s="195">
        <f>SUM(SAP_Speadsheet!$E$59:$P$59)</f>
        <v>-0.56229821005136271</v>
      </c>
      <c r="P33" s="195">
        <f>SUM(SAP_Speadsheet!$Q$59:$AB$59)</f>
        <v>-2.3286815551179455E-2</v>
      </c>
      <c r="Q33" s="195">
        <f>SUM(SAP_Speadsheet!$AC$59:$AN$59)</f>
        <v>0</v>
      </c>
      <c r="R33" s="195">
        <f>SUM(SAP_Speadsheet!$AO$59:$AZ$59)</f>
        <v>0</v>
      </c>
      <c r="S33" s="195">
        <f>SUM(SAP_Speadsheet!$BA$59:$BF$59)</f>
        <v>0</v>
      </c>
      <c r="T33" s="142">
        <f t="shared" si="16"/>
        <v>-6.9062918814095708E-2</v>
      </c>
      <c r="U33" s="142">
        <f t="shared" si="14"/>
        <v>-3.6193783970602286E-2</v>
      </c>
      <c r="V33" s="180"/>
      <c r="W33" s="119"/>
      <c r="X33" s="182"/>
    </row>
    <row r="34" spans="1:24" s="83" customFormat="1" ht="11" x14ac:dyDescent="0.15">
      <c r="C34" s="83" t="s">
        <v>118</v>
      </c>
      <c r="E34" s="197">
        <f>DATA!J20</f>
        <v>6.8797747945697998E-2</v>
      </c>
      <c r="F34" s="178" t="s">
        <v>245</v>
      </c>
      <c r="I34" s="97"/>
      <c r="J34" s="180"/>
      <c r="K34" s="82" t="s">
        <v>231</v>
      </c>
      <c r="N34" s="191">
        <f t="shared" si="15"/>
        <v>1.0284202677148204</v>
      </c>
      <c r="O34" s="191">
        <f>SUM(SAP_Speadsheet!$E$61:$P$61)</f>
        <v>1.0260947314697024</v>
      </c>
      <c r="P34" s="191">
        <f>SUM(SAP_Speadsheet!$Q$61:$AB$61)</f>
        <v>2.3255362451179654E-3</v>
      </c>
      <c r="Q34" s="191">
        <f>SUM(SAP_Speadsheet!$AC$61:$AN$61)</f>
        <v>0</v>
      </c>
      <c r="R34" s="191">
        <f>SUM(SAP_Speadsheet!$AO$61:$AZ$61)</f>
        <v>0</v>
      </c>
      <c r="S34" s="191">
        <f>SUM(SAP_Speadsheet!$BA$61:$BF$61)</f>
        <v>0</v>
      </c>
      <c r="T34" s="136">
        <f t="shared" si="16"/>
        <v>0.12129016684276853</v>
      </c>
      <c r="U34" s="136">
        <f t="shared" si="14"/>
        <v>6.3564502801892658E-2</v>
      </c>
      <c r="V34" s="180"/>
      <c r="W34" s="119"/>
      <c r="X34" s="182"/>
    </row>
    <row r="35" spans="1:24" s="83" customFormat="1" ht="11" x14ac:dyDescent="0.15">
      <c r="A35" s="84"/>
      <c r="B35" s="171"/>
      <c r="C35" s="83" t="s">
        <v>120</v>
      </c>
      <c r="D35" s="116"/>
      <c r="E35" s="197">
        <f>DATA!K20</f>
        <v>0.78737421063334434</v>
      </c>
      <c r="F35" s="178" t="s">
        <v>245</v>
      </c>
      <c r="I35" s="116"/>
      <c r="J35" s="180"/>
      <c r="K35" s="194" t="s">
        <v>247</v>
      </c>
      <c r="M35" s="198"/>
      <c r="N35" s="195">
        <f t="shared" si="15"/>
        <v>0.31675680604396961</v>
      </c>
      <c r="O35" s="195">
        <f>SUM(SAP_Speadsheet!$E$62:$P$62)</f>
        <v>0.31443126979885166</v>
      </c>
      <c r="P35" s="195">
        <f>SUM(SAP_Speadsheet!$Q$62:$AB$62)</f>
        <v>2.3255362451179654E-3</v>
      </c>
      <c r="Q35" s="195">
        <f>SUM(SAP_Speadsheet!$AC$62:$AN$62)</f>
        <v>0</v>
      </c>
      <c r="R35" s="195">
        <f>SUM(SAP_Speadsheet!$AO$62:$AZ$62)</f>
        <v>0</v>
      </c>
      <c r="S35" s="195">
        <f>SUM(SAP_Speadsheet!$BA$62:$BF$62)</f>
        <v>0</v>
      </c>
      <c r="T35" s="142">
        <f t="shared" si="16"/>
        <v>3.7357768083494454E-2</v>
      </c>
      <c r="U35" s="142">
        <f t="shared" si="14"/>
        <v>1.9578074759300387E-2</v>
      </c>
      <c r="V35" s="180"/>
      <c r="W35" s="119"/>
      <c r="X35" s="182"/>
    </row>
    <row r="36" spans="1:24" s="83" customFormat="1" ht="11" x14ac:dyDescent="0.15">
      <c r="A36" s="84"/>
      <c r="C36" s="83" t="s">
        <v>122</v>
      </c>
      <c r="D36" s="196"/>
      <c r="E36" s="197">
        <v>0.85599999999999998</v>
      </c>
      <c r="F36" s="178" t="s">
        <v>245</v>
      </c>
      <c r="H36" s="84" t="s">
        <v>248</v>
      </c>
      <c r="I36" s="97"/>
      <c r="J36" s="180"/>
      <c r="K36" s="194" t="s">
        <v>249</v>
      </c>
      <c r="N36" s="195">
        <f t="shared" si="15"/>
        <v>0.71166346167085082</v>
      </c>
      <c r="O36" s="195">
        <f>SUM(SAP_Speadsheet!$E$63:$P$63)</f>
        <v>0.71166346167085082</v>
      </c>
      <c r="P36" s="195">
        <f>SUM(SAP_Speadsheet!$Q$63:$AB$63)</f>
        <v>0</v>
      </c>
      <c r="Q36" s="195">
        <f>SUM(SAP_Speadsheet!$AC$63:$AN$63)</f>
        <v>0</v>
      </c>
      <c r="R36" s="195">
        <f>SUM(SAP_Speadsheet!$AO$63:$AZ$63)</f>
        <v>0</v>
      </c>
      <c r="S36" s="195">
        <f>SUM(SAP_Speadsheet!$BA$63:$BF$63)</f>
        <v>0</v>
      </c>
      <c r="T36" s="142">
        <f t="shared" si="16"/>
        <v>8.3932398759274066E-2</v>
      </c>
      <c r="U36" s="142">
        <f t="shared" si="14"/>
        <v>4.3986428042592264E-2</v>
      </c>
      <c r="V36" s="180"/>
      <c r="W36" s="119"/>
      <c r="X36" s="182"/>
    </row>
    <row r="37" spans="1:24" s="83" customFormat="1" ht="11" x14ac:dyDescent="0.15">
      <c r="A37" s="84"/>
      <c r="D37" s="196"/>
      <c r="E37" s="97"/>
      <c r="F37" s="199"/>
      <c r="H37" s="84" t="s">
        <v>248</v>
      </c>
      <c r="I37" s="97"/>
      <c r="J37" s="180"/>
      <c r="K37" s="194" t="s">
        <v>125</v>
      </c>
      <c r="N37" s="195">
        <f t="shared" si="15"/>
        <v>0</v>
      </c>
      <c r="O37" s="195">
        <f>SUM(SAP_Speadsheet!$E$64:$P$64)</f>
        <v>0</v>
      </c>
      <c r="P37" s="195">
        <f>SUM(SAP_Speadsheet!$Q$64:$AB$64)</f>
        <v>0</v>
      </c>
      <c r="Q37" s="195">
        <f>SUM(SAP_Speadsheet!$AC$64:$AN$64)</f>
        <v>0</v>
      </c>
      <c r="R37" s="195">
        <f>SUM(SAP_Speadsheet!$AO$64:$AZ$64)</f>
        <v>0</v>
      </c>
      <c r="S37" s="195">
        <f>SUM(SAP_Speadsheet!$BA$64:$BF$64)</f>
        <v>0</v>
      </c>
      <c r="T37" s="142">
        <f t="shared" si="16"/>
        <v>0</v>
      </c>
      <c r="U37" s="142">
        <f t="shared" si="14"/>
        <v>0</v>
      </c>
      <c r="V37" s="180"/>
      <c r="W37" s="119"/>
      <c r="X37" s="182"/>
    </row>
    <row r="38" spans="1:24" s="83" customFormat="1" ht="11" x14ac:dyDescent="0.15">
      <c r="A38" s="84"/>
      <c r="B38" s="82" t="s">
        <v>125</v>
      </c>
      <c r="C38" s="83" t="s">
        <v>250</v>
      </c>
      <c r="E38" s="200"/>
      <c r="F38" s="178" t="s">
        <v>251</v>
      </c>
      <c r="H38" s="201"/>
      <c r="I38" s="180"/>
      <c r="J38" s="180"/>
      <c r="K38" s="82" t="s">
        <v>232</v>
      </c>
      <c r="L38" s="171"/>
      <c r="M38" s="149"/>
      <c r="N38" s="141">
        <f t="shared" si="15"/>
        <v>0</v>
      </c>
      <c r="O38" s="141">
        <f>SUM(SAP_Speadsheet!$E$68:$P$68)</f>
        <v>0</v>
      </c>
      <c r="P38" s="141">
        <f>SUM(SAP_Speadsheet!$Q$68:$AB$68)</f>
        <v>0</v>
      </c>
      <c r="Q38" s="141">
        <f>SUM(SAP_Speadsheet!$AC$68:$AN$68)</f>
        <v>0</v>
      </c>
      <c r="R38" s="141">
        <f>SUM(SAP_Speadsheet!$AO$68:$AZ$68)</f>
        <v>0</v>
      </c>
      <c r="S38" s="141">
        <f>SUM(SAP_Speadsheet!$BA$68:$BF$68)</f>
        <v>0</v>
      </c>
      <c r="T38" s="142">
        <f t="shared" si="16"/>
        <v>0</v>
      </c>
      <c r="U38" s="142">
        <f t="shared" si="14"/>
        <v>0</v>
      </c>
      <c r="V38" s="180"/>
      <c r="W38" s="119"/>
      <c r="X38" s="182"/>
    </row>
    <row r="39" spans="1:24" s="83" customFormat="1" ht="11" x14ac:dyDescent="0.15">
      <c r="A39" s="84"/>
      <c r="C39" s="83" t="s">
        <v>250</v>
      </c>
      <c r="E39" s="202"/>
      <c r="F39" s="178" t="s">
        <v>252</v>
      </c>
      <c r="I39" s="180"/>
      <c r="J39" s="180"/>
      <c r="K39" s="203" t="s">
        <v>233</v>
      </c>
      <c r="L39" s="82"/>
      <c r="M39" s="82"/>
      <c r="N39" s="191">
        <f t="shared" si="15"/>
        <v>-2.486775449343404</v>
      </c>
      <c r="O39" s="191">
        <f>SUM(SAP_Speadsheet!$E$183:$P$183)</f>
        <v>-2.4144567362792069</v>
      </c>
      <c r="P39" s="191">
        <f>SUM(SAP_Speadsheet!$Q$183:$AB$183)</f>
        <v>-7.2318713064197127E-2</v>
      </c>
      <c r="Q39" s="191">
        <f>SUM(SAP_Speadsheet!$AC$183:$AN$183)</f>
        <v>0</v>
      </c>
      <c r="R39" s="191">
        <f>SUM(SAP_Speadsheet!$AO$183:$AZ$183)</f>
        <v>0</v>
      </c>
      <c r="S39" s="191">
        <f>SUM(SAP_Speadsheet!$BA$183:$BF$183)</f>
        <v>0</v>
      </c>
      <c r="T39" s="136">
        <f t="shared" si="16"/>
        <v>-0.29328613857598668</v>
      </c>
      <c r="U39" s="136">
        <f t="shared" si="14"/>
        <v>-0.1537023821678507</v>
      </c>
      <c r="V39" s="180"/>
      <c r="W39" s="119"/>
      <c r="X39" s="182"/>
    </row>
    <row r="40" spans="1:24" s="83" customFormat="1" ht="11" x14ac:dyDescent="0.15">
      <c r="A40" s="84"/>
      <c r="C40" s="83" t="s">
        <v>253</v>
      </c>
      <c r="D40" s="196"/>
      <c r="E40" s="202"/>
      <c r="F40" s="178" t="s">
        <v>254</v>
      </c>
      <c r="I40" s="180"/>
      <c r="J40" s="180"/>
      <c r="K40" s="82" t="s">
        <v>236</v>
      </c>
      <c r="N40" s="191">
        <f t="shared" si="15"/>
        <v>-1.0519079627110119</v>
      </c>
      <c r="O40" s="191">
        <f>+SUM(O41,O45,O48,O52)</f>
        <v>-1.0208986822946156</v>
      </c>
      <c r="P40" s="204">
        <f>+SUM(P41,P45,P48,P52)</f>
        <v>-3.100928041639648E-2</v>
      </c>
      <c r="Q40" s="204">
        <f>+SUM(Q41,Q45,Q48,Q52)</f>
        <v>0</v>
      </c>
      <c r="R40" s="204">
        <f>+SUM(R41,R45,R48,R52)</f>
        <v>0</v>
      </c>
      <c r="S40" s="191">
        <f>+SUM(S41,S45,S48,S52)</f>
        <v>0</v>
      </c>
      <c r="T40" s="136">
        <f t="shared" si="16"/>
        <v>-0.12406026631890031</v>
      </c>
      <c r="U40" s="136">
        <f t="shared" si="14"/>
        <v>-6.5016228036472945E-2</v>
      </c>
      <c r="V40" s="180"/>
      <c r="W40" s="119"/>
      <c r="X40" s="182"/>
    </row>
    <row r="41" spans="1:24" s="83" customFormat="1" ht="14" thickBot="1" x14ac:dyDescent="0.2">
      <c r="A41" s="84"/>
      <c r="B41" s="77" t="s">
        <v>128</v>
      </c>
      <c r="C41" s="114"/>
      <c r="D41" s="115"/>
      <c r="E41" s="114"/>
      <c r="F41" s="114"/>
      <c r="G41" s="114"/>
      <c r="H41" s="114" t="s">
        <v>217</v>
      </c>
      <c r="I41" s="180"/>
      <c r="J41" s="180"/>
      <c r="K41" s="203" t="s">
        <v>131</v>
      </c>
      <c r="N41" s="191">
        <f t="shared" si="15"/>
        <v>-0.38973563556490698</v>
      </c>
      <c r="O41" s="191">
        <f>SUM(O42:O44)</f>
        <v>-0.43435719703072789</v>
      </c>
      <c r="P41" s="191">
        <f>SUM(P42:P44)</f>
        <v>4.4621561465820886E-2</v>
      </c>
      <c r="Q41" s="191">
        <f>SUM(Q42:Q44)</f>
        <v>0</v>
      </c>
      <c r="R41" s="191">
        <f>SUM(R42:R44)</f>
        <v>0</v>
      </c>
      <c r="S41" s="191">
        <f>SUM(S42:S44)</f>
        <v>0</v>
      </c>
      <c r="T41" s="136">
        <f t="shared" si="16"/>
        <v>-4.5964769215680414E-2</v>
      </c>
      <c r="U41" s="136">
        <f t="shared" si="14"/>
        <v>-2.4088743363557048E-2</v>
      </c>
      <c r="V41" s="180"/>
      <c r="W41" s="119"/>
      <c r="X41" s="182"/>
    </row>
    <row r="42" spans="1:24" s="83" customFormat="1" thickTop="1" x14ac:dyDescent="0.15">
      <c r="A42" s="84"/>
      <c r="D42" s="116"/>
      <c r="I42" s="180"/>
      <c r="J42" s="180"/>
      <c r="K42" s="139" t="s">
        <v>255</v>
      </c>
      <c r="L42" s="171"/>
      <c r="N42" s="141">
        <f t="shared" si="15"/>
        <v>0</v>
      </c>
      <c r="O42" s="141">
        <f>SUM(SAP_Speadsheet!$E$73:$P$73)</f>
        <v>0</v>
      </c>
      <c r="P42" s="141">
        <f>SUM(SAP_Speadsheet!$Q$73:$AB$73)</f>
        <v>0</v>
      </c>
      <c r="Q42" s="141">
        <f>SUM(SAP_Speadsheet!$AC$73:$AN$73)</f>
        <v>0</v>
      </c>
      <c r="R42" s="141">
        <f>SUM(SAP_Speadsheet!$AO$73:$AZ$73)</f>
        <v>0</v>
      </c>
      <c r="S42" s="141">
        <f>SUM(SAP_Speadsheet!$BA$73:$BF$73)</f>
        <v>0</v>
      </c>
      <c r="T42" s="142">
        <f t="shared" si="16"/>
        <v>0</v>
      </c>
      <c r="U42" s="142">
        <f t="shared" si="14"/>
        <v>0</v>
      </c>
      <c r="V42" s="180"/>
      <c r="W42" s="119"/>
      <c r="X42" s="182"/>
    </row>
    <row r="43" spans="1:24" s="83" customFormat="1" ht="11" x14ac:dyDescent="0.15">
      <c r="A43" s="84"/>
      <c r="B43" s="82" t="s">
        <v>129</v>
      </c>
      <c r="D43" s="116"/>
      <c r="E43" s="205">
        <v>3.5000000000000003E-2</v>
      </c>
      <c r="F43" s="178" t="s">
        <v>256</v>
      </c>
      <c r="I43" s="180"/>
      <c r="J43" s="180"/>
      <c r="K43" s="139" t="s">
        <v>257</v>
      </c>
      <c r="N43" s="195">
        <f t="shared" si="15"/>
        <v>-0.32540240206208781</v>
      </c>
      <c r="O43" s="195">
        <f>SUM(SAP_Speadsheet!$E$74:$P$74)</f>
        <v>-0.37002396352790867</v>
      </c>
      <c r="P43" s="195">
        <f>SUM(SAP_Speadsheet!$Q$74:$AB$74)</f>
        <v>4.4621561465820886E-2</v>
      </c>
      <c r="Q43" s="195">
        <f>SUM(SAP_Speadsheet!$AC$74:$AN$74)</f>
        <v>0</v>
      </c>
      <c r="R43" s="195">
        <f>SUM(SAP_Speadsheet!$AO$74:$AZ$74)</f>
        <v>0</v>
      </c>
      <c r="S43" s="195">
        <f>SUM(SAP_Speadsheet!$BA$74:$BF$74)</f>
        <v>0</v>
      </c>
      <c r="T43" s="142">
        <f t="shared" si="16"/>
        <v>-3.8377415222326919E-2</v>
      </c>
      <c r="U43" s="142">
        <f t="shared" si="14"/>
        <v>-2.0112440941657754E-2</v>
      </c>
      <c r="V43" s="180"/>
      <c r="W43" s="119"/>
      <c r="X43" s="182"/>
    </row>
    <row r="44" spans="1:24" s="171" customFormat="1" ht="11" x14ac:dyDescent="0.15">
      <c r="A44" s="84"/>
      <c r="B44" s="83"/>
      <c r="C44" s="83"/>
      <c r="D44" s="116"/>
      <c r="E44" s="206"/>
      <c r="F44" s="178"/>
      <c r="G44" s="207"/>
      <c r="H44" s="119"/>
      <c r="I44" s="180"/>
      <c r="J44" s="180"/>
      <c r="K44" s="139" t="s">
        <v>258</v>
      </c>
      <c r="M44" s="83"/>
      <c r="N44" s="141">
        <f t="shared" si="15"/>
        <v>-6.433323350281922E-2</v>
      </c>
      <c r="O44" s="141">
        <f>SUM(SAP_Speadsheet!$E$86:$P$86)</f>
        <v>-6.433323350281922E-2</v>
      </c>
      <c r="P44" s="141">
        <f>SUM(SAP_Speadsheet!$Q$86:$AB$86)</f>
        <v>0</v>
      </c>
      <c r="Q44" s="141">
        <f>SUM(SAP_Speadsheet!$AC$86:$AN$86)</f>
        <v>0</v>
      </c>
      <c r="R44" s="141">
        <f>SUM(SAP_Speadsheet!$AO$86:$AZ$86)</f>
        <v>0</v>
      </c>
      <c r="S44" s="141">
        <f>SUM(SAP_Speadsheet!$BA$86:$BF$86)</f>
        <v>0</v>
      </c>
      <c r="T44" s="142">
        <f t="shared" si="16"/>
        <v>-7.5873539933535086E-3</v>
      </c>
      <c r="U44" s="142">
        <f t="shared" si="14"/>
        <v>-3.9763024218992995E-3</v>
      </c>
      <c r="V44" s="180"/>
      <c r="W44" s="119"/>
      <c r="X44" s="182"/>
    </row>
    <row r="45" spans="1:24" s="171" customFormat="1" ht="11" x14ac:dyDescent="0.15">
      <c r="A45" s="84"/>
      <c r="B45" s="82" t="s">
        <v>131</v>
      </c>
      <c r="F45" s="178"/>
      <c r="I45" s="180"/>
      <c r="J45" s="180"/>
      <c r="K45" s="203" t="s">
        <v>237</v>
      </c>
      <c r="M45" s="83"/>
      <c r="N45" s="129">
        <f t="shared" si="15"/>
        <v>-6.6756456569251957E-2</v>
      </c>
      <c r="O45" s="129">
        <f>SUM(O46:O47)</f>
        <v>-6.6756456569251957E-2</v>
      </c>
      <c r="P45" s="129">
        <f>SUM(P46:P47)</f>
        <v>0</v>
      </c>
      <c r="Q45" s="129">
        <f>SUM(Q46:Q47)</f>
        <v>0</v>
      </c>
      <c r="R45" s="129">
        <f>SUM(R46:R47)</f>
        <v>0</v>
      </c>
      <c r="S45" s="129">
        <f>SUM(S46:S47)</f>
        <v>0</v>
      </c>
      <c r="T45" s="136">
        <f t="shared" si="16"/>
        <v>-7.8731448701493886E-3</v>
      </c>
      <c r="U45" s="136">
        <f t="shared" si="14"/>
        <v>-4.1260767643849219E-3</v>
      </c>
      <c r="V45" s="180"/>
      <c r="W45" s="119"/>
      <c r="X45" s="182"/>
    </row>
    <row r="46" spans="1:24" s="171" customFormat="1" ht="11" x14ac:dyDescent="0.15">
      <c r="A46" s="84"/>
      <c r="C46" s="165" t="s">
        <v>133</v>
      </c>
      <c r="E46" s="208" t="s">
        <v>259</v>
      </c>
      <c r="F46" s="178"/>
      <c r="H46" s="209"/>
      <c r="K46" s="139" t="s">
        <v>260</v>
      </c>
      <c r="L46" s="83"/>
      <c r="M46" s="83"/>
      <c r="N46" s="141">
        <f t="shared" si="15"/>
        <v>-6.2756456569251953E-2</v>
      </c>
      <c r="O46" s="141">
        <f>SUM(SAP_Speadsheet!$E$89:$P$89)</f>
        <v>-6.2756456569251953E-2</v>
      </c>
      <c r="P46" s="141">
        <f>SUM(SAP_Speadsheet!$Q$89:$AB$89)</f>
        <v>0</v>
      </c>
      <c r="Q46" s="141">
        <f>SUM(SAP_Speadsheet!$AC$89:$AN$89)</f>
        <v>0</v>
      </c>
      <c r="R46" s="141">
        <f>SUM(SAP_Speadsheet!$AO$89:$AZ$89)</f>
        <v>0</v>
      </c>
      <c r="S46" s="141">
        <f>SUM(SAP_Speadsheet!$BA$89:$BF$89)</f>
        <v>0</v>
      </c>
      <c r="T46" s="142">
        <f t="shared" si="16"/>
        <v>-7.40139155819929E-3</v>
      </c>
      <c r="U46" s="142">
        <f t="shared" si="14"/>
        <v>-3.8788451420710798E-3</v>
      </c>
      <c r="V46" s="180"/>
      <c r="W46" s="119"/>
      <c r="X46" s="182"/>
    </row>
    <row r="47" spans="1:24" s="83" customFormat="1" ht="11" x14ac:dyDescent="0.15">
      <c r="A47" s="84"/>
      <c r="C47" s="83" t="s">
        <v>135</v>
      </c>
      <c r="D47" s="116"/>
      <c r="E47" s="210">
        <f>DATA!D58</f>
        <v>0.23097590676174776</v>
      </c>
      <c r="F47" s="178" t="s">
        <v>261</v>
      </c>
      <c r="G47" s="211"/>
      <c r="H47" s="171"/>
      <c r="K47" s="139" t="s">
        <v>262</v>
      </c>
      <c r="N47" s="141">
        <f t="shared" si="15"/>
        <v>-4.0000000000000001E-3</v>
      </c>
      <c r="O47" s="141">
        <f>SUM(SAP_Speadsheet!$E$90:$P$90)</f>
        <v>-4.0000000000000001E-3</v>
      </c>
      <c r="P47" s="141">
        <f>SUM(SAP_Speadsheet!$Q$90:$AB$90)</f>
        <v>0</v>
      </c>
      <c r="Q47" s="141">
        <f>SUM(SAP_Speadsheet!$AC$90:$AN$90)</f>
        <v>0</v>
      </c>
      <c r="R47" s="141">
        <f>SUM(SAP_Speadsheet!$AO$90:$AZ$90)</f>
        <v>0</v>
      </c>
      <c r="S47" s="141">
        <f>SUM(SAP_Speadsheet!$BA$90:$BF$90)</f>
        <v>0</v>
      </c>
      <c r="T47" s="142">
        <f t="shared" si="16"/>
        <v>-4.717533119500991E-4</v>
      </c>
      <c r="U47" s="142">
        <f t="shared" si="14"/>
        <v>-2.4723162231384189E-4</v>
      </c>
      <c r="V47" s="180"/>
      <c r="W47" s="119"/>
      <c r="X47" s="182"/>
    </row>
    <row r="48" spans="1:24" s="83" customFormat="1" ht="11" x14ac:dyDescent="0.15">
      <c r="A48" s="84"/>
      <c r="C48" s="83" t="s">
        <v>138</v>
      </c>
      <c r="D48" s="116"/>
      <c r="E48" s="210"/>
      <c r="F48" s="178" t="s">
        <v>261</v>
      </c>
      <c r="G48" s="212"/>
      <c r="K48" s="203" t="s">
        <v>263</v>
      </c>
      <c r="N48" s="129">
        <f t="shared" si="15"/>
        <v>-9.8911856383436636E-2</v>
      </c>
      <c r="O48" s="129">
        <f>SUM(O49:O51)</f>
        <v>-8.0561609394318931E-2</v>
      </c>
      <c r="P48" s="129">
        <f>SUM(P49:P51)</f>
        <v>-1.8350246989117698E-2</v>
      </c>
      <c r="Q48" s="129">
        <f>SUM(Q49:Q51)</f>
        <v>0</v>
      </c>
      <c r="R48" s="129">
        <f>SUM(R49:R51)</f>
        <v>0</v>
      </c>
      <c r="S48" s="129">
        <f>SUM(S49:S51)</f>
        <v>0</v>
      </c>
      <c r="T48" s="136">
        <f t="shared" si="16"/>
        <v>-1.1665498960004694E-2</v>
      </c>
      <c r="U48" s="136">
        <f t="shared" si="14"/>
        <v>-6.1135346799376933E-3</v>
      </c>
      <c r="V48" s="180"/>
      <c r="W48" s="119"/>
      <c r="X48" s="182"/>
    </row>
    <row r="49" spans="1:24" s="83" customFormat="1" ht="11" x14ac:dyDescent="0.15">
      <c r="A49" s="84"/>
      <c r="E49" s="209" t="s">
        <v>264</v>
      </c>
      <c r="F49" s="178"/>
      <c r="G49" s="212"/>
      <c r="K49" s="139" t="s">
        <v>265</v>
      </c>
      <c r="N49" s="141">
        <f t="shared" si="15"/>
        <v>-8.9243030785084554E-2</v>
      </c>
      <c r="O49" s="141">
        <f>SUM(SAP_Speadsheet!$E$96:$P$96)</f>
        <v>-7.2003527573480802E-2</v>
      </c>
      <c r="P49" s="141">
        <f>SUM(SAP_Speadsheet!$Q$96:$AB$96)</f>
        <v>-1.7239503211603759E-2</v>
      </c>
      <c r="Q49" s="141">
        <f>SUM(SAP_Speadsheet!$AC$96:$AN$96)</f>
        <v>0</v>
      </c>
      <c r="R49" s="141">
        <f>SUM(SAP_Speadsheet!$AO$96:$AZ$96)</f>
        <v>0</v>
      </c>
      <c r="S49" s="141">
        <f>SUM(SAP_Speadsheet!$BA$96:$BF$96)</f>
        <v>0</v>
      </c>
      <c r="T49" s="142">
        <f t="shared" si="16"/>
        <v>-1.052517383533207E-2</v>
      </c>
      <c r="U49" s="142">
        <f t="shared" si="14"/>
        <v>-5.5159248203001466E-3</v>
      </c>
      <c r="V49" s="180"/>
      <c r="W49" s="119"/>
      <c r="X49" s="182"/>
    </row>
    <row r="50" spans="1:24" s="83" customFormat="1" ht="11" x14ac:dyDescent="0.15">
      <c r="A50" s="84"/>
      <c r="C50" s="83" t="s">
        <v>140</v>
      </c>
      <c r="D50" s="196"/>
      <c r="E50" s="210"/>
      <c r="F50" s="178" t="s">
        <v>261</v>
      </c>
      <c r="G50" s="212"/>
      <c r="K50" s="139" t="s">
        <v>266</v>
      </c>
      <c r="N50" s="141">
        <f t="shared" si="15"/>
        <v>0</v>
      </c>
      <c r="O50" s="141">
        <f>SUM(SAP_Speadsheet!$E$97:$P$97)</f>
        <v>0</v>
      </c>
      <c r="P50" s="141">
        <f>SUM(SAP_Speadsheet!$Q$97:$AB$97)</f>
        <v>0</v>
      </c>
      <c r="Q50" s="141">
        <f>SUM(SAP_Speadsheet!$AC$97:$AN$97)</f>
        <v>0</v>
      </c>
      <c r="R50" s="141">
        <f>SUM(SAP_Speadsheet!$AO$97:$AZ$97)</f>
        <v>0</v>
      </c>
      <c r="S50" s="141">
        <f>SUM(SAP_Speadsheet!$BA$97:$BF$97)</f>
        <v>0</v>
      </c>
      <c r="T50" s="142">
        <f t="shared" si="16"/>
        <v>0</v>
      </c>
      <c r="U50" s="142">
        <f t="shared" si="14"/>
        <v>0</v>
      </c>
      <c r="V50" s="180"/>
      <c r="W50" s="119"/>
      <c r="X50" s="182"/>
    </row>
    <row r="51" spans="1:24" s="83" customFormat="1" ht="11" x14ac:dyDescent="0.15">
      <c r="A51" s="84"/>
      <c r="C51" s="83" t="s">
        <v>142</v>
      </c>
      <c r="E51" s="210"/>
      <c r="F51" s="178" t="s">
        <v>261</v>
      </c>
      <c r="G51" s="212"/>
      <c r="I51" s="213"/>
      <c r="J51" s="180"/>
      <c r="K51" s="139" t="s">
        <v>173</v>
      </c>
      <c r="L51" s="171"/>
      <c r="N51" s="141">
        <f t="shared" si="15"/>
        <v>-9.6688255983520734E-3</v>
      </c>
      <c r="O51" s="141">
        <f>SUM(SAP_Speadsheet!$E$99:$P$99)</f>
        <v>-8.5580818208381339E-3</v>
      </c>
      <c r="P51" s="141">
        <f>SUM(SAP_Speadsheet!$Q$99:$AB$99)</f>
        <v>-1.1107437775139388E-3</v>
      </c>
      <c r="Q51" s="141">
        <f>SUM(SAP_Speadsheet!$AC$99:$AN$99)</f>
        <v>0</v>
      </c>
      <c r="R51" s="141">
        <f>SUM(SAP_Speadsheet!$AO$99:$AZ$99)</f>
        <v>0</v>
      </c>
      <c r="S51" s="141">
        <f>SUM(SAP_Speadsheet!$BA$99:$BF$99)</f>
        <v>0</v>
      </c>
      <c r="T51" s="142">
        <f t="shared" si="16"/>
        <v>-1.1403251246726222E-3</v>
      </c>
      <c r="U51" s="142">
        <f t="shared" si="14"/>
        <v>-5.9760985963754651E-4</v>
      </c>
      <c r="V51" s="180"/>
      <c r="W51" s="119"/>
      <c r="X51" s="182"/>
    </row>
    <row r="52" spans="1:24" s="83" customFormat="1" ht="11" x14ac:dyDescent="0.15">
      <c r="A52" s="84"/>
      <c r="C52" s="83" t="s">
        <v>144</v>
      </c>
      <c r="E52" s="210"/>
      <c r="F52" s="178" t="s">
        <v>261</v>
      </c>
      <c r="G52" s="211"/>
      <c r="H52" s="209"/>
      <c r="I52" s="213"/>
      <c r="J52" s="180"/>
      <c r="K52" s="203" t="s">
        <v>267</v>
      </c>
      <c r="N52" s="129">
        <f t="shared" si="15"/>
        <v>-0.4965040141934165</v>
      </c>
      <c r="O52" s="129">
        <f>SUM(O53:O56)</f>
        <v>-0.43922341930031683</v>
      </c>
      <c r="P52" s="129">
        <f>SUM(P53:P56)</f>
        <v>-5.7280594893099668E-2</v>
      </c>
      <c r="Q52" s="129">
        <f>SUM(Q53:Q56)</f>
        <v>0</v>
      </c>
      <c r="R52" s="129">
        <f>SUM(R53:R56)</f>
        <v>0</v>
      </c>
      <c r="S52" s="129">
        <f>SUM(S53:S56)</f>
        <v>0</v>
      </c>
      <c r="T52" s="136">
        <f t="shared" si="16"/>
        <v>-5.8556853273065798E-2</v>
      </c>
      <c r="U52" s="136">
        <f t="shared" si="14"/>
        <v>-3.0687873228593281E-2</v>
      </c>
      <c r="V52" s="180"/>
      <c r="W52" s="119"/>
      <c r="X52" s="182"/>
    </row>
    <row r="53" spans="1:24" s="83" customFormat="1" ht="11" x14ac:dyDescent="0.15">
      <c r="A53" s="84"/>
      <c r="C53" s="83" t="s">
        <v>146</v>
      </c>
      <c r="E53" s="210"/>
      <c r="F53" s="178" t="s">
        <v>261</v>
      </c>
      <c r="G53" s="211"/>
      <c r="H53" s="209"/>
      <c r="I53" s="213"/>
      <c r="J53" s="180"/>
      <c r="K53" s="139" t="s">
        <v>178</v>
      </c>
      <c r="N53" s="141">
        <f t="shared" si="15"/>
        <v>-9.6120873599203294E-2</v>
      </c>
      <c r="O53" s="141">
        <f>SUM(SAP_Speadsheet!$E$104:$P$104)</f>
        <v>-8.5031616183326775E-2</v>
      </c>
      <c r="P53" s="141">
        <f>SUM(SAP_Speadsheet!$Q$104:$AB$104)</f>
        <v>-1.1089257415876512E-2</v>
      </c>
      <c r="Q53" s="141">
        <f>SUM(SAP_Speadsheet!$AC$104:$AN$104)</f>
        <v>0</v>
      </c>
      <c r="R53" s="141">
        <f>SUM(SAP_Speadsheet!$AO$104:$AZ$104)</f>
        <v>0</v>
      </c>
      <c r="S53" s="141">
        <f>SUM(SAP_Speadsheet!$BA$104:$BF$104)</f>
        <v>0</v>
      </c>
      <c r="T53" s="142">
        <f t="shared" si="16"/>
        <v>-1.1336335116990249E-2</v>
      </c>
      <c r="U53" s="142">
        <f>N53/$E$10</f>
        <v>-5.9410298795386906E-3</v>
      </c>
      <c r="V53" s="180"/>
      <c r="W53" s="119"/>
      <c r="X53" s="182"/>
    </row>
    <row r="54" spans="1:24" s="83" customFormat="1" ht="11" x14ac:dyDescent="0.15">
      <c r="A54" s="84"/>
      <c r="C54" s="83" t="s">
        <v>148</v>
      </c>
      <c r="E54" s="210"/>
      <c r="F54" s="178" t="s">
        <v>261</v>
      </c>
      <c r="I54" s="213"/>
      <c r="J54" s="180"/>
      <c r="K54" s="139" t="s">
        <v>268</v>
      </c>
      <c r="N54" s="141">
        <f t="shared" si="15"/>
        <v>-0.15610390919353453</v>
      </c>
      <c r="O54" s="141">
        <f>SUM(SAP_Speadsheet!$E$105:$P$105)</f>
        <v>-0.13809453861821275</v>
      </c>
      <c r="P54" s="141">
        <f>SUM(SAP_Speadsheet!$Q$105:$AB$105)</f>
        <v>-1.800937057532179E-2</v>
      </c>
      <c r="Q54" s="141">
        <f>SUM(SAP_Speadsheet!$AC$105:$AN$105)</f>
        <v>0</v>
      </c>
      <c r="R54" s="141">
        <f>SUM(SAP_Speadsheet!$AO$105:$AZ$105)</f>
        <v>0</v>
      </c>
      <c r="S54" s="141">
        <f>SUM(SAP_Speadsheet!$BA$105:$BF$105)</f>
        <v>0</v>
      </c>
      <c r="T54" s="142">
        <f t="shared" si="16"/>
        <v>-1.8410634042601855E-2</v>
      </c>
      <c r="U54" s="142">
        <f>N54/$E$10</f>
        <v>-9.6484556798625484E-3</v>
      </c>
      <c r="V54" s="180"/>
      <c r="W54" s="119"/>
      <c r="X54" s="182"/>
    </row>
    <row r="55" spans="1:24" s="83" customFormat="1" ht="11" x14ac:dyDescent="0.15">
      <c r="A55" s="84"/>
      <c r="C55" s="83" t="s">
        <v>269</v>
      </c>
      <c r="E55" s="210"/>
      <c r="F55" s="178" t="s">
        <v>270</v>
      </c>
      <c r="J55" s="180"/>
      <c r="K55" s="139" t="s">
        <v>182</v>
      </c>
      <c r="N55" s="141">
        <f t="shared" si="15"/>
        <v>-0.12101049027024502</v>
      </c>
      <c r="O55" s="141">
        <f>SUM(SAP_Speadsheet!$E$106:$P$106)</f>
        <v>-0.10704977157948928</v>
      </c>
      <c r="P55" s="141">
        <f>SUM(SAP_Speadsheet!$Q$106:$AB$106)</f>
        <v>-1.3960718690755741E-2</v>
      </c>
      <c r="Q55" s="141">
        <f>SUM(SAP_Speadsheet!$AC$106:$AN$106)</f>
        <v>0</v>
      </c>
      <c r="R55" s="141">
        <f>SUM(SAP_Speadsheet!$AO$106:$AZ$106)</f>
        <v>0</v>
      </c>
      <c r="S55" s="141">
        <f>SUM(SAP_Speadsheet!$BA$106:$BF$106)</f>
        <v>0</v>
      </c>
      <c r="T55" s="142">
        <f t="shared" si="16"/>
        <v>-1.427177489142333E-2</v>
      </c>
      <c r="U55" s="142">
        <f>N55/$E$10</f>
        <v>-7.4794049566265126E-3</v>
      </c>
      <c r="V55" s="180"/>
      <c r="W55" s="119"/>
      <c r="X55" s="182"/>
    </row>
    <row r="56" spans="1:24" s="83" customFormat="1" ht="11" x14ac:dyDescent="0.15">
      <c r="A56" s="84"/>
      <c r="C56" s="83" t="s">
        <v>150</v>
      </c>
      <c r="D56" s="116"/>
      <c r="E56" s="200"/>
      <c r="F56" s="178" t="s">
        <v>271</v>
      </c>
      <c r="J56" s="180"/>
      <c r="K56" s="139" t="s">
        <v>272</v>
      </c>
      <c r="N56" s="141">
        <f t="shared" si="15"/>
        <v>-0.12326874113043371</v>
      </c>
      <c r="O56" s="141">
        <f>SUM(SAP_Speadsheet!$E$107:$P$107)</f>
        <v>-0.10904749291928809</v>
      </c>
      <c r="P56" s="141">
        <f>SUM(SAP_Speadsheet!$Q$107:$AB$107)</f>
        <v>-1.4221248211145622E-2</v>
      </c>
      <c r="Q56" s="141">
        <f>SUM(SAP_Speadsheet!$AC$107:$AN$107)</f>
        <v>0</v>
      </c>
      <c r="R56" s="141">
        <f>SUM(SAP_Speadsheet!$AO$107:$AZ$107)</f>
        <v>0</v>
      </c>
      <c r="S56" s="141">
        <f>SUM(SAP_Speadsheet!$BA$107:$BF$107)</f>
        <v>0</v>
      </c>
      <c r="T56" s="142">
        <f t="shared" si="16"/>
        <v>-1.4538109222050377E-2</v>
      </c>
      <c r="U56" s="142">
        <f>N56/$E$10</f>
        <v>-7.6189827125655325E-3</v>
      </c>
      <c r="V56" s="180"/>
      <c r="W56" s="119"/>
      <c r="X56" s="182"/>
    </row>
    <row r="57" spans="1:24" s="83" customFormat="1" ht="11" x14ac:dyDescent="0.15">
      <c r="A57" s="84"/>
      <c r="E57" s="202"/>
      <c r="F57" s="178" t="s">
        <v>273</v>
      </c>
      <c r="J57" s="180"/>
      <c r="K57" s="82" t="s">
        <v>240</v>
      </c>
      <c r="L57" s="171"/>
      <c r="N57" s="129">
        <f t="shared" si="15"/>
        <v>0.4188195928222358</v>
      </c>
      <c r="O57" s="129">
        <f>SUM(SAP_Speadsheet!$E$189:$P$189)</f>
        <v>0.47148300712759061</v>
      </c>
      <c r="P57" s="129">
        <f>SUM(SAP_Speadsheet!$Q$189:$AB$189)</f>
        <v>-5.2663414305354803E-2</v>
      </c>
      <c r="Q57" s="129">
        <f>SUM(SAP_Speadsheet!$AC$189:$AN$189)</f>
        <v>0</v>
      </c>
      <c r="R57" s="129">
        <f>SUM(SAP_Speadsheet!$AO$189:$AZ$189)</f>
        <v>0</v>
      </c>
      <c r="S57" s="129">
        <f>SUM(SAP_Speadsheet!$BA$189:$BF$189)</f>
        <v>0</v>
      </c>
      <c r="T57" s="136">
        <f t="shared" si="16"/>
        <v>4.9394882505870423E-2</v>
      </c>
      <c r="U57" s="136">
        <f>N57/$E$10</f>
        <v>2.5886361847566007E-2</v>
      </c>
      <c r="V57" s="180"/>
      <c r="W57" s="119"/>
      <c r="X57" s="182"/>
    </row>
    <row r="58" spans="1:24" s="83" customFormat="1" ht="11" x14ac:dyDescent="0.15">
      <c r="A58" s="84"/>
      <c r="F58" s="178"/>
      <c r="J58" s="180"/>
      <c r="V58" s="180"/>
      <c r="W58" s="119"/>
      <c r="X58" s="182"/>
    </row>
    <row r="59" spans="1:24" s="83" customFormat="1" ht="11" x14ac:dyDescent="0.15">
      <c r="A59" s="84"/>
      <c r="C59" s="165" t="s">
        <v>155</v>
      </c>
      <c r="F59" s="178"/>
      <c r="J59" s="180"/>
      <c r="N59" s="119"/>
      <c r="V59" s="180"/>
      <c r="W59" s="119"/>
      <c r="X59" s="182"/>
    </row>
    <row r="60" spans="1:24" s="83" customFormat="1" ht="11" x14ac:dyDescent="0.15">
      <c r="A60" s="84"/>
      <c r="C60" s="214"/>
      <c r="D60" s="116"/>
      <c r="E60" s="215"/>
      <c r="F60" s="178"/>
      <c r="G60" s="211"/>
      <c r="H60" s="209"/>
      <c r="I60" s="216"/>
      <c r="J60" s="116"/>
      <c r="V60" s="116"/>
    </row>
    <row r="61" spans="1:24" s="83" customFormat="1" ht="11" customHeight="1" x14ac:dyDescent="0.15">
      <c r="A61" s="84"/>
      <c r="C61" s="83" t="s">
        <v>155</v>
      </c>
      <c r="D61" s="116"/>
      <c r="E61" s="200">
        <f>DATA!C41</f>
        <v>6.433323350281922E-2</v>
      </c>
      <c r="F61" s="178" t="s">
        <v>271</v>
      </c>
      <c r="G61" s="211"/>
      <c r="H61" s="212"/>
      <c r="I61" s="216"/>
      <c r="J61" s="116"/>
      <c r="V61" s="116"/>
    </row>
    <row r="62" spans="1:24" s="83" customFormat="1" ht="11" customHeight="1" x14ac:dyDescent="0.15">
      <c r="A62" s="84"/>
      <c r="C62" s="217"/>
      <c r="F62" s="178"/>
      <c r="I62" s="188"/>
      <c r="J62" s="116"/>
      <c r="V62" s="116"/>
    </row>
    <row r="63" spans="1:24" s="171" customFormat="1" ht="11" customHeight="1" x14ac:dyDescent="0.15">
      <c r="A63" s="84"/>
      <c r="B63" s="82" t="s">
        <v>157</v>
      </c>
      <c r="C63" s="83" t="s">
        <v>158</v>
      </c>
      <c r="D63" s="116"/>
      <c r="E63" s="218">
        <f>DATA!C42*Leadsheet!E66*Leadsheet!E67</f>
        <v>1.5432063696205331E-2</v>
      </c>
      <c r="F63" s="178" t="s">
        <v>274</v>
      </c>
      <c r="G63" s="219"/>
      <c r="H63" s="212"/>
      <c r="I63" s="216"/>
      <c r="J63" s="196"/>
      <c r="V63" s="196"/>
    </row>
    <row r="64" spans="1:24" s="83" customFormat="1" ht="11" customHeight="1" x14ac:dyDescent="0.15">
      <c r="A64" s="84" t="s">
        <v>275</v>
      </c>
      <c r="B64" s="82"/>
      <c r="C64" s="83" t="s">
        <v>160</v>
      </c>
      <c r="D64" s="116"/>
      <c r="E64" s="218"/>
      <c r="F64" s="178" t="s">
        <v>276</v>
      </c>
      <c r="G64" s="219"/>
      <c r="I64" s="216"/>
      <c r="J64" s="116"/>
      <c r="V64" s="116"/>
    </row>
    <row r="65" spans="1:33" s="83" customFormat="1" ht="11" customHeight="1" x14ac:dyDescent="0.15">
      <c r="A65" s="84"/>
      <c r="C65" s="83" t="s">
        <v>162</v>
      </c>
      <c r="D65" s="116"/>
      <c r="E65" s="218">
        <v>4.0000000000000001E-3</v>
      </c>
      <c r="F65" s="178" t="s">
        <v>276</v>
      </c>
      <c r="G65" s="212"/>
      <c r="H65" s="212"/>
      <c r="I65" s="188"/>
      <c r="V65" s="116"/>
    </row>
    <row r="66" spans="1:33" s="83" customFormat="1" ht="11" customHeight="1" x14ac:dyDescent="0.15">
      <c r="A66" s="84" t="s">
        <v>277</v>
      </c>
      <c r="C66" s="83" t="s">
        <v>164</v>
      </c>
      <c r="D66" s="116"/>
      <c r="E66" s="220">
        <f>DATA!E4</f>
        <v>0.28199999999999997</v>
      </c>
      <c r="F66" s="178" t="s">
        <v>278</v>
      </c>
      <c r="G66" s="221"/>
      <c r="H66" s="212"/>
      <c r="I66" s="216"/>
      <c r="J66" s="116"/>
      <c r="V66" s="116"/>
    </row>
    <row r="67" spans="1:33" s="83" customFormat="1" ht="11" customHeight="1" x14ac:dyDescent="0.15">
      <c r="A67" s="84" t="s">
        <v>279</v>
      </c>
      <c r="C67" s="83" t="s">
        <v>167</v>
      </c>
      <c r="D67" s="116"/>
      <c r="E67" s="220">
        <f>DATA!E5</f>
        <v>0.872</v>
      </c>
      <c r="F67" s="178" t="s">
        <v>280</v>
      </c>
      <c r="G67" s="222"/>
      <c r="H67" s="212"/>
      <c r="I67" s="188"/>
      <c r="J67" s="116"/>
      <c r="V67" s="116"/>
    </row>
    <row r="68" spans="1:33" s="83" customFormat="1" ht="11" customHeight="1" x14ac:dyDescent="0.15">
      <c r="A68" s="84" t="s">
        <v>281</v>
      </c>
      <c r="F68" s="178"/>
      <c r="H68" s="221"/>
      <c r="I68" s="116"/>
      <c r="J68" s="116"/>
      <c r="V68" s="116"/>
      <c r="W68" s="223"/>
      <c r="X68" s="224"/>
      <c r="Y68" s="224"/>
      <c r="Z68" s="224"/>
      <c r="AA68" s="224"/>
      <c r="AB68" s="224"/>
      <c r="AC68" s="224"/>
      <c r="AD68" s="224"/>
      <c r="AE68" s="224"/>
      <c r="AF68" s="224"/>
      <c r="AG68" s="224"/>
    </row>
    <row r="69" spans="1:33" s="83" customFormat="1" ht="11" x14ac:dyDescent="0.15">
      <c r="A69" s="84" t="s">
        <v>282</v>
      </c>
      <c r="F69" s="178"/>
      <c r="H69" s="221"/>
      <c r="I69" s="116"/>
      <c r="V69" s="116"/>
      <c r="W69" s="224"/>
      <c r="X69" s="149"/>
      <c r="Y69" s="149"/>
      <c r="Z69" s="149"/>
      <c r="AA69" s="149"/>
      <c r="AB69" s="149"/>
      <c r="AC69" s="149"/>
      <c r="AD69" s="149"/>
      <c r="AE69" s="149"/>
      <c r="AF69" s="149"/>
      <c r="AG69" s="148"/>
    </row>
    <row r="70" spans="1:33" s="83" customFormat="1" ht="11" x14ac:dyDescent="0.15">
      <c r="A70" s="84"/>
      <c r="D70" s="116"/>
      <c r="E70" s="225"/>
      <c r="F70" s="178"/>
      <c r="H70" s="212"/>
      <c r="J70" s="116"/>
      <c r="K70" s="82"/>
      <c r="L70" s="82"/>
      <c r="M70" s="82"/>
      <c r="N70" s="226"/>
      <c r="O70" s="226"/>
      <c r="P70" s="226"/>
      <c r="Q70" s="226"/>
      <c r="R70" s="226"/>
      <c r="S70" s="226"/>
      <c r="T70" s="227"/>
      <c r="U70" s="228"/>
      <c r="V70" s="116"/>
      <c r="W70" s="224"/>
      <c r="X70" s="149"/>
      <c r="Y70" s="149"/>
      <c r="Z70" s="149"/>
      <c r="AA70" s="149"/>
      <c r="AB70" s="149"/>
      <c r="AC70" s="149"/>
      <c r="AD70" s="149"/>
      <c r="AE70" s="149"/>
      <c r="AF70" s="149"/>
      <c r="AG70" s="148"/>
    </row>
    <row r="71" spans="1:33" s="83" customFormat="1" ht="11" x14ac:dyDescent="0.15">
      <c r="A71" s="116"/>
      <c r="B71" s="82" t="s">
        <v>170</v>
      </c>
      <c r="C71" s="83" t="s">
        <v>171</v>
      </c>
      <c r="D71" s="116"/>
      <c r="E71" s="229">
        <f>DATA!C43</f>
        <v>8.0000000000000002E-3</v>
      </c>
      <c r="F71" s="178" t="s">
        <v>283</v>
      </c>
      <c r="G71" s="219"/>
      <c r="H71" s="212"/>
      <c r="I71" s="116"/>
      <c r="J71" s="116"/>
      <c r="K71" s="82"/>
      <c r="L71" s="82"/>
      <c r="M71" s="82"/>
      <c r="N71" s="226"/>
      <c r="O71" s="226"/>
      <c r="P71" s="226"/>
      <c r="Q71" s="226"/>
      <c r="R71" s="226"/>
      <c r="S71" s="226"/>
      <c r="T71" s="227"/>
      <c r="U71" s="228"/>
      <c r="V71" s="116"/>
      <c r="W71" s="224"/>
      <c r="X71" s="149"/>
      <c r="Y71" s="149"/>
      <c r="Z71" s="149"/>
      <c r="AA71" s="149"/>
      <c r="AB71" s="149"/>
      <c r="AC71" s="149"/>
      <c r="AD71" s="149"/>
      <c r="AE71" s="149"/>
      <c r="AF71" s="149"/>
      <c r="AG71" s="148"/>
    </row>
    <row r="72" spans="1:33" s="83" customFormat="1" ht="11" x14ac:dyDescent="0.15">
      <c r="A72" s="116"/>
      <c r="C72" s="214" t="s">
        <v>284</v>
      </c>
      <c r="D72" s="116"/>
      <c r="E72" s="230"/>
      <c r="F72" s="178" t="s">
        <v>283</v>
      </c>
      <c r="G72" s="219"/>
      <c r="H72" s="212"/>
      <c r="I72" s="116"/>
      <c r="J72" s="116"/>
      <c r="K72" s="82"/>
      <c r="L72" s="82"/>
      <c r="M72" s="82"/>
      <c r="N72" s="226"/>
      <c r="O72" s="226"/>
      <c r="P72" s="226"/>
      <c r="Q72" s="226"/>
      <c r="R72" s="226"/>
      <c r="S72" s="226"/>
      <c r="T72" s="227"/>
      <c r="U72" s="228"/>
      <c r="V72" s="116"/>
      <c r="W72" s="224"/>
      <c r="X72" s="149"/>
      <c r="Y72" s="149"/>
      <c r="Z72" s="149"/>
      <c r="AA72" s="149"/>
      <c r="AB72" s="149"/>
      <c r="AC72" s="149"/>
      <c r="AD72" s="149"/>
      <c r="AE72" s="149"/>
      <c r="AF72" s="149"/>
      <c r="AG72" s="148"/>
    </row>
    <row r="73" spans="1:33" s="83" customFormat="1" ht="11" x14ac:dyDescent="0.15">
      <c r="A73" s="116"/>
      <c r="C73" s="214" t="s">
        <v>285</v>
      </c>
      <c r="D73" s="116"/>
      <c r="E73" s="231"/>
      <c r="F73" s="178" t="s">
        <v>286</v>
      </c>
      <c r="G73" s="219"/>
      <c r="H73" s="212"/>
      <c r="I73" s="116"/>
      <c r="J73" s="116"/>
      <c r="K73" s="82"/>
      <c r="L73" s="82"/>
      <c r="M73" s="82"/>
      <c r="N73" s="226"/>
      <c r="O73" s="226"/>
      <c r="P73" s="226"/>
      <c r="Q73" s="226"/>
      <c r="R73" s="226"/>
      <c r="S73" s="226"/>
      <c r="T73" s="227"/>
      <c r="U73" s="228"/>
      <c r="V73" s="116"/>
      <c r="W73" s="224"/>
      <c r="X73" s="149"/>
      <c r="Y73" s="149"/>
      <c r="Z73" s="149"/>
      <c r="AA73" s="149"/>
      <c r="AB73" s="149"/>
      <c r="AC73" s="149"/>
      <c r="AD73" s="149"/>
      <c r="AE73" s="149"/>
      <c r="AF73" s="149"/>
      <c r="AG73" s="148"/>
    </row>
    <row r="74" spans="1:33" s="83" customFormat="1" ht="11" x14ac:dyDescent="0.15">
      <c r="A74" s="116"/>
      <c r="C74" s="214" t="s">
        <v>287</v>
      </c>
      <c r="D74" s="116"/>
      <c r="E74" s="231"/>
      <c r="F74" s="178" t="s">
        <v>286</v>
      </c>
      <c r="G74" s="219"/>
      <c r="H74" s="212"/>
      <c r="I74" s="116"/>
      <c r="J74" s="116"/>
      <c r="K74" s="82"/>
      <c r="L74" s="82"/>
      <c r="M74" s="82"/>
      <c r="N74" s="226"/>
      <c r="O74" s="226"/>
      <c r="P74" s="226"/>
      <c r="Q74" s="226"/>
      <c r="R74" s="232"/>
      <c r="S74" s="226"/>
      <c r="T74" s="227"/>
      <c r="U74" s="172"/>
      <c r="V74" s="116"/>
      <c r="W74" s="224"/>
      <c r="X74" s="149"/>
      <c r="Y74" s="149"/>
      <c r="Z74" s="149"/>
      <c r="AA74" s="149"/>
      <c r="AB74" s="149"/>
      <c r="AC74" s="149"/>
      <c r="AD74" s="149"/>
      <c r="AE74" s="149"/>
      <c r="AF74" s="149"/>
      <c r="AG74" s="148"/>
    </row>
    <row r="75" spans="1:33" s="83" customFormat="1" ht="11" x14ac:dyDescent="0.15">
      <c r="A75" s="84"/>
      <c r="C75" s="214" t="s">
        <v>288</v>
      </c>
      <c r="D75" s="116"/>
      <c r="E75" s="231"/>
      <c r="F75" s="178" t="s">
        <v>286</v>
      </c>
      <c r="G75" s="219"/>
      <c r="H75" s="212"/>
      <c r="I75" s="116"/>
      <c r="J75" s="116"/>
      <c r="K75" s="82"/>
      <c r="L75" s="82"/>
      <c r="M75" s="82"/>
      <c r="N75" s="226"/>
      <c r="O75" s="226"/>
      <c r="P75" s="226"/>
      <c r="Q75" s="226"/>
      <c r="R75" s="232"/>
      <c r="S75" s="226"/>
      <c r="T75" s="227"/>
      <c r="U75" s="172"/>
      <c r="V75" s="116"/>
      <c r="W75" s="224"/>
      <c r="X75" s="149"/>
      <c r="Y75" s="149"/>
      <c r="Z75" s="149"/>
      <c r="AA75" s="149"/>
      <c r="AB75" s="149"/>
      <c r="AC75" s="149"/>
      <c r="AD75" s="149"/>
      <c r="AE75" s="149"/>
      <c r="AF75" s="149"/>
      <c r="AG75" s="148"/>
    </row>
    <row r="76" spans="1:33" s="83" customFormat="1" ht="11" x14ac:dyDescent="0.15">
      <c r="A76" s="84"/>
      <c r="F76" s="178"/>
      <c r="I76" s="116"/>
      <c r="J76" s="116"/>
      <c r="K76" s="82"/>
      <c r="L76" s="82"/>
      <c r="M76" s="82"/>
      <c r="N76" s="226"/>
      <c r="O76" s="226"/>
      <c r="P76" s="226"/>
      <c r="Q76" s="226"/>
      <c r="R76" s="232"/>
      <c r="S76" s="226"/>
      <c r="T76" s="227"/>
      <c r="U76" s="172"/>
      <c r="V76" s="116"/>
    </row>
    <row r="77" spans="1:33" s="83" customFormat="1" ht="11" x14ac:dyDescent="0.15">
      <c r="A77" s="84"/>
      <c r="B77" s="82" t="s">
        <v>173</v>
      </c>
      <c r="F77" s="178"/>
      <c r="I77" s="116"/>
      <c r="J77" s="116"/>
      <c r="K77" s="82"/>
      <c r="L77" s="82"/>
      <c r="M77" s="82"/>
      <c r="N77" s="226"/>
      <c r="O77" s="226"/>
      <c r="P77" s="226"/>
      <c r="Q77" s="226"/>
      <c r="R77" s="232"/>
      <c r="S77" s="226"/>
      <c r="T77" s="227"/>
      <c r="U77" s="172"/>
      <c r="V77" s="116"/>
    </row>
    <row r="78" spans="1:33" s="83" customFormat="1" ht="11" x14ac:dyDescent="0.15">
      <c r="A78" s="84"/>
      <c r="C78" s="83" t="s">
        <v>174</v>
      </c>
      <c r="E78" s="229">
        <v>1E-3</v>
      </c>
      <c r="F78" s="178" t="s">
        <v>283</v>
      </c>
      <c r="I78" s="116"/>
      <c r="J78" s="116"/>
      <c r="U78" s="172"/>
      <c r="V78" s="116"/>
      <c r="W78" s="223"/>
      <c r="X78" s="233"/>
      <c r="Y78" s="233"/>
      <c r="Z78" s="233"/>
      <c r="AA78" s="233"/>
      <c r="AB78" s="233"/>
      <c r="AC78" s="233"/>
      <c r="AD78" s="233"/>
      <c r="AE78" s="233"/>
      <c r="AF78" s="233"/>
    </row>
    <row r="79" spans="1:33" s="83" customFormat="1" ht="11" x14ac:dyDescent="0.15">
      <c r="A79" s="84" t="s">
        <v>289</v>
      </c>
      <c r="F79" s="178"/>
      <c r="I79" s="116"/>
      <c r="J79" s="116"/>
      <c r="U79" s="172"/>
      <c r="V79" s="116"/>
      <c r="W79" s="233"/>
      <c r="X79" s="149"/>
      <c r="Y79" s="149"/>
      <c r="Z79" s="149"/>
      <c r="AA79" s="149"/>
      <c r="AB79" s="149"/>
      <c r="AC79" s="149"/>
      <c r="AD79" s="149"/>
      <c r="AE79" s="149"/>
      <c r="AF79" s="149"/>
    </row>
    <row r="80" spans="1:33" s="83" customFormat="1" ht="11" x14ac:dyDescent="0.15">
      <c r="A80" s="84" t="s">
        <v>290</v>
      </c>
      <c r="F80" s="178"/>
      <c r="L80" s="219"/>
      <c r="U80" s="172"/>
      <c r="V80" s="116"/>
      <c r="W80" s="233"/>
      <c r="X80" s="149"/>
      <c r="Y80" s="149"/>
      <c r="Z80" s="149"/>
      <c r="AA80" s="149"/>
      <c r="AB80" s="149"/>
      <c r="AC80" s="149"/>
      <c r="AD80" s="149"/>
      <c r="AE80" s="149"/>
      <c r="AF80" s="149"/>
    </row>
    <row r="81" spans="1:32" s="83" customFormat="1" ht="11" x14ac:dyDescent="0.15">
      <c r="A81" s="84" t="s">
        <v>291</v>
      </c>
      <c r="B81" s="82" t="s">
        <v>176</v>
      </c>
      <c r="C81" s="83" t="s">
        <v>178</v>
      </c>
      <c r="D81" s="116"/>
      <c r="E81" s="234">
        <v>9.4474944824391397E-3</v>
      </c>
      <c r="F81" s="178" t="s">
        <v>283</v>
      </c>
      <c r="L81" s="219"/>
      <c r="U81" s="172"/>
      <c r="V81" s="116"/>
      <c r="W81" s="233"/>
      <c r="X81" s="149"/>
      <c r="Y81" s="149"/>
      <c r="Z81" s="149"/>
      <c r="AA81" s="149"/>
      <c r="AB81" s="149"/>
      <c r="AC81" s="149"/>
      <c r="AD81" s="149"/>
      <c r="AE81" s="149"/>
      <c r="AF81" s="149"/>
    </row>
    <row r="82" spans="1:32" s="83" customFormat="1" ht="11" x14ac:dyDescent="0.15">
      <c r="A82" s="84" t="s">
        <v>164</v>
      </c>
      <c r="B82" s="82"/>
      <c r="C82" s="83" t="s">
        <v>180</v>
      </c>
      <c r="E82" s="234">
        <v>1.5343085903927139E-2</v>
      </c>
      <c r="F82" s="178" t="s">
        <v>283</v>
      </c>
      <c r="G82" s="219"/>
      <c r="I82" s="116"/>
      <c r="J82" s="116"/>
      <c r="U82" s="172"/>
      <c r="V82" s="116"/>
      <c r="W82" s="233"/>
      <c r="X82" s="149"/>
      <c r="Y82" s="149"/>
      <c r="Z82" s="149"/>
      <c r="AA82" s="149"/>
      <c r="AB82" s="149"/>
      <c r="AC82" s="149"/>
      <c r="AD82" s="149"/>
      <c r="AE82" s="149"/>
      <c r="AF82" s="149"/>
    </row>
    <row r="83" spans="1:32" s="83" customFormat="1" ht="11" x14ac:dyDescent="0.15">
      <c r="A83" s="84"/>
      <c r="B83" s="82"/>
      <c r="C83" s="83" t="s">
        <v>182</v>
      </c>
      <c r="D83" s="116"/>
      <c r="E83" s="234">
        <v>1.1893836336864827E-2</v>
      </c>
      <c r="F83" s="178" t="s">
        <v>283</v>
      </c>
      <c r="G83" s="219"/>
      <c r="I83" s="116"/>
      <c r="J83" s="116"/>
      <c r="U83" s="120"/>
      <c r="V83" s="116"/>
      <c r="W83" s="233"/>
      <c r="X83" s="149"/>
      <c r="Y83" s="149"/>
      <c r="Z83" s="149"/>
      <c r="AA83" s="149"/>
      <c r="AB83" s="149"/>
      <c r="AC83" s="149"/>
      <c r="AD83" s="149"/>
      <c r="AE83" s="149"/>
      <c r="AF83" s="149"/>
    </row>
    <row r="84" spans="1:32" s="83" customFormat="1" ht="11" x14ac:dyDescent="0.15">
      <c r="A84" s="84"/>
      <c r="B84" s="82"/>
      <c r="C84" s="83" t="s">
        <v>184</v>
      </c>
      <c r="D84" s="116"/>
      <c r="E84" s="234">
        <v>1.211579449998511E-2</v>
      </c>
      <c r="F84" s="178" t="s">
        <v>283</v>
      </c>
      <c r="G84" s="219"/>
      <c r="I84" s="116"/>
      <c r="J84" s="116"/>
      <c r="U84" s="120"/>
      <c r="V84" s="116"/>
      <c r="W84" s="233"/>
      <c r="X84" s="149"/>
      <c r="Y84" s="149"/>
      <c r="Z84" s="149"/>
      <c r="AA84" s="149"/>
      <c r="AB84" s="149"/>
      <c r="AC84" s="149"/>
      <c r="AD84" s="149"/>
      <c r="AE84" s="149"/>
      <c r="AF84" s="149"/>
    </row>
    <row r="85" spans="1:32" s="83" customFormat="1" ht="11" x14ac:dyDescent="0.15">
      <c r="A85" s="84"/>
      <c r="B85" s="82"/>
      <c r="I85" s="116"/>
      <c r="J85" s="116"/>
      <c r="U85" s="120"/>
      <c r="V85" s="116"/>
      <c r="W85" s="233"/>
      <c r="X85" s="149"/>
      <c r="Y85" s="149"/>
      <c r="Z85" s="149"/>
      <c r="AA85" s="149"/>
      <c r="AB85" s="149"/>
      <c r="AC85" s="149"/>
      <c r="AD85" s="149"/>
      <c r="AE85" s="149"/>
      <c r="AF85" s="149"/>
    </row>
    <row r="86" spans="1:32" s="83" customFormat="1" ht="11" x14ac:dyDescent="0.15">
      <c r="A86" s="84" t="s">
        <v>292</v>
      </c>
      <c r="I86" s="116"/>
      <c r="J86" s="116"/>
      <c r="U86" s="120"/>
      <c r="V86" s="116"/>
    </row>
    <row r="87" spans="1:32" s="83" customFormat="1" x14ac:dyDescent="0.15">
      <c r="A87" s="84"/>
      <c r="D87" s="116"/>
      <c r="J87" s="107"/>
      <c r="K87" s="100"/>
      <c r="L87" s="100"/>
      <c r="M87" s="100"/>
      <c r="N87" s="100"/>
      <c r="O87" s="100"/>
      <c r="P87" s="100"/>
      <c r="Q87" s="100"/>
      <c r="R87" s="100"/>
      <c r="S87" s="100"/>
      <c r="T87" s="123"/>
      <c r="U87" s="120"/>
      <c r="V87" s="116"/>
    </row>
    <row r="88" spans="1:32" s="83" customFormat="1" ht="14" thickBot="1" x14ac:dyDescent="0.2">
      <c r="A88" s="84"/>
      <c r="B88" s="77" t="s">
        <v>186</v>
      </c>
      <c r="C88" s="78"/>
      <c r="D88" s="76"/>
      <c r="E88" s="78"/>
      <c r="F88" s="78"/>
      <c r="G88" s="78"/>
      <c r="H88" s="78"/>
      <c r="I88" s="107"/>
      <c r="J88" s="188"/>
      <c r="L88" s="82"/>
      <c r="N88" s="82"/>
      <c r="P88" s="82"/>
      <c r="Q88" s="82"/>
      <c r="R88" s="82"/>
      <c r="S88" s="82"/>
      <c r="U88" s="120"/>
      <c r="V88" s="116"/>
    </row>
    <row r="89" spans="1:32" s="83" customFormat="1" ht="13" thickTop="1" x14ac:dyDescent="0.15">
      <c r="A89" s="84"/>
      <c r="B89" s="123"/>
      <c r="C89" s="123"/>
      <c r="D89" s="107"/>
      <c r="E89" s="123"/>
      <c r="F89" s="100"/>
      <c r="G89" s="123"/>
      <c r="H89" s="100"/>
    </row>
    <row r="90" spans="1:32" s="83" customFormat="1" ht="11" x14ac:dyDescent="0.15">
      <c r="A90" s="95"/>
      <c r="B90" s="235" t="s">
        <v>293</v>
      </c>
      <c r="C90" s="82"/>
      <c r="D90" s="236" t="s">
        <v>187</v>
      </c>
      <c r="E90" s="236" t="s">
        <v>25</v>
      </c>
      <c r="F90" s="236" t="s">
        <v>190</v>
      </c>
      <c r="G90" s="120"/>
      <c r="H90" s="237"/>
    </row>
    <row r="91" spans="1:32" s="83" customFormat="1" ht="11" x14ac:dyDescent="0.15">
      <c r="A91" s="84"/>
      <c r="B91" s="238"/>
      <c r="C91" s="82" t="s">
        <v>294</v>
      </c>
      <c r="D91" s="239">
        <f>DATA!G118</f>
        <v>5.0999999999999997E-2</v>
      </c>
      <c r="E91" s="240">
        <f>PRODUCT(D91:$D$104)</f>
        <v>2.8694638344734995E-2</v>
      </c>
      <c r="F91" s="241">
        <f>E91*(1-$E$110)*(1-$E$111)*(1-$E$112)*(1-$E$113)</f>
        <v>2.7009919886024445E-2</v>
      </c>
      <c r="G91" s="97"/>
      <c r="H91" s="242"/>
    </row>
    <row r="92" spans="1:32" s="83" customFormat="1" ht="11" x14ac:dyDescent="0.15">
      <c r="A92" s="84"/>
      <c r="B92" s="238"/>
      <c r="C92" s="82" t="s">
        <v>295</v>
      </c>
      <c r="D92" s="239">
        <f>DATA!G119</f>
        <v>0.67035901510552698</v>
      </c>
      <c r="E92" s="240">
        <f>PRODUCT(D92:$D$104)</f>
        <v>0.5626399675438235</v>
      </c>
      <c r="F92" s="241">
        <f t="shared" ref="F92:F98" si="17">E92*(1-$E$110)*(1-$E$111)*(1-$E$112)*(1-$E$113)</f>
        <v>0.52960627227498924</v>
      </c>
      <c r="G92" s="97"/>
      <c r="H92" s="242"/>
    </row>
    <row r="93" spans="1:32" s="83" customFormat="1" ht="11" x14ac:dyDescent="0.15">
      <c r="A93" s="84"/>
      <c r="B93" s="238"/>
      <c r="C93" s="82" t="s">
        <v>296</v>
      </c>
      <c r="D93" s="239">
        <f>DATA!G120</f>
        <v>0.91</v>
      </c>
      <c r="E93" s="240">
        <f>PRODUCT(D93:$D$104)</f>
        <v>0.83931140607582277</v>
      </c>
      <c r="F93" s="241">
        <f t="shared" si="17"/>
        <v>0.79003378837475535</v>
      </c>
      <c r="G93" s="97"/>
      <c r="H93" s="242"/>
    </row>
    <row r="94" spans="1:32" s="83" customFormat="1" ht="11" x14ac:dyDescent="0.15">
      <c r="A94" s="84"/>
      <c r="B94" s="238"/>
      <c r="C94" s="82" t="s">
        <v>297</v>
      </c>
      <c r="D94" s="239">
        <f>DATA!G121</f>
        <v>0.99718578575564887</v>
      </c>
      <c r="E94" s="240">
        <f>PRODUCT(D94:$D$104)</f>
        <v>0.92232022645694789</v>
      </c>
      <c r="F94" s="241">
        <f t="shared" si="17"/>
        <v>0.86816899821401661</v>
      </c>
      <c r="G94" s="97"/>
      <c r="H94" s="242"/>
    </row>
    <row r="95" spans="1:32" s="83" customFormat="1" ht="11" x14ac:dyDescent="0.15">
      <c r="A95" s="84"/>
      <c r="B95" s="238"/>
      <c r="C95" s="82" t="s">
        <v>298</v>
      </c>
      <c r="D95" s="239">
        <f>DATA!G122</f>
        <v>0.97298880536945409</v>
      </c>
      <c r="E95" s="240">
        <f>PRODUCT(D95:$D$104)</f>
        <v>0.92492315838420303</v>
      </c>
      <c r="F95" s="241">
        <f t="shared" si="17"/>
        <v>0.87061910690607602</v>
      </c>
      <c r="G95" s="97"/>
      <c r="H95" s="242"/>
    </row>
    <row r="96" spans="1:32" s="83" customFormat="1" ht="11" x14ac:dyDescent="0.15">
      <c r="A96" s="84"/>
      <c r="B96" s="238"/>
      <c r="C96" s="82" t="s">
        <v>299</v>
      </c>
      <c r="D96" s="239">
        <f>DATA!G123</f>
        <v>1</v>
      </c>
      <c r="E96" s="240">
        <f>PRODUCT(D96:$D$104)</f>
        <v>0.9506</v>
      </c>
      <c r="F96" s="241">
        <f t="shared" si="17"/>
        <v>0.89478841082399996</v>
      </c>
      <c r="G96" s="97"/>
      <c r="H96" s="242"/>
    </row>
    <row r="97" spans="1:22" s="83" customFormat="1" ht="11" x14ac:dyDescent="0.15">
      <c r="A97" s="84"/>
      <c r="B97" s="238"/>
      <c r="C97" s="82" t="s">
        <v>300</v>
      </c>
      <c r="D97" s="239">
        <f>DATA!G124</f>
        <v>0.97</v>
      </c>
      <c r="E97" s="240">
        <f>PRODUCT(D97:$D$104)</f>
        <v>0.9506</v>
      </c>
      <c r="F97" s="241">
        <f t="shared" si="17"/>
        <v>0.89478841082399996</v>
      </c>
      <c r="G97" s="97"/>
      <c r="H97" s="242"/>
    </row>
    <row r="98" spans="1:22" s="83" customFormat="1" ht="11" x14ac:dyDescent="0.15">
      <c r="A98" s="84"/>
      <c r="B98" s="238"/>
      <c r="C98" s="82" t="s">
        <v>301</v>
      </c>
      <c r="D98" s="239">
        <f>DATA!G125</f>
        <v>0.98</v>
      </c>
      <c r="E98" s="240">
        <f>PRODUCT(D98:$D$104)</f>
        <v>0.98</v>
      </c>
      <c r="F98" s="241">
        <f t="shared" si="17"/>
        <v>0.9224622791999999</v>
      </c>
      <c r="G98" s="97"/>
      <c r="H98" s="242"/>
    </row>
    <row r="99" spans="1:22" s="83" customFormat="1" ht="11" x14ac:dyDescent="0.15">
      <c r="A99" s="84"/>
      <c r="B99" s="238"/>
      <c r="C99" s="82" t="s">
        <v>302</v>
      </c>
      <c r="D99" s="239">
        <f>DATA!G126</f>
        <v>1</v>
      </c>
      <c r="E99" s="240">
        <f>PRODUCT(D99:$D$104)</f>
        <v>1</v>
      </c>
      <c r="F99" s="241">
        <f>E99*(1-$E$111)*(1-$E$112)*(1-$E$113)</f>
        <v>0.96049799999999996</v>
      </c>
      <c r="G99" s="97"/>
      <c r="H99" s="242"/>
    </row>
    <row r="100" spans="1:22" s="83" customFormat="1" ht="11" x14ac:dyDescent="0.15">
      <c r="A100" s="84"/>
      <c r="B100" s="238"/>
      <c r="C100" s="82" t="s">
        <v>303</v>
      </c>
      <c r="D100" s="239">
        <v>1</v>
      </c>
      <c r="E100" s="240">
        <f>PRODUCT(D100:$D$104)</f>
        <v>1</v>
      </c>
      <c r="F100" s="241">
        <f>E100*(1-$E$111)*(1-$E$112)*(1-$E$113)</f>
        <v>0.96049799999999996</v>
      </c>
      <c r="G100" s="97"/>
      <c r="H100" s="242"/>
    </row>
    <row r="101" spans="1:22" s="83" customFormat="1" ht="11" x14ac:dyDescent="0.15">
      <c r="A101" s="84"/>
      <c r="B101" s="238"/>
      <c r="C101" s="82" t="s">
        <v>304</v>
      </c>
      <c r="D101" s="239">
        <v>1</v>
      </c>
      <c r="E101" s="240">
        <f>PRODUCT(D101:$D$104)</f>
        <v>1</v>
      </c>
      <c r="F101" s="241">
        <f>E101*(1-$E$111)*(1-$E$112)*(1-$E$113)</f>
        <v>0.96049799999999996</v>
      </c>
      <c r="G101" s="97"/>
      <c r="H101" s="242"/>
    </row>
    <row r="102" spans="1:22" s="83" customFormat="1" ht="11" x14ac:dyDescent="0.15">
      <c r="A102" s="84"/>
      <c r="B102" s="238"/>
      <c r="C102" s="82" t="s">
        <v>305</v>
      </c>
      <c r="D102" s="239">
        <v>1</v>
      </c>
      <c r="E102" s="240">
        <f>PRODUCT(D102:$D$104)</f>
        <v>1</v>
      </c>
      <c r="F102" s="241">
        <f>E102*(1-$E$111)*(1-$E$112)*(1-$E$113)</f>
        <v>0.96049799999999996</v>
      </c>
      <c r="G102" s="97"/>
      <c r="H102" s="242"/>
    </row>
    <row r="103" spans="1:22" s="83" customFormat="1" ht="11" x14ac:dyDescent="0.15">
      <c r="A103" s="84"/>
      <c r="B103" s="238"/>
      <c r="C103" s="82" t="s">
        <v>306</v>
      </c>
      <c r="D103" s="239">
        <v>1</v>
      </c>
      <c r="E103" s="240">
        <f>PRODUCT(D103:$D$104)</f>
        <v>1</v>
      </c>
      <c r="F103" s="241">
        <f>E103*(1-$E$111)*(1-$E$112)*(1-$E$113)</f>
        <v>0.96049799999999996</v>
      </c>
      <c r="G103" s="97"/>
      <c r="H103" s="242"/>
    </row>
    <row r="104" spans="1:22" s="83" customFormat="1" ht="11" x14ac:dyDescent="0.15">
      <c r="A104" s="84"/>
      <c r="B104" s="238"/>
      <c r="C104" s="243" t="s">
        <v>307</v>
      </c>
      <c r="D104" s="240"/>
      <c r="E104" s="240"/>
      <c r="F104" s="241">
        <f>(1-$E$111)*(1-$E$112)*(1-$E$113)</f>
        <v>0.96049799999999996</v>
      </c>
      <c r="G104" s="97"/>
      <c r="H104" s="116"/>
      <c r="I104" s="116"/>
      <c r="J104" s="116"/>
      <c r="U104" s="97"/>
      <c r="V104" s="116"/>
    </row>
    <row r="105" spans="1:22" s="83" customFormat="1" ht="11" x14ac:dyDescent="0.15">
      <c r="A105" s="84"/>
      <c r="C105" s="243" t="s">
        <v>308</v>
      </c>
      <c r="D105" s="240"/>
      <c r="E105" s="240"/>
      <c r="F105" s="241">
        <f>(1-$E$112)*(1-$E$113)</f>
        <v>0.98009999999999997</v>
      </c>
      <c r="I105" s="116"/>
      <c r="J105" s="116"/>
      <c r="U105" s="97"/>
      <c r="V105" s="116"/>
    </row>
    <row r="106" spans="1:22" s="83" customFormat="1" ht="11" x14ac:dyDescent="0.15">
      <c r="A106" s="84" t="s">
        <v>309</v>
      </c>
      <c r="C106" s="243" t="s">
        <v>310</v>
      </c>
      <c r="D106" s="240"/>
      <c r="E106" s="240"/>
      <c r="F106" s="241">
        <f>(1-$E$113)</f>
        <v>0.99</v>
      </c>
      <c r="I106" s="116"/>
      <c r="J106" s="116"/>
      <c r="U106" s="120"/>
      <c r="V106" s="116"/>
    </row>
    <row r="107" spans="1:22" s="83" customFormat="1" ht="11" x14ac:dyDescent="0.15">
      <c r="A107" s="84" t="s">
        <v>311</v>
      </c>
      <c r="C107" s="83" t="s">
        <v>312</v>
      </c>
      <c r="D107" s="244">
        <f>N39/E10</f>
        <v>-0.1537023821678507</v>
      </c>
      <c r="I107" s="116"/>
      <c r="J107" s="116"/>
      <c r="U107" s="120"/>
      <c r="V107" s="116"/>
    </row>
    <row r="108" spans="1:22" s="83" customFormat="1" ht="11" x14ac:dyDescent="0.15">
      <c r="A108" s="84" t="s">
        <v>313</v>
      </c>
      <c r="C108" s="83" t="s">
        <v>314</v>
      </c>
      <c r="D108" s="245">
        <f>T39</f>
        <v>-0.29328613857598668</v>
      </c>
      <c r="I108" s="116"/>
      <c r="J108" s="116"/>
      <c r="U108" s="120"/>
      <c r="V108" s="116"/>
    </row>
    <row r="109" spans="1:22" s="83" customFormat="1" x14ac:dyDescent="0.15">
      <c r="A109" s="84"/>
      <c r="H109" s="100"/>
      <c r="I109" s="116"/>
      <c r="J109" s="116"/>
      <c r="U109" s="172"/>
      <c r="V109" s="116"/>
    </row>
    <row r="110" spans="1:22" s="83" customFormat="1" ht="11" x14ac:dyDescent="0.15">
      <c r="A110" s="84"/>
      <c r="B110" s="82" t="s">
        <v>192</v>
      </c>
      <c r="C110" s="83" t="s">
        <v>315</v>
      </c>
      <c r="E110" s="246">
        <v>0.02</v>
      </c>
      <c r="I110" s="116"/>
      <c r="J110" s="116"/>
      <c r="U110" s="120"/>
      <c r="V110" s="116"/>
    </row>
    <row r="111" spans="1:22" s="83" customFormat="1" x14ac:dyDescent="0.15">
      <c r="A111" s="84"/>
      <c r="B111" s="82"/>
      <c r="C111" s="83" t="s">
        <v>307</v>
      </c>
      <c r="D111" s="84" t="s">
        <v>309</v>
      </c>
      <c r="E111" s="246">
        <v>0.02</v>
      </c>
      <c r="G111" s="247"/>
      <c r="H111" s="100"/>
      <c r="I111" s="116"/>
      <c r="J111" s="116"/>
      <c r="U111" s="172"/>
      <c r="V111" s="116"/>
    </row>
    <row r="112" spans="1:22" s="83" customFormat="1" ht="11" x14ac:dyDescent="0.15">
      <c r="A112" s="248"/>
      <c r="C112" s="83" t="s">
        <v>316</v>
      </c>
      <c r="D112" s="84" t="s">
        <v>311</v>
      </c>
      <c r="E112" s="246">
        <v>0.01</v>
      </c>
      <c r="G112" s="247"/>
      <c r="I112" s="116"/>
      <c r="J112" s="116"/>
      <c r="U112" s="172"/>
      <c r="V112" s="116"/>
    </row>
    <row r="113" spans="2:21" x14ac:dyDescent="0.15">
      <c r="B113" s="83"/>
      <c r="C113" s="83" t="s">
        <v>310</v>
      </c>
      <c r="D113" s="84" t="s">
        <v>313</v>
      </c>
      <c r="E113" s="246">
        <v>0.01</v>
      </c>
      <c r="F113" s="83"/>
      <c r="G113" s="247"/>
      <c r="H113" s="83"/>
      <c r="U113" s="249"/>
    </row>
    <row r="114" spans="2:21" x14ac:dyDescent="0.15">
      <c r="D114" s="250"/>
      <c r="G114" s="83"/>
      <c r="U114" s="249"/>
    </row>
    <row r="115" spans="2:21" x14ac:dyDescent="0.15">
      <c r="B115" s="82" t="s">
        <v>194</v>
      </c>
      <c r="C115" s="83" t="s">
        <v>195</v>
      </c>
      <c r="E115" s="234">
        <v>0</v>
      </c>
      <c r="F115" s="178" t="s">
        <v>317</v>
      </c>
      <c r="U115" s="249"/>
    </row>
    <row r="116" spans="2:21" x14ac:dyDescent="0.15">
      <c r="U116" s="249"/>
    </row>
    <row r="117" spans="2:21" x14ac:dyDescent="0.15">
      <c r="B117" s="82" t="s">
        <v>318</v>
      </c>
      <c r="C117" s="83"/>
      <c r="D117" s="116"/>
      <c r="E117" s="142">
        <f>1-D92</f>
        <v>0.32964098489447302</v>
      </c>
      <c r="U117" s="249"/>
    </row>
    <row r="118" spans="2:21" collapsed="1" x14ac:dyDescent="0.15"/>
  </sheetData>
  <dataConsolidate link="1"/>
  <conditionalFormatting sqref="E26:F31">
    <cfRule type="cellIs" dxfId="2" priority="2" operator="equal">
      <formula>0</formula>
    </cfRule>
  </conditionalFormatting>
  <conditionalFormatting sqref="G26:G29">
    <cfRule type="cellIs" dxfId="1" priority="1" operator="equal">
      <formula>0</formula>
    </cfRule>
  </conditionalFormatting>
  <hyperlinks>
    <hyperlink ref="L4" location="NOTE!B3" display="Disclaimer" xr:uid="{404098BE-E63A-1F46-96DB-8FD850991628}"/>
    <hyperlink ref="L5" location="NOTE!B19" display="Instruction" xr:uid="{EB7578C1-A337-814F-B8E3-A4355980229A}"/>
    <hyperlink ref="L6" location="NOTE!B33" display="Legend" xr:uid="{613D4AB8-A6D6-0A4E-9D92-F753316709B6}"/>
  </hyperlinks>
  <pageMargins left="0.7" right="0.7" top="0.75" bottom="0.75" header="0.3" footer="0.3"/>
  <pageSetup scale="50"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3FD0CE00-C3D7-3D43-84FA-FAD784572FAA}">
          <x14:formula1>
            <xm:f>NOTE!$B$129:$B$130</xm:f>
          </x14:formula1>
          <xm:sqref>G5</xm:sqref>
        </x14:dataValidation>
        <x14:dataValidation type="list" allowBlank="1" showInputMessage="1" showErrorMessage="1" xr:uid="{E6C2EAB1-1A51-284C-B619-DC8BA6AA851D}">
          <x14:formula1>
            <xm:f>NOTE!$E$129:$E$130</xm:f>
          </x14:formula1>
          <xm:sqref>G4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B12E-EFB5-E647-B47C-532ECA98119F}">
  <sheetPr filterMode="1"/>
  <dimension ref="B1:J42"/>
  <sheetViews>
    <sheetView workbookViewId="0">
      <selection activeCell="AD15" sqref="AD15"/>
    </sheetView>
  </sheetViews>
  <sheetFormatPr baseColWidth="10" defaultColWidth="8.83203125" defaultRowHeight="16" x14ac:dyDescent="0.2"/>
  <cols>
    <col min="1" max="1" width="8.83203125" style="1"/>
    <col min="2" max="2" width="8.5" style="1" bestFit="1" customWidth="1"/>
    <col min="3" max="3" width="5.33203125" style="1" bestFit="1" customWidth="1"/>
    <col min="4" max="4" width="26.6640625" style="1" bestFit="1" customWidth="1"/>
    <col min="5" max="5" width="20.6640625" style="251" bestFit="1" customWidth="1"/>
    <col min="6" max="6" width="17.33203125" style="251" bestFit="1" customWidth="1"/>
    <col min="7" max="7" width="8.83203125" style="1" bestFit="1" customWidth="1"/>
    <col min="8" max="8" width="6.33203125" style="1" bestFit="1" customWidth="1"/>
    <col min="9" max="16384" width="8.83203125" style="1"/>
  </cols>
  <sheetData>
    <row r="1" spans="2:10" x14ac:dyDescent="0.2">
      <c r="E1" s="251">
        <f>SUBTOTAL(9,E3:E43)</f>
        <v>301221724219420</v>
      </c>
      <c r="F1" s="251">
        <f>SUBTOTAL(9,F3:F43)</f>
        <v>56995209547.418427</v>
      </c>
      <c r="H1" s="252">
        <f>F1/E1*365</f>
        <v>6.9062918814095695E-2</v>
      </c>
      <c r="J1" s="253">
        <v>6.9062918814095695E-2</v>
      </c>
    </row>
    <row r="2" spans="2:10" x14ac:dyDescent="0.2">
      <c r="E2" s="251">
        <f>SUM(E4:E42)</f>
        <v>348822682508025</v>
      </c>
      <c r="F2" s="251">
        <f>SUM(F4:F42)</f>
        <v>63783620900.743423</v>
      </c>
      <c r="H2" s="1">
        <f>SUM(H4:H42)</f>
        <v>1173</v>
      </c>
    </row>
    <row r="3" spans="2:10" x14ac:dyDescent="0.2">
      <c r="B3" s="1" t="s">
        <v>319</v>
      </c>
      <c r="C3" s="1" t="s">
        <v>320</v>
      </c>
      <c r="D3" s="1" t="s">
        <v>321</v>
      </c>
      <c r="E3" s="251" t="s">
        <v>322</v>
      </c>
      <c r="F3" s="251" t="s">
        <v>323</v>
      </c>
      <c r="G3" s="1" t="s">
        <v>324</v>
      </c>
      <c r="H3" s="1" t="s">
        <v>325</v>
      </c>
    </row>
    <row r="4" spans="2:10" x14ac:dyDescent="0.2">
      <c r="B4" s="1" t="s">
        <v>208</v>
      </c>
      <c r="C4" s="1" t="s">
        <v>326</v>
      </c>
      <c r="D4" s="1" t="s">
        <v>327</v>
      </c>
      <c r="E4" s="251">
        <v>175237237692</v>
      </c>
      <c r="F4" s="251">
        <v>35108053.829599991</v>
      </c>
      <c r="G4" s="1">
        <v>9</v>
      </c>
      <c r="H4" s="1">
        <v>30</v>
      </c>
    </row>
    <row r="5" spans="2:10" x14ac:dyDescent="0.2">
      <c r="B5" s="1" t="s">
        <v>208</v>
      </c>
      <c r="C5" s="1" t="s">
        <v>326</v>
      </c>
      <c r="D5" s="1" t="s">
        <v>328</v>
      </c>
      <c r="E5" s="251">
        <v>45792086198052</v>
      </c>
      <c r="F5" s="251">
        <v>8822040089.5528088</v>
      </c>
      <c r="G5" s="1">
        <v>9</v>
      </c>
      <c r="H5" s="1">
        <v>30</v>
      </c>
    </row>
    <row r="6" spans="2:10" hidden="1" x14ac:dyDescent="0.2">
      <c r="B6" s="1" t="s">
        <v>208</v>
      </c>
      <c r="C6" s="1" t="s">
        <v>26</v>
      </c>
      <c r="D6" s="1" t="s">
        <v>329</v>
      </c>
      <c r="E6" s="251">
        <v>7169005435909</v>
      </c>
      <c r="F6" s="251">
        <v>991098493.76622188</v>
      </c>
      <c r="G6" s="1">
        <v>9</v>
      </c>
      <c r="H6" s="1">
        <v>30</v>
      </c>
    </row>
    <row r="7" spans="2:10" hidden="1" x14ac:dyDescent="0.2">
      <c r="B7" s="1" t="s">
        <v>208</v>
      </c>
      <c r="C7" s="1" t="s">
        <v>25</v>
      </c>
      <c r="D7" s="1" t="s">
        <v>330</v>
      </c>
      <c r="E7" s="251">
        <v>3672603510227</v>
      </c>
      <c r="F7" s="251">
        <v>546679020.90572369</v>
      </c>
      <c r="G7" s="1">
        <v>9</v>
      </c>
      <c r="H7" s="1">
        <v>30</v>
      </c>
    </row>
    <row r="8" spans="2:10" x14ac:dyDescent="0.2">
      <c r="B8" s="1" t="s">
        <v>208</v>
      </c>
      <c r="C8" s="1" t="s">
        <v>326</v>
      </c>
      <c r="D8" s="1" t="s">
        <v>331</v>
      </c>
      <c r="E8" s="251">
        <v>7860835561894</v>
      </c>
      <c r="F8" s="251">
        <v>1521183689.232101</v>
      </c>
      <c r="G8" s="1">
        <v>9</v>
      </c>
      <c r="H8" s="1">
        <v>30</v>
      </c>
    </row>
    <row r="9" spans="2:10" x14ac:dyDescent="0.2">
      <c r="B9" s="1" t="s">
        <v>208</v>
      </c>
      <c r="C9" s="1" t="s">
        <v>326</v>
      </c>
      <c r="D9" s="1" t="s">
        <v>332</v>
      </c>
      <c r="E9" s="251">
        <v>530282165595</v>
      </c>
      <c r="F9" s="251">
        <v>116196117.29580016</v>
      </c>
      <c r="G9" s="1">
        <v>9</v>
      </c>
      <c r="H9" s="1">
        <v>30</v>
      </c>
    </row>
    <row r="10" spans="2:10" x14ac:dyDescent="0.2">
      <c r="B10" s="1" t="s">
        <v>208</v>
      </c>
      <c r="C10" s="1" t="s">
        <v>326</v>
      </c>
      <c r="D10" s="1" t="s">
        <v>333</v>
      </c>
      <c r="E10" s="251">
        <v>47500871433668</v>
      </c>
      <c r="F10" s="251">
        <v>9199477518.9295311</v>
      </c>
      <c r="G10" s="1">
        <v>9</v>
      </c>
      <c r="H10" s="1">
        <v>30</v>
      </c>
    </row>
    <row r="11" spans="2:10" hidden="1" x14ac:dyDescent="0.2">
      <c r="B11" s="1" t="s">
        <v>208</v>
      </c>
      <c r="C11" s="1" t="s">
        <v>25</v>
      </c>
      <c r="D11" s="1" t="s">
        <v>334</v>
      </c>
      <c r="E11" s="251">
        <v>6555226346162</v>
      </c>
      <c r="F11" s="251">
        <v>1021781034.7704437</v>
      </c>
      <c r="G11" s="1">
        <v>9</v>
      </c>
      <c r="H11" s="1">
        <v>30</v>
      </c>
    </row>
    <row r="12" spans="2:10" hidden="1" x14ac:dyDescent="0.2">
      <c r="B12" s="1" t="s">
        <v>208</v>
      </c>
      <c r="C12" s="1" t="s">
        <v>25</v>
      </c>
      <c r="D12" s="1" t="s">
        <v>335</v>
      </c>
      <c r="E12" s="251">
        <v>25934847005</v>
      </c>
      <c r="F12" s="251">
        <v>3828070.8097999999</v>
      </c>
      <c r="G12" s="1">
        <v>9</v>
      </c>
      <c r="H12" s="1">
        <v>30</v>
      </c>
    </row>
    <row r="13" spans="2:10" x14ac:dyDescent="0.2">
      <c r="B13" s="1" t="s">
        <v>208</v>
      </c>
      <c r="C13" s="1" t="s">
        <v>326</v>
      </c>
      <c r="D13" s="1" t="s">
        <v>336</v>
      </c>
      <c r="E13" s="251">
        <v>234239258102</v>
      </c>
      <c r="F13" s="251">
        <v>44742343.228500105</v>
      </c>
      <c r="G13" s="1">
        <v>9</v>
      </c>
      <c r="H13" s="1">
        <v>30</v>
      </c>
    </row>
    <row r="14" spans="2:10" x14ac:dyDescent="0.2">
      <c r="B14" s="1" t="s">
        <v>208</v>
      </c>
      <c r="C14" s="1" t="s">
        <v>326</v>
      </c>
      <c r="D14" s="1" t="s">
        <v>337</v>
      </c>
      <c r="E14" s="251">
        <v>2538375718443</v>
      </c>
      <c r="F14" s="251">
        <v>469029388.97289979</v>
      </c>
      <c r="G14" s="1">
        <v>9</v>
      </c>
      <c r="H14" s="1">
        <v>30</v>
      </c>
    </row>
    <row r="15" spans="2:10" x14ac:dyDescent="0.2">
      <c r="B15" s="1" t="s">
        <v>208</v>
      </c>
      <c r="C15" s="1" t="s">
        <v>326</v>
      </c>
      <c r="D15" s="1" t="s">
        <v>338</v>
      </c>
      <c r="E15" s="251">
        <v>74534379401</v>
      </c>
      <c r="F15" s="251">
        <v>14917047.562100017</v>
      </c>
      <c r="G15" s="1">
        <v>9</v>
      </c>
      <c r="H15" s="1">
        <v>30</v>
      </c>
    </row>
    <row r="16" spans="2:10" x14ac:dyDescent="0.2">
      <c r="B16" s="1" t="s">
        <v>208</v>
      </c>
      <c r="C16" s="1" t="s">
        <v>326</v>
      </c>
      <c r="D16" s="1" t="s">
        <v>339</v>
      </c>
      <c r="E16" s="251">
        <v>7090478078140</v>
      </c>
      <c r="F16" s="251">
        <v>1395719252.0424969</v>
      </c>
      <c r="G16" s="1">
        <v>9</v>
      </c>
      <c r="H16" s="1">
        <v>30</v>
      </c>
    </row>
    <row r="17" spans="2:8" x14ac:dyDescent="0.2">
      <c r="B17" s="1" t="s">
        <v>208</v>
      </c>
      <c r="C17" s="1" t="s">
        <v>326</v>
      </c>
      <c r="D17" s="254" t="s">
        <v>327</v>
      </c>
      <c r="E17" s="251">
        <v>227915625750</v>
      </c>
      <c r="F17" s="251">
        <v>45244008.315300122</v>
      </c>
      <c r="G17" s="1">
        <v>8</v>
      </c>
      <c r="H17" s="1">
        <v>31</v>
      </c>
    </row>
    <row r="18" spans="2:8" x14ac:dyDescent="0.2">
      <c r="B18" s="1" t="s">
        <v>208</v>
      </c>
      <c r="C18" s="1" t="s">
        <v>326</v>
      </c>
      <c r="D18" s="254" t="s">
        <v>328</v>
      </c>
      <c r="E18" s="251">
        <v>41280215956610</v>
      </c>
      <c r="F18" s="251">
        <v>7754036270.4407501</v>
      </c>
      <c r="G18" s="1">
        <v>8</v>
      </c>
      <c r="H18" s="1">
        <v>31</v>
      </c>
    </row>
    <row r="19" spans="2:8" hidden="1" x14ac:dyDescent="0.2">
      <c r="B19" s="1" t="s">
        <v>208</v>
      </c>
      <c r="C19" s="1" t="s">
        <v>26</v>
      </c>
      <c r="D19" s="254" t="s">
        <v>329</v>
      </c>
      <c r="E19" s="251">
        <v>8075773783819</v>
      </c>
      <c r="F19" s="251">
        <v>1106962660.5554149</v>
      </c>
      <c r="G19" s="1">
        <v>8</v>
      </c>
      <c r="H19" s="1">
        <v>31</v>
      </c>
    </row>
    <row r="20" spans="2:8" hidden="1" x14ac:dyDescent="0.2">
      <c r="B20" s="1" t="s">
        <v>208</v>
      </c>
      <c r="C20" s="1" t="s">
        <v>25</v>
      </c>
      <c r="D20" s="254" t="s">
        <v>330</v>
      </c>
      <c r="E20" s="251">
        <v>2258725784559</v>
      </c>
      <c r="F20" s="251">
        <v>324195872.69566309</v>
      </c>
      <c r="G20" s="1">
        <v>8</v>
      </c>
      <c r="H20" s="1">
        <v>31</v>
      </c>
    </row>
    <row r="21" spans="2:8" x14ac:dyDescent="0.2">
      <c r="B21" s="1" t="s">
        <v>208</v>
      </c>
      <c r="C21" s="1" t="s">
        <v>326</v>
      </c>
      <c r="D21" s="254" t="s">
        <v>331</v>
      </c>
      <c r="E21" s="251">
        <v>6300017954406</v>
      </c>
      <c r="F21" s="251">
        <v>1186639732.3457015</v>
      </c>
      <c r="G21" s="1">
        <v>8</v>
      </c>
      <c r="H21" s="1">
        <v>31</v>
      </c>
    </row>
    <row r="22" spans="2:8" x14ac:dyDescent="0.2">
      <c r="B22" s="1" t="s">
        <v>208</v>
      </c>
      <c r="C22" s="1" t="s">
        <v>326</v>
      </c>
      <c r="D22" s="254" t="s">
        <v>332</v>
      </c>
      <c r="E22" s="251">
        <v>662360457132</v>
      </c>
      <c r="F22" s="251">
        <v>144441340.00560009</v>
      </c>
      <c r="G22" s="1">
        <v>8</v>
      </c>
      <c r="H22" s="1">
        <v>31</v>
      </c>
    </row>
    <row r="23" spans="2:8" x14ac:dyDescent="0.2">
      <c r="B23" s="1" t="s">
        <v>208</v>
      </c>
      <c r="C23" s="1" t="s">
        <v>326</v>
      </c>
      <c r="D23" s="254" t="s">
        <v>333</v>
      </c>
      <c r="E23" s="251">
        <v>44474355290699</v>
      </c>
      <c r="F23" s="251">
        <v>8431017077.3974457</v>
      </c>
      <c r="G23" s="1">
        <v>8</v>
      </c>
      <c r="H23" s="1">
        <v>31</v>
      </c>
    </row>
    <row r="24" spans="2:8" hidden="1" x14ac:dyDescent="0.2">
      <c r="B24" s="1" t="s">
        <v>208</v>
      </c>
      <c r="C24" s="1" t="s">
        <v>25</v>
      </c>
      <c r="D24" s="254" t="s">
        <v>334</v>
      </c>
      <c r="E24" s="251">
        <v>5860065293620</v>
      </c>
      <c r="F24" s="251">
        <v>904678029.56090653</v>
      </c>
      <c r="G24" s="1">
        <v>8</v>
      </c>
      <c r="H24" s="1">
        <v>31</v>
      </c>
    </row>
    <row r="25" spans="2:8" hidden="1" x14ac:dyDescent="0.2">
      <c r="B25" s="1" t="s">
        <v>208</v>
      </c>
      <c r="C25" s="1" t="s">
        <v>25</v>
      </c>
      <c r="D25" s="254" t="s">
        <v>335</v>
      </c>
      <c r="E25" s="251">
        <v>24866579982</v>
      </c>
      <c r="F25" s="251">
        <v>3609016.7509000013</v>
      </c>
      <c r="G25" s="1">
        <v>8</v>
      </c>
      <c r="H25" s="1">
        <v>31</v>
      </c>
    </row>
    <row r="26" spans="2:8" x14ac:dyDescent="0.2">
      <c r="B26" s="1" t="s">
        <v>208</v>
      </c>
      <c r="C26" s="1" t="s">
        <v>326</v>
      </c>
      <c r="D26" s="254" t="s">
        <v>336</v>
      </c>
      <c r="E26" s="251">
        <v>244810503828</v>
      </c>
      <c r="F26" s="251">
        <v>46218996.834600076</v>
      </c>
      <c r="G26" s="1">
        <v>8</v>
      </c>
      <c r="H26" s="1">
        <v>31</v>
      </c>
    </row>
    <row r="27" spans="2:8" x14ac:dyDescent="0.2">
      <c r="B27" s="1" t="s">
        <v>208</v>
      </c>
      <c r="C27" s="1" t="s">
        <v>326</v>
      </c>
      <c r="D27" s="254" t="s">
        <v>337</v>
      </c>
      <c r="E27" s="251">
        <v>2429833839740</v>
      </c>
      <c r="F27" s="251">
        <v>437768410.82450008</v>
      </c>
      <c r="G27" s="1">
        <v>8</v>
      </c>
      <c r="H27" s="1">
        <v>31</v>
      </c>
    </row>
    <row r="28" spans="2:8" x14ac:dyDescent="0.2">
      <c r="B28" s="1" t="s">
        <v>208</v>
      </c>
      <c r="C28" s="1" t="s">
        <v>326</v>
      </c>
      <c r="D28" s="254" t="s">
        <v>338</v>
      </c>
      <c r="E28" s="251">
        <v>44643750738</v>
      </c>
      <c r="F28" s="251">
        <v>8739365.9388999864</v>
      </c>
      <c r="G28" s="1">
        <v>8</v>
      </c>
      <c r="H28" s="1">
        <v>31</v>
      </c>
    </row>
    <row r="29" spans="2:8" x14ac:dyDescent="0.2">
      <c r="B29" s="1" t="s">
        <v>208</v>
      </c>
      <c r="C29" s="1" t="s">
        <v>326</v>
      </c>
      <c r="D29" s="254" t="s">
        <v>339</v>
      </c>
      <c r="E29" s="251">
        <v>5657270300671</v>
      </c>
      <c r="F29" s="251">
        <v>1089221924.9091015</v>
      </c>
      <c r="G29" s="1">
        <v>8</v>
      </c>
      <c r="H29" s="1">
        <v>31</v>
      </c>
    </row>
    <row r="30" spans="2:8" x14ac:dyDescent="0.2">
      <c r="B30" s="1" t="s">
        <v>208</v>
      </c>
      <c r="C30" s="1" t="s">
        <v>326</v>
      </c>
      <c r="D30" s="255" t="s">
        <v>327</v>
      </c>
      <c r="E30" s="251">
        <v>273818830931</v>
      </c>
      <c r="F30" s="251">
        <v>53818108.584199965</v>
      </c>
      <c r="G30" s="1">
        <v>7</v>
      </c>
      <c r="H30" s="1">
        <v>31</v>
      </c>
    </row>
    <row r="31" spans="2:8" x14ac:dyDescent="0.2">
      <c r="B31" s="1" t="s">
        <v>208</v>
      </c>
      <c r="C31" s="1" t="s">
        <v>326</v>
      </c>
      <c r="D31" s="255" t="s">
        <v>328</v>
      </c>
      <c r="E31" s="251">
        <v>35770675612287</v>
      </c>
      <c r="F31" s="251">
        <v>6537789004.7231007</v>
      </c>
      <c r="G31" s="1">
        <v>7</v>
      </c>
      <c r="H31" s="1">
        <v>31</v>
      </c>
    </row>
    <row r="32" spans="2:8" hidden="1" x14ac:dyDescent="0.2">
      <c r="B32" s="1" t="s">
        <v>208</v>
      </c>
      <c r="C32" s="1" t="s">
        <v>26</v>
      </c>
      <c r="D32" s="255" t="s">
        <v>329</v>
      </c>
      <c r="E32" s="251">
        <v>8292458768315</v>
      </c>
      <c r="F32" s="251">
        <v>1047685646.850098</v>
      </c>
      <c r="G32" s="1">
        <v>7</v>
      </c>
      <c r="H32" s="1">
        <v>31</v>
      </c>
    </row>
    <row r="33" spans="2:8" hidden="1" x14ac:dyDescent="0.2">
      <c r="B33" s="1" t="s">
        <v>208</v>
      </c>
      <c r="C33" s="1" t="s">
        <v>25</v>
      </c>
      <c r="D33" s="255" t="s">
        <v>330</v>
      </c>
      <c r="E33" s="251">
        <v>38840172019</v>
      </c>
      <c r="F33" s="251">
        <v>23986847.263095979</v>
      </c>
      <c r="G33" s="1">
        <v>7</v>
      </c>
      <c r="H33" s="1">
        <v>8</v>
      </c>
    </row>
    <row r="34" spans="2:8" x14ac:dyDescent="0.2">
      <c r="B34" s="1" t="s">
        <v>208</v>
      </c>
      <c r="C34" s="1" t="s">
        <v>326</v>
      </c>
      <c r="D34" s="255" t="s">
        <v>331</v>
      </c>
      <c r="E34" s="251">
        <v>4945894517858</v>
      </c>
      <c r="F34" s="251">
        <v>903001419.59399891</v>
      </c>
      <c r="G34" s="1">
        <v>7</v>
      </c>
      <c r="H34" s="1">
        <v>31</v>
      </c>
    </row>
    <row r="35" spans="2:8" x14ac:dyDescent="0.2">
      <c r="B35" s="1" t="s">
        <v>208</v>
      </c>
      <c r="C35" s="1" t="s">
        <v>326</v>
      </c>
      <c r="D35" s="255" t="s">
        <v>332</v>
      </c>
      <c r="E35" s="251">
        <v>799538938168</v>
      </c>
      <c r="F35" s="251">
        <v>172768221.07349989</v>
      </c>
      <c r="G35" s="1">
        <v>7</v>
      </c>
      <c r="H35" s="1">
        <v>31</v>
      </c>
    </row>
    <row r="36" spans="2:8" x14ac:dyDescent="0.2">
      <c r="B36" s="1" t="s">
        <v>208</v>
      </c>
      <c r="C36" s="1" t="s">
        <v>326</v>
      </c>
      <c r="D36" s="255" t="s">
        <v>333</v>
      </c>
      <c r="E36" s="251">
        <v>40348789467513</v>
      </c>
      <c r="F36" s="251">
        <v>7483310231.6582909</v>
      </c>
      <c r="G36" s="1">
        <v>7</v>
      </c>
      <c r="H36" s="1">
        <v>31</v>
      </c>
    </row>
    <row r="37" spans="2:8" hidden="1" x14ac:dyDescent="0.2">
      <c r="B37" s="1" t="s">
        <v>208</v>
      </c>
      <c r="C37" s="1" t="s">
        <v>25</v>
      </c>
      <c r="D37" s="255" t="s">
        <v>334</v>
      </c>
      <c r="E37" s="251">
        <v>5610054927705</v>
      </c>
      <c r="F37" s="251">
        <v>811523708.73242831</v>
      </c>
      <c r="G37" s="1">
        <v>7</v>
      </c>
      <c r="H37" s="1">
        <v>31</v>
      </c>
    </row>
    <row r="38" spans="2:8" hidden="1" x14ac:dyDescent="0.2">
      <c r="B38" s="1" t="s">
        <v>208</v>
      </c>
      <c r="C38" s="1" t="s">
        <v>25</v>
      </c>
      <c r="D38" s="255" t="s">
        <v>335</v>
      </c>
      <c r="E38" s="251">
        <v>17402839283</v>
      </c>
      <c r="F38" s="251">
        <v>2382950.6643000026</v>
      </c>
      <c r="G38" s="1">
        <v>7</v>
      </c>
      <c r="H38" s="1">
        <v>31</v>
      </c>
    </row>
    <row r="39" spans="2:8" x14ac:dyDescent="0.2">
      <c r="B39" s="1" t="s">
        <v>208</v>
      </c>
      <c r="C39" s="1" t="s">
        <v>326</v>
      </c>
      <c r="D39" s="255" t="s">
        <v>336</v>
      </c>
      <c r="E39" s="251">
        <v>252417398890</v>
      </c>
      <c r="F39" s="251">
        <v>46993767.709399968</v>
      </c>
      <c r="G39" s="1">
        <v>7</v>
      </c>
      <c r="H39" s="1">
        <v>31</v>
      </c>
    </row>
    <row r="40" spans="2:8" x14ac:dyDescent="0.2">
      <c r="B40" s="1" t="s">
        <v>208</v>
      </c>
      <c r="C40" s="1" t="s">
        <v>326</v>
      </c>
      <c r="D40" s="255" t="s">
        <v>337</v>
      </c>
      <c r="E40" s="251">
        <v>2233579953491</v>
      </c>
      <c r="F40" s="251">
        <v>392153089.9739002</v>
      </c>
      <c r="G40" s="1">
        <v>7</v>
      </c>
      <c r="H40" s="1">
        <v>31</v>
      </c>
    </row>
    <row r="41" spans="2:8" x14ac:dyDescent="0.2">
      <c r="B41" s="1" t="s">
        <v>208</v>
      </c>
      <c r="C41" s="1" t="s">
        <v>326</v>
      </c>
      <c r="D41" s="255" t="s">
        <v>338</v>
      </c>
      <c r="E41" s="251">
        <v>27674072052</v>
      </c>
      <c r="F41" s="251">
        <v>5192176.8221999994</v>
      </c>
      <c r="G41" s="1">
        <v>7</v>
      </c>
      <c r="H41" s="1">
        <v>31</v>
      </c>
    </row>
    <row r="42" spans="2:8" x14ac:dyDescent="0.2">
      <c r="B42" s="1" t="s">
        <v>208</v>
      </c>
      <c r="C42" s="1" t="s">
        <v>326</v>
      </c>
      <c r="D42" s="255" t="s">
        <v>339</v>
      </c>
      <c r="E42" s="251">
        <v>3450971717669</v>
      </c>
      <c r="F42" s="251">
        <v>638442899.62210023</v>
      </c>
      <c r="G42" s="1">
        <v>7</v>
      </c>
      <c r="H42" s="1">
        <v>31</v>
      </c>
    </row>
  </sheetData>
  <autoFilter ref="B3:H42" xr:uid="{6A8C9B35-6F3B-4F3B-8FC7-3BF69D158AC8}">
    <filterColumn colId="1">
      <filters>
        <filter val="cl"/>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2BAD8-C8D1-2343-8652-A8F3B4C0B101}">
  <dimension ref="B2:Y529"/>
  <sheetViews>
    <sheetView topLeftCell="A27" zoomScale="70" zoomScaleNormal="70" workbookViewId="0">
      <selection activeCell="AD15" sqref="AD15"/>
    </sheetView>
  </sheetViews>
  <sheetFormatPr baseColWidth="10" defaultColWidth="8.83203125" defaultRowHeight="15" x14ac:dyDescent="0.2"/>
  <cols>
    <col min="1" max="2" width="8.83203125" style="1"/>
    <col min="3" max="3" width="37.1640625" style="1" bestFit="1" customWidth="1"/>
    <col min="4" max="4" width="16.1640625" style="1" bestFit="1" customWidth="1"/>
    <col min="5" max="5" width="12.83203125" style="1" bestFit="1" customWidth="1"/>
    <col min="6" max="8" width="14.6640625" style="1" bestFit="1" customWidth="1"/>
    <col min="9" max="19" width="12.83203125" style="1" bestFit="1" customWidth="1"/>
    <col min="20" max="22" width="16.83203125" style="1" bestFit="1" customWidth="1"/>
    <col min="23" max="24" width="18.5" style="1" bestFit="1" customWidth="1"/>
    <col min="25" max="32" width="12.83203125" style="1" bestFit="1" customWidth="1"/>
    <col min="33" max="16384" width="8.83203125" style="1"/>
  </cols>
  <sheetData>
    <row r="2" spans="2:11" x14ac:dyDescent="0.2">
      <c r="B2" s="256">
        <v>1</v>
      </c>
      <c r="C2" s="256" t="s">
        <v>340</v>
      </c>
    </row>
    <row r="4" spans="2:11" x14ac:dyDescent="0.2">
      <c r="C4" s="26" t="s">
        <v>341</v>
      </c>
      <c r="E4" s="257">
        <v>0.28199999999999997</v>
      </c>
    </row>
    <row r="5" spans="2:11" x14ac:dyDescent="0.2">
      <c r="C5" s="26" t="s">
        <v>342</v>
      </c>
      <c r="E5" s="257">
        <v>0.872</v>
      </c>
    </row>
    <row r="14" spans="2:11" x14ac:dyDescent="0.2">
      <c r="B14" s="256">
        <v>2</v>
      </c>
      <c r="C14" s="256" t="s">
        <v>343</v>
      </c>
    </row>
    <row r="16" spans="2:11" x14ac:dyDescent="0.2">
      <c r="C16" s="258" t="s">
        <v>344</v>
      </c>
      <c r="D16" s="258" t="s">
        <v>345</v>
      </c>
      <c r="E16" s="258" t="s">
        <v>346</v>
      </c>
      <c r="F16" s="258" t="s">
        <v>347</v>
      </c>
      <c r="G16" s="259" t="s">
        <v>348</v>
      </c>
      <c r="H16" s="259" t="s">
        <v>349</v>
      </c>
      <c r="I16" s="259" t="s">
        <v>350</v>
      </c>
      <c r="J16" s="259" t="s">
        <v>351</v>
      </c>
      <c r="K16" s="258" t="s">
        <v>352</v>
      </c>
    </row>
    <row r="17" spans="2:25" ht="16" x14ac:dyDescent="0.2">
      <c r="C17" s="260">
        <v>45901</v>
      </c>
      <c r="D17" s="261">
        <v>64399</v>
      </c>
      <c r="E17" s="261">
        <v>1159826780000</v>
      </c>
      <c r="F17" s="261">
        <v>975998286085</v>
      </c>
      <c r="G17" s="261">
        <v>18010012.267271198</v>
      </c>
      <c r="H17" s="261">
        <v>16.439711796767</v>
      </c>
      <c r="I17" s="262">
        <v>0.51070699855588197</v>
      </c>
      <c r="J17" s="261">
        <v>60006780000</v>
      </c>
      <c r="K17" s="263">
        <v>0.78936008323110596</v>
      </c>
      <c r="L17" s="16">
        <f>E17-J17</f>
        <v>1099820000000</v>
      </c>
    </row>
    <row r="18" spans="2:25" ht="16" x14ac:dyDescent="0.2">
      <c r="C18" s="260">
        <v>45870</v>
      </c>
      <c r="D18" s="261">
        <v>55372</v>
      </c>
      <c r="E18" s="261">
        <v>847454320000</v>
      </c>
      <c r="F18" s="261">
        <v>634711890892</v>
      </c>
      <c r="G18" s="261">
        <v>15304744.636278201</v>
      </c>
      <c r="H18" s="261">
        <v>14.3409665534927</v>
      </c>
      <c r="I18" s="262">
        <v>0.511440439211159</v>
      </c>
      <c r="J18" s="261">
        <v>43161320000</v>
      </c>
      <c r="K18" s="263">
        <v>0.78330202990681197</v>
      </c>
      <c r="L18" s="16">
        <f>E18-J18</f>
        <v>804293000000</v>
      </c>
    </row>
    <row r="19" spans="2:25" ht="16" x14ac:dyDescent="0.2">
      <c r="C19" s="260">
        <v>45839</v>
      </c>
      <c r="D19" s="261">
        <v>60775</v>
      </c>
      <c r="E19" s="261">
        <v>913801540000</v>
      </c>
      <c r="F19" s="261">
        <v>618505332727</v>
      </c>
      <c r="G19" s="261">
        <v>15035813.081036599</v>
      </c>
      <c r="H19" s="261">
        <v>14.339728506787299</v>
      </c>
      <c r="I19" s="262">
        <v>0.51137145207733903</v>
      </c>
      <c r="J19" s="261">
        <v>46934540000</v>
      </c>
      <c r="K19" s="263">
        <v>0.78863019333607498</v>
      </c>
      <c r="L19" s="16">
        <f>E19-J19</f>
        <v>866867000000</v>
      </c>
    </row>
    <row r="20" spans="2:25" ht="16" x14ac:dyDescent="0.2">
      <c r="C20" s="26" t="s">
        <v>353</v>
      </c>
      <c r="E20" s="28">
        <f>SUM(E17:E19)/10^9</f>
        <v>2921.0826400000001</v>
      </c>
      <c r="G20" s="264">
        <f>SUM(E17:E19)/SUM(D17:D19)/10^6</f>
        <v>16.179160103242385</v>
      </c>
      <c r="H20" s="26">
        <f>ROUND(SUMPRODUCT(H17:H19,$E$17:$E$19)/SUM($E$17:$E$19),0)</f>
        <v>15</v>
      </c>
      <c r="I20" s="265">
        <f>SUMPRODUCT(I17:I19,E17:E19)/SUM(E17:E19)</f>
        <v>0.51112764263014343</v>
      </c>
      <c r="J20" s="265">
        <f>SUM(J17:J19)/SUMPRODUCT(K17:K19,L17:L19)</f>
        <v>6.8797747945697998E-2</v>
      </c>
      <c r="K20" s="265">
        <f>SUMPRODUCT(K17:K19,E17:E19)/SUM(E17:E19)</f>
        <v>0.78737421063334434</v>
      </c>
    </row>
    <row r="21" spans="2:25" x14ac:dyDescent="0.2">
      <c r="G21" s="1" t="s">
        <v>354</v>
      </c>
      <c r="H21" s="1">
        <v>14</v>
      </c>
    </row>
    <row r="24" spans="2:25" x14ac:dyDescent="0.2">
      <c r="B24" s="256">
        <v>3</v>
      </c>
      <c r="C24" s="256" t="s">
        <v>355</v>
      </c>
    </row>
    <row r="25" spans="2:25" x14ac:dyDescent="0.2">
      <c r="B25" s="256"/>
      <c r="C25" s="256"/>
    </row>
    <row r="26" spans="2:25" x14ac:dyDescent="0.2">
      <c r="B26" s="256"/>
      <c r="C26" s="256"/>
    </row>
    <row r="28" spans="2:25" x14ac:dyDescent="0.2">
      <c r="C28" s="266" t="s">
        <v>356</v>
      </c>
      <c r="D28" s="266" t="s">
        <v>357</v>
      </c>
      <c r="E28" s="267">
        <v>45809</v>
      </c>
      <c r="F28" s="267">
        <v>45839</v>
      </c>
      <c r="G28" s="267">
        <v>45870</v>
      </c>
      <c r="H28" s="267">
        <v>45901</v>
      </c>
      <c r="M28" s="267">
        <v>45809</v>
      </c>
      <c r="N28" s="267">
        <v>45839</v>
      </c>
      <c r="O28" s="267">
        <v>45870</v>
      </c>
      <c r="P28" s="267">
        <v>45901</v>
      </c>
      <c r="R28" s="266" t="s">
        <v>356</v>
      </c>
      <c r="S28" s="266" t="s">
        <v>357</v>
      </c>
      <c r="T28" s="267">
        <v>45809</v>
      </c>
      <c r="U28" s="267">
        <v>45839</v>
      </c>
      <c r="V28" s="267">
        <v>45870</v>
      </c>
      <c r="W28" s="267">
        <v>45901</v>
      </c>
    </row>
    <row r="29" spans="2:25" ht="16" x14ac:dyDescent="0.2">
      <c r="C29" s="31" t="s">
        <v>29</v>
      </c>
      <c r="D29" s="268" t="s">
        <v>358</v>
      </c>
      <c r="E29" s="269">
        <v>17951</v>
      </c>
      <c r="F29" s="269">
        <v>25713</v>
      </c>
      <c r="G29" s="269">
        <v>23272</v>
      </c>
      <c r="H29" s="270">
        <v>26446</v>
      </c>
      <c r="K29" s="31" t="s">
        <v>29</v>
      </c>
      <c r="L29" s="268" t="s">
        <v>359</v>
      </c>
      <c r="M29" s="270">
        <v>130324</v>
      </c>
      <c r="N29" s="270">
        <v>138380</v>
      </c>
      <c r="O29" s="269">
        <v>143825</v>
      </c>
      <c r="P29" s="269">
        <v>150208</v>
      </c>
      <c r="R29" s="31" t="s">
        <v>29</v>
      </c>
      <c r="S29" s="268" t="s">
        <v>360</v>
      </c>
      <c r="T29" s="269"/>
      <c r="U29" s="271">
        <v>380965670000</v>
      </c>
      <c r="V29" s="272">
        <v>346289200000</v>
      </c>
      <c r="W29" s="272">
        <v>465278440000</v>
      </c>
      <c r="X29" s="16">
        <f t="shared" ref="X29:X37" si="0">SUM(U29:W29)</f>
        <v>1192533310000</v>
      </c>
      <c r="Y29" s="253">
        <f t="shared" ref="Y29:Y37" si="1">X29/SUM($X$29:$X$37)</f>
        <v>0.4082504526472418</v>
      </c>
    </row>
    <row r="30" spans="2:25" ht="16" x14ac:dyDescent="0.2">
      <c r="C30" s="31" t="s">
        <v>29</v>
      </c>
      <c r="D30" s="268" t="s">
        <v>358</v>
      </c>
      <c r="E30" s="269">
        <v>24</v>
      </c>
      <c r="F30" s="273">
        <v>52</v>
      </c>
      <c r="G30" s="269">
        <v>63</v>
      </c>
      <c r="H30" s="270">
        <v>59</v>
      </c>
      <c r="K30" s="31" t="s">
        <v>29</v>
      </c>
      <c r="L30" s="268" t="s">
        <v>359</v>
      </c>
      <c r="M30" s="270">
        <v>777</v>
      </c>
      <c r="N30" s="270">
        <v>769</v>
      </c>
      <c r="O30" s="269">
        <v>762</v>
      </c>
      <c r="P30" s="269">
        <v>743</v>
      </c>
      <c r="R30" s="31" t="s">
        <v>29</v>
      </c>
      <c r="S30" s="268" t="s">
        <v>360</v>
      </c>
      <c r="T30" s="269"/>
      <c r="U30" s="271">
        <v>809800000</v>
      </c>
      <c r="V30" s="272">
        <v>1040200000</v>
      </c>
      <c r="W30" s="274">
        <v>953500000</v>
      </c>
      <c r="X30" s="16">
        <f t="shared" si="0"/>
        <v>2803500000</v>
      </c>
      <c r="Y30" s="253">
        <f t="shared" si="1"/>
        <v>9.5974689712989428E-4</v>
      </c>
    </row>
    <row r="31" spans="2:25" ht="16" x14ac:dyDescent="0.2">
      <c r="C31" s="31" t="s">
        <v>31</v>
      </c>
      <c r="D31" s="268" t="s">
        <v>358</v>
      </c>
      <c r="E31" s="275">
        <v>4</v>
      </c>
      <c r="F31" s="270">
        <v>5</v>
      </c>
      <c r="G31" s="269">
        <v>1</v>
      </c>
      <c r="H31" s="269">
        <v>3</v>
      </c>
      <c r="K31" s="31" t="s">
        <v>31</v>
      </c>
      <c r="L31" s="268" t="s">
        <v>359</v>
      </c>
      <c r="M31" s="276">
        <v>1241</v>
      </c>
      <c r="N31" s="276">
        <v>1035</v>
      </c>
      <c r="O31" s="269">
        <v>852</v>
      </c>
      <c r="P31" s="277">
        <v>714</v>
      </c>
      <c r="R31" s="31" t="s">
        <v>31</v>
      </c>
      <c r="S31" s="268" t="s">
        <v>360</v>
      </c>
      <c r="T31" s="269"/>
      <c r="U31" s="271">
        <v>98750000</v>
      </c>
      <c r="V31" s="269">
        <v>18900000</v>
      </c>
      <c r="W31" s="270">
        <v>42000000</v>
      </c>
      <c r="X31" s="16">
        <f t="shared" si="0"/>
        <v>159650000</v>
      </c>
      <c r="Y31" s="253">
        <f t="shared" si="1"/>
        <v>5.465439348200022E-5</v>
      </c>
    </row>
    <row r="32" spans="2:25" ht="16" x14ac:dyDescent="0.2">
      <c r="C32" s="31" t="s">
        <v>32</v>
      </c>
      <c r="D32" s="268" t="s">
        <v>358</v>
      </c>
      <c r="E32" s="276"/>
      <c r="F32" s="269"/>
      <c r="G32" s="269"/>
      <c r="H32" s="269"/>
      <c r="K32" s="31" t="s">
        <v>32</v>
      </c>
      <c r="L32" s="268" t="s">
        <v>359</v>
      </c>
      <c r="M32" s="270">
        <v>3581</v>
      </c>
      <c r="N32" s="269">
        <v>2876</v>
      </c>
      <c r="O32" s="269">
        <v>2390</v>
      </c>
      <c r="P32" s="269">
        <v>2116</v>
      </c>
      <c r="R32" s="31" t="s">
        <v>32</v>
      </c>
      <c r="S32" s="268" t="s">
        <v>360</v>
      </c>
      <c r="T32" s="276"/>
      <c r="U32" s="269"/>
      <c r="V32" s="269"/>
      <c r="W32" s="269"/>
      <c r="X32" s="16">
        <f t="shared" si="0"/>
        <v>0</v>
      </c>
      <c r="Y32" s="253">
        <f t="shared" si="1"/>
        <v>0</v>
      </c>
    </row>
    <row r="33" spans="2:25" ht="16" x14ac:dyDescent="0.2">
      <c r="C33" s="31" t="s">
        <v>33</v>
      </c>
      <c r="D33" s="268" t="s">
        <v>358</v>
      </c>
      <c r="E33" s="269">
        <v>18609</v>
      </c>
      <c r="F33" s="271">
        <v>24183</v>
      </c>
      <c r="G33" s="269">
        <v>21277</v>
      </c>
      <c r="H33" s="269">
        <v>25356</v>
      </c>
      <c r="K33" s="31" t="s">
        <v>33</v>
      </c>
      <c r="L33" s="268" t="s">
        <v>359</v>
      </c>
      <c r="M33" s="270">
        <v>107363</v>
      </c>
      <c r="N33" s="270">
        <v>119486</v>
      </c>
      <c r="O33" s="269">
        <v>128198</v>
      </c>
      <c r="P33" s="269">
        <v>138424</v>
      </c>
      <c r="R33" s="31" t="s">
        <v>33</v>
      </c>
      <c r="S33" s="268" t="s">
        <v>360</v>
      </c>
      <c r="T33" s="269"/>
      <c r="U33" s="271">
        <v>377695150000</v>
      </c>
      <c r="V33" s="269">
        <v>338629710000</v>
      </c>
      <c r="W33" s="269">
        <v>486195060000</v>
      </c>
      <c r="X33" s="16">
        <f t="shared" si="0"/>
        <v>1202519920000</v>
      </c>
      <c r="Y33" s="253">
        <f t="shared" si="1"/>
        <v>0.41166925698480067</v>
      </c>
    </row>
    <row r="34" spans="2:25" ht="16" x14ac:dyDescent="0.2">
      <c r="C34" s="31" t="s">
        <v>34</v>
      </c>
      <c r="D34" s="268" t="s">
        <v>358</v>
      </c>
      <c r="E34" s="269">
        <v>2611</v>
      </c>
      <c r="F34" s="271">
        <v>3066</v>
      </c>
      <c r="G34" s="271">
        <v>3734</v>
      </c>
      <c r="H34" s="271">
        <v>5548</v>
      </c>
      <c r="K34" s="31" t="s">
        <v>34</v>
      </c>
      <c r="L34" s="268" t="s">
        <v>359</v>
      </c>
      <c r="M34" s="270">
        <v>11727</v>
      </c>
      <c r="N34" s="269">
        <v>14390</v>
      </c>
      <c r="O34" s="269">
        <v>17656</v>
      </c>
      <c r="P34" s="269">
        <v>22600</v>
      </c>
      <c r="R34" s="31" t="s">
        <v>34</v>
      </c>
      <c r="S34" s="268" t="s">
        <v>360</v>
      </c>
      <c r="T34" s="269"/>
      <c r="U34" s="271">
        <v>52339690000</v>
      </c>
      <c r="V34" s="269">
        <v>63562000000</v>
      </c>
      <c r="W34" s="269">
        <v>100769400000</v>
      </c>
      <c r="X34" s="16">
        <f t="shared" si="0"/>
        <v>216671090000</v>
      </c>
      <c r="Y34" s="253">
        <f t="shared" si="1"/>
        <v>7.4174926458088847E-2</v>
      </c>
    </row>
    <row r="35" spans="2:25" ht="16" x14ac:dyDescent="0.2">
      <c r="C35" s="31" t="s">
        <v>35</v>
      </c>
      <c r="D35" s="268" t="s">
        <v>358</v>
      </c>
      <c r="E35" s="278">
        <v>1354</v>
      </c>
      <c r="F35" s="270">
        <v>1192</v>
      </c>
      <c r="G35" s="269">
        <v>1135</v>
      </c>
      <c r="H35" s="269">
        <v>1479</v>
      </c>
      <c r="K35" s="31" t="s">
        <v>35</v>
      </c>
      <c r="L35" s="268" t="s">
        <v>359</v>
      </c>
      <c r="M35" s="269">
        <v>7123</v>
      </c>
      <c r="N35" s="269">
        <v>8013</v>
      </c>
      <c r="O35" s="271">
        <v>8674</v>
      </c>
      <c r="P35" s="271">
        <v>9522</v>
      </c>
      <c r="R35" s="31" t="s">
        <v>35</v>
      </c>
      <c r="S35" s="268" t="s">
        <v>360</v>
      </c>
      <c r="T35" s="269"/>
      <c r="U35" s="271">
        <v>13288530000</v>
      </c>
      <c r="V35" s="269">
        <v>13484550000</v>
      </c>
      <c r="W35" s="269">
        <v>21050400000</v>
      </c>
      <c r="X35" s="16">
        <f t="shared" si="0"/>
        <v>47823480000</v>
      </c>
      <c r="Y35" s="253">
        <f t="shared" si="1"/>
        <v>1.6371833971804372E-2</v>
      </c>
    </row>
    <row r="36" spans="2:25" ht="16" x14ac:dyDescent="0.2">
      <c r="C36" s="31" t="s">
        <v>36</v>
      </c>
      <c r="D36" s="268" t="s">
        <v>358</v>
      </c>
      <c r="E36" s="269">
        <v>4759</v>
      </c>
      <c r="F36" s="269">
        <v>6515</v>
      </c>
      <c r="G36" s="269">
        <v>5840</v>
      </c>
      <c r="H36" s="269">
        <v>5356</v>
      </c>
      <c r="K36" s="31" t="s">
        <v>36</v>
      </c>
      <c r="L36" s="268" t="s">
        <v>359</v>
      </c>
      <c r="M36" s="269">
        <v>7243</v>
      </c>
      <c r="N36" s="269">
        <v>13144</v>
      </c>
      <c r="O36" s="269">
        <v>17888</v>
      </c>
      <c r="P36" s="269">
        <v>21762</v>
      </c>
      <c r="R36" s="31" t="s">
        <v>36</v>
      </c>
      <c r="S36" s="268" t="s">
        <v>360</v>
      </c>
      <c r="T36" s="269"/>
      <c r="U36" s="271">
        <v>87997150000</v>
      </c>
      <c r="V36" s="269">
        <v>83818310000</v>
      </c>
      <c r="W36" s="269">
        <v>83034230000</v>
      </c>
      <c r="X36" s="16">
        <f t="shared" si="0"/>
        <v>254849690000</v>
      </c>
      <c r="Y36" s="253">
        <f t="shared" si="1"/>
        <v>8.7244943539153005E-2</v>
      </c>
    </row>
    <row r="37" spans="2:25" ht="16" x14ac:dyDescent="0.2">
      <c r="C37" s="31" t="s">
        <v>37</v>
      </c>
      <c r="D37" s="268" t="s">
        <v>358</v>
      </c>
      <c r="E37" s="269">
        <v>46</v>
      </c>
      <c r="F37" s="270">
        <v>49</v>
      </c>
      <c r="G37" s="269">
        <v>50</v>
      </c>
      <c r="H37" s="269">
        <v>152</v>
      </c>
      <c r="K37" s="31" t="s">
        <v>37</v>
      </c>
      <c r="L37" s="268" t="s">
        <v>359</v>
      </c>
      <c r="M37" s="276">
        <v>55</v>
      </c>
      <c r="N37" s="270">
        <v>103</v>
      </c>
      <c r="O37" s="269">
        <v>152</v>
      </c>
      <c r="P37" s="269">
        <v>301</v>
      </c>
      <c r="R37" s="31" t="s">
        <v>37</v>
      </c>
      <c r="S37" s="268" t="s">
        <v>360</v>
      </c>
      <c r="T37" s="269"/>
      <c r="U37" s="271">
        <v>606800000</v>
      </c>
      <c r="V37" s="269">
        <v>611450000</v>
      </c>
      <c r="W37" s="269">
        <v>2503750000</v>
      </c>
      <c r="X37" s="16">
        <f t="shared" si="0"/>
        <v>3722000000</v>
      </c>
      <c r="Y37" s="253">
        <f t="shared" si="1"/>
        <v>1.2741851082994351E-3</v>
      </c>
    </row>
    <row r="38" spans="2:25" x14ac:dyDescent="0.2">
      <c r="E38" s="16">
        <f>SUM(E29:E37)</f>
        <v>45358</v>
      </c>
      <c r="F38" s="16">
        <f>SUM(F29:F37)</f>
        <v>60775</v>
      </c>
      <c r="G38" s="16">
        <f>SUM(G29:G37)</f>
        <v>55372</v>
      </c>
      <c r="H38" s="16">
        <f>SUM(H29:H37)</f>
        <v>64399</v>
      </c>
      <c r="M38" s="1">
        <f>SUM(M29:M37)</f>
        <v>269434</v>
      </c>
      <c r="N38" s="1">
        <f>SUM(N29:N37)</f>
        <v>298196</v>
      </c>
      <c r="O38" s="1">
        <f>SUM(O29:O37)</f>
        <v>320397</v>
      </c>
      <c r="P38" s="1">
        <f>SUM(P29:P37)</f>
        <v>346390</v>
      </c>
      <c r="T38" s="16"/>
      <c r="U38" s="16">
        <f>SUM(U29:U37)</f>
        <v>913801540000</v>
      </c>
      <c r="V38" s="16">
        <f>SUM(V29:V37)</f>
        <v>847454320000</v>
      </c>
      <c r="W38" s="16">
        <f>SUM(W29:W37)</f>
        <v>1159826780000</v>
      </c>
    </row>
    <row r="41" spans="2:25" ht="16" x14ac:dyDescent="0.2">
      <c r="C41" s="279">
        <f>SUM(F41:H41)/SUM(F38:H38)/10^6</f>
        <v>6.433323350281922E-2</v>
      </c>
      <c r="D41" s="268" t="s">
        <v>361</v>
      </c>
      <c r="F41" s="251">
        <v>5215708344</v>
      </c>
      <c r="G41" s="251">
        <v>4069855327</v>
      </c>
      <c r="H41" s="251">
        <v>2329544305</v>
      </c>
    </row>
    <row r="42" spans="2:25" x14ac:dyDescent="0.2">
      <c r="C42" s="280">
        <f>SUM(F42:H42)/SUM(F38:H38)/10^6</f>
        <v>6.2756456569251953E-2</v>
      </c>
      <c r="D42" s="1" t="s">
        <v>260</v>
      </c>
      <c r="F42" s="1">
        <v>2898828314.7521629</v>
      </c>
      <c r="G42" s="1">
        <v>3959670920</v>
      </c>
      <c r="H42" s="1">
        <v>4471927973</v>
      </c>
    </row>
    <row r="43" spans="2:25" x14ac:dyDescent="0.2">
      <c r="C43" s="280">
        <v>8.0000000000000002E-3</v>
      </c>
      <c r="D43" s="1" t="s">
        <v>362</v>
      </c>
      <c r="F43" s="1">
        <v>995176950</v>
      </c>
      <c r="G43" s="1">
        <v>1048384478.443656</v>
      </c>
      <c r="H43" s="1">
        <v>1297381265.4528708</v>
      </c>
      <c r="I43" s="281" t="s">
        <v>363</v>
      </c>
    </row>
    <row r="45" spans="2:25" x14ac:dyDescent="0.2">
      <c r="B45" s="256"/>
      <c r="C45" s="256"/>
    </row>
    <row r="46" spans="2:25" x14ac:dyDescent="0.2">
      <c r="B46" s="256"/>
      <c r="C46" s="256"/>
    </row>
    <row r="47" spans="2:25" x14ac:dyDescent="0.2">
      <c r="B47" s="256">
        <v>4</v>
      </c>
      <c r="C47" s="256" t="s">
        <v>364</v>
      </c>
      <c r="D47" s="1" t="s">
        <v>365</v>
      </c>
    </row>
    <row r="48" spans="2:25" x14ac:dyDescent="0.2">
      <c r="B48" s="256"/>
      <c r="C48" s="256"/>
      <c r="D48" s="1" t="s">
        <v>366</v>
      </c>
      <c r="E48" s="1" t="s">
        <v>367</v>
      </c>
    </row>
    <row r="49" spans="2:21" x14ac:dyDescent="0.2">
      <c r="B49" s="256"/>
      <c r="C49" s="31" t="s">
        <v>29</v>
      </c>
      <c r="D49" s="282">
        <v>0.5</v>
      </c>
      <c r="E49" s="1">
        <v>0</v>
      </c>
    </row>
    <row r="50" spans="2:21" x14ac:dyDescent="0.2">
      <c r="B50" s="256"/>
      <c r="C50" s="31" t="s">
        <v>29</v>
      </c>
      <c r="D50" s="282">
        <v>0.5</v>
      </c>
      <c r="E50" s="1">
        <v>0</v>
      </c>
    </row>
    <row r="51" spans="2:21" x14ac:dyDescent="0.2">
      <c r="B51" s="256"/>
      <c r="C51" s="31" t="s">
        <v>31</v>
      </c>
      <c r="D51" s="282">
        <v>0.5</v>
      </c>
      <c r="E51" s="1">
        <v>0</v>
      </c>
    </row>
    <row r="52" spans="2:21" x14ac:dyDescent="0.2">
      <c r="B52" s="256"/>
      <c r="C52" s="31" t="s">
        <v>32</v>
      </c>
      <c r="D52" s="282">
        <v>0.35</v>
      </c>
      <c r="E52" s="1">
        <v>0</v>
      </c>
    </row>
    <row r="53" spans="2:21" x14ac:dyDescent="0.2">
      <c r="B53" s="256"/>
      <c r="C53" s="31" t="s">
        <v>33</v>
      </c>
      <c r="D53" s="282">
        <v>0</v>
      </c>
      <c r="E53" s="1">
        <v>0</v>
      </c>
    </row>
    <row r="54" spans="2:21" x14ac:dyDescent="0.2">
      <c r="B54" s="256"/>
      <c r="C54" s="31" t="s">
        <v>34</v>
      </c>
      <c r="D54" s="282">
        <v>0.35</v>
      </c>
      <c r="E54" s="283">
        <v>5.0000000000000001E-3</v>
      </c>
    </row>
    <row r="55" spans="2:21" x14ac:dyDescent="0.2">
      <c r="B55" s="256"/>
      <c r="C55" s="31" t="s">
        <v>35</v>
      </c>
      <c r="E55" s="282">
        <v>0.02</v>
      </c>
    </row>
    <row r="56" spans="2:21" x14ac:dyDescent="0.2">
      <c r="B56" s="256"/>
      <c r="C56" s="31" t="s">
        <v>36</v>
      </c>
      <c r="E56" s="283">
        <v>2.5000000000000001E-2</v>
      </c>
    </row>
    <row r="57" spans="2:21" x14ac:dyDescent="0.2">
      <c r="B57" s="256"/>
      <c r="C57" s="31" t="s">
        <v>37</v>
      </c>
      <c r="D57" s="282">
        <v>0.3</v>
      </c>
      <c r="E57" s="1">
        <v>0</v>
      </c>
    </row>
    <row r="58" spans="2:21" ht="16" x14ac:dyDescent="0.2">
      <c r="B58" s="256"/>
      <c r="C58" s="256" t="s">
        <v>368</v>
      </c>
      <c r="D58" s="284">
        <f>SUMPRODUCT(D49:D57,X29:X37)/SUM(X29:X37)</f>
        <v>0.23097590676174776</v>
      </c>
      <c r="E58" s="285">
        <f>SUMPRODUCT(E49:E57,X29:X37)/SUM(X29:X37)</f>
        <v>2.8794349002053566E-3</v>
      </c>
    </row>
    <row r="59" spans="2:21" x14ac:dyDescent="0.2">
      <c r="B59" s="256"/>
      <c r="C59" s="256"/>
    </row>
    <row r="60" spans="2:21" x14ac:dyDescent="0.2">
      <c r="B60" s="256">
        <v>5</v>
      </c>
      <c r="C60" s="256"/>
    </row>
    <row r="61" spans="2:21" x14ac:dyDescent="0.2">
      <c r="B61" s="256"/>
      <c r="C61" s="256" t="s">
        <v>33</v>
      </c>
    </row>
    <row r="62" spans="2:21" x14ac:dyDescent="0.2">
      <c r="B62" s="256"/>
      <c r="C62" s="286" t="s">
        <v>234</v>
      </c>
      <c r="D62" s="258" t="s">
        <v>235</v>
      </c>
      <c r="E62" s="258" t="s">
        <v>107</v>
      </c>
      <c r="F62" s="258" t="s">
        <v>109</v>
      </c>
      <c r="G62" s="258" t="s">
        <v>111</v>
      </c>
      <c r="I62" s="256"/>
      <c r="J62" s="286" t="s">
        <v>234</v>
      </c>
      <c r="K62" s="258" t="s">
        <v>235</v>
      </c>
      <c r="L62" s="258" t="s">
        <v>107</v>
      </c>
      <c r="M62" s="258" t="s">
        <v>109</v>
      </c>
      <c r="N62" s="258" t="s">
        <v>111</v>
      </c>
      <c r="P62" s="256"/>
      <c r="Q62" s="286" t="s">
        <v>234</v>
      </c>
      <c r="R62" s="258" t="s">
        <v>235</v>
      </c>
      <c r="S62" s="258" t="s">
        <v>107</v>
      </c>
      <c r="T62" s="258" t="s">
        <v>109</v>
      </c>
      <c r="U62" s="258" t="s">
        <v>111</v>
      </c>
    </row>
    <row r="63" spans="2:21" ht="16" x14ac:dyDescent="0.2">
      <c r="B63" s="256" t="s">
        <v>29</v>
      </c>
      <c r="C63" s="258">
        <v>1</v>
      </c>
      <c r="D63" s="258">
        <v>1</v>
      </c>
      <c r="E63" s="258">
        <v>0.08</v>
      </c>
      <c r="F63" s="258"/>
      <c r="G63" s="287">
        <v>0.12</v>
      </c>
      <c r="I63" s="1" t="s">
        <v>29</v>
      </c>
      <c r="J63" s="258">
        <v>2</v>
      </c>
      <c r="K63" s="258">
        <v>3</v>
      </c>
      <c r="L63" s="258">
        <v>0.08</v>
      </c>
      <c r="M63" s="258"/>
      <c r="N63" s="287">
        <v>4.4999999999999998E-2</v>
      </c>
      <c r="P63" s="1" t="s">
        <v>29</v>
      </c>
      <c r="Q63" s="286">
        <v>4</v>
      </c>
      <c r="R63" s="258">
        <v>14</v>
      </c>
      <c r="S63" s="258">
        <v>0.05</v>
      </c>
      <c r="T63" s="258"/>
      <c r="U63" s="262">
        <v>2.8000000000000001E-2</v>
      </c>
    </row>
    <row r="64" spans="2:21" ht="16" x14ac:dyDescent="0.2">
      <c r="B64" s="256" t="s">
        <v>29</v>
      </c>
      <c r="C64" s="258">
        <v>1</v>
      </c>
      <c r="D64" s="258">
        <v>1</v>
      </c>
      <c r="E64" s="258">
        <v>0.08</v>
      </c>
      <c r="F64" s="258"/>
      <c r="G64" s="287">
        <v>0.12</v>
      </c>
      <c r="I64" s="1" t="s">
        <v>29</v>
      </c>
      <c r="J64" s="258">
        <v>2</v>
      </c>
      <c r="K64" s="258">
        <v>3</v>
      </c>
      <c r="L64" s="258">
        <v>0.08</v>
      </c>
      <c r="M64" s="258"/>
      <c r="N64" s="287">
        <v>0.06</v>
      </c>
      <c r="P64" s="1" t="s">
        <v>29</v>
      </c>
      <c r="Q64" s="286">
        <v>4</v>
      </c>
      <c r="R64" s="258">
        <v>14</v>
      </c>
      <c r="S64" s="258">
        <v>0.05</v>
      </c>
      <c r="T64" s="258"/>
      <c r="U64" s="262">
        <v>2.5000000000000001E-2</v>
      </c>
    </row>
    <row r="65" spans="2:21" ht="16" x14ac:dyDescent="0.2">
      <c r="B65" s="256" t="s">
        <v>33</v>
      </c>
      <c r="C65" s="286">
        <v>1</v>
      </c>
      <c r="D65" s="258">
        <v>1</v>
      </c>
      <c r="E65" s="258">
        <v>0.08</v>
      </c>
      <c r="F65" s="258"/>
      <c r="G65" s="287">
        <v>0.12</v>
      </c>
      <c r="I65" s="1" t="s">
        <v>33</v>
      </c>
      <c r="J65" s="286">
        <v>2</v>
      </c>
      <c r="K65" s="258">
        <v>3</v>
      </c>
      <c r="L65" s="258">
        <v>0.08</v>
      </c>
      <c r="M65" s="258"/>
      <c r="N65" s="287">
        <v>4.4999999999999998E-2</v>
      </c>
      <c r="P65" s="1" t="s">
        <v>33</v>
      </c>
      <c r="Q65" s="286">
        <v>4</v>
      </c>
      <c r="R65" s="258">
        <v>14</v>
      </c>
      <c r="S65" s="258">
        <v>0.05</v>
      </c>
      <c r="T65" s="258"/>
      <c r="U65" s="262">
        <v>1.7999999999999999E-2</v>
      </c>
    </row>
    <row r="66" spans="2:21" ht="16" x14ac:dyDescent="0.2">
      <c r="B66" s="256" t="s">
        <v>34</v>
      </c>
      <c r="C66" s="258">
        <v>1</v>
      </c>
      <c r="D66" s="258">
        <v>1</v>
      </c>
      <c r="E66" s="258">
        <v>0.08</v>
      </c>
      <c r="F66" s="258"/>
      <c r="G66" s="287">
        <v>0.12</v>
      </c>
      <c r="I66" s="1" t="s">
        <v>34</v>
      </c>
      <c r="J66" s="286">
        <v>2</v>
      </c>
      <c r="K66" s="258">
        <v>3</v>
      </c>
      <c r="L66" s="258">
        <v>0.08</v>
      </c>
      <c r="M66" s="258"/>
      <c r="N66" s="287">
        <v>0.06</v>
      </c>
      <c r="P66" s="1" t="s">
        <v>34</v>
      </c>
      <c r="Q66" s="286">
        <v>4</v>
      </c>
      <c r="R66" s="258">
        <v>14</v>
      </c>
      <c r="S66" s="258">
        <v>0.05</v>
      </c>
      <c r="T66" s="258"/>
      <c r="U66" s="262">
        <v>2.5000000000000001E-2</v>
      </c>
    </row>
    <row r="67" spans="2:21" ht="16" x14ac:dyDescent="0.2">
      <c r="B67" s="256" t="s">
        <v>35</v>
      </c>
      <c r="C67" s="258">
        <v>1</v>
      </c>
      <c r="D67" s="258">
        <v>1</v>
      </c>
      <c r="E67" s="258">
        <v>0.08</v>
      </c>
      <c r="F67" s="258"/>
      <c r="G67" s="287">
        <v>0.08</v>
      </c>
      <c r="I67" s="1" t="s">
        <v>35</v>
      </c>
      <c r="J67" s="258">
        <v>2</v>
      </c>
      <c r="K67" s="258">
        <v>3</v>
      </c>
      <c r="L67" s="258">
        <v>0.08</v>
      </c>
      <c r="M67" s="258"/>
      <c r="N67" s="287">
        <v>0.06</v>
      </c>
      <c r="P67" s="1" t="s">
        <v>35</v>
      </c>
      <c r="Q67" s="258">
        <v>4</v>
      </c>
      <c r="R67" s="258">
        <v>14</v>
      </c>
      <c r="S67" s="258">
        <v>0.05</v>
      </c>
      <c r="T67" s="258"/>
      <c r="U67" s="262">
        <v>2.5000000000000001E-2</v>
      </c>
    </row>
    <row r="68" spans="2:21" ht="16" x14ac:dyDescent="0.2">
      <c r="B68" s="256" t="s">
        <v>369</v>
      </c>
      <c r="C68" s="286">
        <v>1</v>
      </c>
      <c r="D68" s="258">
        <v>1</v>
      </c>
      <c r="E68" s="258">
        <v>0.03</v>
      </c>
      <c r="F68" s="258"/>
      <c r="G68" s="287">
        <v>0.08</v>
      </c>
      <c r="I68" s="256" t="s">
        <v>369</v>
      </c>
      <c r="J68" s="258">
        <v>2</v>
      </c>
      <c r="K68" s="258">
        <v>3</v>
      </c>
      <c r="L68" s="258">
        <v>0.03</v>
      </c>
      <c r="M68" s="258"/>
      <c r="N68" s="287">
        <v>0.06</v>
      </c>
      <c r="P68" s="256" t="s">
        <v>369</v>
      </c>
      <c r="Q68" s="258">
        <v>4</v>
      </c>
      <c r="R68" s="258">
        <v>14</v>
      </c>
      <c r="S68" s="258">
        <v>0.03</v>
      </c>
      <c r="T68" s="258"/>
      <c r="U68" s="262">
        <v>2.5000000000000001E-2</v>
      </c>
    </row>
    <row r="72" spans="2:21" x14ac:dyDescent="0.2">
      <c r="B72" s="256" t="s">
        <v>29</v>
      </c>
      <c r="C72" s="16">
        <v>1192533310000</v>
      </c>
      <c r="D72" s="258"/>
      <c r="E72" s="288" t="s">
        <v>107</v>
      </c>
      <c r="F72" s="170" t="s">
        <v>109</v>
      </c>
      <c r="G72" s="168" t="s">
        <v>111</v>
      </c>
    </row>
    <row r="73" spans="2:21" x14ac:dyDescent="0.2">
      <c r="B73" s="256" t="s">
        <v>29</v>
      </c>
      <c r="C73" s="16">
        <v>2803500000</v>
      </c>
      <c r="D73" s="289">
        <v>1</v>
      </c>
      <c r="E73" s="290">
        <f>SUMPRODUCT(E63:E68,$C$72:$C$77)/SUM($C$72:$C$77)</f>
        <v>7.5631948383508535E-2</v>
      </c>
      <c r="F73" s="155"/>
      <c r="G73" s="290">
        <f>SUMPRODUCT(G63:G68,$C$72:$C$77)/SUM($C$72:$C$77)</f>
        <v>0.1158498139684232</v>
      </c>
    </row>
    <row r="74" spans="2:21" x14ac:dyDescent="0.2">
      <c r="B74" s="256" t="s">
        <v>33</v>
      </c>
      <c r="C74" s="1">
        <v>1202519920000</v>
      </c>
      <c r="D74" s="291" t="s">
        <v>370</v>
      </c>
      <c r="E74" s="290">
        <f>SUMPRODUCT(L63:L68,$C$72:$C$77)/SUM($C$72:$C$77)</f>
        <v>7.5631948383508535E-2</v>
      </c>
      <c r="F74" s="155"/>
      <c r="G74" s="290">
        <f>SUMPRODUCT(N63:N68,$C$72:$C$77)/SUM($C$72:$C$77)</f>
        <v>4.7684839483754599E-2</v>
      </c>
    </row>
    <row r="75" spans="2:21" x14ac:dyDescent="0.2">
      <c r="B75" s="256" t="s">
        <v>34</v>
      </c>
      <c r="C75" s="1">
        <v>216671090000</v>
      </c>
      <c r="D75" s="289" t="s">
        <v>371</v>
      </c>
      <c r="E75" s="290">
        <f>SUMPRODUCT(S63:S68,$C$72:$C$77)/SUM($C$72:$C$77)</f>
        <v>4.8252779353403413E-2</v>
      </c>
      <c r="F75" s="155"/>
      <c r="G75" s="290">
        <f>SUMPRODUCT(U63:U68,$C$72:$C$77)/SUM($C$72:$C$77)</f>
        <v>2.3340861830709856E-2</v>
      </c>
    </row>
    <row r="76" spans="2:21" x14ac:dyDescent="0.2">
      <c r="B76" s="256" t="s">
        <v>35</v>
      </c>
      <c r="C76" s="1">
        <v>47823480000</v>
      </c>
    </row>
    <row r="77" spans="2:21" x14ac:dyDescent="0.2">
      <c r="B77" s="256" t="s">
        <v>369</v>
      </c>
      <c r="C77" s="1">
        <v>254849690000</v>
      </c>
    </row>
    <row r="79" spans="2:21" x14ac:dyDescent="0.2">
      <c r="B79" s="256">
        <v>5</v>
      </c>
      <c r="C79" s="256" t="s">
        <v>372</v>
      </c>
    </row>
    <row r="80" spans="2:21" x14ac:dyDescent="0.2">
      <c r="B80" s="256"/>
      <c r="C80" s="256"/>
    </row>
    <row r="81" spans="2:8" x14ac:dyDescent="0.2">
      <c r="B81" s="256"/>
      <c r="C81" s="256"/>
    </row>
    <row r="82" spans="2:8" x14ac:dyDescent="0.2">
      <c r="B82" s="256"/>
      <c r="C82" s="256"/>
    </row>
    <row r="83" spans="2:8" x14ac:dyDescent="0.2">
      <c r="B83" s="256"/>
      <c r="C83" s="1" t="s">
        <v>373</v>
      </c>
      <c r="D83" s="1" t="s">
        <v>10</v>
      </c>
    </row>
    <row r="84" spans="2:8" x14ac:dyDescent="0.2">
      <c r="B84" s="256"/>
      <c r="C84" s="1" t="s">
        <v>12</v>
      </c>
      <c r="D84" s="1">
        <v>202506</v>
      </c>
      <c r="E84" s="1">
        <v>202507</v>
      </c>
      <c r="F84" s="1">
        <v>202508</v>
      </c>
      <c r="G84" s="1">
        <v>202509</v>
      </c>
      <c r="H84" s="1" t="s">
        <v>16</v>
      </c>
    </row>
    <row r="85" spans="2:8" x14ac:dyDescent="0.2">
      <c r="B85" s="256"/>
      <c r="C85" s="254">
        <v>0</v>
      </c>
      <c r="D85" s="1">
        <v>2227170638646</v>
      </c>
      <c r="E85" s="1">
        <v>2678490554874</v>
      </c>
      <c r="F85" s="1">
        <v>2995257670063</v>
      </c>
      <c r="G85" s="1">
        <v>3525599566229</v>
      </c>
      <c r="H85" s="1">
        <v>11426518429812</v>
      </c>
    </row>
    <row r="86" spans="2:8" x14ac:dyDescent="0.2">
      <c r="B86" s="256"/>
      <c r="C86" s="254">
        <v>1</v>
      </c>
      <c r="D86" s="1">
        <v>106807795863</v>
      </c>
      <c r="E86" s="1">
        <v>104459872089</v>
      </c>
      <c r="F86" s="1">
        <v>135744014157</v>
      </c>
      <c r="G86" s="1">
        <v>173589291968</v>
      </c>
      <c r="H86" s="1">
        <v>520600974077</v>
      </c>
    </row>
    <row r="87" spans="2:8" x14ac:dyDescent="0.2">
      <c r="B87" s="256"/>
      <c r="C87" s="254">
        <v>2</v>
      </c>
      <c r="D87" s="1">
        <v>57958242199</v>
      </c>
      <c r="E87" s="1">
        <v>68528948674</v>
      </c>
      <c r="F87" s="1">
        <v>71524973797</v>
      </c>
      <c r="G87" s="1">
        <v>92951340535</v>
      </c>
      <c r="H87" s="1">
        <v>290963505205</v>
      </c>
    </row>
    <row r="88" spans="2:8" x14ac:dyDescent="0.2">
      <c r="B88" s="256"/>
      <c r="C88" s="254">
        <v>3</v>
      </c>
      <c r="D88" s="1">
        <v>46220122367</v>
      </c>
      <c r="E88" s="1">
        <v>50991182415</v>
      </c>
      <c r="F88" s="1">
        <v>63042309190</v>
      </c>
      <c r="G88" s="1">
        <v>67300977396</v>
      </c>
      <c r="H88" s="1">
        <v>227554591368</v>
      </c>
    </row>
    <row r="89" spans="2:8" x14ac:dyDescent="0.2">
      <c r="B89" s="256"/>
      <c r="C89" s="254">
        <v>4</v>
      </c>
      <c r="D89" s="1">
        <v>42427950160</v>
      </c>
      <c r="E89" s="1">
        <v>46997805330</v>
      </c>
      <c r="F89" s="1">
        <v>51301182602</v>
      </c>
      <c r="G89" s="1">
        <v>61066073693</v>
      </c>
      <c r="H89" s="1">
        <v>201793011785</v>
      </c>
    </row>
    <row r="90" spans="2:8" x14ac:dyDescent="0.2">
      <c r="B90" s="256"/>
      <c r="C90" s="254">
        <v>5</v>
      </c>
      <c r="D90" s="1">
        <v>51506266743</v>
      </c>
      <c r="E90" s="1">
        <v>40402005892</v>
      </c>
      <c r="F90" s="1">
        <v>46266352135</v>
      </c>
      <c r="G90" s="1">
        <v>50392136121</v>
      </c>
      <c r="H90" s="1">
        <v>188566760891</v>
      </c>
    </row>
    <row r="91" spans="2:8" x14ac:dyDescent="0.2">
      <c r="B91" s="256"/>
      <c r="C91" s="254">
        <v>6</v>
      </c>
      <c r="D91" s="1">
        <v>36271430125</v>
      </c>
      <c r="E91" s="1">
        <v>53548682057</v>
      </c>
      <c r="F91" s="1">
        <v>39845322295</v>
      </c>
      <c r="G91" s="1">
        <v>45566486496</v>
      </c>
      <c r="H91" s="1">
        <v>175231920973</v>
      </c>
    </row>
    <row r="92" spans="2:8" x14ac:dyDescent="0.2">
      <c r="B92" s="256"/>
      <c r="C92" s="254">
        <v>7</v>
      </c>
      <c r="D92" s="1">
        <v>40846476885</v>
      </c>
      <c r="E92" s="1">
        <v>33460456609</v>
      </c>
      <c r="F92" s="1">
        <v>54576830011</v>
      </c>
      <c r="G92" s="1">
        <v>39636683707</v>
      </c>
      <c r="H92" s="1">
        <v>168520447212</v>
      </c>
    </row>
    <row r="93" spans="2:8" x14ac:dyDescent="0.2">
      <c r="B93" s="256"/>
      <c r="C93" s="254">
        <v>8</v>
      </c>
      <c r="D93" s="1">
        <v>44360929585</v>
      </c>
      <c r="E93" s="1">
        <v>41716545845</v>
      </c>
      <c r="F93" s="1">
        <v>31732866197</v>
      </c>
      <c r="G93" s="1">
        <v>54110235723</v>
      </c>
      <c r="H93" s="1">
        <v>171920577350</v>
      </c>
    </row>
    <row r="94" spans="2:8" x14ac:dyDescent="0.2">
      <c r="B94" s="256"/>
      <c r="C94" s="254">
        <v>9</v>
      </c>
      <c r="D94" s="1">
        <v>40163098197</v>
      </c>
      <c r="E94" s="1">
        <v>45373137792</v>
      </c>
      <c r="F94" s="1">
        <v>41396389450</v>
      </c>
      <c r="G94" s="1">
        <v>31732866197</v>
      </c>
      <c r="H94" s="1">
        <v>158665491636</v>
      </c>
    </row>
    <row r="95" spans="2:8" x14ac:dyDescent="0.2">
      <c r="B95" s="256"/>
      <c r="C95" s="254">
        <v>10</v>
      </c>
      <c r="D95" s="1">
        <v>37879942573</v>
      </c>
      <c r="E95" s="1">
        <v>39017936400</v>
      </c>
      <c r="F95" s="1">
        <v>44047941303</v>
      </c>
      <c r="G95" s="1">
        <v>41396068450</v>
      </c>
      <c r="H95" s="1">
        <v>162341888726</v>
      </c>
    </row>
    <row r="96" spans="2:8" x14ac:dyDescent="0.2">
      <c r="B96" s="256"/>
      <c r="C96" s="254">
        <v>11</v>
      </c>
      <c r="D96" s="1">
        <v>34961115219</v>
      </c>
      <c r="E96" s="1">
        <v>36526849931</v>
      </c>
      <c r="F96" s="1">
        <v>40648759997</v>
      </c>
      <c r="G96" s="1">
        <v>44044905995</v>
      </c>
      <c r="H96" s="1">
        <v>156181631142</v>
      </c>
    </row>
    <row r="97" spans="2:8" x14ac:dyDescent="0.2">
      <c r="B97" s="256"/>
      <c r="C97" s="254">
        <v>12</v>
      </c>
      <c r="D97" s="1">
        <v>22717393827</v>
      </c>
      <c r="E97" s="1">
        <v>35394671659</v>
      </c>
      <c r="F97" s="1">
        <v>36201144523</v>
      </c>
      <c r="G97" s="1">
        <v>40648759997</v>
      </c>
      <c r="H97" s="1">
        <v>134961970006</v>
      </c>
    </row>
    <row r="98" spans="2:8" x14ac:dyDescent="0.2">
      <c r="B98" s="256"/>
      <c r="C98" s="254">
        <v>13</v>
      </c>
      <c r="D98" s="1">
        <v>13794323991</v>
      </c>
      <c r="E98" s="1">
        <v>24129869875</v>
      </c>
      <c r="F98" s="1">
        <v>35649654116</v>
      </c>
      <c r="G98" s="1">
        <v>36201144523</v>
      </c>
      <c r="H98" s="1">
        <v>109774992505</v>
      </c>
    </row>
    <row r="99" spans="2:8" x14ac:dyDescent="0.2">
      <c r="B99" s="256"/>
      <c r="C99" s="254">
        <v>14</v>
      </c>
      <c r="D99" s="1">
        <v>9199022744</v>
      </c>
      <c r="E99" s="1">
        <v>13974222080</v>
      </c>
      <c r="F99" s="1">
        <v>25362944529</v>
      </c>
      <c r="G99" s="1">
        <v>35649654116</v>
      </c>
      <c r="H99" s="1">
        <v>84185843469</v>
      </c>
    </row>
    <row r="100" spans="2:8" x14ac:dyDescent="0.2">
      <c r="B100" s="256"/>
      <c r="C100" s="254">
        <v>15</v>
      </c>
      <c r="D100" s="1">
        <v>9713452543</v>
      </c>
      <c r="E100" s="1">
        <v>9361358696</v>
      </c>
      <c r="F100" s="1">
        <v>13629862748</v>
      </c>
      <c r="G100" s="1">
        <v>25362944529</v>
      </c>
      <c r="H100" s="1">
        <v>58067618516</v>
      </c>
    </row>
    <row r="101" spans="2:8" x14ac:dyDescent="0.2">
      <c r="B101" s="256"/>
      <c r="C101" s="254">
        <v>16</v>
      </c>
      <c r="D101" s="1">
        <v>8396129663</v>
      </c>
      <c r="E101" s="1">
        <v>10020947366</v>
      </c>
      <c r="F101" s="1">
        <v>9215914030</v>
      </c>
      <c r="G101" s="1">
        <v>13629862748</v>
      </c>
      <c r="H101" s="1">
        <v>41262853807</v>
      </c>
    </row>
    <row r="102" spans="2:8" x14ac:dyDescent="0.2">
      <c r="B102" s="256"/>
      <c r="C102" s="254">
        <v>17</v>
      </c>
      <c r="D102" s="1">
        <v>12013452758</v>
      </c>
      <c r="E102" s="1">
        <v>8075921743</v>
      </c>
      <c r="F102" s="1">
        <v>9804510477</v>
      </c>
      <c r="G102" s="1">
        <v>9215914030</v>
      </c>
      <c r="H102" s="1">
        <v>39109799008</v>
      </c>
    </row>
    <row r="103" spans="2:8" x14ac:dyDescent="0.2">
      <c r="B103" s="256"/>
      <c r="C103" s="254">
        <v>18</v>
      </c>
      <c r="D103" s="1">
        <v>11808943725</v>
      </c>
      <c r="E103" s="1">
        <v>11834374774</v>
      </c>
      <c r="F103" s="1">
        <v>8585903715</v>
      </c>
      <c r="G103" s="1">
        <v>9804510477</v>
      </c>
      <c r="H103" s="1">
        <v>42033732691</v>
      </c>
    </row>
    <row r="104" spans="2:8" x14ac:dyDescent="0.2">
      <c r="B104" s="256"/>
      <c r="C104" s="254">
        <v>19</v>
      </c>
      <c r="D104" s="1">
        <v>8794083809</v>
      </c>
      <c r="E104" s="1">
        <v>11328250640</v>
      </c>
      <c r="F104" s="1">
        <v>11331098414</v>
      </c>
      <c r="G104" s="1">
        <v>8585903715</v>
      </c>
      <c r="H104" s="1">
        <v>40039336578</v>
      </c>
    </row>
    <row r="105" spans="2:8" x14ac:dyDescent="0.2">
      <c r="B105" s="256"/>
      <c r="C105" s="254">
        <v>20</v>
      </c>
      <c r="D105" s="1">
        <v>7170428913</v>
      </c>
      <c r="E105" s="1">
        <v>9537181059</v>
      </c>
      <c r="F105" s="1">
        <v>11647337825</v>
      </c>
      <c r="G105" s="1">
        <v>11331098414</v>
      </c>
      <c r="H105" s="1">
        <v>39686046211</v>
      </c>
    </row>
    <row r="106" spans="2:8" x14ac:dyDescent="0.2">
      <c r="B106" s="256"/>
      <c r="C106" s="254">
        <v>21</v>
      </c>
      <c r="D106" s="1">
        <v>6337836660</v>
      </c>
      <c r="E106" s="1">
        <v>6975282473</v>
      </c>
      <c r="F106" s="1">
        <v>9917629149</v>
      </c>
      <c r="G106" s="1">
        <v>11647337825</v>
      </c>
      <c r="H106" s="1">
        <v>34878086107</v>
      </c>
    </row>
    <row r="107" spans="2:8" x14ac:dyDescent="0.2">
      <c r="B107" s="256"/>
      <c r="C107" s="254">
        <v>22</v>
      </c>
      <c r="D107" s="1">
        <v>7830057422</v>
      </c>
      <c r="E107" s="1">
        <v>6463543221</v>
      </c>
      <c r="F107" s="1">
        <v>6643998645</v>
      </c>
      <c r="G107" s="1">
        <v>9917629149</v>
      </c>
      <c r="H107" s="1">
        <v>30855228437</v>
      </c>
    </row>
    <row r="108" spans="2:8" x14ac:dyDescent="0.2">
      <c r="B108" s="256"/>
      <c r="C108" s="254">
        <v>23</v>
      </c>
      <c r="D108" s="1">
        <v>6592287881</v>
      </c>
      <c r="E108" s="1">
        <v>8136379040</v>
      </c>
      <c r="F108" s="1">
        <v>6250770622</v>
      </c>
      <c r="G108" s="1">
        <v>6643998645</v>
      </c>
      <c r="H108" s="1">
        <v>27623436188</v>
      </c>
    </row>
    <row r="109" spans="2:8" x14ac:dyDescent="0.2">
      <c r="B109" s="256"/>
      <c r="C109" s="254">
        <v>24</v>
      </c>
      <c r="D109" s="1">
        <v>11550000</v>
      </c>
      <c r="E109" s="1">
        <v>6537688481</v>
      </c>
      <c r="F109" s="1">
        <v>7555829276</v>
      </c>
      <c r="G109" s="1">
        <v>6250770622</v>
      </c>
      <c r="H109" s="1">
        <v>20355838379</v>
      </c>
    </row>
    <row r="110" spans="2:8" x14ac:dyDescent="0.2">
      <c r="B110" s="256"/>
      <c r="C110" s="254">
        <v>25</v>
      </c>
      <c r="E110" s="1">
        <v>66149400</v>
      </c>
      <c r="F110" s="1">
        <v>7495709672</v>
      </c>
      <c r="G110" s="1">
        <v>7555829276</v>
      </c>
      <c r="H110" s="1">
        <v>15117688348</v>
      </c>
    </row>
    <row r="111" spans="2:8" x14ac:dyDescent="0.2">
      <c r="B111" s="256"/>
      <c r="C111" s="254">
        <v>26</v>
      </c>
      <c r="F111" s="1">
        <v>232734400</v>
      </c>
      <c r="G111" s="1">
        <v>7495709672</v>
      </c>
      <c r="H111" s="1">
        <v>7728444072</v>
      </c>
    </row>
    <row r="112" spans="2:8" x14ac:dyDescent="0.2">
      <c r="B112" s="256"/>
      <c r="C112" s="254">
        <v>27</v>
      </c>
      <c r="G112" s="1">
        <v>232734400</v>
      </c>
      <c r="H112" s="1">
        <v>232734400</v>
      </c>
    </row>
    <row r="113" spans="2:16" x14ac:dyDescent="0.2">
      <c r="B113" s="256"/>
      <c r="C113" s="254" t="s">
        <v>16</v>
      </c>
      <c r="D113" s="1">
        <v>2890952972498</v>
      </c>
      <c r="E113" s="1">
        <v>3401349818415</v>
      </c>
      <c r="F113" s="1">
        <v>3814909653338</v>
      </c>
      <c r="G113" s="1">
        <v>4467560434648</v>
      </c>
      <c r="H113" s="1">
        <v>14574772878899</v>
      </c>
    </row>
    <row r="114" spans="2:16" x14ac:dyDescent="0.2">
      <c r="B114" s="256"/>
      <c r="C114" s="256"/>
    </row>
    <row r="117" spans="2:16" x14ac:dyDescent="0.2">
      <c r="B117" s="1" t="s">
        <v>12</v>
      </c>
      <c r="C117" s="1">
        <v>7</v>
      </c>
      <c r="D117" s="1">
        <v>8</v>
      </c>
      <c r="E117" s="1">
        <v>9</v>
      </c>
      <c r="F117" s="1" t="s">
        <v>353</v>
      </c>
      <c r="G117" s="1" t="s">
        <v>374</v>
      </c>
      <c r="H117" s="1">
        <v>202506</v>
      </c>
      <c r="I117" s="1">
        <v>202507</v>
      </c>
      <c r="J117" s="1">
        <v>202508</v>
      </c>
      <c r="K117" s="1">
        <v>202509</v>
      </c>
      <c r="N117" s="1" t="s">
        <v>375</v>
      </c>
      <c r="O117" s="1" t="s">
        <v>376</v>
      </c>
      <c r="P117" s="1" t="s">
        <v>377</v>
      </c>
    </row>
    <row r="118" spans="2:16" ht="16" x14ac:dyDescent="0.2">
      <c r="B118" s="1">
        <v>0</v>
      </c>
      <c r="C118" s="253">
        <f t="shared" ref="C118:E130" si="2">I119/H118</f>
        <v>4.6902500543247995E-2</v>
      </c>
      <c r="D118" s="253">
        <f t="shared" si="2"/>
        <v>5.0679295437495241E-2</v>
      </c>
      <c r="E118" s="253">
        <f t="shared" si="2"/>
        <v>5.7954710775967685E-2</v>
      </c>
      <c r="F118" s="253">
        <f>AVERAGE(C118:E118)</f>
        <v>5.1845502252236976E-2</v>
      </c>
      <c r="G118" s="292">
        <v>5.0999999999999997E-2</v>
      </c>
      <c r="H118" s="1">
        <v>2227170638646</v>
      </c>
      <c r="I118" s="1">
        <v>2678490554874</v>
      </c>
      <c r="J118" s="1">
        <v>2995257670063</v>
      </c>
      <c r="K118" s="1">
        <v>3525599566229</v>
      </c>
      <c r="N118" s="1">
        <v>0</v>
      </c>
      <c r="O118" s="1">
        <v>202510</v>
      </c>
      <c r="P118" s="1">
        <v>3779547383680</v>
      </c>
    </row>
    <row r="119" spans="2:16" ht="16" x14ac:dyDescent="0.2">
      <c r="B119" s="1">
        <v>1</v>
      </c>
      <c r="C119" s="253">
        <f t="shared" si="2"/>
        <v>0.64160998848717532</v>
      </c>
      <c r="D119" s="253">
        <f t="shared" si="2"/>
        <v>0.6847124390125674</v>
      </c>
      <c r="E119" s="253">
        <f t="shared" si="2"/>
        <v>0.68475461781683811</v>
      </c>
      <c r="F119" s="253">
        <f t="shared" ref="F119:F126" si="3">AVERAGE(C119:E119)</f>
        <v>0.67035901510552698</v>
      </c>
      <c r="G119" s="292">
        <f>F119</f>
        <v>0.67035901510552698</v>
      </c>
      <c r="H119" s="1">
        <v>106807795863</v>
      </c>
      <c r="I119" s="1">
        <v>104459872089</v>
      </c>
      <c r="J119" s="1">
        <v>135744014157</v>
      </c>
      <c r="K119" s="1">
        <v>173589291968</v>
      </c>
      <c r="N119" s="1">
        <v>0</v>
      </c>
      <c r="O119" s="1">
        <v>202504</v>
      </c>
      <c r="P119" s="1">
        <v>1807299742573</v>
      </c>
    </row>
    <row r="120" spans="2:16" ht="16" x14ac:dyDescent="0.2">
      <c r="B120" s="1">
        <v>2</v>
      </c>
      <c r="C120" s="253">
        <f t="shared" si="2"/>
        <v>0.87979173419237677</v>
      </c>
      <c r="D120" s="253">
        <f t="shared" si="2"/>
        <v>0.91993690855961374</v>
      </c>
      <c r="E120" s="253">
        <f t="shared" si="2"/>
        <v>0.94094375465290747</v>
      </c>
      <c r="F120" s="253">
        <f t="shared" si="3"/>
        <v>0.91355746580163266</v>
      </c>
      <c r="G120" s="292">
        <v>0.91</v>
      </c>
      <c r="H120" s="1">
        <v>57958242199</v>
      </c>
      <c r="I120" s="1">
        <v>68528948674</v>
      </c>
      <c r="J120" s="1">
        <v>71524973797</v>
      </c>
      <c r="K120" s="1">
        <v>92951340535</v>
      </c>
      <c r="N120" s="1">
        <v>0</v>
      </c>
      <c r="O120" s="1">
        <v>202409</v>
      </c>
      <c r="P120" s="1">
        <v>1106960755025</v>
      </c>
    </row>
    <row r="121" spans="2:16" ht="16" x14ac:dyDescent="0.2">
      <c r="B121" s="1">
        <v>3</v>
      </c>
      <c r="C121" s="253">
        <f t="shared" si="2"/>
        <v>1.016825636176923</v>
      </c>
      <c r="D121" s="253">
        <f t="shared" si="2"/>
        <v>1.0060794861448203</v>
      </c>
      <c r="E121" s="253">
        <f t="shared" si="2"/>
        <v>0.96865223494520281</v>
      </c>
      <c r="F121" s="253">
        <f t="shared" si="3"/>
        <v>0.99718578575564887</v>
      </c>
      <c r="G121" s="292">
        <f>F121</f>
        <v>0.99718578575564887</v>
      </c>
      <c r="H121" s="1">
        <v>46220122367</v>
      </c>
      <c r="I121" s="1">
        <v>50991182415</v>
      </c>
      <c r="J121" s="1">
        <v>63042309190</v>
      </c>
      <c r="K121" s="1">
        <v>67300977396</v>
      </c>
      <c r="N121" s="1">
        <v>0</v>
      </c>
      <c r="O121" s="1">
        <v>202410</v>
      </c>
      <c r="P121" s="1">
        <v>1248622751759</v>
      </c>
    </row>
    <row r="122" spans="2:16" ht="16" x14ac:dyDescent="0.2">
      <c r="B122" s="1">
        <v>4</v>
      </c>
      <c r="C122" s="253">
        <f t="shared" si="2"/>
        <v>0.95224977260603061</v>
      </c>
      <c r="D122" s="253">
        <f t="shared" si="2"/>
        <v>0.98443643932170821</v>
      </c>
      <c r="E122" s="253">
        <f t="shared" si="2"/>
        <v>0.98228020418062334</v>
      </c>
      <c r="F122" s="253">
        <f t="shared" si="3"/>
        <v>0.97298880536945409</v>
      </c>
      <c r="G122" s="292">
        <f>F122</f>
        <v>0.97298880536945409</v>
      </c>
      <c r="H122" s="1">
        <v>42427950160</v>
      </c>
      <c r="I122" s="1">
        <v>46997805330</v>
      </c>
      <c r="J122" s="1">
        <v>51301182602</v>
      </c>
      <c r="K122" s="1">
        <v>61066073693</v>
      </c>
      <c r="N122" s="1">
        <v>0</v>
      </c>
      <c r="O122" s="1">
        <v>202508</v>
      </c>
      <c r="P122" s="1">
        <v>2995257670063</v>
      </c>
    </row>
    <row r="123" spans="2:16" ht="16" x14ac:dyDescent="0.2">
      <c r="B123" s="1">
        <v>5</v>
      </c>
      <c r="C123" s="253">
        <f t="shared" si="2"/>
        <v>1.0396537245495001</v>
      </c>
      <c r="D123" s="253">
        <f t="shared" si="2"/>
        <v>0.98622138716359553</v>
      </c>
      <c r="E123" s="253">
        <f t="shared" si="2"/>
        <v>0.98487311822298262</v>
      </c>
      <c r="F123" s="253">
        <f t="shared" si="3"/>
        <v>1.0035827433120261</v>
      </c>
      <c r="G123" s="292">
        <v>1</v>
      </c>
      <c r="H123" s="1">
        <v>51506266743</v>
      </c>
      <c r="I123" s="1">
        <v>40402005892</v>
      </c>
      <c r="J123" s="1">
        <v>46266352135</v>
      </c>
      <c r="K123" s="1">
        <v>50392136121</v>
      </c>
      <c r="N123" s="1">
        <v>0</v>
      </c>
      <c r="O123" s="1">
        <v>202501</v>
      </c>
      <c r="P123" s="1">
        <v>1573077129141</v>
      </c>
    </row>
    <row r="124" spans="2:16" ht="16" x14ac:dyDescent="0.2">
      <c r="B124" s="1">
        <v>6</v>
      </c>
      <c r="C124" s="253">
        <f t="shared" si="2"/>
        <v>0.92250171812049553</v>
      </c>
      <c r="D124" s="253">
        <f t="shared" si="2"/>
        <v>1.0192002475972348</v>
      </c>
      <c r="E124" s="253">
        <f t="shared" si="2"/>
        <v>0.99476378716539626</v>
      </c>
      <c r="F124" s="253">
        <f t="shared" si="3"/>
        <v>0.97882191762770887</v>
      </c>
      <c r="G124" s="292">
        <v>0.97</v>
      </c>
      <c r="H124" s="1">
        <v>36271430125</v>
      </c>
      <c r="I124" s="1">
        <v>53548682057</v>
      </c>
      <c r="J124" s="1">
        <v>39845322295</v>
      </c>
      <c r="K124" s="1">
        <v>45566486496</v>
      </c>
      <c r="N124" s="1">
        <v>0</v>
      </c>
      <c r="O124" s="1">
        <v>202509</v>
      </c>
      <c r="P124" s="1">
        <v>3525599566229</v>
      </c>
    </row>
    <row r="125" spans="2:16" ht="16" x14ac:dyDescent="0.2">
      <c r="B125" s="1">
        <v>7</v>
      </c>
      <c r="C125" s="253">
        <f t="shared" si="2"/>
        <v>1.0213009548522289</v>
      </c>
      <c r="D125" s="253">
        <f t="shared" si="2"/>
        <v>0.94836919196328828</v>
      </c>
      <c r="E125" s="253">
        <f t="shared" si="2"/>
        <v>0.99145068909451217</v>
      </c>
      <c r="F125" s="253">
        <f t="shared" si="3"/>
        <v>0.98704027863667643</v>
      </c>
      <c r="G125" s="292">
        <v>0.98</v>
      </c>
      <c r="H125" s="1">
        <v>40846476885</v>
      </c>
      <c r="I125" s="1">
        <v>33460456609</v>
      </c>
      <c r="J125" s="1">
        <v>54576830011</v>
      </c>
      <c r="K125" s="1">
        <v>39636683707</v>
      </c>
      <c r="N125" s="1">
        <v>0</v>
      </c>
      <c r="O125" s="1">
        <v>202408</v>
      </c>
      <c r="P125" s="1">
        <v>975380154984</v>
      </c>
    </row>
    <row r="126" spans="2:16" ht="16" x14ac:dyDescent="0.2">
      <c r="B126" s="1">
        <v>8</v>
      </c>
      <c r="C126" s="253">
        <f t="shared" si="2"/>
        <v>1.022817560778579</v>
      </c>
      <c r="D126" s="253">
        <f t="shared" si="2"/>
        <v>0.99232543374541227</v>
      </c>
      <c r="E126" s="253">
        <f t="shared" si="2"/>
        <v>1</v>
      </c>
      <c r="F126" s="253">
        <f t="shared" si="3"/>
        <v>1.0050476648413305</v>
      </c>
      <c r="G126" s="292">
        <v>1</v>
      </c>
      <c r="H126" s="1">
        <v>44360929585</v>
      </c>
      <c r="I126" s="1">
        <v>41716545845</v>
      </c>
      <c r="J126" s="1">
        <v>31732866197</v>
      </c>
      <c r="K126" s="1">
        <v>54110235723</v>
      </c>
      <c r="N126" s="1">
        <v>0</v>
      </c>
      <c r="O126" s="1">
        <v>202412</v>
      </c>
      <c r="P126" s="1">
        <v>1441984934899</v>
      </c>
    </row>
    <row r="127" spans="2:16" ht="16" x14ac:dyDescent="0.2">
      <c r="B127" s="1">
        <v>9</v>
      </c>
      <c r="C127" s="253">
        <f t="shared" si="2"/>
        <v>0.97148721467196131</v>
      </c>
      <c r="D127" s="253">
        <f t="shared" si="2"/>
        <v>0.9707933690838183</v>
      </c>
      <c r="E127" s="253">
        <f t="shared" si="2"/>
        <v>0.99999224570054868</v>
      </c>
      <c r="F127" s="293"/>
      <c r="H127" s="1">
        <v>40163098197</v>
      </c>
      <c r="I127" s="1">
        <v>45373137792</v>
      </c>
      <c r="J127" s="1">
        <v>41396389450</v>
      </c>
      <c r="K127" s="1">
        <v>31732866197</v>
      </c>
      <c r="N127" s="1">
        <v>0</v>
      </c>
      <c r="O127" s="1">
        <v>202312</v>
      </c>
      <c r="P127" s="1">
        <v>260794942129</v>
      </c>
    </row>
    <row r="128" spans="2:16" ht="16" x14ac:dyDescent="0.2">
      <c r="B128" s="1">
        <v>10</v>
      </c>
      <c r="C128" s="253">
        <f t="shared" si="2"/>
        <v>0.96427944315405445</v>
      </c>
      <c r="D128" s="253">
        <f t="shared" si="2"/>
        <v>1.0417967670120043</v>
      </c>
      <c r="E128" s="253">
        <f t="shared" si="2"/>
        <v>0.99993109080900922</v>
      </c>
      <c r="F128" s="293"/>
      <c r="H128" s="1">
        <v>37879942573</v>
      </c>
      <c r="I128" s="1">
        <v>39017936400</v>
      </c>
      <c r="J128" s="1">
        <v>44047941303</v>
      </c>
      <c r="K128" s="1">
        <v>41396068450</v>
      </c>
      <c r="N128" s="1">
        <v>0</v>
      </c>
      <c r="O128" s="1">
        <v>202403</v>
      </c>
      <c r="P128" s="1">
        <v>326805264954</v>
      </c>
    </row>
    <row r="129" spans="2:16" ht="16" x14ac:dyDescent="0.2">
      <c r="B129" s="1">
        <v>11</v>
      </c>
      <c r="C129" s="253">
        <f t="shared" si="2"/>
        <v>1.0124011044065431</v>
      </c>
      <c r="D129" s="253">
        <f t="shared" si="2"/>
        <v>0.99108312354842354</v>
      </c>
      <c r="E129" s="253">
        <f t="shared" si="2"/>
        <v>1</v>
      </c>
      <c r="F129" s="293"/>
      <c r="H129" s="1">
        <v>34961115219</v>
      </c>
      <c r="I129" s="1">
        <v>36526849931</v>
      </c>
      <c r="J129" s="1">
        <v>40648759997</v>
      </c>
      <c r="K129" s="1">
        <v>44044905995</v>
      </c>
      <c r="N129" s="1">
        <v>0</v>
      </c>
      <c r="O129" s="1">
        <v>202309</v>
      </c>
      <c r="P129" s="1">
        <v>104850759423</v>
      </c>
    </row>
    <row r="130" spans="2:16" ht="16" x14ac:dyDescent="0.2">
      <c r="B130" s="1">
        <v>12</v>
      </c>
      <c r="C130" s="253">
        <f t="shared" si="2"/>
        <v>1.062175972242082</v>
      </c>
      <c r="D130" s="253">
        <f t="shared" si="2"/>
        <v>1.0072039785947602</v>
      </c>
      <c r="E130" s="253">
        <f t="shared" si="2"/>
        <v>1</v>
      </c>
      <c r="F130" s="293"/>
      <c r="H130" s="1">
        <v>22717393827</v>
      </c>
      <c r="I130" s="1">
        <v>35394671659</v>
      </c>
      <c r="J130" s="1">
        <v>36201144523</v>
      </c>
      <c r="K130" s="1">
        <v>40648759997</v>
      </c>
      <c r="N130" s="1">
        <v>0</v>
      </c>
      <c r="O130" s="1">
        <v>202308</v>
      </c>
      <c r="P130" s="1">
        <v>71564310617</v>
      </c>
    </row>
    <row r="131" spans="2:16" ht="16" x14ac:dyDescent="0.2">
      <c r="B131" s="1">
        <v>13</v>
      </c>
      <c r="C131" s="253"/>
      <c r="D131" s="253">
        <f>J132/I131</f>
        <v>1.0511015873847518</v>
      </c>
      <c r="E131" s="253">
        <f>K132/J131</f>
        <v>1</v>
      </c>
      <c r="F131" s="293"/>
      <c r="H131" s="1">
        <v>13794323991</v>
      </c>
      <c r="I131" s="1">
        <v>24129869875</v>
      </c>
      <c r="J131" s="1">
        <v>35649654116</v>
      </c>
      <c r="K131" s="1">
        <v>36201144523</v>
      </c>
      <c r="N131" s="1">
        <v>0</v>
      </c>
      <c r="O131" s="1">
        <v>202502</v>
      </c>
      <c r="P131" s="1">
        <v>1504460906442</v>
      </c>
    </row>
    <row r="132" spans="2:16" ht="16" x14ac:dyDescent="0.2">
      <c r="B132" s="1">
        <v>14</v>
      </c>
      <c r="C132" s="253"/>
      <c r="D132" s="253"/>
      <c r="E132" s="253">
        <f>K133/J132</f>
        <v>1</v>
      </c>
      <c r="F132" s="293"/>
      <c r="H132" s="1">
        <v>9199022744</v>
      </c>
      <c r="I132" s="1">
        <v>13974222080</v>
      </c>
      <c r="J132" s="1">
        <v>25362944529</v>
      </c>
      <c r="K132" s="1">
        <v>35649654116</v>
      </c>
      <c r="N132" s="1">
        <v>0</v>
      </c>
      <c r="O132" s="1">
        <v>202503</v>
      </c>
      <c r="P132" s="1">
        <v>1631604760870</v>
      </c>
    </row>
    <row r="133" spans="2:16" x14ac:dyDescent="0.2">
      <c r="B133" s="1">
        <v>15</v>
      </c>
      <c r="H133" s="1">
        <v>9713452543</v>
      </c>
      <c r="I133" s="1">
        <v>9361358696</v>
      </c>
      <c r="J133" s="1">
        <v>13629862748</v>
      </c>
      <c r="K133" s="1">
        <v>25362944529</v>
      </c>
      <c r="N133" s="1">
        <v>0</v>
      </c>
      <c r="O133" s="1">
        <v>202311</v>
      </c>
      <c r="P133" s="1">
        <v>182020699242</v>
      </c>
    </row>
    <row r="134" spans="2:16" x14ac:dyDescent="0.2">
      <c r="H134" s="1">
        <v>8396129663</v>
      </c>
      <c r="I134" s="1">
        <v>10020947366</v>
      </c>
      <c r="J134" s="1">
        <v>9215914030</v>
      </c>
      <c r="K134" s="1">
        <v>13629862748</v>
      </c>
      <c r="N134" s="1">
        <v>0</v>
      </c>
      <c r="O134" s="1">
        <v>202405</v>
      </c>
      <c r="P134" s="1">
        <v>439305650323</v>
      </c>
    </row>
    <row r="135" spans="2:16" x14ac:dyDescent="0.2">
      <c r="H135" s="1">
        <v>12013452758</v>
      </c>
      <c r="I135" s="1">
        <v>8075921743</v>
      </c>
      <c r="J135" s="1">
        <v>9804510477</v>
      </c>
      <c r="K135" s="1">
        <v>9215914030</v>
      </c>
      <c r="N135" s="1">
        <v>0</v>
      </c>
      <c r="O135" s="1">
        <v>202401</v>
      </c>
      <c r="P135" s="1">
        <v>307474504926</v>
      </c>
    </row>
    <row r="136" spans="2:16" x14ac:dyDescent="0.2">
      <c r="H136" s="1">
        <v>11808943725</v>
      </c>
      <c r="I136" s="1">
        <v>11834374774</v>
      </c>
      <c r="J136" s="1">
        <v>8585903715</v>
      </c>
      <c r="K136" s="1">
        <v>9804510477</v>
      </c>
      <c r="N136" s="1">
        <v>0</v>
      </c>
      <c r="O136" s="1">
        <v>202310</v>
      </c>
      <c r="P136" s="1">
        <v>144269810181</v>
      </c>
    </row>
    <row r="137" spans="2:16" x14ac:dyDescent="0.2">
      <c r="H137" s="1">
        <v>8794083809</v>
      </c>
      <c r="I137" s="1">
        <v>11328250640</v>
      </c>
      <c r="J137" s="1">
        <v>11331098414</v>
      </c>
      <c r="K137" s="1">
        <v>8585903715</v>
      </c>
      <c r="N137" s="1">
        <v>0</v>
      </c>
      <c r="O137" s="1">
        <v>202307</v>
      </c>
      <c r="P137" s="1">
        <v>32839950000</v>
      </c>
    </row>
    <row r="138" spans="2:16" x14ac:dyDescent="0.2">
      <c r="H138" s="1">
        <v>7170428913</v>
      </c>
      <c r="I138" s="1">
        <v>9537181059</v>
      </c>
      <c r="J138" s="1">
        <v>11647337825</v>
      </c>
      <c r="K138" s="1">
        <v>11331098414</v>
      </c>
      <c r="N138" s="1">
        <v>0</v>
      </c>
      <c r="O138" s="1">
        <v>202411</v>
      </c>
      <c r="P138" s="1">
        <v>1334343401879</v>
      </c>
    </row>
    <row r="139" spans="2:16" x14ac:dyDescent="0.2">
      <c r="H139" s="1">
        <v>6337836660</v>
      </c>
      <c r="I139" s="1">
        <v>6975282473</v>
      </c>
      <c r="J139" s="1">
        <v>9917629149</v>
      </c>
      <c r="K139" s="1">
        <v>11647337825</v>
      </c>
      <c r="N139" s="1">
        <v>0</v>
      </c>
      <c r="O139" s="1">
        <v>202507</v>
      </c>
      <c r="P139" s="1">
        <v>2678490554874</v>
      </c>
    </row>
    <row r="140" spans="2:16" x14ac:dyDescent="0.2">
      <c r="H140" s="1">
        <v>7830057422</v>
      </c>
      <c r="I140" s="1">
        <v>6463543221</v>
      </c>
      <c r="J140" s="1">
        <v>6643998645</v>
      </c>
      <c r="K140" s="1">
        <v>9917629149</v>
      </c>
      <c r="N140" s="1">
        <v>0</v>
      </c>
      <c r="O140" s="1">
        <v>202506</v>
      </c>
      <c r="P140" s="1">
        <v>2227170638646</v>
      </c>
    </row>
    <row r="141" spans="2:16" x14ac:dyDescent="0.2">
      <c r="H141" s="1">
        <v>6592287881</v>
      </c>
      <c r="I141" s="1">
        <v>8136379040</v>
      </c>
      <c r="J141" s="1">
        <v>6250770622</v>
      </c>
      <c r="K141" s="1">
        <v>6643998645</v>
      </c>
      <c r="N141" s="1">
        <v>0</v>
      </c>
      <c r="O141" s="1">
        <v>202505</v>
      </c>
      <c r="P141" s="1">
        <v>2010292221460</v>
      </c>
    </row>
    <row r="142" spans="2:16" x14ac:dyDescent="0.2">
      <c r="H142" s="1">
        <v>11550000</v>
      </c>
      <c r="I142" s="1">
        <v>6537688481</v>
      </c>
      <c r="J142" s="1">
        <v>7555829276</v>
      </c>
      <c r="K142" s="1">
        <v>6250770622</v>
      </c>
      <c r="N142" s="1">
        <v>0</v>
      </c>
      <c r="O142" s="1">
        <v>202406</v>
      </c>
      <c r="P142" s="1">
        <v>617172076286</v>
      </c>
    </row>
    <row r="143" spans="2:16" x14ac:dyDescent="0.2">
      <c r="I143" s="1">
        <v>66149400</v>
      </c>
      <c r="J143" s="1">
        <v>7495709672</v>
      </c>
      <c r="K143" s="1">
        <v>7555829276</v>
      </c>
      <c r="N143" s="1">
        <v>0</v>
      </c>
      <c r="O143" s="1">
        <v>202404</v>
      </c>
      <c r="P143" s="1">
        <v>373997425567</v>
      </c>
    </row>
    <row r="144" spans="2:16" x14ac:dyDescent="0.2">
      <c r="J144" s="1">
        <v>232734400</v>
      </c>
      <c r="K144" s="1">
        <v>7495709672</v>
      </c>
      <c r="N144" s="1">
        <v>0</v>
      </c>
      <c r="O144" s="1">
        <v>202407</v>
      </c>
      <c r="P144" s="1">
        <v>847716536036</v>
      </c>
    </row>
    <row r="145" spans="11:16" x14ac:dyDescent="0.2">
      <c r="K145" s="1">
        <v>232734400</v>
      </c>
      <c r="N145" s="1">
        <v>0</v>
      </c>
      <c r="O145" s="1">
        <v>202402</v>
      </c>
      <c r="P145" s="1">
        <v>310865397833</v>
      </c>
    </row>
    <row r="146" spans="11:16" x14ac:dyDescent="0.2">
      <c r="N146" s="1">
        <v>1</v>
      </c>
      <c r="O146" s="1">
        <v>202506</v>
      </c>
      <c r="P146" s="1">
        <v>106807795863</v>
      </c>
    </row>
    <row r="147" spans="11:16" x14ac:dyDescent="0.2">
      <c r="N147" s="1">
        <v>1</v>
      </c>
      <c r="O147" s="1">
        <v>202508</v>
      </c>
      <c r="P147" s="1">
        <v>135744014157</v>
      </c>
    </row>
    <row r="148" spans="11:16" x14ac:dyDescent="0.2">
      <c r="N148" s="1">
        <v>1</v>
      </c>
      <c r="O148" s="1">
        <v>202503</v>
      </c>
      <c r="P148" s="1">
        <v>71351858878</v>
      </c>
    </row>
    <row r="149" spans="11:16" x14ac:dyDescent="0.2">
      <c r="N149" s="1">
        <v>1</v>
      </c>
      <c r="O149" s="1">
        <v>202412</v>
      </c>
      <c r="P149" s="1">
        <v>74318244674</v>
      </c>
    </row>
    <row r="150" spans="11:16" x14ac:dyDescent="0.2">
      <c r="N150" s="1">
        <v>1</v>
      </c>
      <c r="O150" s="1">
        <v>202404</v>
      </c>
      <c r="P150" s="1">
        <v>22397518610</v>
      </c>
    </row>
    <row r="151" spans="11:16" x14ac:dyDescent="0.2">
      <c r="N151" s="1">
        <v>1</v>
      </c>
      <c r="O151" s="1">
        <v>202402</v>
      </c>
      <c r="P151" s="1">
        <v>27437117641</v>
      </c>
    </row>
    <row r="152" spans="11:16" x14ac:dyDescent="0.2">
      <c r="N152" s="1">
        <v>1</v>
      </c>
      <c r="O152" s="1">
        <v>202311</v>
      </c>
      <c r="P152" s="1">
        <v>10472049825</v>
      </c>
    </row>
    <row r="153" spans="11:16" x14ac:dyDescent="0.2">
      <c r="N153" s="1">
        <v>1</v>
      </c>
      <c r="O153" s="1">
        <v>202405</v>
      </c>
      <c r="P153" s="1">
        <v>18911401044</v>
      </c>
    </row>
    <row r="154" spans="11:16" x14ac:dyDescent="0.2">
      <c r="N154" s="1">
        <v>1</v>
      </c>
      <c r="O154" s="1">
        <v>202309</v>
      </c>
      <c r="P154" s="1">
        <v>10095720847</v>
      </c>
    </row>
    <row r="155" spans="11:16" x14ac:dyDescent="0.2">
      <c r="N155" s="1">
        <v>1</v>
      </c>
      <c r="O155" s="1">
        <v>202410</v>
      </c>
      <c r="P155" s="1">
        <v>66657608048</v>
      </c>
    </row>
    <row r="156" spans="11:16" x14ac:dyDescent="0.2">
      <c r="N156" s="1">
        <v>1</v>
      </c>
      <c r="O156" s="1">
        <v>202406</v>
      </c>
      <c r="P156" s="1">
        <v>24884830308</v>
      </c>
    </row>
    <row r="157" spans="11:16" x14ac:dyDescent="0.2">
      <c r="N157" s="1">
        <v>1</v>
      </c>
      <c r="O157" s="1">
        <v>202403</v>
      </c>
      <c r="P157" s="1">
        <v>15925715429</v>
      </c>
    </row>
    <row r="158" spans="11:16" x14ac:dyDescent="0.2">
      <c r="N158" s="1">
        <v>1</v>
      </c>
      <c r="O158" s="1">
        <v>202504</v>
      </c>
      <c r="P158" s="1">
        <v>83974165751</v>
      </c>
    </row>
    <row r="159" spans="11:16" x14ac:dyDescent="0.2">
      <c r="N159" s="1">
        <v>1</v>
      </c>
      <c r="O159" s="1">
        <v>202408</v>
      </c>
      <c r="P159" s="1">
        <v>51615377231</v>
      </c>
    </row>
    <row r="160" spans="11:16" x14ac:dyDescent="0.2">
      <c r="N160" s="1">
        <v>1</v>
      </c>
      <c r="O160" s="1">
        <v>202510</v>
      </c>
      <c r="P160" s="1">
        <v>197793048886</v>
      </c>
    </row>
    <row r="161" spans="14:16" x14ac:dyDescent="0.2">
      <c r="N161" s="1">
        <v>1</v>
      </c>
      <c r="O161" s="1">
        <v>202401</v>
      </c>
      <c r="P161" s="1">
        <v>21471929122</v>
      </c>
    </row>
    <row r="162" spans="14:16" x14ac:dyDescent="0.2">
      <c r="N162" s="1">
        <v>1</v>
      </c>
      <c r="O162" s="1">
        <v>202507</v>
      </c>
      <c r="P162" s="1">
        <v>104459872089</v>
      </c>
    </row>
    <row r="163" spans="14:16" x14ac:dyDescent="0.2">
      <c r="N163" s="1">
        <v>1</v>
      </c>
      <c r="O163" s="1">
        <v>202407</v>
      </c>
      <c r="P163" s="1">
        <v>39298942575</v>
      </c>
    </row>
    <row r="164" spans="14:16" x14ac:dyDescent="0.2">
      <c r="N164" s="1">
        <v>1</v>
      </c>
      <c r="O164" s="1">
        <v>202308</v>
      </c>
      <c r="P164" s="1">
        <v>1893901762</v>
      </c>
    </row>
    <row r="165" spans="14:16" x14ac:dyDescent="0.2">
      <c r="N165" s="1">
        <v>1</v>
      </c>
      <c r="O165" s="1">
        <v>202509</v>
      </c>
      <c r="P165" s="1">
        <v>173589291968</v>
      </c>
    </row>
    <row r="166" spans="14:16" x14ac:dyDescent="0.2">
      <c r="N166" s="1">
        <v>1</v>
      </c>
      <c r="O166" s="1">
        <v>202501</v>
      </c>
      <c r="P166" s="1">
        <v>59050200544</v>
      </c>
    </row>
    <row r="167" spans="14:16" x14ac:dyDescent="0.2">
      <c r="N167" s="1">
        <v>1</v>
      </c>
      <c r="O167" s="1">
        <v>202411</v>
      </c>
      <c r="P167" s="1">
        <v>80718179227</v>
      </c>
    </row>
    <row r="168" spans="14:16" x14ac:dyDescent="0.2">
      <c r="N168" s="1">
        <v>1</v>
      </c>
      <c r="O168" s="1">
        <v>202505</v>
      </c>
      <c r="P168" s="1">
        <v>87320686526</v>
      </c>
    </row>
    <row r="169" spans="14:16" x14ac:dyDescent="0.2">
      <c r="N169" s="1">
        <v>1</v>
      </c>
      <c r="O169" s="1">
        <v>202409</v>
      </c>
      <c r="P169" s="1">
        <v>65450632194</v>
      </c>
    </row>
    <row r="170" spans="14:16" x14ac:dyDescent="0.2">
      <c r="N170" s="1">
        <v>1</v>
      </c>
      <c r="O170" s="1">
        <v>202502</v>
      </c>
      <c r="P170" s="1">
        <v>111659089749</v>
      </c>
    </row>
    <row r="171" spans="14:16" x14ac:dyDescent="0.2">
      <c r="N171" s="1">
        <v>1</v>
      </c>
      <c r="O171" s="1">
        <v>202312</v>
      </c>
      <c r="P171" s="1">
        <v>12290471728</v>
      </c>
    </row>
    <row r="172" spans="14:16" x14ac:dyDescent="0.2">
      <c r="N172" s="1">
        <v>1</v>
      </c>
      <c r="O172" s="1">
        <v>202310</v>
      </c>
      <c r="P172" s="1">
        <v>8833727826</v>
      </c>
    </row>
    <row r="173" spans="14:16" x14ac:dyDescent="0.2">
      <c r="N173" s="1">
        <v>2</v>
      </c>
      <c r="O173" s="1">
        <v>202510</v>
      </c>
      <c r="P173" s="1">
        <v>99842008436</v>
      </c>
    </row>
    <row r="174" spans="14:16" x14ac:dyDescent="0.2">
      <c r="N174" s="1">
        <v>2</v>
      </c>
      <c r="O174" s="1">
        <v>202506</v>
      </c>
      <c r="P174" s="1">
        <v>57958242199</v>
      </c>
    </row>
    <row r="175" spans="14:16" x14ac:dyDescent="0.2">
      <c r="N175" s="1">
        <v>2</v>
      </c>
      <c r="O175" s="1">
        <v>202403</v>
      </c>
      <c r="P175" s="1">
        <v>15291731859</v>
      </c>
    </row>
    <row r="176" spans="14:16" x14ac:dyDescent="0.2">
      <c r="N176" s="1">
        <v>2</v>
      </c>
      <c r="O176" s="1">
        <v>202505</v>
      </c>
      <c r="P176" s="1">
        <v>50010885393</v>
      </c>
    </row>
    <row r="177" spans="14:16" x14ac:dyDescent="0.2">
      <c r="N177" s="1">
        <v>2</v>
      </c>
      <c r="O177" s="1">
        <v>202503</v>
      </c>
      <c r="P177" s="1">
        <v>57868550302</v>
      </c>
    </row>
    <row r="178" spans="14:16" x14ac:dyDescent="0.2">
      <c r="N178" s="1">
        <v>2</v>
      </c>
      <c r="O178" s="1">
        <v>202501</v>
      </c>
      <c r="P178" s="1">
        <v>46629772205</v>
      </c>
    </row>
    <row r="179" spans="14:16" x14ac:dyDescent="0.2">
      <c r="N179" s="1">
        <v>2</v>
      </c>
      <c r="O179" s="1">
        <v>202405</v>
      </c>
      <c r="P179" s="1">
        <v>11137788208</v>
      </c>
    </row>
    <row r="180" spans="14:16" x14ac:dyDescent="0.2">
      <c r="N180" s="1">
        <v>2</v>
      </c>
      <c r="O180" s="1">
        <v>202502</v>
      </c>
      <c r="P180" s="1">
        <v>41463458897</v>
      </c>
    </row>
    <row r="181" spans="14:16" x14ac:dyDescent="0.2">
      <c r="N181" s="1">
        <v>2</v>
      </c>
      <c r="O181" s="1">
        <v>202509</v>
      </c>
      <c r="P181" s="1">
        <v>92951340535</v>
      </c>
    </row>
    <row r="182" spans="14:16" x14ac:dyDescent="0.2">
      <c r="N182" s="1">
        <v>2</v>
      </c>
      <c r="O182" s="1">
        <v>202504</v>
      </c>
      <c r="P182" s="1">
        <v>45057589677</v>
      </c>
    </row>
    <row r="183" spans="14:16" x14ac:dyDescent="0.2">
      <c r="N183" s="1">
        <v>2</v>
      </c>
      <c r="O183" s="1">
        <v>202402</v>
      </c>
      <c r="P183" s="1">
        <v>14177448306</v>
      </c>
    </row>
    <row r="184" spans="14:16" x14ac:dyDescent="0.2">
      <c r="N184" s="1">
        <v>2</v>
      </c>
      <c r="O184" s="1">
        <v>202404</v>
      </c>
      <c r="P184" s="1">
        <v>9811940442</v>
      </c>
    </row>
    <row r="185" spans="14:16" x14ac:dyDescent="0.2">
      <c r="N185" s="1">
        <v>2</v>
      </c>
      <c r="O185" s="1">
        <v>202508</v>
      </c>
      <c r="P185" s="1">
        <v>71524973797</v>
      </c>
    </row>
    <row r="186" spans="14:16" x14ac:dyDescent="0.2">
      <c r="N186" s="1">
        <v>2</v>
      </c>
      <c r="O186" s="1">
        <v>202408</v>
      </c>
      <c r="P186" s="1">
        <v>26003051327</v>
      </c>
    </row>
    <row r="187" spans="14:16" x14ac:dyDescent="0.2">
      <c r="N187" s="1">
        <v>2</v>
      </c>
      <c r="O187" s="1">
        <v>202407</v>
      </c>
      <c r="P187" s="1">
        <v>15198361663</v>
      </c>
    </row>
    <row r="188" spans="14:16" x14ac:dyDescent="0.2">
      <c r="N188" s="1">
        <v>2</v>
      </c>
      <c r="O188" s="1">
        <v>202507</v>
      </c>
      <c r="P188" s="1">
        <v>68528948674</v>
      </c>
    </row>
    <row r="189" spans="14:16" x14ac:dyDescent="0.2">
      <c r="N189" s="1">
        <v>2</v>
      </c>
      <c r="O189" s="1">
        <v>202406</v>
      </c>
      <c r="P189" s="1">
        <v>11995240503</v>
      </c>
    </row>
    <row r="190" spans="14:16" x14ac:dyDescent="0.2">
      <c r="N190" s="1">
        <v>2</v>
      </c>
      <c r="O190" s="1">
        <v>202311</v>
      </c>
      <c r="P190" s="1">
        <v>7639626092</v>
      </c>
    </row>
    <row r="191" spans="14:16" x14ac:dyDescent="0.2">
      <c r="N191" s="1">
        <v>2</v>
      </c>
      <c r="O191" s="1">
        <v>202312</v>
      </c>
      <c r="P191" s="1">
        <v>8841239829</v>
      </c>
    </row>
    <row r="192" spans="14:16" x14ac:dyDescent="0.2">
      <c r="N192" s="1">
        <v>2</v>
      </c>
      <c r="O192" s="1">
        <v>202412</v>
      </c>
      <c r="P192" s="1">
        <v>50549846326</v>
      </c>
    </row>
    <row r="193" spans="14:16" x14ac:dyDescent="0.2">
      <c r="N193" s="1">
        <v>2</v>
      </c>
      <c r="O193" s="1">
        <v>202410</v>
      </c>
      <c r="P193" s="1">
        <v>44038951382</v>
      </c>
    </row>
    <row r="194" spans="14:16" x14ac:dyDescent="0.2">
      <c r="N194" s="1">
        <v>2</v>
      </c>
      <c r="O194" s="1">
        <v>202409</v>
      </c>
      <c r="P194" s="1">
        <v>38402193454</v>
      </c>
    </row>
    <row r="195" spans="14:16" x14ac:dyDescent="0.2">
      <c r="N195" s="1">
        <v>2</v>
      </c>
      <c r="O195" s="1">
        <v>202411</v>
      </c>
      <c r="P195" s="1">
        <v>45625132038</v>
      </c>
    </row>
    <row r="196" spans="14:16" x14ac:dyDescent="0.2">
      <c r="N196" s="1">
        <v>2</v>
      </c>
      <c r="O196" s="1">
        <v>202401</v>
      </c>
      <c r="P196" s="1">
        <v>8849908963</v>
      </c>
    </row>
    <row r="197" spans="14:16" x14ac:dyDescent="0.2">
      <c r="N197" s="1">
        <v>2</v>
      </c>
      <c r="O197" s="1">
        <v>202309</v>
      </c>
      <c r="P197" s="1">
        <v>1731940096</v>
      </c>
    </row>
    <row r="198" spans="14:16" x14ac:dyDescent="0.2">
      <c r="N198" s="1">
        <v>2</v>
      </c>
      <c r="O198" s="1">
        <v>202310</v>
      </c>
      <c r="P198" s="1">
        <v>8338571272</v>
      </c>
    </row>
    <row r="199" spans="14:16" x14ac:dyDescent="0.2">
      <c r="N199" s="1">
        <v>3</v>
      </c>
      <c r="O199" s="1">
        <v>202412</v>
      </c>
      <c r="P199" s="1">
        <v>43362360606</v>
      </c>
    </row>
    <row r="200" spans="14:16" x14ac:dyDescent="0.2">
      <c r="N200" s="1">
        <v>3</v>
      </c>
      <c r="O200" s="1">
        <v>202501</v>
      </c>
      <c r="P200" s="1">
        <v>48504974020</v>
      </c>
    </row>
    <row r="201" spans="14:16" x14ac:dyDescent="0.2">
      <c r="N201" s="1">
        <v>3</v>
      </c>
      <c r="O201" s="1">
        <v>202510</v>
      </c>
      <c r="P201" s="1">
        <v>77198181818</v>
      </c>
    </row>
    <row r="202" spans="14:16" x14ac:dyDescent="0.2">
      <c r="N202" s="1">
        <v>3</v>
      </c>
      <c r="O202" s="1">
        <v>202503</v>
      </c>
      <c r="P202" s="1">
        <v>38523121950</v>
      </c>
    </row>
    <row r="203" spans="14:16" x14ac:dyDescent="0.2">
      <c r="N203" s="1">
        <v>3</v>
      </c>
      <c r="O203" s="1">
        <v>202505</v>
      </c>
      <c r="P203" s="1">
        <v>43749795223</v>
      </c>
    </row>
    <row r="204" spans="14:16" x14ac:dyDescent="0.2">
      <c r="N204" s="1">
        <v>3</v>
      </c>
      <c r="O204" s="1">
        <v>202509</v>
      </c>
      <c r="P204" s="1">
        <v>67300977396</v>
      </c>
    </row>
    <row r="205" spans="14:16" x14ac:dyDescent="0.2">
      <c r="N205" s="1">
        <v>3</v>
      </c>
      <c r="O205" s="1">
        <v>202407</v>
      </c>
      <c r="P205" s="1">
        <v>10700957405</v>
      </c>
    </row>
    <row r="206" spans="14:16" x14ac:dyDescent="0.2">
      <c r="N206" s="1">
        <v>3</v>
      </c>
      <c r="O206" s="1">
        <v>202408</v>
      </c>
      <c r="P206" s="1">
        <v>14515389926</v>
      </c>
    </row>
    <row r="207" spans="14:16" x14ac:dyDescent="0.2">
      <c r="N207" s="1">
        <v>3</v>
      </c>
      <c r="O207" s="1">
        <v>202405</v>
      </c>
      <c r="P207" s="1">
        <v>9071499968</v>
      </c>
    </row>
    <row r="208" spans="14:16" x14ac:dyDescent="0.2">
      <c r="N208" s="1">
        <v>3</v>
      </c>
      <c r="O208" s="1">
        <v>202406</v>
      </c>
      <c r="P208" s="1">
        <v>10252239058</v>
      </c>
    </row>
    <row r="209" spans="14:16" x14ac:dyDescent="0.2">
      <c r="N209" s="1">
        <v>3</v>
      </c>
      <c r="O209" s="1">
        <v>202409</v>
      </c>
      <c r="P209" s="1">
        <v>24526707543</v>
      </c>
    </row>
    <row r="210" spans="14:16" x14ac:dyDescent="0.2">
      <c r="N210" s="1">
        <v>3</v>
      </c>
      <c r="O210" s="1">
        <v>202311</v>
      </c>
      <c r="P210" s="1">
        <v>8227744938</v>
      </c>
    </row>
    <row r="211" spans="14:16" x14ac:dyDescent="0.2">
      <c r="N211" s="1">
        <v>3</v>
      </c>
      <c r="O211" s="1">
        <v>202506</v>
      </c>
      <c r="P211" s="1">
        <v>46220122367</v>
      </c>
    </row>
    <row r="212" spans="14:16" x14ac:dyDescent="0.2">
      <c r="N212" s="1">
        <v>3</v>
      </c>
      <c r="O212" s="1">
        <v>202504</v>
      </c>
      <c r="P212" s="1">
        <v>54253606617</v>
      </c>
    </row>
    <row r="213" spans="14:16" x14ac:dyDescent="0.2">
      <c r="N213" s="1">
        <v>3</v>
      </c>
      <c r="O213" s="1">
        <v>202312</v>
      </c>
      <c r="P213" s="1">
        <v>6911337860</v>
      </c>
    </row>
    <row r="214" spans="14:16" x14ac:dyDescent="0.2">
      <c r="N214" s="1">
        <v>3</v>
      </c>
      <c r="O214" s="1">
        <v>202401</v>
      </c>
      <c r="P214" s="1">
        <v>8444058678</v>
      </c>
    </row>
    <row r="215" spans="14:16" x14ac:dyDescent="0.2">
      <c r="N215" s="1">
        <v>3</v>
      </c>
      <c r="O215" s="1">
        <v>202402</v>
      </c>
      <c r="P215" s="1">
        <v>8933659870</v>
      </c>
    </row>
    <row r="216" spans="14:16" x14ac:dyDescent="0.2">
      <c r="N216" s="1">
        <v>3</v>
      </c>
      <c r="O216" s="1">
        <v>202507</v>
      </c>
      <c r="P216" s="1">
        <v>50991182415</v>
      </c>
    </row>
    <row r="217" spans="14:16" x14ac:dyDescent="0.2">
      <c r="N217" s="1">
        <v>3</v>
      </c>
      <c r="O217" s="1">
        <v>202404</v>
      </c>
      <c r="P217" s="1">
        <v>14389984338</v>
      </c>
    </row>
    <row r="218" spans="14:16" x14ac:dyDescent="0.2">
      <c r="N218" s="1">
        <v>3</v>
      </c>
      <c r="O218" s="1">
        <v>202508</v>
      </c>
      <c r="P218" s="1">
        <v>63042309190</v>
      </c>
    </row>
    <row r="219" spans="14:16" x14ac:dyDescent="0.2">
      <c r="N219" s="1">
        <v>3</v>
      </c>
      <c r="O219" s="1">
        <v>202502</v>
      </c>
      <c r="P219" s="1">
        <v>46315274125</v>
      </c>
    </row>
    <row r="220" spans="14:16" x14ac:dyDescent="0.2">
      <c r="N220" s="1">
        <v>3</v>
      </c>
      <c r="O220" s="1">
        <v>202410</v>
      </c>
      <c r="P220" s="1">
        <v>35160281929</v>
      </c>
    </row>
    <row r="221" spans="14:16" x14ac:dyDescent="0.2">
      <c r="N221" s="1">
        <v>3</v>
      </c>
      <c r="O221" s="1">
        <v>202411</v>
      </c>
      <c r="P221" s="1">
        <v>41226878359</v>
      </c>
    </row>
    <row r="222" spans="14:16" x14ac:dyDescent="0.2">
      <c r="N222" s="1">
        <v>3</v>
      </c>
      <c r="O222" s="1">
        <v>202403</v>
      </c>
      <c r="P222" s="1">
        <v>13244059837</v>
      </c>
    </row>
    <row r="223" spans="14:16" x14ac:dyDescent="0.2">
      <c r="N223" s="1">
        <v>3</v>
      </c>
      <c r="O223" s="1">
        <v>202310</v>
      </c>
      <c r="P223" s="1">
        <v>2409940808</v>
      </c>
    </row>
    <row r="224" spans="14:16" x14ac:dyDescent="0.2">
      <c r="N224" s="1">
        <v>4</v>
      </c>
      <c r="O224" s="1">
        <v>202312</v>
      </c>
      <c r="P224" s="1">
        <v>8685481326</v>
      </c>
    </row>
    <row r="225" spans="14:16" x14ac:dyDescent="0.2">
      <c r="N225" s="1">
        <v>4</v>
      </c>
      <c r="O225" s="1">
        <v>202411</v>
      </c>
      <c r="P225" s="1">
        <v>34315439335</v>
      </c>
    </row>
    <row r="226" spans="14:16" x14ac:dyDescent="0.2">
      <c r="N226" s="1">
        <v>4</v>
      </c>
      <c r="O226" s="1">
        <v>202508</v>
      </c>
      <c r="P226" s="1">
        <v>51301182602</v>
      </c>
    </row>
    <row r="227" spans="14:16" x14ac:dyDescent="0.2">
      <c r="N227" s="1">
        <v>4</v>
      </c>
      <c r="O227" s="1">
        <v>202510</v>
      </c>
      <c r="P227" s="1">
        <v>64358085141</v>
      </c>
    </row>
    <row r="228" spans="14:16" x14ac:dyDescent="0.2">
      <c r="N228" s="1">
        <v>4</v>
      </c>
      <c r="O228" s="1">
        <v>202405</v>
      </c>
      <c r="P228" s="1">
        <v>13683090356</v>
      </c>
    </row>
    <row r="229" spans="14:16" x14ac:dyDescent="0.2">
      <c r="N229" s="1">
        <v>4</v>
      </c>
      <c r="O229" s="1">
        <v>202404</v>
      </c>
      <c r="P229" s="1">
        <v>12998597989</v>
      </c>
    </row>
    <row r="230" spans="14:16" x14ac:dyDescent="0.2">
      <c r="N230" s="1">
        <v>4</v>
      </c>
      <c r="O230" s="1">
        <v>202402</v>
      </c>
      <c r="P230" s="1">
        <v>8397188980</v>
      </c>
    </row>
    <row r="231" spans="14:16" x14ac:dyDescent="0.2">
      <c r="N231" s="1">
        <v>4</v>
      </c>
      <c r="O231" s="1">
        <v>202401</v>
      </c>
      <c r="P231" s="1">
        <v>6950162100</v>
      </c>
    </row>
    <row r="232" spans="14:16" x14ac:dyDescent="0.2">
      <c r="N232" s="1">
        <v>4</v>
      </c>
      <c r="O232" s="1">
        <v>202406</v>
      </c>
      <c r="P232" s="1">
        <v>8796558355</v>
      </c>
    </row>
    <row r="233" spans="14:16" x14ac:dyDescent="0.2">
      <c r="N233" s="1">
        <v>4</v>
      </c>
      <c r="O233" s="1">
        <v>202505</v>
      </c>
      <c r="P233" s="1">
        <v>52417224269</v>
      </c>
    </row>
    <row r="234" spans="14:16" x14ac:dyDescent="0.2">
      <c r="N234" s="1">
        <v>4</v>
      </c>
      <c r="O234" s="1">
        <v>202408</v>
      </c>
      <c r="P234" s="1">
        <v>9920161889</v>
      </c>
    </row>
    <row r="235" spans="14:16" x14ac:dyDescent="0.2">
      <c r="N235" s="1">
        <v>4</v>
      </c>
      <c r="O235" s="1">
        <v>202504</v>
      </c>
      <c r="P235" s="1">
        <v>37385170979</v>
      </c>
    </row>
    <row r="236" spans="14:16" x14ac:dyDescent="0.2">
      <c r="N236" s="1">
        <v>4</v>
      </c>
      <c r="O236" s="1">
        <v>202403</v>
      </c>
      <c r="P236" s="1">
        <v>8382246275</v>
      </c>
    </row>
    <row r="237" spans="14:16" x14ac:dyDescent="0.2">
      <c r="N237" s="1">
        <v>4</v>
      </c>
      <c r="O237" s="1">
        <v>202502</v>
      </c>
      <c r="P237" s="1">
        <v>47682631553</v>
      </c>
    </row>
    <row r="238" spans="14:16" x14ac:dyDescent="0.2">
      <c r="N238" s="1">
        <v>4</v>
      </c>
      <c r="O238" s="1">
        <v>202507</v>
      </c>
      <c r="P238" s="1">
        <v>46997805330</v>
      </c>
    </row>
    <row r="239" spans="14:16" x14ac:dyDescent="0.2">
      <c r="N239" s="1">
        <v>4</v>
      </c>
      <c r="O239" s="1">
        <v>202509</v>
      </c>
      <c r="P239" s="1">
        <v>61066073693</v>
      </c>
    </row>
    <row r="240" spans="14:16" x14ac:dyDescent="0.2">
      <c r="N240" s="1">
        <v>4</v>
      </c>
      <c r="O240" s="1">
        <v>202503</v>
      </c>
      <c r="P240" s="1">
        <v>44908221985</v>
      </c>
    </row>
    <row r="241" spans="14:16" x14ac:dyDescent="0.2">
      <c r="N241" s="1">
        <v>4</v>
      </c>
      <c r="O241" s="1">
        <v>202311</v>
      </c>
      <c r="P241" s="1">
        <v>2373248876</v>
      </c>
    </row>
    <row r="242" spans="14:16" x14ac:dyDescent="0.2">
      <c r="N242" s="1">
        <v>4</v>
      </c>
      <c r="O242" s="1">
        <v>202412</v>
      </c>
      <c r="P242" s="1">
        <v>39817064676</v>
      </c>
    </row>
    <row r="243" spans="14:16" x14ac:dyDescent="0.2">
      <c r="N243" s="1">
        <v>4</v>
      </c>
      <c r="O243" s="1">
        <v>202501</v>
      </c>
      <c r="P243" s="1">
        <v>42554772175</v>
      </c>
    </row>
    <row r="244" spans="14:16" x14ac:dyDescent="0.2">
      <c r="N244" s="1">
        <v>4</v>
      </c>
      <c r="O244" s="1">
        <v>202410</v>
      </c>
      <c r="P244" s="1">
        <v>24157028658</v>
      </c>
    </row>
    <row r="245" spans="14:16" x14ac:dyDescent="0.2">
      <c r="N245" s="1">
        <v>4</v>
      </c>
      <c r="O245" s="1">
        <v>202506</v>
      </c>
      <c r="P245" s="1">
        <v>42427950160</v>
      </c>
    </row>
    <row r="246" spans="14:16" x14ac:dyDescent="0.2">
      <c r="N246" s="1">
        <v>4</v>
      </c>
      <c r="O246" s="1">
        <v>202409</v>
      </c>
      <c r="P246" s="1">
        <v>14077083009</v>
      </c>
    </row>
    <row r="247" spans="14:16" x14ac:dyDescent="0.2">
      <c r="N247" s="1">
        <v>4</v>
      </c>
      <c r="O247" s="1">
        <v>202407</v>
      </c>
      <c r="P247" s="1">
        <v>10296826538</v>
      </c>
    </row>
    <row r="248" spans="14:16" x14ac:dyDescent="0.2">
      <c r="N248" s="1">
        <v>5</v>
      </c>
      <c r="O248" s="1">
        <v>202412</v>
      </c>
      <c r="P248" s="1">
        <v>34725776251</v>
      </c>
    </row>
    <row r="249" spans="14:16" x14ac:dyDescent="0.2">
      <c r="N249" s="1">
        <v>5</v>
      </c>
      <c r="O249" s="1">
        <v>202505</v>
      </c>
      <c r="P249" s="1">
        <v>36743807957</v>
      </c>
    </row>
    <row r="250" spans="14:16" x14ac:dyDescent="0.2">
      <c r="N250" s="1">
        <v>5</v>
      </c>
      <c r="O250" s="1">
        <v>202410</v>
      </c>
      <c r="P250" s="1">
        <v>13688164931</v>
      </c>
    </row>
    <row r="251" spans="14:16" x14ac:dyDescent="0.2">
      <c r="N251" s="1">
        <v>5</v>
      </c>
      <c r="O251" s="1">
        <v>202404</v>
      </c>
      <c r="P251" s="1">
        <v>8281855268</v>
      </c>
    </row>
    <row r="252" spans="14:16" x14ac:dyDescent="0.2">
      <c r="N252" s="1">
        <v>5</v>
      </c>
      <c r="O252" s="1">
        <v>202405</v>
      </c>
      <c r="P252" s="1">
        <v>12456894282</v>
      </c>
    </row>
    <row r="253" spans="14:16" x14ac:dyDescent="0.2">
      <c r="N253" s="1">
        <v>5</v>
      </c>
      <c r="O253" s="1">
        <v>202506</v>
      </c>
      <c r="P253" s="1">
        <v>51506266743</v>
      </c>
    </row>
    <row r="254" spans="14:16" x14ac:dyDescent="0.2">
      <c r="N254" s="1">
        <v>5</v>
      </c>
      <c r="O254" s="1">
        <v>202403</v>
      </c>
      <c r="P254" s="1">
        <v>8248653813</v>
      </c>
    </row>
    <row r="255" spans="14:16" x14ac:dyDescent="0.2">
      <c r="N255" s="1">
        <v>5</v>
      </c>
      <c r="O255" s="1">
        <v>202504</v>
      </c>
      <c r="P255" s="1">
        <v>44212053893</v>
      </c>
    </row>
    <row r="256" spans="14:16" x14ac:dyDescent="0.2">
      <c r="N256" s="1">
        <v>5</v>
      </c>
      <c r="O256" s="1">
        <v>202401</v>
      </c>
      <c r="P256" s="1">
        <v>8956665916</v>
      </c>
    </row>
    <row r="257" spans="14:16" x14ac:dyDescent="0.2">
      <c r="N257" s="1">
        <v>5</v>
      </c>
      <c r="O257" s="1">
        <v>202507</v>
      </c>
      <c r="P257" s="1">
        <v>40402005892</v>
      </c>
    </row>
    <row r="258" spans="14:16" x14ac:dyDescent="0.2">
      <c r="N258" s="1">
        <v>5</v>
      </c>
      <c r="O258" s="1">
        <v>202408</v>
      </c>
      <c r="P258" s="1">
        <v>10162589671</v>
      </c>
    </row>
    <row r="259" spans="14:16" x14ac:dyDescent="0.2">
      <c r="N259" s="1">
        <v>5</v>
      </c>
      <c r="O259" s="1">
        <v>202503</v>
      </c>
      <c r="P259" s="1">
        <v>45155022503</v>
      </c>
    </row>
    <row r="260" spans="14:16" x14ac:dyDescent="0.2">
      <c r="N260" s="1">
        <v>5</v>
      </c>
      <c r="O260" s="1">
        <v>202409</v>
      </c>
      <c r="P260" s="1">
        <v>9787486359</v>
      </c>
    </row>
    <row r="261" spans="14:16" x14ac:dyDescent="0.2">
      <c r="N261" s="1">
        <v>5</v>
      </c>
      <c r="O261" s="1">
        <v>202508</v>
      </c>
      <c r="P261" s="1">
        <v>46266352135</v>
      </c>
    </row>
    <row r="262" spans="14:16" x14ac:dyDescent="0.2">
      <c r="N262" s="1">
        <v>5</v>
      </c>
      <c r="O262" s="1">
        <v>202407</v>
      </c>
      <c r="P262" s="1">
        <v>9001416392</v>
      </c>
    </row>
    <row r="263" spans="14:16" x14ac:dyDescent="0.2">
      <c r="N263" s="1">
        <v>5</v>
      </c>
      <c r="O263" s="1">
        <v>202510</v>
      </c>
      <c r="P263" s="1">
        <v>55891741997</v>
      </c>
    </row>
    <row r="264" spans="14:16" x14ac:dyDescent="0.2">
      <c r="N264" s="1">
        <v>5</v>
      </c>
      <c r="O264" s="1">
        <v>202501</v>
      </c>
      <c r="P264" s="1">
        <v>39283499230</v>
      </c>
    </row>
    <row r="265" spans="14:16" x14ac:dyDescent="0.2">
      <c r="N265" s="1">
        <v>5</v>
      </c>
      <c r="O265" s="1">
        <v>202509</v>
      </c>
      <c r="P265" s="1">
        <v>50392136121</v>
      </c>
    </row>
    <row r="266" spans="14:16" x14ac:dyDescent="0.2">
      <c r="N266" s="1">
        <v>5</v>
      </c>
      <c r="O266" s="1">
        <v>202402</v>
      </c>
      <c r="P266" s="1">
        <v>6796254360</v>
      </c>
    </row>
    <row r="267" spans="14:16" x14ac:dyDescent="0.2">
      <c r="N267" s="1">
        <v>5</v>
      </c>
      <c r="O267" s="1">
        <v>202502</v>
      </c>
      <c r="P267" s="1">
        <v>41222665288</v>
      </c>
    </row>
    <row r="268" spans="14:16" x14ac:dyDescent="0.2">
      <c r="N268" s="1">
        <v>5</v>
      </c>
      <c r="O268" s="1">
        <v>202411</v>
      </c>
      <c r="P268" s="1">
        <v>23945375900</v>
      </c>
    </row>
    <row r="269" spans="14:16" x14ac:dyDescent="0.2">
      <c r="N269" s="1">
        <v>5</v>
      </c>
      <c r="O269" s="1">
        <v>202312</v>
      </c>
      <c r="P269" s="1">
        <v>2809575892</v>
      </c>
    </row>
    <row r="270" spans="14:16" x14ac:dyDescent="0.2">
      <c r="N270" s="1">
        <v>5</v>
      </c>
      <c r="O270" s="1">
        <v>202406</v>
      </c>
      <c r="P270" s="1">
        <v>13486320072</v>
      </c>
    </row>
    <row r="271" spans="14:16" x14ac:dyDescent="0.2">
      <c r="N271" s="1">
        <v>6</v>
      </c>
      <c r="O271" s="1">
        <v>202505</v>
      </c>
      <c r="P271" s="1">
        <v>41271739466</v>
      </c>
    </row>
    <row r="272" spans="14:16" x14ac:dyDescent="0.2">
      <c r="N272" s="1">
        <v>6</v>
      </c>
      <c r="O272" s="1">
        <v>202508</v>
      </c>
      <c r="P272" s="1">
        <v>39845322295</v>
      </c>
    </row>
    <row r="273" spans="14:16" x14ac:dyDescent="0.2">
      <c r="N273" s="1">
        <v>6</v>
      </c>
      <c r="O273" s="1">
        <v>202502</v>
      </c>
      <c r="P273" s="1">
        <v>39053077900</v>
      </c>
    </row>
    <row r="274" spans="14:16" x14ac:dyDescent="0.2">
      <c r="N274" s="1">
        <v>6</v>
      </c>
      <c r="O274" s="1">
        <v>202402</v>
      </c>
      <c r="P274" s="1">
        <v>8596177560</v>
      </c>
    </row>
    <row r="275" spans="14:16" x14ac:dyDescent="0.2">
      <c r="N275" s="1">
        <v>6</v>
      </c>
      <c r="O275" s="1">
        <v>202404</v>
      </c>
      <c r="P275" s="1">
        <v>8173617460</v>
      </c>
    </row>
    <row r="276" spans="14:16" x14ac:dyDescent="0.2">
      <c r="N276" s="1">
        <v>6</v>
      </c>
      <c r="O276" s="1">
        <v>202501</v>
      </c>
      <c r="P276" s="1">
        <v>35663349457</v>
      </c>
    </row>
    <row r="277" spans="14:16" x14ac:dyDescent="0.2">
      <c r="N277" s="1">
        <v>6</v>
      </c>
      <c r="O277" s="1">
        <v>202506</v>
      </c>
      <c r="P277" s="1">
        <v>36271430125</v>
      </c>
    </row>
    <row r="278" spans="14:16" x14ac:dyDescent="0.2">
      <c r="N278" s="1">
        <v>6</v>
      </c>
      <c r="O278" s="1">
        <v>202407</v>
      </c>
      <c r="P278" s="1">
        <v>12840336937</v>
      </c>
    </row>
    <row r="279" spans="14:16" x14ac:dyDescent="0.2">
      <c r="N279" s="1">
        <v>6</v>
      </c>
      <c r="O279" s="1">
        <v>202412</v>
      </c>
      <c r="P279" s="1">
        <v>23933566994</v>
      </c>
    </row>
    <row r="280" spans="14:16" x14ac:dyDescent="0.2">
      <c r="N280" s="1">
        <v>6</v>
      </c>
      <c r="O280" s="1">
        <v>202403</v>
      </c>
      <c r="P280" s="1">
        <v>6880753629</v>
      </c>
    </row>
    <row r="281" spans="14:16" x14ac:dyDescent="0.2">
      <c r="N281" s="1">
        <v>6</v>
      </c>
      <c r="O281" s="1">
        <v>202510</v>
      </c>
      <c r="P281" s="1">
        <v>47120902534</v>
      </c>
    </row>
    <row r="282" spans="14:16" x14ac:dyDescent="0.2">
      <c r="N282" s="1">
        <v>6</v>
      </c>
      <c r="O282" s="1">
        <v>202509</v>
      </c>
      <c r="P282" s="1">
        <v>45566486496</v>
      </c>
    </row>
    <row r="283" spans="14:16" x14ac:dyDescent="0.2">
      <c r="N283" s="1">
        <v>6</v>
      </c>
      <c r="O283" s="1">
        <v>202406</v>
      </c>
      <c r="P283" s="1">
        <v>12392850383</v>
      </c>
    </row>
    <row r="284" spans="14:16" x14ac:dyDescent="0.2">
      <c r="N284" s="1">
        <v>6</v>
      </c>
      <c r="O284" s="1">
        <v>202410</v>
      </c>
      <c r="P284" s="1">
        <v>9981639178</v>
      </c>
    </row>
    <row r="285" spans="14:16" x14ac:dyDescent="0.2">
      <c r="N285" s="1">
        <v>6</v>
      </c>
      <c r="O285" s="1">
        <v>202401</v>
      </c>
      <c r="P285" s="1">
        <v>2807875892</v>
      </c>
    </row>
    <row r="286" spans="14:16" x14ac:dyDescent="0.2">
      <c r="N286" s="1">
        <v>6</v>
      </c>
      <c r="O286" s="1">
        <v>202409</v>
      </c>
      <c r="P286" s="1">
        <v>10100137682</v>
      </c>
    </row>
    <row r="287" spans="14:16" x14ac:dyDescent="0.2">
      <c r="N287" s="1">
        <v>6</v>
      </c>
      <c r="O287" s="1">
        <v>202507</v>
      </c>
      <c r="P287" s="1">
        <v>53548682057</v>
      </c>
    </row>
    <row r="288" spans="14:16" x14ac:dyDescent="0.2">
      <c r="N288" s="1">
        <v>6</v>
      </c>
      <c r="O288" s="1">
        <v>202504</v>
      </c>
      <c r="P288" s="1">
        <v>44584169001</v>
      </c>
    </row>
    <row r="289" spans="14:16" x14ac:dyDescent="0.2">
      <c r="N289" s="1">
        <v>6</v>
      </c>
      <c r="O289" s="1">
        <v>202408</v>
      </c>
      <c r="P289" s="1">
        <v>8519446824</v>
      </c>
    </row>
    <row r="290" spans="14:16" x14ac:dyDescent="0.2">
      <c r="N290" s="1">
        <v>6</v>
      </c>
      <c r="O290" s="1">
        <v>202411</v>
      </c>
      <c r="P290" s="1">
        <v>13531758400</v>
      </c>
    </row>
    <row r="291" spans="14:16" x14ac:dyDescent="0.2">
      <c r="N291" s="1">
        <v>6</v>
      </c>
      <c r="O291" s="1">
        <v>202503</v>
      </c>
      <c r="P291" s="1">
        <v>41300437734</v>
      </c>
    </row>
    <row r="292" spans="14:16" x14ac:dyDescent="0.2">
      <c r="N292" s="1">
        <v>6</v>
      </c>
      <c r="O292" s="1">
        <v>202405</v>
      </c>
      <c r="P292" s="1">
        <v>9272704715</v>
      </c>
    </row>
    <row r="293" spans="14:16" x14ac:dyDescent="0.2">
      <c r="N293" s="1">
        <v>7</v>
      </c>
      <c r="O293" s="1">
        <v>202510</v>
      </c>
      <c r="P293" s="1">
        <v>41247880899</v>
      </c>
    </row>
    <row r="294" spans="14:16" x14ac:dyDescent="0.2">
      <c r="N294" s="1">
        <v>7</v>
      </c>
      <c r="O294" s="1">
        <v>202410</v>
      </c>
      <c r="P294" s="1">
        <v>10225827770</v>
      </c>
    </row>
    <row r="295" spans="14:16" x14ac:dyDescent="0.2">
      <c r="N295" s="1">
        <v>7</v>
      </c>
      <c r="O295" s="1">
        <v>202408</v>
      </c>
      <c r="P295" s="1">
        <v>13138519139</v>
      </c>
    </row>
    <row r="296" spans="14:16" x14ac:dyDescent="0.2">
      <c r="N296" s="1">
        <v>7</v>
      </c>
      <c r="O296" s="1">
        <v>202412</v>
      </c>
      <c r="P296" s="1">
        <v>13792071108</v>
      </c>
    </row>
    <row r="297" spans="14:16" x14ac:dyDescent="0.2">
      <c r="N297" s="1">
        <v>7</v>
      </c>
      <c r="O297" s="1">
        <v>202506</v>
      </c>
      <c r="P297" s="1">
        <v>40846476885</v>
      </c>
    </row>
    <row r="298" spans="14:16" x14ac:dyDescent="0.2">
      <c r="N298" s="1">
        <v>7</v>
      </c>
      <c r="O298" s="1">
        <v>202411</v>
      </c>
      <c r="P298" s="1">
        <v>9883380830</v>
      </c>
    </row>
    <row r="299" spans="14:16" x14ac:dyDescent="0.2">
      <c r="N299" s="1">
        <v>7</v>
      </c>
      <c r="O299" s="1">
        <v>202402</v>
      </c>
      <c r="P299" s="1">
        <v>2807125892</v>
      </c>
    </row>
    <row r="300" spans="14:16" x14ac:dyDescent="0.2">
      <c r="N300" s="1">
        <v>7</v>
      </c>
      <c r="O300" s="1">
        <v>202503</v>
      </c>
      <c r="P300" s="1">
        <v>38510044615</v>
      </c>
    </row>
    <row r="301" spans="14:16" x14ac:dyDescent="0.2">
      <c r="N301" s="1">
        <v>7</v>
      </c>
      <c r="O301" s="1">
        <v>202508</v>
      </c>
      <c r="P301" s="1">
        <v>54576830011</v>
      </c>
    </row>
    <row r="302" spans="14:16" x14ac:dyDescent="0.2">
      <c r="N302" s="1">
        <v>7</v>
      </c>
      <c r="O302" s="1">
        <v>202504</v>
      </c>
      <c r="P302" s="1">
        <v>40884871173</v>
      </c>
    </row>
    <row r="303" spans="14:16" x14ac:dyDescent="0.2">
      <c r="N303" s="1">
        <v>7</v>
      </c>
      <c r="O303" s="1">
        <v>202509</v>
      </c>
      <c r="P303" s="1">
        <v>39636683707</v>
      </c>
    </row>
    <row r="304" spans="14:16" x14ac:dyDescent="0.2">
      <c r="N304" s="1">
        <v>7</v>
      </c>
      <c r="O304" s="1">
        <v>202501</v>
      </c>
      <c r="P304" s="1">
        <v>23259473607</v>
      </c>
    </row>
    <row r="305" spans="14:16" x14ac:dyDescent="0.2">
      <c r="N305" s="1">
        <v>7</v>
      </c>
      <c r="O305" s="1">
        <v>202502</v>
      </c>
      <c r="P305" s="1">
        <v>33652813524</v>
      </c>
    </row>
    <row r="306" spans="14:16" x14ac:dyDescent="0.2">
      <c r="N306" s="1">
        <v>7</v>
      </c>
      <c r="O306" s="1">
        <v>202407</v>
      </c>
      <c r="P306" s="1">
        <v>12249466540</v>
      </c>
    </row>
    <row r="307" spans="14:16" x14ac:dyDescent="0.2">
      <c r="N307" s="1">
        <v>7</v>
      </c>
      <c r="O307" s="1">
        <v>202406</v>
      </c>
      <c r="P307" s="1">
        <v>9225099460</v>
      </c>
    </row>
    <row r="308" spans="14:16" x14ac:dyDescent="0.2">
      <c r="N308" s="1">
        <v>7</v>
      </c>
      <c r="O308" s="1">
        <v>202405</v>
      </c>
      <c r="P308" s="1">
        <v>7599641491</v>
      </c>
    </row>
    <row r="309" spans="14:16" x14ac:dyDescent="0.2">
      <c r="N309" s="1">
        <v>7</v>
      </c>
      <c r="O309" s="1">
        <v>202505</v>
      </c>
      <c r="P309" s="1">
        <v>45029577801</v>
      </c>
    </row>
    <row r="310" spans="14:16" x14ac:dyDescent="0.2">
      <c r="N310" s="1">
        <v>7</v>
      </c>
      <c r="O310" s="1">
        <v>202409</v>
      </c>
      <c r="P310" s="1">
        <v>8476072638</v>
      </c>
    </row>
    <row r="311" spans="14:16" x14ac:dyDescent="0.2">
      <c r="N311" s="1">
        <v>7</v>
      </c>
      <c r="O311" s="1">
        <v>202507</v>
      </c>
      <c r="P311" s="1">
        <v>33460456609</v>
      </c>
    </row>
    <row r="312" spans="14:16" x14ac:dyDescent="0.2">
      <c r="N312" s="1">
        <v>7</v>
      </c>
      <c r="O312" s="1">
        <v>202404</v>
      </c>
      <c r="P312" s="1">
        <v>6873912144</v>
      </c>
    </row>
    <row r="313" spans="14:16" x14ac:dyDescent="0.2">
      <c r="N313" s="1">
        <v>7</v>
      </c>
      <c r="O313" s="1">
        <v>202403</v>
      </c>
      <c r="P313" s="1">
        <v>8908242872</v>
      </c>
    </row>
    <row r="314" spans="14:16" x14ac:dyDescent="0.2">
      <c r="N314" s="1">
        <v>8</v>
      </c>
      <c r="O314" s="1">
        <v>202506</v>
      </c>
      <c r="P314" s="1">
        <v>44360929585</v>
      </c>
    </row>
    <row r="315" spans="14:16" x14ac:dyDescent="0.2">
      <c r="N315" s="1">
        <v>8</v>
      </c>
      <c r="O315" s="1">
        <v>202404</v>
      </c>
      <c r="P315" s="1">
        <v>8895354488</v>
      </c>
    </row>
    <row r="316" spans="14:16" x14ac:dyDescent="0.2">
      <c r="N316" s="1">
        <v>8</v>
      </c>
      <c r="O316" s="1">
        <v>202503</v>
      </c>
      <c r="P316" s="1">
        <v>33878446686</v>
      </c>
    </row>
    <row r="317" spans="14:16" x14ac:dyDescent="0.2">
      <c r="N317" s="1">
        <v>8</v>
      </c>
      <c r="O317" s="1">
        <v>202509</v>
      </c>
      <c r="P317" s="1">
        <v>54110235723</v>
      </c>
    </row>
    <row r="318" spans="14:16" x14ac:dyDescent="0.2">
      <c r="N318" s="1">
        <v>8</v>
      </c>
      <c r="O318" s="1">
        <v>202406</v>
      </c>
      <c r="P318" s="1">
        <v>7574985007</v>
      </c>
    </row>
    <row r="319" spans="14:16" x14ac:dyDescent="0.2">
      <c r="N319" s="1">
        <v>8</v>
      </c>
      <c r="O319" s="1">
        <v>202409</v>
      </c>
      <c r="P319" s="1">
        <v>13068878605</v>
      </c>
    </row>
    <row r="320" spans="14:16" x14ac:dyDescent="0.2">
      <c r="N320" s="1">
        <v>8</v>
      </c>
      <c r="O320" s="1">
        <v>202504</v>
      </c>
      <c r="P320" s="1">
        <v>37930434679</v>
      </c>
    </row>
    <row r="321" spans="14:16" x14ac:dyDescent="0.2">
      <c r="N321" s="1">
        <v>8</v>
      </c>
      <c r="O321" s="1">
        <v>202501</v>
      </c>
      <c r="P321" s="1">
        <v>14047654839</v>
      </c>
    </row>
    <row r="322" spans="14:16" x14ac:dyDescent="0.2">
      <c r="N322" s="1">
        <v>8</v>
      </c>
      <c r="O322" s="1">
        <v>202410</v>
      </c>
      <c r="P322" s="1">
        <v>8499578699</v>
      </c>
    </row>
    <row r="323" spans="14:16" x14ac:dyDescent="0.2">
      <c r="N323" s="1">
        <v>8</v>
      </c>
      <c r="O323" s="1">
        <v>202412</v>
      </c>
      <c r="P323" s="1">
        <v>10001614491</v>
      </c>
    </row>
    <row r="324" spans="14:16" x14ac:dyDescent="0.2">
      <c r="N324" s="1">
        <v>8</v>
      </c>
      <c r="O324" s="1">
        <v>202405</v>
      </c>
      <c r="P324" s="1">
        <v>6932215787</v>
      </c>
    </row>
    <row r="325" spans="14:16" x14ac:dyDescent="0.2">
      <c r="N325" s="1">
        <v>8</v>
      </c>
      <c r="O325" s="1">
        <v>202407</v>
      </c>
      <c r="P325" s="1">
        <v>8858088427</v>
      </c>
    </row>
    <row r="326" spans="14:16" x14ac:dyDescent="0.2">
      <c r="N326" s="1">
        <v>8</v>
      </c>
      <c r="O326" s="1">
        <v>202510</v>
      </c>
      <c r="P326" s="1">
        <v>42705034176</v>
      </c>
    </row>
    <row r="327" spans="14:16" x14ac:dyDescent="0.2">
      <c r="N327" s="1">
        <v>8</v>
      </c>
      <c r="O327" s="1">
        <v>202508</v>
      </c>
      <c r="P327" s="1">
        <v>31732866197</v>
      </c>
    </row>
    <row r="328" spans="14:16" x14ac:dyDescent="0.2">
      <c r="N328" s="1">
        <v>8</v>
      </c>
      <c r="O328" s="1">
        <v>202505</v>
      </c>
      <c r="P328" s="1">
        <v>40446216085</v>
      </c>
    </row>
    <row r="329" spans="14:16" x14ac:dyDescent="0.2">
      <c r="N329" s="1">
        <v>8</v>
      </c>
      <c r="O329" s="1">
        <v>202502</v>
      </c>
      <c r="P329" s="1">
        <v>23037174393</v>
      </c>
    </row>
    <row r="330" spans="14:16" x14ac:dyDescent="0.2">
      <c r="N330" s="1">
        <v>8</v>
      </c>
      <c r="O330" s="1">
        <v>202408</v>
      </c>
      <c r="P330" s="1">
        <v>11770155059</v>
      </c>
    </row>
    <row r="331" spans="14:16" x14ac:dyDescent="0.2">
      <c r="N331" s="1">
        <v>8</v>
      </c>
      <c r="O331" s="1">
        <v>202507</v>
      </c>
      <c r="P331" s="1">
        <v>41716545845</v>
      </c>
    </row>
    <row r="332" spans="14:16" x14ac:dyDescent="0.2">
      <c r="N332" s="1">
        <v>8</v>
      </c>
      <c r="O332" s="1">
        <v>202411</v>
      </c>
      <c r="P332" s="1">
        <v>10178928529</v>
      </c>
    </row>
    <row r="333" spans="14:16" x14ac:dyDescent="0.2">
      <c r="N333" s="1">
        <v>8</v>
      </c>
      <c r="O333" s="1">
        <v>202403</v>
      </c>
      <c r="P333" s="1">
        <v>2806315892</v>
      </c>
    </row>
    <row r="334" spans="14:16" x14ac:dyDescent="0.2">
      <c r="N334" s="1">
        <v>9</v>
      </c>
      <c r="O334" s="1">
        <v>202505</v>
      </c>
      <c r="P334" s="1">
        <v>37879942573</v>
      </c>
    </row>
    <row r="335" spans="14:16" x14ac:dyDescent="0.2">
      <c r="N335" s="1">
        <v>9</v>
      </c>
      <c r="O335" s="1">
        <v>202404</v>
      </c>
      <c r="P335" s="1">
        <v>2795964893</v>
      </c>
    </row>
    <row r="336" spans="14:16" x14ac:dyDescent="0.2">
      <c r="N336" s="1">
        <v>9</v>
      </c>
      <c r="O336" s="1">
        <v>202411</v>
      </c>
      <c r="P336" s="1">
        <v>8476047714</v>
      </c>
    </row>
    <row r="337" spans="14:16" x14ac:dyDescent="0.2">
      <c r="N337" s="1">
        <v>9</v>
      </c>
      <c r="O337" s="1">
        <v>202410</v>
      </c>
      <c r="P337" s="1">
        <v>13330813134</v>
      </c>
    </row>
    <row r="338" spans="14:16" x14ac:dyDescent="0.2">
      <c r="N338" s="1">
        <v>9</v>
      </c>
      <c r="O338" s="1">
        <v>202502</v>
      </c>
      <c r="P338" s="1">
        <v>13102100998</v>
      </c>
    </row>
    <row r="339" spans="14:16" x14ac:dyDescent="0.2">
      <c r="N339" s="1">
        <v>9</v>
      </c>
      <c r="O339" s="1">
        <v>202509</v>
      </c>
      <c r="P339" s="1">
        <v>31732866197</v>
      </c>
    </row>
    <row r="340" spans="14:16" x14ac:dyDescent="0.2">
      <c r="N340" s="1">
        <v>9</v>
      </c>
      <c r="O340" s="1">
        <v>202503</v>
      </c>
      <c r="P340" s="1">
        <v>23292321588</v>
      </c>
    </row>
    <row r="341" spans="14:16" x14ac:dyDescent="0.2">
      <c r="N341" s="1">
        <v>9</v>
      </c>
      <c r="O341" s="1">
        <v>202409</v>
      </c>
      <c r="P341" s="1">
        <v>11708537982</v>
      </c>
    </row>
    <row r="342" spans="14:16" x14ac:dyDescent="0.2">
      <c r="N342" s="1">
        <v>9</v>
      </c>
      <c r="O342" s="1">
        <v>202506</v>
      </c>
      <c r="P342" s="1">
        <v>40163098197</v>
      </c>
    </row>
    <row r="343" spans="14:16" x14ac:dyDescent="0.2">
      <c r="N343" s="1">
        <v>9</v>
      </c>
      <c r="O343" s="1">
        <v>202406</v>
      </c>
      <c r="P343" s="1">
        <v>6916860241</v>
      </c>
    </row>
    <row r="344" spans="14:16" x14ac:dyDescent="0.2">
      <c r="N344" s="1">
        <v>9</v>
      </c>
      <c r="O344" s="1">
        <v>202407</v>
      </c>
      <c r="P344" s="1">
        <v>7935191932</v>
      </c>
    </row>
    <row r="345" spans="14:16" x14ac:dyDescent="0.2">
      <c r="N345" s="1">
        <v>9</v>
      </c>
      <c r="O345" s="1">
        <v>202405</v>
      </c>
      <c r="P345" s="1">
        <v>8844565911</v>
      </c>
    </row>
    <row r="346" spans="14:16" x14ac:dyDescent="0.2">
      <c r="N346" s="1">
        <v>9</v>
      </c>
      <c r="O346" s="1">
        <v>202510</v>
      </c>
      <c r="P346" s="1">
        <v>42444509308</v>
      </c>
    </row>
    <row r="347" spans="14:16" x14ac:dyDescent="0.2">
      <c r="N347" s="1">
        <v>9</v>
      </c>
      <c r="O347" s="1">
        <v>202504</v>
      </c>
      <c r="P347" s="1">
        <v>33858107980</v>
      </c>
    </row>
    <row r="348" spans="14:16" x14ac:dyDescent="0.2">
      <c r="N348" s="1">
        <v>9</v>
      </c>
      <c r="O348" s="1">
        <v>202508</v>
      </c>
      <c r="P348" s="1">
        <v>41396389450</v>
      </c>
    </row>
    <row r="349" spans="14:16" x14ac:dyDescent="0.2">
      <c r="N349" s="1">
        <v>9</v>
      </c>
      <c r="O349" s="1">
        <v>202412</v>
      </c>
      <c r="P349" s="1">
        <v>9710715642</v>
      </c>
    </row>
    <row r="350" spans="14:16" x14ac:dyDescent="0.2">
      <c r="N350" s="1">
        <v>9</v>
      </c>
      <c r="O350" s="1">
        <v>202501</v>
      </c>
      <c r="P350" s="1">
        <v>9425461020</v>
      </c>
    </row>
    <row r="351" spans="14:16" x14ac:dyDescent="0.2">
      <c r="N351" s="1">
        <v>9</v>
      </c>
      <c r="O351" s="1">
        <v>202507</v>
      </c>
      <c r="P351" s="1">
        <v>45373137792</v>
      </c>
    </row>
    <row r="352" spans="14:16" x14ac:dyDescent="0.2">
      <c r="N352" s="1">
        <v>9</v>
      </c>
      <c r="O352" s="1">
        <v>202408</v>
      </c>
      <c r="P352" s="1">
        <v>9015861835</v>
      </c>
    </row>
    <row r="353" spans="14:16" x14ac:dyDescent="0.2">
      <c r="N353" s="1">
        <v>10</v>
      </c>
      <c r="O353" s="1">
        <v>202507</v>
      </c>
      <c r="P353" s="1">
        <v>39017936400</v>
      </c>
    </row>
    <row r="354" spans="14:16" x14ac:dyDescent="0.2">
      <c r="N354" s="1">
        <v>10</v>
      </c>
      <c r="O354" s="1">
        <v>202412</v>
      </c>
      <c r="P354" s="1">
        <v>8382288664</v>
      </c>
    </row>
    <row r="355" spans="14:16" x14ac:dyDescent="0.2">
      <c r="N355" s="1">
        <v>10</v>
      </c>
      <c r="O355" s="1">
        <v>202405</v>
      </c>
      <c r="P355" s="1">
        <v>3259457781</v>
      </c>
    </row>
    <row r="356" spans="14:16" x14ac:dyDescent="0.2">
      <c r="N356" s="1">
        <v>10</v>
      </c>
      <c r="O356" s="1">
        <v>202508</v>
      </c>
      <c r="P356" s="1">
        <v>44047941303</v>
      </c>
    </row>
    <row r="357" spans="14:16" x14ac:dyDescent="0.2">
      <c r="N357" s="1">
        <v>10</v>
      </c>
      <c r="O357" s="1">
        <v>202408</v>
      </c>
      <c r="P357" s="1">
        <v>8170332103</v>
      </c>
    </row>
    <row r="358" spans="14:16" x14ac:dyDescent="0.2">
      <c r="N358" s="1">
        <v>10</v>
      </c>
      <c r="O358" s="1">
        <v>202506</v>
      </c>
      <c r="P358" s="1">
        <v>37879942573</v>
      </c>
    </row>
    <row r="359" spans="14:16" x14ac:dyDescent="0.2">
      <c r="N359" s="1">
        <v>10</v>
      </c>
      <c r="O359" s="1">
        <v>202501</v>
      </c>
      <c r="P359" s="1">
        <v>9923627790</v>
      </c>
    </row>
    <row r="360" spans="14:16" x14ac:dyDescent="0.2">
      <c r="N360" s="1">
        <v>10</v>
      </c>
      <c r="O360" s="1">
        <v>202406</v>
      </c>
      <c r="P360" s="1">
        <v>8839259934</v>
      </c>
    </row>
    <row r="361" spans="14:16" x14ac:dyDescent="0.2">
      <c r="N361" s="1">
        <v>10</v>
      </c>
      <c r="O361" s="1">
        <v>202407</v>
      </c>
      <c r="P361" s="1">
        <v>6739502792</v>
      </c>
    </row>
    <row r="362" spans="14:16" x14ac:dyDescent="0.2">
      <c r="N362" s="1">
        <v>10</v>
      </c>
      <c r="O362" s="1">
        <v>202409</v>
      </c>
      <c r="P362" s="1">
        <v>8940739306</v>
      </c>
    </row>
    <row r="363" spans="14:16" x14ac:dyDescent="0.2">
      <c r="N363" s="1">
        <v>10</v>
      </c>
      <c r="O363" s="1">
        <v>202505</v>
      </c>
      <c r="P363" s="1">
        <v>34961115219</v>
      </c>
    </row>
    <row r="364" spans="14:16" x14ac:dyDescent="0.2">
      <c r="N364" s="1">
        <v>10</v>
      </c>
      <c r="O364" s="1">
        <v>202510</v>
      </c>
      <c r="P364" s="1">
        <v>40905967140</v>
      </c>
    </row>
    <row r="365" spans="14:16" x14ac:dyDescent="0.2">
      <c r="N365" s="1">
        <v>10</v>
      </c>
      <c r="O365" s="1">
        <v>202502</v>
      </c>
      <c r="P365" s="1">
        <v>9471717610</v>
      </c>
    </row>
    <row r="366" spans="14:16" x14ac:dyDescent="0.2">
      <c r="N366" s="1">
        <v>10</v>
      </c>
      <c r="O366" s="1">
        <v>202504</v>
      </c>
      <c r="P366" s="1">
        <v>23292321588</v>
      </c>
    </row>
    <row r="367" spans="14:16" x14ac:dyDescent="0.2">
      <c r="N367" s="1">
        <v>10</v>
      </c>
      <c r="O367" s="1">
        <v>202503</v>
      </c>
      <c r="P367" s="1">
        <v>13465428214</v>
      </c>
    </row>
    <row r="368" spans="14:16" x14ac:dyDescent="0.2">
      <c r="N368" s="1">
        <v>10</v>
      </c>
      <c r="O368" s="1">
        <v>202411</v>
      </c>
      <c r="P368" s="1">
        <v>13291183055</v>
      </c>
    </row>
    <row r="369" spans="14:16" x14ac:dyDescent="0.2">
      <c r="N369" s="1">
        <v>10</v>
      </c>
      <c r="O369" s="1">
        <v>202410</v>
      </c>
      <c r="P369" s="1">
        <v>11118821923</v>
      </c>
    </row>
    <row r="370" spans="14:16" x14ac:dyDescent="0.2">
      <c r="N370" s="1">
        <v>10</v>
      </c>
      <c r="O370" s="1">
        <v>202509</v>
      </c>
      <c r="P370" s="1">
        <v>41396068450</v>
      </c>
    </row>
    <row r="371" spans="14:16" x14ac:dyDescent="0.2">
      <c r="N371" s="1">
        <v>11</v>
      </c>
      <c r="O371" s="1">
        <v>202506</v>
      </c>
      <c r="P371" s="1">
        <v>34961115219</v>
      </c>
    </row>
    <row r="372" spans="14:16" x14ac:dyDescent="0.2">
      <c r="N372" s="1">
        <v>11</v>
      </c>
      <c r="O372" s="1">
        <v>202502</v>
      </c>
      <c r="P372" s="1">
        <v>9742534783</v>
      </c>
    </row>
    <row r="373" spans="14:16" x14ac:dyDescent="0.2">
      <c r="N373" s="1">
        <v>11</v>
      </c>
      <c r="O373" s="1">
        <v>202407</v>
      </c>
      <c r="P373" s="1">
        <v>8417935098</v>
      </c>
    </row>
    <row r="374" spans="14:16" x14ac:dyDescent="0.2">
      <c r="N374" s="1">
        <v>11</v>
      </c>
      <c r="O374" s="1">
        <v>202510</v>
      </c>
      <c r="P374" s="1">
        <v>43170477755</v>
      </c>
    </row>
    <row r="375" spans="14:16" x14ac:dyDescent="0.2">
      <c r="N375" s="1">
        <v>11</v>
      </c>
      <c r="O375" s="1">
        <v>202503</v>
      </c>
      <c r="P375" s="1">
        <v>9713232560</v>
      </c>
    </row>
    <row r="376" spans="14:16" x14ac:dyDescent="0.2">
      <c r="N376" s="1">
        <v>11</v>
      </c>
      <c r="O376" s="1">
        <v>202509</v>
      </c>
      <c r="P376" s="1">
        <v>44044905995</v>
      </c>
    </row>
    <row r="377" spans="14:16" x14ac:dyDescent="0.2">
      <c r="N377" s="1">
        <v>11</v>
      </c>
      <c r="O377" s="1">
        <v>202410</v>
      </c>
      <c r="P377" s="1">
        <v>9100823492</v>
      </c>
    </row>
    <row r="378" spans="14:16" x14ac:dyDescent="0.2">
      <c r="N378" s="1">
        <v>11</v>
      </c>
      <c r="O378" s="1">
        <v>202408</v>
      </c>
      <c r="P378" s="1">
        <v>6157156600</v>
      </c>
    </row>
    <row r="379" spans="14:16" x14ac:dyDescent="0.2">
      <c r="N379" s="1">
        <v>11</v>
      </c>
      <c r="O379" s="1">
        <v>202501</v>
      </c>
      <c r="P379" s="1">
        <v>8593589439</v>
      </c>
    </row>
    <row r="380" spans="14:16" x14ac:dyDescent="0.2">
      <c r="N380" s="1">
        <v>11</v>
      </c>
      <c r="O380" s="1">
        <v>202507</v>
      </c>
      <c r="P380" s="1">
        <v>36526849931</v>
      </c>
    </row>
    <row r="381" spans="14:16" x14ac:dyDescent="0.2">
      <c r="N381" s="1">
        <v>11</v>
      </c>
      <c r="O381" s="1">
        <v>202505</v>
      </c>
      <c r="P381" s="1">
        <v>22717393827</v>
      </c>
    </row>
    <row r="382" spans="14:16" x14ac:dyDescent="0.2">
      <c r="N382" s="1">
        <v>11</v>
      </c>
      <c r="O382" s="1">
        <v>202412</v>
      </c>
      <c r="P382" s="1">
        <v>12467188208</v>
      </c>
    </row>
    <row r="383" spans="14:16" x14ac:dyDescent="0.2">
      <c r="N383" s="1">
        <v>11</v>
      </c>
      <c r="O383" s="1">
        <v>202409</v>
      </c>
      <c r="P383" s="1">
        <v>8111502641</v>
      </c>
    </row>
    <row r="384" spans="14:16" x14ac:dyDescent="0.2">
      <c r="N384" s="1">
        <v>11</v>
      </c>
      <c r="O384" s="1">
        <v>202508</v>
      </c>
      <c r="P384" s="1">
        <v>40648759997</v>
      </c>
    </row>
    <row r="385" spans="14:16" x14ac:dyDescent="0.2">
      <c r="N385" s="1">
        <v>11</v>
      </c>
      <c r="O385" s="1">
        <v>202504</v>
      </c>
      <c r="P385" s="1">
        <v>13465428214</v>
      </c>
    </row>
    <row r="386" spans="14:16" x14ac:dyDescent="0.2">
      <c r="N386" s="1">
        <v>11</v>
      </c>
      <c r="O386" s="1">
        <v>202411</v>
      </c>
      <c r="P386" s="1">
        <v>11089196025</v>
      </c>
    </row>
    <row r="387" spans="14:16" x14ac:dyDescent="0.2">
      <c r="N387" s="1">
        <v>11</v>
      </c>
      <c r="O387" s="1">
        <v>202406</v>
      </c>
      <c r="P387" s="1">
        <v>3259457287</v>
      </c>
    </row>
    <row r="388" spans="14:16" x14ac:dyDescent="0.2">
      <c r="N388" s="1">
        <v>12</v>
      </c>
      <c r="O388" s="1">
        <v>202510</v>
      </c>
      <c r="P388" s="1">
        <v>46447258660</v>
      </c>
    </row>
    <row r="389" spans="14:16" x14ac:dyDescent="0.2">
      <c r="N389" s="1">
        <v>12</v>
      </c>
      <c r="O389" s="1">
        <v>202502</v>
      </c>
      <c r="P389" s="1">
        <v>8310165739</v>
      </c>
    </row>
    <row r="390" spans="14:16" x14ac:dyDescent="0.2">
      <c r="N390" s="1">
        <v>12</v>
      </c>
      <c r="O390" s="1">
        <v>202412</v>
      </c>
      <c r="P390" s="1">
        <v>11528351254</v>
      </c>
    </row>
    <row r="391" spans="14:16" x14ac:dyDescent="0.2">
      <c r="N391" s="1">
        <v>12</v>
      </c>
      <c r="O391" s="1">
        <v>202506</v>
      </c>
      <c r="P391" s="1">
        <v>22717393827</v>
      </c>
    </row>
    <row r="392" spans="14:16" x14ac:dyDescent="0.2">
      <c r="N392" s="1">
        <v>12</v>
      </c>
      <c r="O392" s="1">
        <v>202410</v>
      </c>
      <c r="P392" s="1">
        <v>7567695324</v>
      </c>
    </row>
    <row r="393" spans="14:16" x14ac:dyDescent="0.2">
      <c r="N393" s="1">
        <v>12</v>
      </c>
      <c r="O393" s="1">
        <v>202505</v>
      </c>
      <c r="P393" s="1">
        <v>13794323991</v>
      </c>
    </row>
    <row r="394" spans="14:16" x14ac:dyDescent="0.2">
      <c r="N394" s="1">
        <v>12</v>
      </c>
      <c r="O394" s="1">
        <v>202411</v>
      </c>
      <c r="P394" s="1">
        <v>9054934916</v>
      </c>
    </row>
    <row r="395" spans="14:16" x14ac:dyDescent="0.2">
      <c r="N395" s="1">
        <v>12</v>
      </c>
      <c r="O395" s="1">
        <v>202409</v>
      </c>
      <c r="P395" s="1">
        <v>6103475343</v>
      </c>
    </row>
    <row r="396" spans="14:16" x14ac:dyDescent="0.2">
      <c r="N396" s="1">
        <v>12</v>
      </c>
      <c r="O396" s="1">
        <v>202407</v>
      </c>
      <c r="P396" s="1">
        <v>4238320917</v>
      </c>
    </row>
    <row r="397" spans="14:16" x14ac:dyDescent="0.2">
      <c r="N397" s="1">
        <v>12</v>
      </c>
      <c r="O397" s="1">
        <v>202507</v>
      </c>
      <c r="P397" s="1">
        <v>35394671659</v>
      </c>
    </row>
    <row r="398" spans="14:16" x14ac:dyDescent="0.2">
      <c r="N398" s="1">
        <v>12</v>
      </c>
      <c r="O398" s="1">
        <v>202508</v>
      </c>
      <c r="P398" s="1">
        <v>36201144523</v>
      </c>
    </row>
    <row r="399" spans="14:16" x14ac:dyDescent="0.2">
      <c r="N399" s="1">
        <v>12</v>
      </c>
      <c r="O399" s="1">
        <v>202501</v>
      </c>
      <c r="P399" s="1">
        <v>12172750598</v>
      </c>
    </row>
    <row r="400" spans="14:16" x14ac:dyDescent="0.2">
      <c r="N400" s="1">
        <v>12</v>
      </c>
      <c r="O400" s="1">
        <v>202504</v>
      </c>
      <c r="P400" s="1">
        <v>9713232560</v>
      </c>
    </row>
    <row r="401" spans="14:16" x14ac:dyDescent="0.2">
      <c r="N401" s="1">
        <v>12</v>
      </c>
      <c r="O401" s="1">
        <v>202509</v>
      </c>
      <c r="P401" s="1">
        <v>40648759997</v>
      </c>
    </row>
    <row r="402" spans="14:16" x14ac:dyDescent="0.2">
      <c r="N402" s="1">
        <v>12</v>
      </c>
      <c r="O402" s="1">
        <v>202503</v>
      </c>
      <c r="P402" s="1">
        <v>9404923312</v>
      </c>
    </row>
    <row r="403" spans="14:16" x14ac:dyDescent="0.2">
      <c r="N403" s="1">
        <v>12</v>
      </c>
      <c r="O403" s="1">
        <v>202408</v>
      </c>
      <c r="P403" s="1">
        <v>8442531077</v>
      </c>
    </row>
    <row r="404" spans="14:16" x14ac:dyDescent="0.2">
      <c r="N404" s="1">
        <v>13</v>
      </c>
      <c r="O404" s="1">
        <v>202501</v>
      </c>
      <c r="P404" s="1">
        <v>12019271945</v>
      </c>
    </row>
    <row r="405" spans="14:16" x14ac:dyDescent="0.2">
      <c r="N405" s="1">
        <v>13</v>
      </c>
      <c r="O405" s="1">
        <v>202509</v>
      </c>
      <c r="P405" s="1">
        <v>36201144523</v>
      </c>
    </row>
    <row r="406" spans="14:16" x14ac:dyDescent="0.2">
      <c r="N406" s="1">
        <v>13</v>
      </c>
      <c r="O406" s="1">
        <v>202507</v>
      </c>
      <c r="P406" s="1">
        <v>24129869875</v>
      </c>
    </row>
    <row r="407" spans="14:16" x14ac:dyDescent="0.2">
      <c r="N407" s="1">
        <v>13</v>
      </c>
      <c r="O407" s="1">
        <v>202506</v>
      </c>
      <c r="P407" s="1">
        <v>13794323991</v>
      </c>
    </row>
    <row r="408" spans="14:16" x14ac:dyDescent="0.2">
      <c r="N408" s="1">
        <v>13</v>
      </c>
      <c r="O408" s="1">
        <v>202505</v>
      </c>
      <c r="P408" s="1">
        <v>9199022744</v>
      </c>
    </row>
    <row r="409" spans="14:16" x14ac:dyDescent="0.2">
      <c r="N409" s="1">
        <v>13</v>
      </c>
      <c r="O409" s="1">
        <v>202410</v>
      </c>
      <c r="P409" s="1">
        <v>6368437775</v>
      </c>
    </row>
    <row r="410" spans="14:16" x14ac:dyDescent="0.2">
      <c r="N410" s="1">
        <v>13</v>
      </c>
      <c r="O410" s="1">
        <v>202408</v>
      </c>
      <c r="P410" s="1">
        <v>4726333595</v>
      </c>
    </row>
    <row r="411" spans="14:16" x14ac:dyDescent="0.2">
      <c r="N411" s="1">
        <v>13</v>
      </c>
      <c r="O411" s="1">
        <v>202510</v>
      </c>
      <c r="P411" s="1">
        <v>35567661781</v>
      </c>
    </row>
    <row r="412" spans="14:16" x14ac:dyDescent="0.2">
      <c r="N412" s="1">
        <v>13</v>
      </c>
      <c r="O412" s="1">
        <v>202508</v>
      </c>
      <c r="P412" s="1">
        <v>35649654116</v>
      </c>
    </row>
    <row r="413" spans="14:16" x14ac:dyDescent="0.2">
      <c r="N413" s="1">
        <v>13</v>
      </c>
      <c r="O413" s="1">
        <v>202409</v>
      </c>
      <c r="P413" s="1">
        <v>8383985947</v>
      </c>
    </row>
    <row r="414" spans="14:16" x14ac:dyDescent="0.2">
      <c r="N414" s="1">
        <v>13</v>
      </c>
      <c r="O414" s="1">
        <v>202411</v>
      </c>
      <c r="P414" s="1">
        <v>7554987871</v>
      </c>
    </row>
    <row r="415" spans="14:16" x14ac:dyDescent="0.2">
      <c r="N415" s="1">
        <v>13</v>
      </c>
      <c r="O415" s="1">
        <v>202503</v>
      </c>
      <c r="P415" s="1">
        <v>8207717367</v>
      </c>
    </row>
    <row r="416" spans="14:16" x14ac:dyDescent="0.2">
      <c r="N416" s="1">
        <v>13</v>
      </c>
      <c r="O416" s="1">
        <v>202412</v>
      </c>
      <c r="P416" s="1">
        <v>9278604297</v>
      </c>
    </row>
    <row r="417" spans="14:16" x14ac:dyDescent="0.2">
      <c r="N417" s="1">
        <v>13</v>
      </c>
      <c r="O417" s="1">
        <v>202504</v>
      </c>
      <c r="P417" s="1">
        <v>9404923312</v>
      </c>
    </row>
    <row r="418" spans="14:16" x14ac:dyDescent="0.2">
      <c r="N418" s="1">
        <v>13</v>
      </c>
      <c r="O418" s="1">
        <v>202502</v>
      </c>
      <c r="P418" s="1">
        <v>12994380823</v>
      </c>
    </row>
    <row r="419" spans="14:16" x14ac:dyDescent="0.2">
      <c r="N419" s="1">
        <v>14</v>
      </c>
      <c r="O419" s="1">
        <v>202507</v>
      </c>
      <c r="P419" s="1">
        <v>13974222080</v>
      </c>
    </row>
    <row r="420" spans="14:16" x14ac:dyDescent="0.2">
      <c r="N420" s="1">
        <v>14</v>
      </c>
      <c r="O420" s="1">
        <v>202409</v>
      </c>
      <c r="P420" s="1">
        <v>4682492955</v>
      </c>
    </row>
    <row r="421" spans="14:16" x14ac:dyDescent="0.2">
      <c r="N421" s="1">
        <v>14</v>
      </c>
      <c r="O421" s="1">
        <v>202410</v>
      </c>
      <c r="P421" s="1">
        <v>8333629177</v>
      </c>
    </row>
    <row r="422" spans="14:16" x14ac:dyDescent="0.2">
      <c r="N422" s="1">
        <v>14</v>
      </c>
      <c r="O422" s="1">
        <v>202501</v>
      </c>
      <c r="P422" s="1">
        <v>8826580846</v>
      </c>
    </row>
    <row r="423" spans="14:16" x14ac:dyDescent="0.2">
      <c r="N423" s="1">
        <v>14</v>
      </c>
      <c r="O423" s="1">
        <v>202505</v>
      </c>
      <c r="P423" s="1">
        <v>9713452543</v>
      </c>
    </row>
    <row r="424" spans="14:16" x14ac:dyDescent="0.2">
      <c r="N424" s="1">
        <v>14</v>
      </c>
      <c r="O424" s="1">
        <v>202502</v>
      </c>
      <c r="P424" s="1">
        <v>10797737240</v>
      </c>
    </row>
    <row r="425" spans="14:16" x14ac:dyDescent="0.2">
      <c r="N425" s="1">
        <v>14</v>
      </c>
      <c r="O425" s="1">
        <v>202411</v>
      </c>
      <c r="P425" s="1">
        <v>6366174431</v>
      </c>
    </row>
    <row r="426" spans="14:16" x14ac:dyDescent="0.2">
      <c r="N426" s="1">
        <v>14</v>
      </c>
      <c r="O426" s="1">
        <v>202506</v>
      </c>
      <c r="P426" s="1">
        <v>9199022744</v>
      </c>
    </row>
    <row r="427" spans="14:16" x14ac:dyDescent="0.2">
      <c r="N427" s="1">
        <v>14</v>
      </c>
      <c r="O427" s="1">
        <v>202510</v>
      </c>
      <c r="P427" s="1">
        <v>37187475449</v>
      </c>
    </row>
    <row r="428" spans="14:16" x14ac:dyDescent="0.2">
      <c r="N428" s="1">
        <v>14</v>
      </c>
      <c r="O428" s="1">
        <v>202509</v>
      </c>
      <c r="P428" s="1">
        <v>35649654116</v>
      </c>
    </row>
    <row r="429" spans="14:16" x14ac:dyDescent="0.2">
      <c r="N429" s="1">
        <v>14</v>
      </c>
      <c r="O429" s="1">
        <v>202508</v>
      </c>
      <c r="P429" s="1">
        <v>25362944529</v>
      </c>
    </row>
    <row r="430" spans="14:16" x14ac:dyDescent="0.2">
      <c r="N430" s="1">
        <v>14</v>
      </c>
      <c r="O430" s="1">
        <v>202412</v>
      </c>
      <c r="P430" s="1">
        <v>7389740214</v>
      </c>
    </row>
    <row r="431" spans="14:16" x14ac:dyDescent="0.2">
      <c r="N431" s="1">
        <v>14</v>
      </c>
      <c r="O431" s="1">
        <v>202504</v>
      </c>
      <c r="P431" s="1">
        <v>8207717367</v>
      </c>
    </row>
    <row r="432" spans="14:16" x14ac:dyDescent="0.2">
      <c r="N432" s="1">
        <v>14</v>
      </c>
      <c r="O432" s="1">
        <v>202503</v>
      </c>
      <c r="P432" s="1">
        <v>12256765416</v>
      </c>
    </row>
    <row r="433" spans="14:16" x14ac:dyDescent="0.2">
      <c r="N433" s="1">
        <v>15</v>
      </c>
      <c r="O433" s="1">
        <v>202509</v>
      </c>
      <c r="P433" s="1">
        <v>25362944529</v>
      </c>
    </row>
    <row r="434" spans="14:16" x14ac:dyDescent="0.2">
      <c r="N434" s="1">
        <v>15</v>
      </c>
      <c r="O434" s="1">
        <v>202508</v>
      </c>
      <c r="P434" s="1">
        <v>13629862748</v>
      </c>
    </row>
    <row r="435" spans="14:16" x14ac:dyDescent="0.2">
      <c r="N435" s="1">
        <v>15</v>
      </c>
      <c r="O435" s="1">
        <v>202505</v>
      </c>
      <c r="P435" s="1">
        <v>8396129663</v>
      </c>
    </row>
    <row r="436" spans="14:16" x14ac:dyDescent="0.2">
      <c r="N436" s="1">
        <v>15</v>
      </c>
      <c r="O436" s="1">
        <v>202412</v>
      </c>
      <c r="P436" s="1">
        <v>6785528247</v>
      </c>
    </row>
    <row r="437" spans="14:16" x14ac:dyDescent="0.2">
      <c r="N437" s="1">
        <v>15</v>
      </c>
      <c r="O437" s="1">
        <v>202510</v>
      </c>
      <c r="P437" s="1">
        <v>30993327605</v>
      </c>
    </row>
    <row r="438" spans="14:16" x14ac:dyDescent="0.2">
      <c r="N438" s="1">
        <v>15</v>
      </c>
      <c r="O438" s="1">
        <v>202507</v>
      </c>
      <c r="P438" s="1">
        <v>9361358696</v>
      </c>
    </row>
    <row r="439" spans="14:16" x14ac:dyDescent="0.2">
      <c r="N439" s="1">
        <v>15</v>
      </c>
      <c r="O439" s="1">
        <v>202504</v>
      </c>
      <c r="P439" s="1">
        <v>12256765416</v>
      </c>
    </row>
    <row r="440" spans="14:16" x14ac:dyDescent="0.2">
      <c r="N440" s="1">
        <v>15</v>
      </c>
      <c r="O440" s="1">
        <v>202410</v>
      </c>
      <c r="P440" s="1">
        <v>5247147727</v>
      </c>
    </row>
    <row r="441" spans="14:16" x14ac:dyDescent="0.2">
      <c r="N441" s="1">
        <v>15</v>
      </c>
      <c r="O441" s="1">
        <v>202502</v>
      </c>
      <c r="P441" s="1">
        <v>8869342544</v>
      </c>
    </row>
    <row r="442" spans="14:16" x14ac:dyDescent="0.2">
      <c r="N442" s="1">
        <v>15</v>
      </c>
      <c r="O442" s="1">
        <v>202411</v>
      </c>
      <c r="P442" s="1">
        <v>8315944248</v>
      </c>
    </row>
    <row r="443" spans="14:16" x14ac:dyDescent="0.2">
      <c r="N443" s="1">
        <v>15</v>
      </c>
      <c r="O443" s="1">
        <v>202503</v>
      </c>
      <c r="P443" s="1">
        <v>11302330794</v>
      </c>
    </row>
    <row r="444" spans="14:16" x14ac:dyDescent="0.2">
      <c r="N444" s="1">
        <v>15</v>
      </c>
      <c r="O444" s="1">
        <v>202506</v>
      </c>
      <c r="P444" s="1">
        <v>9713452543</v>
      </c>
    </row>
    <row r="445" spans="14:16" x14ac:dyDescent="0.2">
      <c r="N445" s="1">
        <v>15</v>
      </c>
      <c r="O445" s="1">
        <v>202501</v>
      </c>
      <c r="P445" s="1">
        <v>7170428913</v>
      </c>
    </row>
    <row r="446" spans="14:16" x14ac:dyDescent="0.2">
      <c r="N446" s="1">
        <v>16</v>
      </c>
      <c r="O446" s="1">
        <v>202506</v>
      </c>
      <c r="P446" s="1">
        <v>8396129663</v>
      </c>
    </row>
    <row r="447" spans="14:16" x14ac:dyDescent="0.2">
      <c r="N447" s="1">
        <v>16</v>
      </c>
      <c r="O447" s="1">
        <v>202508</v>
      </c>
      <c r="P447" s="1">
        <v>9215914030</v>
      </c>
    </row>
    <row r="448" spans="14:16" x14ac:dyDescent="0.2">
      <c r="N448" s="1">
        <v>16</v>
      </c>
      <c r="O448" s="1">
        <v>202510</v>
      </c>
      <c r="P448" s="1">
        <v>17770157183</v>
      </c>
    </row>
    <row r="449" spans="14:16" x14ac:dyDescent="0.2">
      <c r="N449" s="1">
        <v>16</v>
      </c>
      <c r="O449" s="1">
        <v>202503</v>
      </c>
      <c r="P449" s="1">
        <v>9086035528</v>
      </c>
    </row>
    <row r="450" spans="14:16" x14ac:dyDescent="0.2">
      <c r="N450" s="1">
        <v>16</v>
      </c>
      <c r="O450" s="1">
        <v>202411</v>
      </c>
      <c r="P450" s="1">
        <v>5242907727</v>
      </c>
    </row>
    <row r="451" spans="14:16" x14ac:dyDescent="0.2">
      <c r="N451" s="1">
        <v>16</v>
      </c>
      <c r="O451" s="1">
        <v>202504</v>
      </c>
      <c r="P451" s="1">
        <v>11302330794</v>
      </c>
    </row>
    <row r="452" spans="14:16" x14ac:dyDescent="0.2">
      <c r="N452" s="1">
        <v>16</v>
      </c>
      <c r="O452" s="1">
        <v>202505</v>
      </c>
      <c r="P452" s="1">
        <v>12013452758</v>
      </c>
    </row>
    <row r="453" spans="14:16" x14ac:dyDescent="0.2">
      <c r="N453" s="1">
        <v>16</v>
      </c>
      <c r="O453" s="1">
        <v>202507</v>
      </c>
      <c r="P453" s="1">
        <v>10020947366</v>
      </c>
    </row>
    <row r="454" spans="14:16" x14ac:dyDescent="0.2">
      <c r="N454" s="1">
        <v>16</v>
      </c>
      <c r="O454" s="1">
        <v>202509</v>
      </c>
      <c r="P454" s="1">
        <v>13629862748</v>
      </c>
    </row>
    <row r="455" spans="14:16" x14ac:dyDescent="0.2">
      <c r="N455" s="1">
        <v>16</v>
      </c>
      <c r="O455" s="1">
        <v>202502</v>
      </c>
      <c r="P455" s="1">
        <v>7446656035</v>
      </c>
    </row>
    <row r="456" spans="14:16" x14ac:dyDescent="0.2">
      <c r="N456" s="1">
        <v>16</v>
      </c>
      <c r="O456" s="1">
        <v>202501</v>
      </c>
      <c r="P456" s="1">
        <v>6337836660</v>
      </c>
    </row>
    <row r="457" spans="14:16" x14ac:dyDescent="0.2">
      <c r="N457" s="1">
        <v>16</v>
      </c>
      <c r="O457" s="1">
        <v>202412</v>
      </c>
      <c r="P457" s="1">
        <v>7521953677</v>
      </c>
    </row>
    <row r="458" spans="14:16" x14ac:dyDescent="0.2">
      <c r="N458" s="1">
        <v>17</v>
      </c>
      <c r="O458" s="1">
        <v>202503</v>
      </c>
      <c r="P458" s="1">
        <v>7383730854</v>
      </c>
    </row>
    <row r="459" spans="14:16" x14ac:dyDescent="0.2">
      <c r="N459" s="1">
        <v>17</v>
      </c>
      <c r="O459" s="1">
        <v>202504</v>
      </c>
      <c r="P459" s="1">
        <v>9086035528</v>
      </c>
    </row>
    <row r="460" spans="14:16" x14ac:dyDescent="0.2">
      <c r="N460" s="1">
        <v>17</v>
      </c>
      <c r="O460" s="1">
        <v>202501</v>
      </c>
      <c r="P460" s="1">
        <v>7830057422</v>
      </c>
    </row>
    <row r="461" spans="14:16" x14ac:dyDescent="0.2">
      <c r="N461" s="1">
        <v>17</v>
      </c>
      <c r="O461" s="1">
        <v>202508</v>
      </c>
      <c r="P461" s="1">
        <v>9804510477</v>
      </c>
    </row>
    <row r="462" spans="14:16" x14ac:dyDescent="0.2">
      <c r="N462" s="1">
        <v>17</v>
      </c>
      <c r="O462" s="1">
        <v>202412</v>
      </c>
      <c r="P462" s="1">
        <v>5958996379</v>
      </c>
    </row>
    <row r="463" spans="14:16" x14ac:dyDescent="0.2">
      <c r="N463" s="1">
        <v>17</v>
      </c>
      <c r="O463" s="1">
        <v>202505</v>
      </c>
      <c r="P463" s="1">
        <v>11808943725</v>
      </c>
    </row>
    <row r="464" spans="14:16" x14ac:dyDescent="0.2">
      <c r="N464" s="1">
        <v>17</v>
      </c>
      <c r="O464" s="1">
        <v>202510</v>
      </c>
      <c r="P464" s="1">
        <v>10836612916</v>
      </c>
    </row>
    <row r="465" spans="14:16" x14ac:dyDescent="0.2">
      <c r="N465" s="1">
        <v>17</v>
      </c>
      <c r="O465" s="1">
        <v>202502</v>
      </c>
      <c r="P465" s="1">
        <v>6266214354</v>
      </c>
    </row>
    <row r="466" spans="14:16" x14ac:dyDescent="0.2">
      <c r="N466" s="1">
        <v>17</v>
      </c>
      <c r="O466" s="1">
        <v>202506</v>
      </c>
      <c r="P466" s="1">
        <v>12013452758</v>
      </c>
    </row>
    <row r="467" spans="14:16" x14ac:dyDescent="0.2">
      <c r="N467" s="1">
        <v>17</v>
      </c>
      <c r="O467" s="1">
        <v>202507</v>
      </c>
      <c r="P467" s="1">
        <v>8075921743</v>
      </c>
    </row>
    <row r="468" spans="14:16" x14ac:dyDescent="0.2">
      <c r="N468" s="1">
        <v>17</v>
      </c>
      <c r="O468" s="1">
        <v>202509</v>
      </c>
      <c r="P468" s="1">
        <v>9215914030</v>
      </c>
    </row>
    <row r="469" spans="14:16" x14ac:dyDescent="0.2">
      <c r="N469" s="1">
        <v>18</v>
      </c>
      <c r="O469" s="1">
        <v>202505</v>
      </c>
      <c r="P469" s="1">
        <v>8794083809</v>
      </c>
    </row>
    <row r="470" spans="14:16" x14ac:dyDescent="0.2">
      <c r="N470" s="1">
        <v>18</v>
      </c>
      <c r="O470" s="1">
        <v>202508</v>
      </c>
      <c r="P470" s="1">
        <v>8585903715</v>
      </c>
    </row>
    <row r="471" spans="14:16" x14ac:dyDescent="0.2">
      <c r="N471" s="1">
        <v>18</v>
      </c>
      <c r="O471" s="1">
        <v>202503</v>
      </c>
      <c r="P471" s="1">
        <v>6785528247</v>
      </c>
    </row>
    <row r="472" spans="14:16" x14ac:dyDescent="0.2">
      <c r="N472" s="1">
        <v>18</v>
      </c>
      <c r="O472" s="1">
        <v>202504</v>
      </c>
      <c r="P472" s="1">
        <v>7383730854</v>
      </c>
    </row>
    <row r="473" spans="14:16" x14ac:dyDescent="0.2">
      <c r="N473" s="1">
        <v>18</v>
      </c>
      <c r="O473" s="1">
        <v>202510</v>
      </c>
      <c r="P473" s="1">
        <v>10244437284</v>
      </c>
    </row>
    <row r="474" spans="14:16" x14ac:dyDescent="0.2">
      <c r="N474" s="1">
        <v>18</v>
      </c>
      <c r="O474" s="1">
        <v>202507</v>
      </c>
      <c r="P474" s="1">
        <v>11834374774</v>
      </c>
    </row>
    <row r="475" spans="14:16" x14ac:dyDescent="0.2">
      <c r="N475" s="1">
        <v>18</v>
      </c>
      <c r="O475" s="1">
        <v>202509</v>
      </c>
      <c r="P475" s="1">
        <v>9804510477</v>
      </c>
    </row>
    <row r="476" spans="14:16" x14ac:dyDescent="0.2">
      <c r="N476" s="1">
        <v>18</v>
      </c>
      <c r="O476" s="1">
        <v>202506</v>
      </c>
      <c r="P476" s="1">
        <v>11808943725</v>
      </c>
    </row>
    <row r="477" spans="14:16" x14ac:dyDescent="0.2">
      <c r="N477" s="1">
        <v>18</v>
      </c>
      <c r="O477" s="1">
        <v>202502</v>
      </c>
      <c r="P477" s="1">
        <v>8252292491</v>
      </c>
    </row>
    <row r="478" spans="14:16" x14ac:dyDescent="0.2">
      <c r="N478" s="1">
        <v>18</v>
      </c>
      <c r="O478" s="1">
        <v>202501</v>
      </c>
      <c r="P478" s="1">
        <v>6592287881</v>
      </c>
    </row>
    <row r="479" spans="14:16" x14ac:dyDescent="0.2">
      <c r="N479" s="1">
        <v>19</v>
      </c>
      <c r="O479" s="1">
        <v>202506</v>
      </c>
      <c r="P479" s="1">
        <v>8794083809</v>
      </c>
    </row>
    <row r="480" spans="14:16" x14ac:dyDescent="0.2">
      <c r="N480" s="1">
        <v>19</v>
      </c>
      <c r="O480" s="1">
        <v>202503</v>
      </c>
      <c r="P480" s="1">
        <v>7521953677</v>
      </c>
    </row>
    <row r="481" spans="14:16" x14ac:dyDescent="0.2">
      <c r="N481" s="1">
        <v>19</v>
      </c>
      <c r="O481" s="1">
        <v>202505</v>
      </c>
      <c r="P481" s="1">
        <v>7170428913</v>
      </c>
    </row>
    <row r="482" spans="14:16" x14ac:dyDescent="0.2">
      <c r="N482" s="1">
        <v>19</v>
      </c>
      <c r="O482" s="1">
        <v>202508</v>
      </c>
      <c r="P482" s="1">
        <v>11331098414</v>
      </c>
    </row>
    <row r="483" spans="14:16" x14ac:dyDescent="0.2">
      <c r="N483" s="1">
        <v>19</v>
      </c>
      <c r="O483" s="1">
        <v>202501</v>
      </c>
      <c r="P483" s="1">
        <v>11550000</v>
      </c>
    </row>
    <row r="484" spans="14:16" x14ac:dyDescent="0.2">
      <c r="N484" s="1">
        <v>19</v>
      </c>
      <c r="O484" s="1">
        <v>202509</v>
      </c>
      <c r="P484" s="1">
        <v>8585903715</v>
      </c>
    </row>
    <row r="485" spans="14:16" x14ac:dyDescent="0.2">
      <c r="N485" s="1">
        <v>19</v>
      </c>
      <c r="O485" s="1">
        <v>202510</v>
      </c>
      <c r="P485" s="1">
        <v>9123800649</v>
      </c>
    </row>
    <row r="486" spans="14:16" x14ac:dyDescent="0.2">
      <c r="N486" s="1">
        <v>19</v>
      </c>
      <c r="O486" s="1">
        <v>202507</v>
      </c>
      <c r="P486" s="1">
        <v>11328250640</v>
      </c>
    </row>
    <row r="487" spans="14:16" x14ac:dyDescent="0.2">
      <c r="N487" s="1">
        <v>19</v>
      </c>
      <c r="O487" s="1">
        <v>202502</v>
      </c>
      <c r="P487" s="1">
        <v>5228657565</v>
      </c>
    </row>
    <row r="488" spans="14:16" x14ac:dyDescent="0.2">
      <c r="N488" s="1">
        <v>19</v>
      </c>
      <c r="O488" s="1">
        <v>202504</v>
      </c>
      <c r="P488" s="1">
        <v>6785528247</v>
      </c>
    </row>
    <row r="489" spans="14:16" x14ac:dyDescent="0.2">
      <c r="N489" s="1">
        <v>20</v>
      </c>
      <c r="O489" s="1">
        <v>202506</v>
      </c>
      <c r="P489" s="1">
        <v>7170428913</v>
      </c>
    </row>
    <row r="490" spans="14:16" x14ac:dyDescent="0.2">
      <c r="N490" s="1">
        <v>20</v>
      </c>
      <c r="O490" s="1">
        <v>202503</v>
      </c>
      <c r="P490" s="1">
        <v>5958996379</v>
      </c>
    </row>
    <row r="491" spans="14:16" x14ac:dyDescent="0.2">
      <c r="N491" s="1">
        <v>20</v>
      </c>
      <c r="O491" s="1">
        <v>202505</v>
      </c>
      <c r="P491" s="1">
        <v>6337836660</v>
      </c>
    </row>
    <row r="492" spans="14:16" x14ac:dyDescent="0.2">
      <c r="N492" s="1">
        <v>20</v>
      </c>
      <c r="O492" s="1">
        <v>202509</v>
      </c>
      <c r="P492" s="1">
        <v>11331098414</v>
      </c>
    </row>
    <row r="493" spans="14:16" x14ac:dyDescent="0.2">
      <c r="N493" s="1">
        <v>20</v>
      </c>
      <c r="O493" s="1">
        <v>202507</v>
      </c>
      <c r="P493" s="1">
        <v>9537181059</v>
      </c>
    </row>
    <row r="494" spans="14:16" x14ac:dyDescent="0.2">
      <c r="N494" s="1">
        <v>20</v>
      </c>
      <c r="O494" s="1">
        <v>202508</v>
      </c>
      <c r="P494" s="1">
        <v>11647337825</v>
      </c>
    </row>
    <row r="495" spans="14:16" x14ac:dyDescent="0.2">
      <c r="N495" s="1">
        <v>20</v>
      </c>
      <c r="O495" s="1">
        <v>202510</v>
      </c>
      <c r="P495" s="1">
        <v>8931941254</v>
      </c>
    </row>
    <row r="496" spans="14:16" x14ac:dyDescent="0.2">
      <c r="N496" s="1">
        <v>20</v>
      </c>
      <c r="O496" s="1">
        <v>202504</v>
      </c>
      <c r="P496" s="1">
        <v>7521953677</v>
      </c>
    </row>
    <row r="497" spans="14:16" x14ac:dyDescent="0.2">
      <c r="N497" s="1">
        <v>21</v>
      </c>
      <c r="O497" s="1">
        <v>202504</v>
      </c>
      <c r="P497" s="1">
        <v>5958996379</v>
      </c>
    </row>
    <row r="498" spans="14:16" x14ac:dyDescent="0.2">
      <c r="N498" s="1">
        <v>21</v>
      </c>
      <c r="O498" s="1">
        <v>202507</v>
      </c>
      <c r="P498" s="1">
        <v>6975282473</v>
      </c>
    </row>
    <row r="499" spans="14:16" x14ac:dyDescent="0.2">
      <c r="N499" s="1">
        <v>21</v>
      </c>
      <c r="O499" s="1">
        <v>202508</v>
      </c>
      <c r="P499" s="1">
        <v>9917629149</v>
      </c>
    </row>
    <row r="500" spans="14:16" x14ac:dyDescent="0.2">
      <c r="N500" s="1">
        <v>21</v>
      </c>
      <c r="O500" s="1">
        <v>202510</v>
      </c>
      <c r="P500" s="1">
        <v>12592107602</v>
      </c>
    </row>
    <row r="501" spans="14:16" x14ac:dyDescent="0.2">
      <c r="N501" s="1">
        <v>21</v>
      </c>
      <c r="O501" s="1">
        <v>202509</v>
      </c>
      <c r="P501" s="1">
        <v>11647337825</v>
      </c>
    </row>
    <row r="502" spans="14:16" x14ac:dyDescent="0.2">
      <c r="N502" s="1">
        <v>21</v>
      </c>
      <c r="O502" s="1">
        <v>202505</v>
      </c>
      <c r="P502" s="1">
        <v>7830057422</v>
      </c>
    </row>
    <row r="503" spans="14:16" x14ac:dyDescent="0.2">
      <c r="N503" s="1">
        <v>21</v>
      </c>
      <c r="O503" s="1">
        <v>202506</v>
      </c>
      <c r="P503" s="1">
        <v>6337836660</v>
      </c>
    </row>
    <row r="504" spans="14:16" x14ac:dyDescent="0.2">
      <c r="N504" s="1">
        <v>22</v>
      </c>
      <c r="O504" s="1">
        <v>202508</v>
      </c>
      <c r="P504" s="1">
        <v>6643998645</v>
      </c>
    </row>
    <row r="505" spans="14:16" x14ac:dyDescent="0.2">
      <c r="N505" s="1">
        <v>22</v>
      </c>
      <c r="O505" s="1">
        <v>202506</v>
      </c>
      <c r="P505" s="1">
        <v>7830057422</v>
      </c>
    </row>
    <row r="506" spans="14:16" x14ac:dyDescent="0.2">
      <c r="N506" s="1">
        <v>22</v>
      </c>
      <c r="O506" s="1">
        <v>202507</v>
      </c>
      <c r="P506" s="1">
        <v>6463543221</v>
      </c>
    </row>
    <row r="507" spans="14:16" x14ac:dyDescent="0.2">
      <c r="N507" s="1">
        <v>22</v>
      </c>
      <c r="O507" s="1">
        <v>202509</v>
      </c>
      <c r="P507" s="1">
        <v>9917629149</v>
      </c>
    </row>
    <row r="508" spans="14:16" x14ac:dyDescent="0.2">
      <c r="N508" s="1">
        <v>22</v>
      </c>
      <c r="O508" s="1">
        <v>202505</v>
      </c>
      <c r="P508" s="1">
        <v>6592287881</v>
      </c>
    </row>
    <row r="509" spans="14:16" x14ac:dyDescent="0.2">
      <c r="N509" s="1">
        <v>22</v>
      </c>
      <c r="O509" s="1">
        <v>202510</v>
      </c>
      <c r="P509" s="1">
        <v>11469010142</v>
      </c>
    </row>
    <row r="510" spans="14:16" x14ac:dyDescent="0.2">
      <c r="N510" s="1">
        <v>23</v>
      </c>
      <c r="O510" s="1">
        <v>202510</v>
      </c>
      <c r="P510" s="1">
        <v>7502851920</v>
      </c>
    </row>
    <row r="511" spans="14:16" x14ac:dyDescent="0.2">
      <c r="N511" s="1">
        <v>23</v>
      </c>
      <c r="O511" s="1">
        <v>202505</v>
      </c>
      <c r="P511" s="1">
        <v>11550000</v>
      </c>
    </row>
    <row r="512" spans="14:16" x14ac:dyDescent="0.2">
      <c r="N512" s="1">
        <v>23</v>
      </c>
      <c r="O512" s="1">
        <v>202508</v>
      </c>
      <c r="P512" s="1">
        <v>6250770622</v>
      </c>
    </row>
    <row r="513" spans="14:16" x14ac:dyDescent="0.2">
      <c r="N513" s="1">
        <v>23</v>
      </c>
      <c r="O513" s="1">
        <v>202507</v>
      </c>
      <c r="P513" s="1">
        <v>8136379040</v>
      </c>
    </row>
    <row r="514" spans="14:16" x14ac:dyDescent="0.2">
      <c r="N514" s="1">
        <v>23</v>
      </c>
      <c r="O514" s="1">
        <v>202506</v>
      </c>
      <c r="P514" s="1">
        <v>6592287881</v>
      </c>
    </row>
    <row r="515" spans="14:16" x14ac:dyDescent="0.2">
      <c r="N515" s="1">
        <v>23</v>
      </c>
      <c r="O515" s="1">
        <v>202509</v>
      </c>
      <c r="P515" s="1">
        <v>6643998645</v>
      </c>
    </row>
    <row r="516" spans="14:16" x14ac:dyDescent="0.2">
      <c r="N516" s="1">
        <v>24</v>
      </c>
      <c r="O516" s="1">
        <v>202506</v>
      </c>
      <c r="P516" s="1">
        <v>11550000</v>
      </c>
    </row>
    <row r="517" spans="14:16" x14ac:dyDescent="0.2">
      <c r="N517" s="1">
        <v>24</v>
      </c>
      <c r="O517" s="1">
        <v>202510</v>
      </c>
      <c r="P517" s="1">
        <v>7072866438</v>
      </c>
    </row>
    <row r="518" spans="14:16" x14ac:dyDescent="0.2">
      <c r="N518" s="1">
        <v>24</v>
      </c>
      <c r="O518" s="1">
        <v>202507</v>
      </c>
      <c r="P518" s="1">
        <v>6537688481</v>
      </c>
    </row>
    <row r="519" spans="14:16" x14ac:dyDescent="0.2">
      <c r="N519" s="1">
        <v>24</v>
      </c>
      <c r="O519" s="1">
        <v>202509</v>
      </c>
      <c r="P519" s="1">
        <v>6250770622</v>
      </c>
    </row>
    <row r="520" spans="14:16" x14ac:dyDescent="0.2">
      <c r="N520" s="1">
        <v>24</v>
      </c>
      <c r="O520" s="1">
        <v>202508</v>
      </c>
      <c r="P520" s="1">
        <v>7555829276</v>
      </c>
    </row>
    <row r="521" spans="14:16" x14ac:dyDescent="0.2">
      <c r="N521" s="1">
        <v>25</v>
      </c>
      <c r="O521" s="1">
        <v>202508</v>
      </c>
      <c r="P521" s="1">
        <v>7495709672</v>
      </c>
    </row>
    <row r="522" spans="14:16" x14ac:dyDescent="0.2">
      <c r="N522" s="1">
        <v>25</v>
      </c>
      <c r="O522" s="1">
        <v>202507</v>
      </c>
      <c r="P522" s="1">
        <v>66149400</v>
      </c>
    </row>
    <row r="523" spans="14:16" x14ac:dyDescent="0.2">
      <c r="N523" s="1">
        <v>25</v>
      </c>
      <c r="O523" s="1">
        <v>202510</v>
      </c>
      <c r="P523" s="1">
        <v>6984838177</v>
      </c>
    </row>
    <row r="524" spans="14:16" x14ac:dyDescent="0.2">
      <c r="N524" s="1">
        <v>25</v>
      </c>
      <c r="O524" s="1">
        <v>202509</v>
      </c>
      <c r="P524" s="1">
        <v>7555829276</v>
      </c>
    </row>
    <row r="525" spans="14:16" x14ac:dyDescent="0.2">
      <c r="N525" s="1">
        <v>26</v>
      </c>
      <c r="O525" s="1">
        <v>202509</v>
      </c>
      <c r="P525" s="1">
        <v>7495709672</v>
      </c>
    </row>
    <row r="526" spans="14:16" x14ac:dyDescent="0.2">
      <c r="N526" s="1">
        <v>26</v>
      </c>
      <c r="O526" s="1">
        <v>202510</v>
      </c>
      <c r="P526" s="1">
        <v>8638366990</v>
      </c>
    </row>
    <row r="527" spans="14:16" x14ac:dyDescent="0.2">
      <c r="N527" s="1">
        <v>26</v>
      </c>
      <c r="O527" s="1">
        <v>202508</v>
      </c>
      <c r="P527" s="1">
        <v>232734400</v>
      </c>
    </row>
    <row r="528" spans="14:16" x14ac:dyDescent="0.2">
      <c r="N528" s="1">
        <v>27</v>
      </c>
      <c r="O528" s="1">
        <v>202510</v>
      </c>
      <c r="P528" s="1">
        <v>1590709203</v>
      </c>
    </row>
    <row r="529" spans="14:16" x14ac:dyDescent="0.2">
      <c r="N529" s="1">
        <v>27</v>
      </c>
      <c r="O529" s="1">
        <v>202509</v>
      </c>
      <c r="P529" s="1">
        <v>232734400</v>
      </c>
    </row>
  </sheetData>
  <conditionalFormatting sqref="E73:G75">
    <cfRule type="cellIs" dxfId="0" priority="1" operator="equal">
      <formula>0</formula>
    </cfRule>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69709-938E-3E4B-ACC5-4554AA59E088}">
  <sheetPr>
    <tabColor theme="4" tint="0.59999389629810485"/>
  </sheetPr>
  <dimension ref="A1:BL223"/>
  <sheetViews>
    <sheetView showGridLines="0" zoomScaleNormal="100" zoomScaleSheetLayoutView="55" workbookViewId="0">
      <pane xSplit="3" ySplit="6" topLeftCell="V14" activePane="bottomRight" state="frozen"/>
      <selection activeCell="AD15" sqref="AD15"/>
      <selection pane="topRight" activeCell="AD15" sqref="AD15"/>
      <selection pane="bottomLeft" activeCell="AD15" sqref="AD15"/>
      <selection pane="bottomRight" activeCell="AD15" sqref="AD15"/>
    </sheetView>
  </sheetViews>
  <sheetFormatPr baseColWidth="10" defaultColWidth="9.1640625" defaultRowHeight="11" outlineLevelCol="1" x14ac:dyDescent="0.15"/>
  <cols>
    <col min="1" max="1" width="5.5" style="116" hidden="1" customWidth="1" outlineLevel="1"/>
    <col min="2" max="2" width="6.6640625" style="116" customWidth="1" collapsed="1"/>
    <col min="3" max="3" width="29.83203125" style="116" customWidth="1"/>
    <col min="4" max="4" width="8.5" style="116" customWidth="1"/>
    <col min="5" max="5" width="9" style="116" bestFit="1" customWidth="1"/>
    <col min="6" max="6" width="8.6640625" style="116" bestFit="1" customWidth="1"/>
    <col min="7" max="12" width="9" style="116" bestFit="1" customWidth="1"/>
    <col min="13" max="13" width="8.6640625" style="116" bestFit="1" customWidth="1"/>
    <col min="14" max="15" width="9" style="116" bestFit="1" customWidth="1"/>
    <col min="16" max="16" width="8.6640625" style="116" bestFit="1" customWidth="1"/>
    <col min="17" max="64" width="8.5" style="116" customWidth="1"/>
    <col min="65" max="16384" width="9.1640625" style="116"/>
  </cols>
  <sheetData>
    <row r="1" spans="2:64" ht="20" x14ac:dyDescent="0.2">
      <c r="B1" s="294" t="s">
        <v>378</v>
      </c>
      <c r="C1" s="237"/>
      <c r="E1" s="295"/>
      <c r="F1" s="295"/>
      <c r="G1" s="295"/>
      <c r="H1" s="295"/>
      <c r="I1" s="295"/>
      <c r="J1" s="295"/>
      <c r="K1" s="295"/>
      <c r="L1" s="295"/>
      <c r="AX1" s="180"/>
    </row>
    <row r="2" spans="2:64" ht="20" x14ac:dyDescent="0.2">
      <c r="B2" s="294"/>
      <c r="C2" s="237"/>
      <c r="E2" s="295"/>
      <c r="F2" s="295"/>
      <c r="G2" s="295"/>
      <c r="H2" s="295"/>
      <c r="I2" s="295"/>
      <c r="J2" s="295"/>
      <c r="K2" s="295"/>
      <c r="L2" s="295"/>
      <c r="AX2" s="180"/>
    </row>
    <row r="3" spans="2:64" x14ac:dyDescent="0.15">
      <c r="C3" s="296"/>
      <c r="E3" s="295"/>
      <c r="F3" s="295"/>
      <c r="G3" s="295"/>
      <c r="H3" s="295"/>
      <c r="I3" s="295"/>
      <c r="J3" s="295"/>
      <c r="K3" s="295"/>
      <c r="L3" s="295"/>
      <c r="AV3" s="180"/>
    </row>
    <row r="4" spans="2:64" x14ac:dyDescent="0.15">
      <c r="C4" s="297" t="s">
        <v>379</v>
      </c>
      <c r="D4" s="188"/>
      <c r="F4" s="298"/>
      <c r="G4" s="299"/>
      <c r="H4" s="299"/>
      <c r="I4" s="299"/>
      <c r="J4" s="299"/>
      <c r="K4" s="299"/>
      <c r="L4" s="299"/>
      <c r="M4" s="299"/>
      <c r="N4" s="299"/>
      <c r="O4" s="299"/>
      <c r="P4" s="299"/>
      <c r="Q4" s="299"/>
      <c r="R4" s="299"/>
      <c r="S4" s="299"/>
      <c r="T4" s="299"/>
      <c r="U4" s="299"/>
      <c r="V4" s="299"/>
      <c r="W4" s="299"/>
      <c r="X4" s="299"/>
      <c r="Y4" s="299"/>
      <c r="Z4" s="299"/>
      <c r="AA4" s="299"/>
      <c r="AB4" s="299"/>
    </row>
    <row r="5" spans="2:64" x14ac:dyDescent="0.15">
      <c r="C5" s="188" t="s">
        <v>94</v>
      </c>
      <c r="D5" s="300">
        <v>0</v>
      </c>
      <c r="E5" s="301">
        <f t="shared" ref="E5:BL5" si="0">D5+1</f>
        <v>1</v>
      </c>
      <c r="F5" s="301">
        <f t="shared" si="0"/>
        <v>2</v>
      </c>
      <c r="G5" s="301">
        <f t="shared" si="0"/>
        <v>3</v>
      </c>
      <c r="H5" s="301">
        <f t="shared" si="0"/>
        <v>4</v>
      </c>
      <c r="I5" s="301">
        <f t="shared" si="0"/>
        <v>5</v>
      </c>
      <c r="J5" s="301">
        <f t="shared" si="0"/>
        <v>6</v>
      </c>
      <c r="K5" s="301">
        <f t="shared" si="0"/>
        <v>7</v>
      </c>
      <c r="L5" s="301">
        <f t="shared" si="0"/>
        <v>8</v>
      </c>
      <c r="M5" s="301">
        <f t="shared" si="0"/>
        <v>9</v>
      </c>
      <c r="N5" s="301">
        <f t="shared" si="0"/>
        <v>10</v>
      </c>
      <c r="O5" s="301">
        <f t="shared" si="0"/>
        <v>11</v>
      </c>
      <c r="P5" s="301">
        <f t="shared" si="0"/>
        <v>12</v>
      </c>
      <c r="Q5" s="301">
        <f t="shared" si="0"/>
        <v>13</v>
      </c>
      <c r="R5" s="301">
        <f t="shared" si="0"/>
        <v>14</v>
      </c>
      <c r="S5" s="301">
        <f t="shared" si="0"/>
        <v>15</v>
      </c>
      <c r="T5" s="301">
        <f t="shared" si="0"/>
        <v>16</v>
      </c>
      <c r="U5" s="301">
        <f t="shared" si="0"/>
        <v>17</v>
      </c>
      <c r="V5" s="301">
        <f t="shared" si="0"/>
        <v>18</v>
      </c>
      <c r="W5" s="301">
        <f t="shared" si="0"/>
        <v>19</v>
      </c>
      <c r="X5" s="301">
        <f t="shared" si="0"/>
        <v>20</v>
      </c>
      <c r="Y5" s="301">
        <f t="shared" si="0"/>
        <v>21</v>
      </c>
      <c r="Z5" s="301">
        <f t="shared" si="0"/>
        <v>22</v>
      </c>
      <c r="AA5" s="301">
        <f t="shared" si="0"/>
        <v>23</v>
      </c>
      <c r="AB5" s="301">
        <f t="shared" si="0"/>
        <v>24</v>
      </c>
      <c r="AC5" s="301">
        <f t="shared" si="0"/>
        <v>25</v>
      </c>
      <c r="AD5" s="301">
        <f t="shared" si="0"/>
        <v>26</v>
      </c>
      <c r="AE5" s="301">
        <f t="shared" si="0"/>
        <v>27</v>
      </c>
      <c r="AF5" s="301">
        <f t="shared" si="0"/>
        <v>28</v>
      </c>
      <c r="AG5" s="301">
        <f t="shared" si="0"/>
        <v>29</v>
      </c>
      <c r="AH5" s="301">
        <f t="shared" si="0"/>
        <v>30</v>
      </c>
      <c r="AI5" s="301">
        <f t="shared" si="0"/>
        <v>31</v>
      </c>
      <c r="AJ5" s="301">
        <f t="shared" si="0"/>
        <v>32</v>
      </c>
      <c r="AK5" s="301">
        <f t="shared" si="0"/>
        <v>33</v>
      </c>
      <c r="AL5" s="301">
        <f t="shared" si="0"/>
        <v>34</v>
      </c>
      <c r="AM5" s="301">
        <f t="shared" si="0"/>
        <v>35</v>
      </c>
      <c r="AN5" s="301">
        <f t="shared" si="0"/>
        <v>36</v>
      </c>
      <c r="AO5" s="301">
        <f t="shared" si="0"/>
        <v>37</v>
      </c>
      <c r="AP5" s="301">
        <f t="shared" si="0"/>
        <v>38</v>
      </c>
      <c r="AQ5" s="301">
        <f t="shared" si="0"/>
        <v>39</v>
      </c>
      <c r="AR5" s="301">
        <f t="shared" si="0"/>
        <v>40</v>
      </c>
      <c r="AS5" s="301">
        <f t="shared" si="0"/>
        <v>41</v>
      </c>
      <c r="AT5" s="301">
        <f t="shared" si="0"/>
        <v>42</v>
      </c>
      <c r="AU5" s="301">
        <f t="shared" si="0"/>
        <v>43</v>
      </c>
      <c r="AV5" s="301">
        <f t="shared" si="0"/>
        <v>44</v>
      </c>
      <c r="AW5" s="301">
        <f t="shared" si="0"/>
        <v>45</v>
      </c>
      <c r="AX5" s="301">
        <f t="shared" si="0"/>
        <v>46</v>
      </c>
      <c r="AY5" s="301">
        <f t="shared" si="0"/>
        <v>47</v>
      </c>
      <c r="AZ5" s="301">
        <f t="shared" si="0"/>
        <v>48</v>
      </c>
      <c r="BA5" s="301">
        <f t="shared" si="0"/>
        <v>49</v>
      </c>
      <c r="BB5" s="301">
        <f t="shared" si="0"/>
        <v>50</v>
      </c>
      <c r="BC5" s="301">
        <f t="shared" si="0"/>
        <v>51</v>
      </c>
      <c r="BD5" s="301">
        <f t="shared" si="0"/>
        <v>52</v>
      </c>
      <c r="BE5" s="301">
        <f t="shared" si="0"/>
        <v>53</v>
      </c>
      <c r="BF5" s="301">
        <f t="shared" si="0"/>
        <v>54</v>
      </c>
      <c r="BG5" s="301">
        <f t="shared" si="0"/>
        <v>55</v>
      </c>
      <c r="BH5" s="301">
        <f t="shared" si="0"/>
        <v>56</v>
      </c>
      <c r="BI5" s="301">
        <f t="shared" si="0"/>
        <v>57</v>
      </c>
      <c r="BJ5" s="301">
        <f t="shared" si="0"/>
        <v>58</v>
      </c>
      <c r="BK5" s="301">
        <f t="shared" si="0"/>
        <v>59</v>
      </c>
      <c r="BL5" s="301">
        <f t="shared" si="0"/>
        <v>60</v>
      </c>
    </row>
    <row r="6" spans="2:64" x14ac:dyDescent="0.15">
      <c r="C6" s="188" t="s">
        <v>380</v>
      </c>
      <c r="D6" s="301">
        <f>IF(Leadsheet!$E$12-SAP_Speadsheet!D5&lt;0,0,Leadsheet!$E$12-SAP_Speadsheet!D5)</f>
        <v>14</v>
      </c>
      <c r="E6" s="301">
        <f>IF(Leadsheet!$E$12-SAP_Speadsheet!E5&lt;0,0,Leadsheet!$E$12-SAP_Speadsheet!E5)</f>
        <v>13</v>
      </c>
      <c r="F6" s="301">
        <f>IF(Leadsheet!$E$12-SAP_Speadsheet!F5&lt;0,0,Leadsheet!$E$12-SAP_Speadsheet!F5)</f>
        <v>12</v>
      </c>
      <c r="G6" s="301">
        <f>IF(Leadsheet!$E$12-SAP_Speadsheet!G5&lt;0,0,Leadsheet!$E$12-SAP_Speadsheet!G5)</f>
        <v>11</v>
      </c>
      <c r="H6" s="301">
        <f>IF(Leadsheet!$E$12-SAP_Speadsheet!H5&lt;0,0,Leadsheet!$E$12-SAP_Speadsheet!H5)</f>
        <v>10</v>
      </c>
      <c r="I6" s="301">
        <f>IF(Leadsheet!$E$12-SAP_Speadsheet!I5&lt;0,0,Leadsheet!$E$12-SAP_Speadsheet!I5)</f>
        <v>9</v>
      </c>
      <c r="J6" s="301">
        <f>IF(Leadsheet!$E$12-SAP_Speadsheet!J5&lt;0,0,Leadsheet!$E$12-SAP_Speadsheet!J5)</f>
        <v>8</v>
      </c>
      <c r="K6" s="301">
        <f>IF(Leadsheet!$E$12-SAP_Speadsheet!K5&lt;0,0,Leadsheet!$E$12-SAP_Speadsheet!K5)</f>
        <v>7</v>
      </c>
      <c r="L6" s="301">
        <f>IF(Leadsheet!$E$12-SAP_Speadsheet!L5&lt;0,0,Leadsheet!$E$12-SAP_Speadsheet!L5)</f>
        <v>6</v>
      </c>
      <c r="M6" s="301">
        <f>IF(Leadsheet!$E$12-SAP_Speadsheet!M5&lt;0,0,Leadsheet!$E$12-SAP_Speadsheet!M5)</f>
        <v>5</v>
      </c>
      <c r="N6" s="301">
        <f>IF(Leadsheet!$E$12-SAP_Speadsheet!N5&lt;0,0,Leadsheet!$E$12-SAP_Speadsheet!N5)</f>
        <v>4</v>
      </c>
      <c r="O6" s="301">
        <f>IF(Leadsheet!$E$12-SAP_Speadsheet!O5&lt;0,0,Leadsheet!$E$12-SAP_Speadsheet!O5)</f>
        <v>3</v>
      </c>
      <c r="P6" s="301">
        <f>IF(Leadsheet!$E$12-SAP_Speadsheet!P5&lt;0,0,Leadsheet!$E$12-SAP_Speadsheet!P5)</f>
        <v>2</v>
      </c>
      <c r="Q6" s="301">
        <f>IF(Leadsheet!$E$12-SAP_Speadsheet!Q5&lt;0,0,Leadsheet!$E$12-SAP_Speadsheet!Q5)</f>
        <v>1</v>
      </c>
      <c r="R6" s="301">
        <f>IF(Leadsheet!$E$12-SAP_Speadsheet!R5&lt;0,0,Leadsheet!$E$12-SAP_Speadsheet!R5)</f>
        <v>0</v>
      </c>
      <c r="S6" s="301">
        <f>IF(Leadsheet!$E$12-SAP_Speadsheet!S5&lt;0,0,Leadsheet!$E$12-SAP_Speadsheet!S5)</f>
        <v>0</v>
      </c>
      <c r="T6" s="301">
        <f>IF(Leadsheet!$E$12-SAP_Speadsheet!T5&lt;0,0,Leadsheet!$E$12-SAP_Speadsheet!T5)</f>
        <v>0</v>
      </c>
      <c r="U6" s="301">
        <f>IF(Leadsheet!$E$12-SAP_Speadsheet!U5&lt;0,0,Leadsheet!$E$12-SAP_Speadsheet!U5)</f>
        <v>0</v>
      </c>
      <c r="V6" s="301">
        <f>IF(Leadsheet!$E$12-SAP_Speadsheet!V5&lt;0,0,Leadsheet!$E$12-SAP_Speadsheet!V5)</f>
        <v>0</v>
      </c>
      <c r="W6" s="301">
        <f>IF(Leadsheet!$E$12-SAP_Speadsheet!W5&lt;0,0,Leadsheet!$E$12-SAP_Speadsheet!W5)</f>
        <v>0</v>
      </c>
      <c r="X6" s="301">
        <f>IF(Leadsheet!$E$12-SAP_Speadsheet!X5&lt;0,0,Leadsheet!$E$12-SAP_Speadsheet!X5)</f>
        <v>0</v>
      </c>
      <c r="Y6" s="301">
        <f>IF(Leadsheet!$E$12-SAP_Speadsheet!Y5&lt;0,0,Leadsheet!$E$12-SAP_Speadsheet!Y5)</f>
        <v>0</v>
      </c>
      <c r="Z6" s="301">
        <f>IF(Leadsheet!$E$12-SAP_Speadsheet!Z5&lt;0,0,Leadsheet!$E$12-SAP_Speadsheet!Z5)</f>
        <v>0</v>
      </c>
      <c r="AA6" s="301">
        <f>IF(Leadsheet!$E$12-SAP_Speadsheet!AA5&lt;0,0,Leadsheet!$E$12-SAP_Speadsheet!AA5)</f>
        <v>0</v>
      </c>
      <c r="AB6" s="301">
        <f>IF(Leadsheet!$E$12-SAP_Speadsheet!AB5&lt;0,0,Leadsheet!$E$12-SAP_Speadsheet!AB5)</f>
        <v>0</v>
      </c>
      <c r="AC6" s="301">
        <f>IF(Leadsheet!$E$12-SAP_Speadsheet!AC5&lt;0,0,Leadsheet!$E$12-SAP_Speadsheet!AC5)</f>
        <v>0</v>
      </c>
      <c r="AD6" s="301">
        <f>IF(Leadsheet!$E$12-SAP_Speadsheet!AD5&lt;0,0,Leadsheet!$E$12-SAP_Speadsheet!AD5)</f>
        <v>0</v>
      </c>
      <c r="AE6" s="301">
        <f>IF(Leadsheet!$E$12-SAP_Speadsheet!AE5&lt;0,0,Leadsheet!$E$12-SAP_Speadsheet!AE5)</f>
        <v>0</v>
      </c>
      <c r="AF6" s="301">
        <f>IF(Leadsheet!$E$12-SAP_Speadsheet!AF5&lt;0,0,Leadsheet!$E$12-SAP_Speadsheet!AF5)</f>
        <v>0</v>
      </c>
      <c r="AG6" s="301">
        <f>IF(Leadsheet!$E$12-SAP_Speadsheet!AG5&lt;0,0,Leadsheet!$E$12-SAP_Speadsheet!AG5)</f>
        <v>0</v>
      </c>
      <c r="AH6" s="301">
        <f>IF(Leadsheet!$E$12-SAP_Speadsheet!AH5&lt;0,0,Leadsheet!$E$12-SAP_Speadsheet!AH5)</f>
        <v>0</v>
      </c>
      <c r="AI6" s="301">
        <f>IF(Leadsheet!$E$12-SAP_Speadsheet!AI5&lt;0,0,Leadsheet!$E$12-SAP_Speadsheet!AI5)</f>
        <v>0</v>
      </c>
      <c r="AJ6" s="301">
        <f>IF(Leadsheet!$E$12-SAP_Speadsheet!AJ5&lt;0,0,Leadsheet!$E$12-SAP_Speadsheet!AJ5)</f>
        <v>0</v>
      </c>
      <c r="AK6" s="301">
        <f>IF(Leadsheet!$E$12-SAP_Speadsheet!AK5&lt;0,0,Leadsheet!$E$12-SAP_Speadsheet!AK5)</f>
        <v>0</v>
      </c>
      <c r="AL6" s="301">
        <f>IF(Leadsheet!$E$12-SAP_Speadsheet!AL5&lt;0,0,Leadsheet!$E$12-SAP_Speadsheet!AL5)</f>
        <v>0</v>
      </c>
      <c r="AM6" s="301">
        <f>IF(Leadsheet!$E$12-SAP_Speadsheet!AM5&lt;0,0,Leadsheet!$E$12-SAP_Speadsheet!AM5)</f>
        <v>0</v>
      </c>
      <c r="AN6" s="301">
        <f>IF(Leadsheet!$E$12-SAP_Speadsheet!AN5&lt;0,0,Leadsheet!$E$12-SAP_Speadsheet!AN5)</f>
        <v>0</v>
      </c>
      <c r="AO6" s="301">
        <f>IF(Leadsheet!$E$12-SAP_Speadsheet!AO5&lt;0,0,Leadsheet!$E$12-SAP_Speadsheet!AO5)</f>
        <v>0</v>
      </c>
      <c r="AP6" s="301">
        <f>IF(Leadsheet!$E$12-SAP_Speadsheet!AP5&lt;0,0,Leadsheet!$E$12-SAP_Speadsheet!AP5)</f>
        <v>0</v>
      </c>
      <c r="AQ6" s="301">
        <f>IF(Leadsheet!$E$12-SAP_Speadsheet!AQ5&lt;0,0,Leadsheet!$E$12-SAP_Speadsheet!AQ5)</f>
        <v>0</v>
      </c>
      <c r="AR6" s="301">
        <f>IF(Leadsheet!$E$12-SAP_Speadsheet!AR5&lt;0,0,Leadsheet!$E$12-SAP_Speadsheet!AR5)</f>
        <v>0</v>
      </c>
      <c r="AS6" s="301">
        <f>IF(Leadsheet!$E$12-SAP_Speadsheet!AS5&lt;0,0,Leadsheet!$E$12-SAP_Speadsheet!AS5)</f>
        <v>0</v>
      </c>
      <c r="AT6" s="301">
        <f>IF(Leadsheet!$E$12-SAP_Speadsheet!AT5&lt;0,0,Leadsheet!$E$12-SAP_Speadsheet!AT5)</f>
        <v>0</v>
      </c>
      <c r="AU6" s="301">
        <f>IF(Leadsheet!$E$12-SAP_Speadsheet!AU5&lt;0,0,Leadsheet!$E$12-SAP_Speadsheet!AU5)</f>
        <v>0</v>
      </c>
      <c r="AV6" s="301">
        <f>IF(Leadsheet!$E$12-SAP_Speadsheet!AV5&lt;0,0,Leadsheet!$E$12-SAP_Speadsheet!AV5)</f>
        <v>0</v>
      </c>
      <c r="AW6" s="301">
        <f>IF(Leadsheet!$E$12-SAP_Speadsheet!AW5&lt;0,0,Leadsheet!$E$12-SAP_Speadsheet!AW5)</f>
        <v>0</v>
      </c>
      <c r="AX6" s="301">
        <f>IF(Leadsheet!$E$12-SAP_Speadsheet!AX5&lt;0,0,Leadsheet!$E$12-SAP_Speadsheet!AX5)</f>
        <v>0</v>
      </c>
      <c r="AY6" s="301">
        <f>IF(Leadsheet!$E$12-SAP_Speadsheet!AY5&lt;0,0,Leadsheet!$E$12-SAP_Speadsheet!AY5)</f>
        <v>0</v>
      </c>
      <c r="AZ6" s="301">
        <f>IF(Leadsheet!$E$12-SAP_Speadsheet!AZ5&lt;0,0,Leadsheet!$E$12-SAP_Speadsheet!AZ5)</f>
        <v>0</v>
      </c>
      <c r="BA6" s="301">
        <f>IF(Leadsheet!$E$12-SAP_Speadsheet!BA5&lt;0,0,Leadsheet!$E$12-SAP_Speadsheet!BA5)</f>
        <v>0</v>
      </c>
      <c r="BB6" s="301">
        <f>IF(Leadsheet!$E$12-SAP_Speadsheet!BB5&lt;0,0,Leadsheet!$E$12-SAP_Speadsheet!BB5)</f>
        <v>0</v>
      </c>
      <c r="BC6" s="301">
        <f>IF(Leadsheet!$E$12-SAP_Speadsheet!BC5&lt;0,0,Leadsheet!$E$12-SAP_Speadsheet!BC5)</f>
        <v>0</v>
      </c>
      <c r="BD6" s="295">
        <f>IF(Leadsheet!$E$12-SAP_Speadsheet!BD5&lt;0,0,Leadsheet!$E$12-SAP_Speadsheet!BD5)</f>
        <v>0</v>
      </c>
      <c r="BE6" s="295">
        <f>IF(Leadsheet!$E$12-SAP_Speadsheet!BE5&lt;0,0,Leadsheet!$E$12-SAP_Speadsheet!BE5)</f>
        <v>0</v>
      </c>
      <c r="BF6" s="295">
        <f>IF(Leadsheet!$E$12-SAP_Speadsheet!BF5&lt;0,0,Leadsheet!$E$12-SAP_Speadsheet!BF5)</f>
        <v>0</v>
      </c>
      <c r="BG6" s="295">
        <f>IF(Leadsheet!$E$12-SAP_Speadsheet!BG5&lt;0,0,Leadsheet!$E$12-SAP_Speadsheet!BG5)</f>
        <v>0</v>
      </c>
      <c r="BH6" s="295">
        <f>IF(Leadsheet!$E$12-SAP_Speadsheet!BH5&lt;0,0,Leadsheet!$E$12-SAP_Speadsheet!BH5)</f>
        <v>0</v>
      </c>
      <c r="BI6" s="295">
        <f>IF(Leadsheet!$E$12-SAP_Speadsheet!BI5&lt;0,0,Leadsheet!$E$12-SAP_Speadsheet!BI5)</f>
        <v>0</v>
      </c>
      <c r="BJ6" s="295">
        <f>IF(Leadsheet!$E$12-SAP_Speadsheet!BJ5&lt;0,0,Leadsheet!$E$12-SAP_Speadsheet!BJ5)</f>
        <v>0</v>
      </c>
      <c r="BK6" s="295">
        <f>IF(Leadsheet!$E$12-SAP_Speadsheet!BK5&lt;0,0,Leadsheet!$E$12-SAP_Speadsheet!BK5)</f>
        <v>0</v>
      </c>
      <c r="BL6" s="295">
        <f>IF(Leadsheet!$E$12-SAP_Speadsheet!BL5&lt;0,0,Leadsheet!$E$12-SAP_Speadsheet!BL5)</f>
        <v>0</v>
      </c>
    </row>
    <row r="7" spans="2:64" x14ac:dyDescent="0.15">
      <c r="C7" s="188" t="s">
        <v>381</v>
      </c>
      <c r="D7" s="295">
        <f>Leadsheet!E13+Leadsheet!E12</f>
        <v>20</v>
      </c>
    </row>
    <row r="8" spans="2:64" x14ac:dyDescent="0.15">
      <c r="C8" s="188"/>
      <c r="E8" s="295"/>
    </row>
    <row r="9" spans="2:64" ht="13" thickBot="1" x14ac:dyDescent="0.2">
      <c r="B9" s="302" t="s">
        <v>23</v>
      </c>
      <c r="C9" s="303"/>
      <c r="D9" s="304"/>
      <c r="E9" s="305"/>
      <c r="F9" s="304"/>
      <c r="G9" s="304"/>
      <c r="H9" s="304"/>
      <c r="I9" s="304"/>
      <c r="J9" s="304"/>
      <c r="K9" s="304"/>
      <c r="L9" s="304"/>
      <c r="M9" s="304"/>
      <c r="N9" s="304"/>
      <c r="O9" s="304"/>
      <c r="P9" s="304"/>
      <c r="Q9" s="304"/>
      <c r="R9" s="304"/>
      <c r="S9" s="304"/>
      <c r="T9" s="304"/>
      <c r="U9" s="304"/>
      <c r="V9" s="304"/>
      <c r="W9" s="304"/>
      <c r="X9" s="304"/>
      <c r="Y9" s="304"/>
      <c r="Z9" s="304"/>
      <c r="AA9" s="304"/>
      <c r="AB9" s="304"/>
      <c r="AC9" s="304"/>
      <c r="AD9" s="304"/>
      <c r="AE9" s="304"/>
      <c r="AF9" s="304"/>
      <c r="AG9" s="304"/>
      <c r="AH9" s="304"/>
      <c r="AI9" s="304"/>
      <c r="AJ9" s="304"/>
      <c r="AK9" s="304"/>
      <c r="AL9" s="304"/>
      <c r="AM9" s="304"/>
      <c r="AN9" s="304"/>
      <c r="AO9" s="304"/>
      <c r="AP9" s="304"/>
      <c r="AQ9" s="304"/>
      <c r="AR9" s="304"/>
      <c r="AS9" s="304"/>
      <c r="AT9" s="304"/>
      <c r="AU9" s="304"/>
      <c r="AV9" s="304"/>
      <c r="AW9" s="304"/>
      <c r="AX9" s="304"/>
      <c r="AY9" s="304"/>
      <c r="AZ9" s="304"/>
      <c r="BA9" s="304"/>
      <c r="BB9" s="304"/>
      <c r="BC9" s="304"/>
      <c r="BD9" s="304"/>
      <c r="BE9" s="304"/>
      <c r="BF9" s="304"/>
      <c r="BG9" s="304"/>
      <c r="BH9" s="304"/>
      <c r="BI9" s="304"/>
      <c r="BJ9" s="304"/>
      <c r="BK9" s="304"/>
      <c r="BL9" s="304"/>
    </row>
    <row r="10" spans="2:64" ht="12" thickTop="1" x14ac:dyDescent="0.15">
      <c r="B10" s="188" t="s">
        <v>382</v>
      </c>
      <c r="C10" s="188"/>
      <c r="E10" s="295"/>
    </row>
    <row r="11" spans="2:64" x14ac:dyDescent="0.15">
      <c r="C11" s="116" t="s">
        <v>383</v>
      </c>
      <c r="D11" s="306">
        <f>Leadsheet!E18</f>
        <v>0.49171713811086798</v>
      </c>
      <c r="E11" s="306">
        <f>IF(E$5&gt;$D$7,0,VLOOKUP(SAP_Speadsheet!E$5,Leadsheet!$C$18:$F$23,3,1))</f>
        <v>0.49171713811086798</v>
      </c>
      <c r="F11" s="306">
        <f>IF(F$5&gt;$D$7,0,VLOOKUP(SAP_Speadsheet!F$5,Leadsheet!$C$18:$F$23,3,1))</f>
        <v>0.49171713811086798</v>
      </c>
      <c r="G11" s="306">
        <f>IF(G$5&gt;$D$7,0,VLOOKUP(SAP_Speadsheet!G$5,Leadsheet!$C$18:$F$23,3,1))</f>
        <v>0.49171713811086798</v>
      </c>
      <c r="H11" s="306">
        <f>IF(H$5&gt;$D$7,0,VLOOKUP(SAP_Speadsheet!H$5,Leadsheet!$C$18:$F$23,3,1))</f>
        <v>0.49171713811086798</v>
      </c>
      <c r="I11" s="306">
        <f>IF(I$5&gt;$D$7,0,VLOOKUP(SAP_Speadsheet!I$5,Leadsheet!$C$18:$F$23,3,1))</f>
        <v>0.49171713811086798</v>
      </c>
      <c r="J11" s="306">
        <f>IF(J$5&gt;$D$7,0,VLOOKUP(SAP_Speadsheet!J$5,Leadsheet!$C$18:$F$23,3,1))</f>
        <v>0.49171713811086798</v>
      </c>
      <c r="K11" s="306">
        <f>IF(K$5&gt;$D$7,0,VLOOKUP(SAP_Speadsheet!K$5,Leadsheet!$C$18:$F$23,3,1))</f>
        <v>0.49171713811086798</v>
      </c>
      <c r="L11" s="306">
        <f>IF(L$5&gt;$D$7,0,VLOOKUP(SAP_Speadsheet!L$5,Leadsheet!$C$18:$F$23,3,1))</f>
        <v>0.49171713811086798</v>
      </c>
      <c r="M11" s="306">
        <f>IF(M$5&gt;$D$7,0,VLOOKUP(SAP_Speadsheet!M$5,Leadsheet!$C$18:$F$23,3,1))</f>
        <v>0.49171713811086798</v>
      </c>
      <c r="N11" s="306">
        <f>IF(N$5&gt;$D$7,0,VLOOKUP(SAP_Speadsheet!N$5,Leadsheet!$C$18:$F$23,3,1))</f>
        <v>0.49171713811086798</v>
      </c>
      <c r="O11" s="306">
        <f>IF(O$5&gt;$D$7,0,VLOOKUP(SAP_Speadsheet!O$5,Leadsheet!$C$18:$F$23,3,1))</f>
        <v>0.49171713811086798</v>
      </c>
      <c r="P11" s="306">
        <f>IF(P$5&gt;$D$7,0,VLOOKUP(SAP_Speadsheet!P$5,Leadsheet!$C$18:$F$23,3,1))</f>
        <v>0.49171713811086798</v>
      </c>
      <c r="Q11" s="306">
        <f>IF(Q$5&gt;$D$7,0,VLOOKUP(SAP_Speadsheet!Q$5,Leadsheet!$C$18:$F$23,3,1))</f>
        <v>0.49171713811086798</v>
      </c>
      <c r="R11" s="306">
        <f>IF(R$5&gt;$D$7,0,VLOOKUP(SAP_Speadsheet!R$5,Leadsheet!$C$18:$F$23,3,1))</f>
        <v>0.49171713811086798</v>
      </c>
      <c r="S11" s="306">
        <f>IF(S$5&gt;$D$7,0,VLOOKUP(SAP_Speadsheet!S$5,Leadsheet!$C$18:$F$23,3,1))</f>
        <v>0.49171713811086798</v>
      </c>
      <c r="T11" s="306">
        <f>IF(T$5&gt;$D$7,0,VLOOKUP(SAP_Speadsheet!T$5,Leadsheet!$C$18:$F$23,3,1))</f>
        <v>0.49171713811086798</v>
      </c>
      <c r="U11" s="306">
        <f>IF(U$5&gt;$D$7,0,VLOOKUP(SAP_Speadsheet!U$5,Leadsheet!$C$18:$F$23,3,1))</f>
        <v>0.49171713811086798</v>
      </c>
      <c r="V11" s="306">
        <f>IF(V$5&gt;$D$7,0,VLOOKUP(SAP_Speadsheet!V$5,Leadsheet!$C$18:$F$23,3,1))</f>
        <v>0.49171713811086798</v>
      </c>
      <c r="W11" s="306">
        <f>IF(W$5&gt;$D$7,0,VLOOKUP(SAP_Speadsheet!W$5,Leadsheet!$C$18:$F$23,3,1))</f>
        <v>0.49171713811086798</v>
      </c>
      <c r="X11" s="306">
        <f>IF(X$5&gt;$D$7,0,VLOOKUP(SAP_Speadsheet!X$5,Leadsheet!$C$18:$F$23,3,1))</f>
        <v>0.49171713811086798</v>
      </c>
      <c r="Y11" s="306">
        <f>IF(Y$5&gt;$D$7,0,VLOOKUP(SAP_Speadsheet!Y$5,Leadsheet!$C$18:$F$23,3,1))</f>
        <v>0</v>
      </c>
      <c r="Z11" s="306">
        <f>IF(Z$5&gt;$D$7,0,VLOOKUP(SAP_Speadsheet!Z$5,Leadsheet!$C$18:$F$23,3,1))</f>
        <v>0</v>
      </c>
      <c r="AA11" s="306">
        <f>IF(AA$5&gt;$D$7,0,VLOOKUP(SAP_Speadsheet!AA$5,Leadsheet!$C$18:$F$23,3,1))</f>
        <v>0</v>
      </c>
      <c r="AB11" s="306">
        <f>IF(AB$5&gt;$D$7,0,VLOOKUP(SAP_Speadsheet!AB$5,Leadsheet!$C$18:$F$23,3,1))</f>
        <v>0</v>
      </c>
      <c r="AC11" s="306">
        <f>IF(AC$5&gt;$D$7,0,VLOOKUP(SAP_Speadsheet!AC$5,Leadsheet!$C$18:$F$23,3,1))</f>
        <v>0</v>
      </c>
      <c r="AD11" s="306">
        <f>IF(AD$5&gt;$D$7,0,VLOOKUP(SAP_Speadsheet!AD$5,Leadsheet!$C$18:$F$23,3,1))</f>
        <v>0</v>
      </c>
      <c r="AE11" s="306">
        <f>IF(AE$5&gt;$D$7,0,VLOOKUP(SAP_Speadsheet!AE$5,Leadsheet!$C$18:$F$23,3,1))</f>
        <v>0</v>
      </c>
      <c r="AF11" s="306">
        <f>IF(AF$5&gt;$D$7,0,VLOOKUP(SAP_Speadsheet!AF$5,Leadsheet!$C$18:$F$23,3,1))</f>
        <v>0</v>
      </c>
      <c r="AG11" s="306">
        <f>IF(AG$5&gt;$D$7,0,VLOOKUP(SAP_Speadsheet!AG$5,Leadsheet!$C$18:$F$23,3,1))</f>
        <v>0</v>
      </c>
      <c r="AH11" s="306">
        <f>IF(AH$5&gt;$D$7,0,VLOOKUP(SAP_Speadsheet!AH$5,Leadsheet!$C$18:$F$23,3,1))</f>
        <v>0</v>
      </c>
      <c r="AI11" s="306">
        <f>IF(AI$5&gt;$D$7,0,VLOOKUP(SAP_Speadsheet!AI$5,Leadsheet!$C$18:$F$23,3,1))</f>
        <v>0</v>
      </c>
      <c r="AJ11" s="306">
        <f>IF(AJ$5&gt;$D$7,0,VLOOKUP(SAP_Speadsheet!AJ$5,Leadsheet!$C$18:$F$23,3,1))</f>
        <v>0</v>
      </c>
      <c r="AK11" s="306">
        <f>IF(AK$5&gt;$D$7,0,VLOOKUP(SAP_Speadsheet!AK$5,Leadsheet!$C$18:$F$23,3,1))</f>
        <v>0</v>
      </c>
      <c r="AL11" s="306">
        <f>IF(AL$5&gt;$D$7,0,VLOOKUP(SAP_Speadsheet!AL$5,Leadsheet!$C$18:$F$23,3,1))</f>
        <v>0</v>
      </c>
      <c r="AM11" s="306">
        <f>IF(AM$5&gt;$D$7,0,VLOOKUP(SAP_Speadsheet!AM$5,Leadsheet!$C$18:$F$23,3,1))</f>
        <v>0</v>
      </c>
      <c r="AN11" s="306">
        <f>IF(AN$5&gt;$D$7,0,VLOOKUP(SAP_Speadsheet!AN$5,Leadsheet!$C$18:$F$23,3,1))</f>
        <v>0</v>
      </c>
      <c r="AO11" s="306">
        <f>IF(AO$5&gt;$D$7,0,VLOOKUP(SAP_Speadsheet!AO$5,Leadsheet!$C$18:$F$23,3,1))</f>
        <v>0</v>
      </c>
      <c r="AP11" s="306">
        <f>IF(AP$5&gt;$D$7,0,VLOOKUP(SAP_Speadsheet!AP$5,Leadsheet!$C$18:$F$23,3,1))</f>
        <v>0</v>
      </c>
      <c r="AQ11" s="306">
        <f>IF(AQ$5&gt;$D$7,0,VLOOKUP(SAP_Speadsheet!AQ$5,Leadsheet!$C$18:$F$23,3,1))</f>
        <v>0</v>
      </c>
      <c r="AR11" s="306">
        <f>IF(AR$5&gt;$D$7,0,VLOOKUP(SAP_Speadsheet!AR$5,Leadsheet!$C$18:$F$23,3,1))</f>
        <v>0</v>
      </c>
      <c r="AS11" s="306">
        <f>IF(AS$5&gt;$D$7,0,VLOOKUP(SAP_Speadsheet!AS$5,Leadsheet!$C$18:$F$23,3,1))</f>
        <v>0</v>
      </c>
      <c r="AT11" s="306">
        <f>IF(AT$5&gt;$D$7,0,VLOOKUP(SAP_Speadsheet!AT$5,Leadsheet!$C$18:$F$23,3,1))</f>
        <v>0</v>
      </c>
      <c r="AU11" s="306">
        <f>IF(AU$5&gt;$D$7,0,VLOOKUP(SAP_Speadsheet!AU$5,Leadsheet!$C$18:$F$23,3,1))</f>
        <v>0</v>
      </c>
      <c r="AV11" s="306">
        <f>IF(AV$5&gt;$D$7,0,VLOOKUP(SAP_Speadsheet!AV$5,Leadsheet!$C$18:$F$23,3,1))</f>
        <v>0</v>
      </c>
      <c r="AW11" s="306">
        <f>IF(AW$5&gt;$D$7,0,VLOOKUP(SAP_Speadsheet!AW$5,Leadsheet!$C$18:$F$23,3,1))</f>
        <v>0</v>
      </c>
      <c r="AX11" s="306">
        <f>IF(AX$5&gt;$D$7,0,VLOOKUP(SAP_Speadsheet!AX$5,Leadsheet!$C$18:$F$23,3,1))</f>
        <v>0</v>
      </c>
      <c r="AY11" s="306">
        <f>IF(AY$5&gt;$D$7,0,VLOOKUP(SAP_Speadsheet!AY$5,Leadsheet!$C$18:$F$23,3,1))</f>
        <v>0</v>
      </c>
      <c r="AZ11" s="306">
        <f>IF(AZ$5&gt;$D$7,0,VLOOKUP(SAP_Speadsheet!AZ$5,Leadsheet!$C$18:$F$23,3,1))</f>
        <v>0</v>
      </c>
      <c r="BA11" s="306">
        <f>IF(BA$5&gt;$D$7,0,VLOOKUP(SAP_Speadsheet!BA$5,Leadsheet!$C$18:$F$23,3,1))</f>
        <v>0</v>
      </c>
      <c r="BB11" s="306">
        <f>IF(BB$5&gt;$D$7,0,VLOOKUP(SAP_Speadsheet!BB$5,Leadsheet!$C$18:$F$23,3,1))</f>
        <v>0</v>
      </c>
      <c r="BC11" s="306">
        <f>IF(BC$5&gt;$D$7,0,VLOOKUP(SAP_Speadsheet!BC$5,Leadsheet!$C$18:$F$23,3,1))</f>
        <v>0</v>
      </c>
      <c r="BD11" s="306">
        <f>IF(BD$5&gt;$D$7,0,VLOOKUP(SAP_Speadsheet!BD$5,Leadsheet!$C$18:$F$23,3,1))</f>
        <v>0</v>
      </c>
      <c r="BE11" s="306">
        <f>IF(BE$5&gt;$D$7,0,VLOOKUP(SAP_Speadsheet!BE$5,Leadsheet!$C$18:$F$23,3,1))</f>
        <v>0</v>
      </c>
      <c r="BF11" s="306">
        <f>IF(BF$5&gt;$D$7,0,VLOOKUP(SAP_Speadsheet!BF$5,Leadsheet!$C$18:$F$23,3,1))</f>
        <v>0</v>
      </c>
      <c r="BG11" s="306">
        <f>IF(BG$5&gt;$D$7,0,VLOOKUP(SAP_Speadsheet!BG$5,Leadsheet!$C$18:$F$23,3,1))</f>
        <v>0</v>
      </c>
      <c r="BH11" s="306">
        <f>IF(BH$5&gt;$D$7,0,VLOOKUP(SAP_Speadsheet!BH$5,Leadsheet!$C$18:$F$23,3,1))</f>
        <v>0</v>
      </c>
      <c r="BI11" s="306">
        <f>IF(BI$5&gt;$D$7,0,VLOOKUP(SAP_Speadsheet!BI$5,Leadsheet!$C$18:$F$23,3,1))</f>
        <v>0</v>
      </c>
      <c r="BJ11" s="306">
        <f>IF(BJ$5&gt;$D$7,0,VLOOKUP(SAP_Speadsheet!BJ$5,Leadsheet!$C$18:$F$23,3,1))</f>
        <v>0</v>
      </c>
      <c r="BK11" s="306">
        <f>IF(BK$5&gt;$D$7,0,VLOOKUP(SAP_Speadsheet!BK$5,Leadsheet!$C$18:$F$23,3,1))</f>
        <v>0</v>
      </c>
      <c r="BL11" s="306">
        <f>IF(BL$5&gt;$D$7,0,VLOOKUP(SAP_Speadsheet!BL$5,Leadsheet!$C$18:$F$23,3,1))</f>
        <v>0</v>
      </c>
    </row>
    <row r="12" spans="2:64" x14ac:dyDescent="0.15">
      <c r="C12" s="116" t="s">
        <v>384</v>
      </c>
      <c r="D12" s="306">
        <f>Leadsheet!F18</f>
        <v>6.9062918814095695E-2</v>
      </c>
      <c r="E12" s="306">
        <f>IF(E$5&gt;$D$7,0,VLOOKUP(SAP_Speadsheet!E$5,Leadsheet!$C$18:$F$23,4,1))</f>
        <v>6.9062918814095695E-2</v>
      </c>
      <c r="F12" s="306">
        <f>IF(F$5&gt;$D$7,0,VLOOKUP(SAP_Speadsheet!F$5,Leadsheet!$C$18:$F$23,4,1))</f>
        <v>6.9062918814095695E-2</v>
      </c>
      <c r="G12" s="306">
        <f>IF(G$5&gt;$D$7,0,VLOOKUP(SAP_Speadsheet!G$5,Leadsheet!$C$18:$F$23,4,1))</f>
        <v>6.9062918814095695E-2</v>
      </c>
      <c r="H12" s="306">
        <f>IF(H$5&gt;$D$7,0,VLOOKUP(SAP_Speadsheet!H$5,Leadsheet!$C$18:$F$23,4,1))</f>
        <v>6.9062918814095695E-2</v>
      </c>
      <c r="I12" s="306">
        <f>IF(I$5&gt;$D$7,0,VLOOKUP(SAP_Speadsheet!I$5,Leadsheet!$C$18:$F$23,4,1))</f>
        <v>6.9062918814095695E-2</v>
      </c>
      <c r="J12" s="306">
        <f>IF(J$5&gt;$D$7,0,VLOOKUP(SAP_Speadsheet!J$5,Leadsheet!$C$18:$F$23,4,1))</f>
        <v>6.9062918814095695E-2</v>
      </c>
      <c r="K12" s="306">
        <f>IF(K$5&gt;$D$7,0,VLOOKUP(SAP_Speadsheet!K$5,Leadsheet!$C$18:$F$23,4,1))</f>
        <v>6.9062918814095695E-2</v>
      </c>
      <c r="L12" s="306">
        <f>IF(L$5&gt;$D$7,0,VLOOKUP(SAP_Speadsheet!L$5,Leadsheet!$C$18:$F$23,4,1))</f>
        <v>6.9062918814095695E-2</v>
      </c>
      <c r="M12" s="306">
        <f>IF(M$5&gt;$D$7,0,VLOOKUP(SAP_Speadsheet!M$5,Leadsheet!$C$18:$F$23,4,1))</f>
        <v>6.9062918814095695E-2</v>
      </c>
      <c r="N12" s="306">
        <f>IF(N$5&gt;$D$7,0,VLOOKUP(SAP_Speadsheet!N$5,Leadsheet!$C$18:$F$23,4,1))</f>
        <v>6.9062918814095695E-2</v>
      </c>
      <c r="O12" s="306">
        <f>IF(O$5&gt;$D$7,0,VLOOKUP(SAP_Speadsheet!O$5,Leadsheet!$C$18:$F$23,4,1))</f>
        <v>6.9062918814095695E-2</v>
      </c>
      <c r="P12" s="306">
        <f>IF(P$5&gt;$D$7,0,VLOOKUP(SAP_Speadsheet!P$5,Leadsheet!$C$18:$F$23,4,1))</f>
        <v>6.9062918814095695E-2</v>
      </c>
      <c r="Q12" s="306">
        <f>IF(Q$5&gt;$D$7,0,VLOOKUP(SAP_Speadsheet!Q$5,Leadsheet!$C$18:$F$23,4,1))</f>
        <v>6.9062918814095695E-2</v>
      </c>
      <c r="R12" s="306">
        <f>IF(R$5&gt;$D$7,0,VLOOKUP(SAP_Speadsheet!R$5,Leadsheet!$C$18:$F$23,4,1))</f>
        <v>6.9062918814095695E-2</v>
      </c>
      <c r="S12" s="306">
        <f>IF(S$5&gt;$D$7,0,VLOOKUP(SAP_Speadsheet!S$5,Leadsheet!$C$18:$F$23,4,1))</f>
        <v>6.9062918814095695E-2</v>
      </c>
      <c r="T12" s="306">
        <f>IF(T$5&gt;$D$7,0,VLOOKUP(SAP_Speadsheet!T$5,Leadsheet!$C$18:$F$23,4,1))</f>
        <v>6.9062918814095695E-2</v>
      </c>
      <c r="U12" s="306">
        <f>IF(U$5&gt;$D$7,0,VLOOKUP(SAP_Speadsheet!U$5,Leadsheet!$C$18:$F$23,4,1))</f>
        <v>6.9062918814095695E-2</v>
      </c>
      <c r="V12" s="306">
        <f>IF(V$5&gt;$D$7,0,VLOOKUP(SAP_Speadsheet!V$5,Leadsheet!$C$18:$F$23,4,1))</f>
        <v>6.9062918814095695E-2</v>
      </c>
      <c r="W12" s="306">
        <f>IF(W$5&gt;$D$7,0,VLOOKUP(SAP_Speadsheet!W$5,Leadsheet!$C$18:$F$23,4,1))</f>
        <v>6.9062918814095695E-2</v>
      </c>
      <c r="X12" s="306">
        <f>IF(X$5&gt;$D$7,0,VLOOKUP(SAP_Speadsheet!X$5,Leadsheet!$C$18:$F$23,4,1))</f>
        <v>6.9062918814095695E-2</v>
      </c>
      <c r="Y12" s="306">
        <f>IF(Y$5&gt;$D$7,0,VLOOKUP(SAP_Speadsheet!Y$5,Leadsheet!$C$18:$F$23,4,1))</f>
        <v>0</v>
      </c>
      <c r="Z12" s="306">
        <f>IF(Z$5&gt;$D$7,0,VLOOKUP(SAP_Speadsheet!Z$5,Leadsheet!$C$18:$F$23,4,1))</f>
        <v>0</v>
      </c>
      <c r="AA12" s="306">
        <f>IF(AA$5&gt;$D$7,0,VLOOKUP(SAP_Speadsheet!AA$5,Leadsheet!$C$18:$F$23,4,1))</f>
        <v>0</v>
      </c>
      <c r="AB12" s="306">
        <f>IF(AB$5&gt;$D$7,0,VLOOKUP(SAP_Speadsheet!AB$5,Leadsheet!$C$18:$F$23,4,1))</f>
        <v>0</v>
      </c>
      <c r="AC12" s="306">
        <f>IF(AC$5&gt;$D$7,0,VLOOKUP(SAP_Speadsheet!AC$5,Leadsheet!$C$18:$F$23,4,1))</f>
        <v>0</v>
      </c>
      <c r="AD12" s="306">
        <f>IF(AD$5&gt;$D$7,0,VLOOKUP(SAP_Speadsheet!AD$5,Leadsheet!$C$18:$F$23,4,1))</f>
        <v>0</v>
      </c>
      <c r="AE12" s="306">
        <f>IF(AE$5&gt;$D$7,0,VLOOKUP(SAP_Speadsheet!AE$5,Leadsheet!$C$18:$F$23,4,1))</f>
        <v>0</v>
      </c>
      <c r="AF12" s="306">
        <f>IF(AF$5&gt;$D$7,0,VLOOKUP(SAP_Speadsheet!AF$5,Leadsheet!$C$18:$F$23,4,1))</f>
        <v>0</v>
      </c>
      <c r="AG12" s="306">
        <f>IF(AG$5&gt;$D$7,0,VLOOKUP(SAP_Speadsheet!AG$5,Leadsheet!$C$18:$F$23,4,1))</f>
        <v>0</v>
      </c>
      <c r="AH12" s="306">
        <f>IF(AH$5&gt;$D$7,0,VLOOKUP(SAP_Speadsheet!AH$5,Leadsheet!$C$18:$F$23,4,1))</f>
        <v>0</v>
      </c>
      <c r="AI12" s="306">
        <f>IF(AI$5&gt;$D$7,0,VLOOKUP(SAP_Speadsheet!AI$5,Leadsheet!$C$18:$F$23,4,1))</f>
        <v>0</v>
      </c>
      <c r="AJ12" s="306">
        <f>IF(AJ$5&gt;$D$7,0,VLOOKUP(SAP_Speadsheet!AJ$5,Leadsheet!$C$18:$F$23,4,1))</f>
        <v>0</v>
      </c>
      <c r="AK12" s="306">
        <f>IF(AK$5&gt;$D$7,0,VLOOKUP(SAP_Speadsheet!AK$5,Leadsheet!$C$18:$F$23,4,1))</f>
        <v>0</v>
      </c>
      <c r="AL12" s="306">
        <f>IF(AL$5&gt;$D$7,0,VLOOKUP(SAP_Speadsheet!AL$5,Leadsheet!$C$18:$F$23,4,1))</f>
        <v>0</v>
      </c>
      <c r="AM12" s="306">
        <f>IF(AM$5&gt;$D$7,0,VLOOKUP(SAP_Speadsheet!AM$5,Leadsheet!$C$18:$F$23,4,1))</f>
        <v>0</v>
      </c>
      <c r="AN12" s="306">
        <f>IF(AN$5&gt;$D$7,0,VLOOKUP(SAP_Speadsheet!AN$5,Leadsheet!$C$18:$F$23,4,1))</f>
        <v>0</v>
      </c>
      <c r="AO12" s="306">
        <f>IF(AO$5&gt;$D$7,0,VLOOKUP(SAP_Speadsheet!AO$5,Leadsheet!$C$18:$F$23,4,1))</f>
        <v>0</v>
      </c>
      <c r="AP12" s="306">
        <f>IF(AP$5&gt;$D$7,0,VLOOKUP(SAP_Speadsheet!AP$5,Leadsheet!$C$18:$F$23,4,1))</f>
        <v>0</v>
      </c>
      <c r="AQ12" s="306">
        <f>IF(AQ$5&gt;$D$7,0,VLOOKUP(SAP_Speadsheet!AQ$5,Leadsheet!$C$18:$F$23,4,1))</f>
        <v>0</v>
      </c>
      <c r="AR12" s="306">
        <f>IF(AR$5&gt;$D$7,0,VLOOKUP(SAP_Speadsheet!AR$5,Leadsheet!$C$18:$F$23,4,1))</f>
        <v>0</v>
      </c>
      <c r="AS12" s="306">
        <f>IF(AS$5&gt;$D$7,0,VLOOKUP(SAP_Speadsheet!AS$5,Leadsheet!$C$18:$F$23,4,1))</f>
        <v>0</v>
      </c>
      <c r="AT12" s="306">
        <f>IF(AT$5&gt;$D$7,0,VLOOKUP(SAP_Speadsheet!AT$5,Leadsheet!$C$18:$F$23,4,1))</f>
        <v>0</v>
      </c>
      <c r="AU12" s="306">
        <f>IF(AU$5&gt;$D$7,0,VLOOKUP(SAP_Speadsheet!AU$5,Leadsheet!$C$18:$F$23,4,1))</f>
        <v>0</v>
      </c>
      <c r="AV12" s="306">
        <f>IF(AV$5&gt;$D$7,0,VLOOKUP(SAP_Speadsheet!AV$5,Leadsheet!$C$18:$F$23,4,1))</f>
        <v>0</v>
      </c>
      <c r="AW12" s="306">
        <f>IF(AW$5&gt;$D$7,0,VLOOKUP(SAP_Speadsheet!AW$5,Leadsheet!$C$18:$F$23,4,1))</f>
        <v>0</v>
      </c>
      <c r="AX12" s="306">
        <f>IF(AX$5&gt;$D$7,0,VLOOKUP(SAP_Speadsheet!AX$5,Leadsheet!$C$18:$F$23,4,1))</f>
        <v>0</v>
      </c>
      <c r="AY12" s="306">
        <f>IF(AY$5&gt;$D$7,0,VLOOKUP(SAP_Speadsheet!AY$5,Leadsheet!$C$18:$F$23,4,1))</f>
        <v>0</v>
      </c>
      <c r="AZ12" s="306">
        <f>IF(AZ$5&gt;$D$7,0,VLOOKUP(SAP_Speadsheet!AZ$5,Leadsheet!$C$18:$F$23,4,1))</f>
        <v>0</v>
      </c>
      <c r="BA12" s="306">
        <f>IF(BA$5&gt;$D$7,0,VLOOKUP(SAP_Speadsheet!BA$5,Leadsheet!$C$18:$F$23,4,1))</f>
        <v>0</v>
      </c>
      <c r="BB12" s="306">
        <f>IF(BB$5&gt;$D$7,0,VLOOKUP(SAP_Speadsheet!BB$5,Leadsheet!$C$18:$F$23,4,1))</f>
        <v>0</v>
      </c>
      <c r="BC12" s="306">
        <f>IF(BC$5&gt;$D$7,0,VLOOKUP(SAP_Speadsheet!BC$5,Leadsheet!$C$18:$F$23,4,1))</f>
        <v>0</v>
      </c>
      <c r="BD12" s="306">
        <f>IF(BD$5&gt;$D$7,0,VLOOKUP(SAP_Speadsheet!BD$5,Leadsheet!$C$18:$F$23,4,1))</f>
        <v>0</v>
      </c>
      <c r="BE12" s="306">
        <f>IF(BE$5&gt;$D$7,0,VLOOKUP(SAP_Speadsheet!BE$5,Leadsheet!$C$18:$F$23,4,1))</f>
        <v>0</v>
      </c>
      <c r="BF12" s="306">
        <f>IF(BF$5&gt;$D$7,0,VLOOKUP(SAP_Speadsheet!BF$5,Leadsheet!$C$18:$F$23,4,1))</f>
        <v>0</v>
      </c>
      <c r="BG12" s="306">
        <f>IF(BG$5&gt;$D$7,0,VLOOKUP(SAP_Speadsheet!BG$5,Leadsheet!$C$18:$F$23,4,1))</f>
        <v>0</v>
      </c>
      <c r="BH12" s="306">
        <f>IF(BH$5&gt;$D$7,0,VLOOKUP(SAP_Speadsheet!BH$5,Leadsheet!$C$18:$F$23,4,1))</f>
        <v>0</v>
      </c>
      <c r="BI12" s="306">
        <f>IF(BI$5&gt;$D$7,0,VLOOKUP(SAP_Speadsheet!BI$5,Leadsheet!$C$18:$F$23,4,1))</f>
        <v>0</v>
      </c>
      <c r="BJ12" s="306">
        <f>IF(BJ$5&gt;$D$7,0,VLOOKUP(SAP_Speadsheet!BJ$5,Leadsheet!$C$18:$F$23,4,1))</f>
        <v>0</v>
      </c>
      <c r="BK12" s="306">
        <f>IF(BK$5&gt;$D$7,0,VLOOKUP(SAP_Speadsheet!BK$5,Leadsheet!$C$18:$F$23,4,1))</f>
        <v>0</v>
      </c>
      <c r="BL12" s="306">
        <f>IF(BL$5&gt;$D$7,0,VLOOKUP(SAP_Speadsheet!BL$5,Leadsheet!$C$18:$F$23,4,1))</f>
        <v>0</v>
      </c>
    </row>
    <row r="13" spans="2:64" x14ac:dyDescent="0.15">
      <c r="C13" s="116" t="s">
        <v>385</v>
      </c>
      <c r="E13" s="306">
        <f>IF(E$5&lt;Leadsheet!$E$12,VLOOKUP(SAP_Speadsheet!E$5,Leadsheet!$C$26:$G$30,5,1),0)</f>
        <v>0.1158498139684232</v>
      </c>
      <c r="F13" s="306">
        <f>IF(F$5&lt;Leadsheet!$E$12,VLOOKUP(SAP_Speadsheet!F$5,Leadsheet!$C$26:$G$30,5,1),0)</f>
        <v>4.7684839483754599E-2</v>
      </c>
      <c r="G13" s="306">
        <f>IF(G$5&lt;Leadsheet!$E$12,VLOOKUP(SAP_Speadsheet!G$5,Leadsheet!$C$26:$G$30,5,1),0)</f>
        <v>4.7684839483754599E-2</v>
      </c>
      <c r="H13" s="306">
        <f>IF(H$5&lt;Leadsheet!$E$12,VLOOKUP(SAP_Speadsheet!H$5,Leadsheet!$C$26:$G$30,5,1),0)</f>
        <v>2.3340861830709856E-2</v>
      </c>
      <c r="I13" s="306">
        <f>IF(I$5&lt;Leadsheet!$E$12,VLOOKUP(SAP_Speadsheet!I$5,Leadsheet!$C$26:$G$30,5,1),0)</f>
        <v>2.3340861830709856E-2</v>
      </c>
      <c r="J13" s="306">
        <f>IF(J$5&lt;Leadsheet!$E$12,VLOOKUP(SAP_Speadsheet!J$5,Leadsheet!$C$26:$G$30,5,1),0)</f>
        <v>2.3340861830709856E-2</v>
      </c>
      <c r="K13" s="306">
        <f>IF(K$5&lt;Leadsheet!$E$12,VLOOKUP(SAP_Speadsheet!K$5,Leadsheet!$C$26:$G$30,5,1),0)</f>
        <v>2.3340861830709856E-2</v>
      </c>
      <c r="L13" s="306">
        <f>IF(L$5&lt;Leadsheet!$E$12,VLOOKUP(SAP_Speadsheet!L$5,Leadsheet!$C$26:$G$30,5,1),0)</f>
        <v>2.3340861830709856E-2</v>
      </c>
      <c r="M13" s="306">
        <f>IF(M$5&lt;Leadsheet!$E$12,VLOOKUP(SAP_Speadsheet!M$5,Leadsheet!$C$26:$G$30,5,1),0)</f>
        <v>2.3340861830709856E-2</v>
      </c>
      <c r="N13" s="306">
        <f>IF(N$5&lt;Leadsheet!$E$12,VLOOKUP(SAP_Speadsheet!N$5,Leadsheet!$C$26:$G$30,5,1),0)</f>
        <v>2.3340861830709856E-2</v>
      </c>
      <c r="O13" s="306">
        <f>IF(O$5&lt;Leadsheet!$E$12,VLOOKUP(SAP_Speadsheet!O$5,Leadsheet!$C$26:$G$30,5,1),0)</f>
        <v>2.3340861830709856E-2</v>
      </c>
      <c r="P13" s="306">
        <f>IF(P$5&lt;Leadsheet!$E$12,VLOOKUP(SAP_Speadsheet!P$5,Leadsheet!$C$26:$G$30,5,1),0)</f>
        <v>2.3340861830709856E-2</v>
      </c>
      <c r="Q13" s="306">
        <f>IF(Q$5&lt;Leadsheet!$E$12,VLOOKUP(SAP_Speadsheet!Q$5,Leadsheet!$C$26:$G$30,5,1),0)</f>
        <v>2.3340861830709856E-2</v>
      </c>
      <c r="R13" s="306">
        <f>IF(R$5&lt;Leadsheet!$E$12,VLOOKUP(SAP_Speadsheet!R$5,Leadsheet!$C$26:$G$30,5,1),0)</f>
        <v>0</v>
      </c>
      <c r="S13" s="306">
        <f>IF(S$5&lt;Leadsheet!$E$12,VLOOKUP(SAP_Speadsheet!S$5,Leadsheet!$C$26:$G$30,5,1),0)</f>
        <v>0</v>
      </c>
      <c r="T13" s="306">
        <f>IF(T$5&lt;Leadsheet!$E$12,VLOOKUP(SAP_Speadsheet!T$5,Leadsheet!$C$26:$G$30,5,1),0)</f>
        <v>0</v>
      </c>
      <c r="U13" s="306">
        <f>IF(U$5&lt;Leadsheet!$E$12,VLOOKUP(SAP_Speadsheet!U$5,Leadsheet!$C$26:$G$30,5,1),0)</f>
        <v>0</v>
      </c>
      <c r="V13" s="306">
        <f>IF(V$5&lt;Leadsheet!$E$12,VLOOKUP(SAP_Speadsheet!V$5,Leadsheet!$C$26:$G$30,5,1),0)</f>
        <v>0</v>
      </c>
      <c r="W13" s="306">
        <f>IF(W$5&lt;Leadsheet!$E$12,VLOOKUP(SAP_Speadsheet!W$5,Leadsheet!$C$26:$G$30,5,1),0)</f>
        <v>0</v>
      </c>
      <c r="X13" s="306">
        <f>IF(X$5&lt;Leadsheet!$E$12,VLOOKUP(SAP_Speadsheet!X$5,Leadsheet!$C$26:$G$30,5,1),0)</f>
        <v>0</v>
      </c>
      <c r="Y13" s="306">
        <f>IF(Y$5&lt;Leadsheet!$E$12,VLOOKUP(SAP_Speadsheet!Y$5,Leadsheet!$C$26:$G$30,5,1),0)</f>
        <v>0</v>
      </c>
      <c r="Z13" s="306">
        <f>IF(Z$5&lt;Leadsheet!$E$12,VLOOKUP(SAP_Speadsheet!Z$5,Leadsheet!$C$26:$G$30,5,1),0)</f>
        <v>0</v>
      </c>
      <c r="AA13" s="306">
        <f>IF(AA$5&lt;Leadsheet!$E$12,VLOOKUP(SAP_Speadsheet!AA$5,Leadsheet!$C$26:$G$30,5,1),0)</f>
        <v>0</v>
      </c>
      <c r="AB13" s="306">
        <f>IF(AB$5&lt;Leadsheet!$E$12,VLOOKUP(SAP_Speadsheet!AB$5,Leadsheet!$C$26:$G$30,5,1),0)</f>
        <v>0</v>
      </c>
      <c r="AC13" s="306">
        <f>IF(AC$5&lt;Leadsheet!$E$12,VLOOKUP(SAP_Speadsheet!AC$5,Leadsheet!$C$26:$G$30,5,1),0)</f>
        <v>0</v>
      </c>
      <c r="AD13" s="306">
        <f>IF(AD$5&lt;Leadsheet!$E$12,VLOOKUP(SAP_Speadsheet!AD$5,Leadsheet!$C$26:$G$30,5,1),0)</f>
        <v>0</v>
      </c>
      <c r="AE13" s="306">
        <f>IF(AE$5&lt;Leadsheet!$E$12,VLOOKUP(SAP_Speadsheet!AE$5,Leadsheet!$C$26:$G$30,5,1),0)</f>
        <v>0</v>
      </c>
      <c r="AF13" s="306">
        <f>IF(AF$5&lt;Leadsheet!$E$12,VLOOKUP(SAP_Speadsheet!AF$5,Leadsheet!$C$26:$G$30,5,1),0)</f>
        <v>0</v>
      </c>
      <c r="AG13" s="306">
        <f>IF(AG$5&lt;Leadsheet!$E$12,VLOOKUP(SAP_Speadsheet!AG$5,Leadsheet!$C$26:$G$30,5,1),0)</f>
        <v>0</v>
      </c>
      <c r="AH13" s="306">
        <f>IF(AH$5&lt;Leadsheet!$E$12,VLOOKUP(SAP_Speadsheet!AH$5,Leadsheet!$C$26:$G$30,5,1),0)</f>
        <v>0</v>
      </c>
      <c r="AI13" s="306">
        <f>IF(AI$5&lt;Leadsheet!$E$12,VLOOKUP(SAP_Speadsheet!AI$5,Leadsheet!$C$26:$G$30,5,1),0)</f>
        <v>0</v>
      </c>
      <c r="AJ13" s="306">
        <f>IF(AJ$5&lt;Leadsheet!$E$12,VLOOKUP(SAP_Speadsheet!AJ$5,Leadsheet!$C$26:$G$30,5,1),0)</f>
        <v>0</v>
      </c>
      <c r="AK13" s="306">
        <f>IF(AK$5&lt;Leadsheet!$E$12,VLOOKUP(SAP_Speadsheet!AK$5,Leadsheet!$C$26:$G$30,5,1),0)</f>
        <v>0</v>
      </c>
      <c r="AL13" s="306">
        <f>IF(AL$5&lt;Leadsheet!$E$12,VLOOKUP(SAP_Speadsheet!AL$5,Leadsheet!$C$26:$G$30,5,1),0)</f>
        <v>0</v>
      </c>
      <c r="AM13" s="306">
        <f>IF(AM$5&lt;Leadsheet!$E$12,VLOOKUP(SAP_Speadsheet!AM$5,Leadsheet!$C$26:$G$30,5,1),0)</f>
        <v>0</v>
      </c>
      <c r="AN13" s="306">
        <f>IF(AN$5&lt;Leadsheet!$E$12,VLOOKUP(SAP_Speadsheet!AN$5,Leadsheet!$C$26:$G$30,5,1),0)</f>
        <v>0</v>
      </c>
      <c r="AO13" s="306">
        <f>IF(AO$5&lt;Leadsheet!$E$12,VLOOKUP(SAP_Speadsheet!AO$5,Leadsheet!$C$26:$G$30,5,1),0)</f>
        <v>0</v>
      </c>
      <c r="AP13" s="306">
        <f>IF(AP$5&lt;Leadsheet!$E$12,VLOOKUP(SAP_Speadsheet!AP$5,Leadsheet!$C$26:$G$30,5,1),0)</f>
        <v>0</v>
      </c>
      <c r="AQ13" s="306">
        <f>IF(AQ$5&lt;Leadsheet!$E$12,VLOOKUP(SAP_Speadsheet!AQ$5,Leadsheet!$C$26:$G$30,5,1),0)</f>
        <v>0</v>
      </c>
      <c r="AR13" s="306">
        <f>IF(AR$5&lt;Leadsheet!$E$12,VLOOKUP(SAP_Speadsheet!AR$5,Leadsheet!$C$26:$G$30,5,1),0)</f>
        <v>0</v>
      </c>
      <c r="AS13" s="306">
        <f>IF(AS$5&lt;Leadsheet!$E$12,VLOOKUP(SAP_Speadsheet!AS$5,Leadsheet!$C$26:$G$30,5,1),0)</f>
        <v>0</v>
      </c>
      <c r="AT13" s="306">
        <f>IF(AT$5&lt;Leadsheet!$E$12,VLOOKUP(SAP_Speadsheet!AT$5,Leadsheet!$C$26:$G$30,5,1),0)</f>
        <v>0</v>
      </c>
      <c r="AU13" s="306">
        <f>IF(AU$5&lt;Leadsheet!$E$12,VLOOKUP(SAP_Speadsheet!AU$5,Leadsheet!$C$26:$G$30,5,1),0)</f>
        <v>0</v>
      </c>
      <c r="AV13" s="306">
        <f>IF(AV$5&lt;Leadsheet!$E$12,VLOOKUP(SAP_Speadsheet!AV$5,Leadsheet!$C$26:$G$30,5,1),0)</f>
        <v>0</v>
      </c>
      <c r="AW13" s="306">
        <f>IF(AW$5&lt;Leadsheet!$E$12,VLOOKUP(SAP_Speadsheet!AW$5,Leadsheet!$C$26:$G$30,5,1),0)</f>
        <v>0</v>
      </c>
      <c r="AX13" s="306">
        <f>IF(AX$5&lt;Leadsheet!$E$12,VLOOKUP(SAP_Speadsheet!AX$5,Leadsheet!$C$26:$G$30,5,1),0)</f>
        <v>0</v>
      </c>
      <c r="AY13" s="306">
        <f>IF(AY$5&lt;Leadsheet!$E$12,VLOOKUP(SAP_Speadsheet!AY$5,Leadsheet!$C$26:$G$30,5,1),0)</f>
        <v>0</v>
      </c>
      <c r="AZ13" s="306">
        <f>IF(AZ$5&lt;Leadsheet!$E$12,VLOOKUP(SAP_Speadsheet!AZ$5,Leadsheet!$C$26:$G$30,5,1),0)</f>
        <v>0</v>
      </c>
      <c r="BA13" s="306">
        <f>IF(BA$5&lt;Leadsheet!$E$12,VLOOKUP(SAP_Speadsheet!BA$5,Leadsheet!$C$26:$G$30,5,1),0)</f>
        <v>0</v>
      </c>
      <c r="BB13" s="306">
        <f>IF(BB$5&lt;Leadsheet!$E$12,VLOOKUP(SAP_Speadsheet!BB$5,Leadsheet!$C$26:$G$30,5,1),0)</f>
        <v>0</v>
      </c>
      <c r="BC13" s="306">
        <f>IF(BC$5&lt;Leadsheet!$E$12,VLOOKUP(SAP_Speadsheet!BC$5,Leadsheet!$C$26:$G$30,5,1),0)</f>
        <v>0</v>
      </c>
      <c r="BD13" s="306">
        <f>IF(BD$5&lt;Leadsheet!$E$12,VLOOKUP(SAP_Speadsheet!BD$5,Leadsheet!$C$26:$G$30,5,1),0)</f>
        <v>0</v>
      </c>
      <c r="BE13" s="306">
        <f>IF(BE$5&lt;Leadsheet!$E$12,VLOOKUP(SAP_Speadsheet!BE$5,Leadsheet!$C$26:$G$30,5,1),0)</f>
        <v>0</v>
      </c>
      <c r="BF13" s="306">
        <f>IF(BF$5&lt;Leadsheet!$E$12,VLOOKUP(SAP_Speadsheet!BF$5,Leadsheet!$C$26:$G$30,5,1),0)</f>
        <v>0</v>
      </c>
      <c r="BG13" s="306">
        <f>IF(BG$5&lt;Leadsheet!$E$12,VLOOKUP(SAP_Speadsheet!BG$5,Leadsheet!$C$26:$G$30,5,1),0)</f>
        <v>0</v>
      </c>
      <c r="BH13" s="306">
        <f>IF(BH$5&lt;Leadsheet!$E$12,VLOOKUP(SAP_Speadsheet!BH$5,Leadsheet!$C$26:$G$30,5,1),0)</f>
        <v>0</v>
      </c>
      <c r="BI13" s="306">
        <f>IF(BI$5&lt;Leadsheet!$E$12,VLOOKUP(SAP_Speadsheet!BI$5,Leadsheet!$C$26:$G$30,5,1),0)</f>
        <v>0</v>
      </c>
      <c r="BJ13" s="306">
        <f>IF(BJ$5&lt;Leadsheet!$E$12,VLOOKUP(SAP_Speadsheet!BJ$5,Leadsheet!$C$26:$G$30,5,1),0)</f>
        <v>0</v>
      </c>
      <c r="BK13" s="306">
        <f>IF(BK$5&lt;Leadsheet!$E$12,VLOOKUP(SAP_Speadsheet!BK$5,Leadsheet!$C$26:$G$30,5,1),0)</f>
        <v>0</v>
      </c>
      <c r="BL13" s="306">
        <f>IF(BL$5&lt;Leadsheet!$E$12,VLOOKUP(SAP_Speadsheet!BL$5,Leadsheet!$C$26:$G$30,5,1),0)</f>
        <v>0</v>
      </c>
    </row>
    <row r="14" spans="2:64" x14ac:dyDescent="0.15">
      <c r="C14" s="116" t="s">
        <v>386</v>
      </c>
      <c r="E14" s="306">
        <f>IF(E$5&lt;Leadsheet!$E$12,VLOOKUP(SAP_Speadsheet!E$5,Leadsheet!$C$26:$F$30,3,1),0)</f>
        <v>7.5631948383508535E-2</v>
      </c>
      <c r="F14" s="306">
        <f>IF(F$5&lt;Leadsheet!$E$12,VLOOKUP(SAP_Speadsheet!F$5,Leadsheet!$C$26:$F$30,3,1),0)</f>
        <v>7.5631948383508535E-2</v>
      </c>
      <c r="G14" s="306">
        <f>IF(G$5&lt;Leadsheet!$E$12,VLOOKUP(SAP_Speadsheet!G$5,Leadsheet!$C$26:$F$30,3,1),0)</f>
        <v>7.5631948383508535E-2</v>
      </c>
      <c r="H14" s="306">
        <f>IF(H$5&lt;Leadsheet!$E$12,VLOOKUP(SAP_Speadsheet!H$5,Leadsheet!$C$26:$F$30,3,1),0)</f>
        <v>4.8252779353403413E-2</v>
      </c>
      <c r="I14" s="306">
        <f>IF(I$5&lt;Leadsheet!$E$12,VLOOKUP(SAP_Speadsheet!I$5,Leadsheet!$C$26:$F$30,3,1),0)</f>
        <v>4.8252779353403413E-2</v>
      </c>
      <c r="J14" s="306">
        <f>IF(J$5&lt;Leadsheet!$E$12,VLOOKUP(SAP_Speadsheet!J$5,Leadsheet!$C$26:$F$30,3,1),0)</f>
        <v>4.8252779353403413E-2</v>
      </c>
      <c r="K14" s="306">
        <f>IF(K$5&lt;Leadsheet!$E$12,VLOOKUP(SAP_Speadsheet!K$5,Leadsheet!$C$26:$F$30,3,1),0)</f>
        <v>4.8252779353403413E-2</v>
      </c>
      <c r="L14" s="306">
        <f>IF(L$5&lt;Leadsheet!$E$12,VLOOKUP(SAP_Speadsheet!L$5,Leadsheet!$C$26:$F$30,3,1),0)</f>
        <v>4.8252779353403413E-2</v>
      </c>
      <c r="M14" s="306">
        <f>IF(M$5&lt;Leadsheet!$E$12,VLOOKUP(SAP_Speadsheet!M$5,Leadsheet!$C$26:$F$30,3,1),0)</f>
        <v>4.8252779353403413E-2</v>
      </c>
      <c r="N14" s="306">
        <f>IF(N$5&lt;Leadsheet!$E$12,VLOOKUP(SAP_Speadsheet!N$5,Leadsheet!$C$26:$F$30,3,1),0)</f>
        <v>4.8252779353403413E-2</v>
      </c>
      <c r="O14" s="306">
        <f>IF(O$5&lt;Leadsheet!$E$12,VLOOKUP(SAP_Speadsheet!O$5,Leadsheet!$C$26:$F$30,3,1),0)</f>
        <v>4.8252779353403413E-2</v>
      </c>
      <c r="P14" s="306">
        <f>IF(P$5&lt;Leadsheet!$E$12,VLOOKUP(SAP_Speadsheet!P$5,Leadsheet!$C$26:$F$30,3,1),0)</f>
        <v>4.8252779353403413E-2</v>
      </c>
      <c r="Q14" s="306">
        <f>IF(Q$5&lt;Leadsheet!$E$12,VLOOKUP(SAP_Speadsheet!Q$5,Leadsheet!$C$26:$F$30,3,1),0)</f>
        <v>4.8252779353403413E-2</v>
      </c>
      <c r="R14" s="306">
        <f>IF(R$5&lt;Leadsheet!$E$12,VLOOKUP(SAP_Speadsheet!R$5,Leadsheet!$C$26:$F$30,3,1),0)</f>
        <v>0</v>
      </c>
      <c r="S14" s="306">
        <f>IF(S$5&lt;Leadsheet!$E$12,VLOOKUP(SAP_Speadsheet!S$5,Leadsheet!$C$26:$F$30,3,1),0)</f>
        <v>0</v>
      </c>
      <c r="T14" s="306">
        <f>IF(T$5&lt;Leadsheet!$E$12,VLOOKUP(SAP_Speadsheet!T$5,Leadsheet!$C$26:$F$30,3,1),0)</f>
        <v>0</v>
      </c>
      <c r="U14" s="306">
        <f>IF(U$5&lt;Leadsheet!$E$12,VLOOKUP(SAP_Speadsheet!U$5,Leadsheet!$C$26:$F$30,3,1),0)</f>
        <v>0</v>
      </c>
      <c r="V14" s="306">
        <f>IF(V$5&lt;Leadsheet!$E$12,VLOOKUP(SAP_Speadsheet!V$5,Leadsheet!$C$26:$F$30,3,1),0)</f>
        <v>0</v>
      </c>
      <c r="W14" s="306">
        <f>IF(W$5&lt;Leadsheet!$E$12,VLOOKUP(SAP_Speadsheet!W$5,Leadsheet!$C$26:$F$30,3,1),0)</f>
        <v>0</v>
      </c>
      <c r="X14" s="306">
        <f>IF(X$5&lt;Leadsheet!$E$12,VLOOKUP(SAP_Speadsheet!X$5,Leadsheet!$C$26:$F$30,3,1),0)</f>
        <v>0</v>
      </c>
      <c r="Y14" s="306">
        <f>IF(Y$5&lt;Leadsheet!$E$12,VLOOKUP(SAP_Speadsheet!Y$5,Leadsheet!$C$26:$F$30,3,1),0)</f>
        <v>0</v>
      </c>
      <c r="Z14" s="306">
        <f>IF(Z$5&lt;Leadsheet!$E$12,VLOOKUP(SAP_Speadsheet!Z$5,Leadsheet!$C$26:$F$30,3,1),0)</f>
        <v>0</v>
      </c>
      <c r="AA14" s="306">
        <f>IF(AA$5&lt;Leadsheet!$E$12,VLOOKUP(SAP_Speadsheet!AA$5,Leadsheet!$C$26:$F$30,3,1),0)</f>
        <v>0</v>
      </c>
      <c r="AB14" s="306">
        <f>IF(AB$5&lt;Leadsheet!$E$12,VLOOKUP(SAP_Speadsheet!AB$5,Leadsheet!$C$26:$F$30,3,1),0)</f>
        <v>0</v>
      </c>
      <c r="AC14" s="306">
        <f>IF(AC$5&lt;Leadsheet!$E$12,VLOOKUP(SAP_Speadsheet!AC$5,Leadsheet!$C$26:$F$30,3,1),0)</f>
        <v>0</v>
      </c>
      <c r="AD14" s="306">
        <f>IF(AD$5&lt;Leadsheet!$E$12,VLOOKUP(SAP_Speadsheet!AD$5,Leadsheet!$C$26:$F$30,3,1),0)</f>
        <v>0</v>
      </c>
      <c r="AE14" s="306">
        <f>IF(AE$5&lt;Leadsheet!$E$12,VLOOKUP(SAP_Speadsheet!AE$5,Leadsheet!$C$26:$F$30,3,1),0)</f>
        <v>0</v>
      </c>
      <c r="AF14" s="306">
        <f>IF(AF$5&lt;Leadsheet!$E$12,VLOOKUP(SAP_Speadsheet!AF$5,Leadsheet!$C$26:$F$30,3,1),0)</f>
        <v>0</v>
      </c>
      <c r="AG14" s="306">
        <f>IF(AG$5&lt;Leadsheet!$E$12,VLOOKUP(SAP_Speadsheet!AG$5,Leadsheet!$C$26:$F$30,3,1),0)</f>
        <v>0</v>
      </c>
      <c r="AH14" s="306">
        <f>IF(AH$5&lt;Leadsheet!$E$12,VLOOKUP(SAP_Speadsheet!AH$5,Leadsheet!$C$26:$F$30,3,1),0)</f>
        <v>0</v>
      </c>
      <c r="AI14" s="306">
        <f>IF(AI$5&lt;Leadsheet!$E$12,VLOOKUP(SAP_Speadsheet!AI$5,Leadsheet!$C$26:$F$30,3,1),0)</f>
        <v>0</v>
      </c>
      <c r="AJ14" s="306">
        <f>IF(AJ$5&lt;Leadsheet!$E$12,VLOOKUP(SAP_Speadsheet!AJ$5,Leadsheet!$C$26:$F$30,3,1),0)</f>
        <v>0</v>
      </c>
      <c r="AK14" s="306">
        <f>IF(AK$5&lt;Leadsheet!$E$12,VLOOKUP(SAP_Speadsheet!AK$5,Leadsheet!$C$26:$F$30,3,1),0)</f>
        <v>0</v>
      </c>
      <c r="AL14" s="306">
        <f>IF(AL$5&lt;Leadsheet!$E$12,VLOOKUP(SAP_Speadsheet!AL$5,Leadsheet!$C$26:$F$30,3,1),0)</f>
        <v>0</v>
      </c>
      <c r="AM14" s="306">
        <f>IF(AM$5&lt;Leadsheet!$E$12,VLOOKUP(SAP_Speadsheet!AM$5,Leadsheet!$C$26:$F$30,3,1),0)</f>
        <v>0</v>
      </c>
      <c r="AN14" s="306">
        <f>IF(AN$5&lt;Leadsheet!$E$12,VLOOKUP(SAP_Speadsheet!AN$5,Leadsheet!$C$26:$F$30,3,1),0)</f>
        <v>0</v>
      </c>
      <c r="AO14" s="306">
        <f>IF(AO$5&lt;Leadsheet!$E$12,VLOOKUP(SAP_Speadsheet!AO$5,Leadsheet!$C$26:$F$30,3,1),0)</f>
        <v>0</v>
      </c>
      <c r="AP14" s="306">
        <f>IF(AP$5&lt;Leadsheet!$E$12,VLOOKUP(SAP_Speadsheet!AP$5,Leadsheet!$C$26:$F$30,3,1),0)</f>
        <v>0</v>
      </c>
      <c r="AQ14" s="306">
        <f>IF(AQ$5&lt;Leadsheet!$E$12,VLOOKUP(SAP_Speadsheet!AQ$5,Leadsheet!$C$26:$F$30,3,1),0)</f>
        <v>0</v>
      </c>
      <c r="AR14" s="306">
        <f>IF(AR$5&lt;Leadsheet!$E$12,VLOOKUP(SAP_Speadsheet!AR$5,Leadsheet!$C$26:$F$30,3,1),0)</f>
        <v>0</v>
      </c>
      <c r="AS14" s="306">
        <f>IF(AS$5&lt;Leadsheet!$E$12,VLOOKUP(SAP_Speadsheet!AS$5,Leadsheet!$C$26:$F$30,3,1),0)</f>
        <v>0</v>
      </c>
      <c r="AT14" s="306">
        <f>IF(AT$5&lt;Leadsheet!$E$12,VLOOKUP(SAP_Speadsheet!AT$5,Leadsheet!$C$26:$F$30,3,1),0)</f>
        <v>0</v>
      </c>
      <c r="AU14" s="306">
        <f>IF(AU$5&lt;Leadsheet!$E$12,VLOOKUP(SAP_Speadsheet!AU$5,Leadsheet!$C$26:$F$30,3,1),0)</f>
        <v>0</v>
      </c>
      <c r="AV14" s="306">
        <f>IF(AV$5&lt;Leadsheet!$E$12,VLOOKUP(SAP_Speadsheet!AV$5,Leadsheet!$C$26:$F$30,3,1),0)</f>
        <v>0</v>
      </c>
      <c r="AW14" s="306">
        <f>IF(AW$5&lt;Leadsheet!$E$12,VLOOKUP(SAP_Speadsheet!AW$5,Leadsheet!$C$26:$F$30,3,1),0)</f>
        <v>0</v>
      </c>
      <c r="AX14" s="306">
        <f>IF(AX$5&lt;Leadsheet!$E$12,VLOOKUP(SAP_Speadsheet!AX$5,Leadsheet!$C$26:$F$30,3,1),0)</f>
        <v>0</v>
      </c>
      <c r="AY14" s="306">
        <f>IF(AY$5&lt;Leadsheet!$E$12,VLOOKUP(SAP_Speadsheet!AY$5,Leadsheet!$C$26:$F$30,3,1),0)</f>
        <v>0</v>
      </c>
      <c r="AZ14" s="306">
        <f>IF(AZ$5&lt;Leadsheet!$E$12,VLOOKUP(SAP_Speadsheet!AZ$5,Leadsheet!$C$26:$F$30,3,1),0)</f>
        <v>0</v>
      </c>
      <c r="BA14" s="306">
        <f>IF(BA$5&lt;Leadsheet!$E$12,VLOOKUP(SAP_Speadsheet!BA$5,Leadsheet!$C$26:$F$30,3,1),0)</f>
        <v>0</v>
      </c>
      <c r="BB14" s="306">
        <f>IF(BB$5&lt;Leadsheet!$E$12,VLOOKUP(SAP_Speadsheet!BB$5,Leadsheet!$C$26:$F$30,3,1),0)</f>
        <v>0</v>
      </c>
      <c r="BC14" s="306">
        <f>IF(BC$5&lt;Leadsheet!$E$12,VLOOKUP(SAP_Speadsheet!BC$5,Leadsheet!$C$26:$F$30,3,1),0)</f>
        <v>0</v>
      </c>
      <c r="BD14" s="306">
        <f>IF(BD$5&lt;Leadsheet!$E$12,VLOOKUP(SAP_Speadsheet!BD$5,Leadsheet!$C$26:$F$30,3,1),0)</f>
        <v>0</v>
      </c>
      <c r="BE14" s="306">
        <f>IF(BE$5&lt;Leadsheet!$E$12,VLOOKUP(SAP_Speadsheet!BE$5,Leadsheet!$C$26:$F$30,3,1),0)</f>
        <v>0</v>
      </c>
      <c r="BF14" s="306">
        <f>IF(BF$5&lt;Leadsheet!$E$12,VLOOKUP(SAP_Speadsheet!BF$5,Leadsheet!$C$26:$F$30,3,1),0)</f>
        <v>0</v>
      </c>
      <c r="BG14" s="306">
        <f>IF(BG$5&lt;Leadsheet!$E$12,VLOOKUP(SAP_Speadsheet!BG$5,Leadsheet!$C$26:$F$30,3,1),0)</f>
        <v>0</v>
      </c>
      <c r="BH14" s="306">
        <f>IF(BH$5&lt;Leadsheet!$E$12,VLOOKUP(SAP_Speadsheet!BH$5,Leadsheet!$C$26:$F$30,3,1),0)</f>
        <v>0</v>
      </c>
      <c r="BI14" s="306">
        <f>IF(BI$5&lt;Leadsheet!$E$12,VLOOKUP(SAP_Speadsheet!BI$5,Leadsheet!$C$26:$F$30,3,1),0)</f>
        <v>0</v>
      </c>
      <c r="BJ14" s="306">
        <f>IF(BJ$5&lt;Leadsheet!$E$12,VLOOKUP(SAP_Speadsheet!BJ$5,Leadsheet!$C$26:$F$30,3,1),0)</f>
        <v>0</v>
      </c>
      <c r="BK14" s="306">
        <f>IF(BK$5&lt;Leadsheet!$E$12,VLOOKUP(SAP_Speadsheet!BK$5,Leadsheet!$C$26:$F$30,3,1),0)</f>
        <v>0</v>
      </c>
      <c r="BL14" s="306">
        <f>IF(BL$5&lt;Leadsheet!$E$12,VLOOKUP(SAP_Speadsheet!BL$5,Leadsheet!$C$26:$F$30,3,1),0)</f>
        <v>0</v>
      </c>
    </row>
    <row r="15" spans="2:64" x14ac:dyDescent="0.15">
      <c r="E15" s="306"/>
      <c r="F15" s="306"/>
      <c r="G15" s="306"/>
      <c r="H15" s="306"/>
      <c r="I15" s="306"/>
      <c r="J15" s="306"/>
      <c r="K15" s="306"/>
      <c r="L15" s="306"/>
      <c r="M15" s="306"/>
      <c r="N15" s="306"/>
      <c r="O15" s="306"/>
      <c r="P15" s="306"/>
      <c r="Q15" s="306"/>
      <c r="R15" s="306"/>
      <c r="S15" s="306"/>
      <c r="T15" s="306"/>
      <c r="U15" s="306"/>
      <c r="V15" s="306"/>
      <c r="W15" s="306"/>
      <c r="X15" s="306"/>
      <c r="Y15" s="306"/>
      <c r="Z15" s="306"/>
      <c r="AA15" s="306"/>
      <c r="AB15" s="306"/>
      <c r="AC15" s="306"/>
      <c r="AD15" s="306"/>
      <c r="AE15" s="306"/>
      <c r="AF15" s="306"/>
      <c r="AG15" s="306"/>
      <c r="AH15" s="306"/>
      <c r="AI15" s="306"/>
      <c r="AJ15" s="306"/>
      <c r="AK15" s="306"/>
      <c r="AL15" s="306"/>
      <c r="AM15" s="306"/>
      <c r="AN15" s="306"/>
      <c r="AO15" s="306"/>
      <c r="AP15" s="306"/>
      <c r="AQ15" s="306"/>
      <c r="AR15" s="306"/>
      <c r="AS15" s="306"/>
      <c r="AT15" s="306"/>
      <c r="AU15" s="306"/>
      <c r="AV15" s="306"/>
      <c r="AW15" s="306"/>
      <c r="AX15" s="306"/>
      <c r="AY15" s="306"/>
      <c r="AZ15" s="298"/>
      <c r="BA15" s="298"/>
      <c r="BB15" s="298"/>
      <c r="BC15" s="298"/>
      <c r="BD15" s="298"/>
      <c r="BE15" s="298"/>
      <c r="BF15" s="298"/>
      <c r="BG15" s="298"/>
      <c r="BH15" s="298"/>
      <c r="BI15" s="298"/>
      <c r="BJ15" s="298"/>
      <c r="BK15" s="298"/>
      <c r="BL15" s="298"/>
    </row>
    <row r="16" spans="2:64" x14ac:dyDescent="0.15">
      <c r="B16" s="188" t="s">
        <v>227</v>
      </c>
      <c r="C16" s="116" t="s">
        <v>387</v>
      </c>
      <c r="D16" s="307">
        <v>1</v>
      </c>
      <c r="E16" s="308">
        <f t="shared" ref="E16:BL16" si="1">IF(E5&gt;$D$7,0,D16-E13)</f>
        <v>0.8841501860315768</v>
      </c>
      <c r="F16" s="308">
        <f t="shared" si="1"/>
        <v>0.83646534654782223</v>
      </c>
      <c r="G16" s="308">
        <f t="shared" si="1"/>
        <v>0.78878050706406766</v>
      </c>
      <c r="H16" s="308">
        <f t="shared" si="1"/>
        <v>0.76543964523335783</v>
      </c>
      <c r="I16" s="308">
        <f t="shared" si="1"/>
        <v>0.74209878340264801</v>
      </c>
      <c r="J16" s="308">
        <f t="shared" si="1"/>
        <v>0.71875792157193819</v>
      </c>
      <c r="K16" s="308">
        <f t="shared" si="1"/>
        <v>0.69541705974122836</v>
      </c>
      <c r="L16" s="308">
        <f t="shared" si="1"/>
        <v>0.67207619791051854</v>
      </c>
      <c r="M16" s="308">
        <f t="shared" si="1"/>
        <v>0.64873533607980871</v>
      </c>
      <c r="N16" s="308">
        <f t="shared" si="1"/>
        <v>0.62539447424909889</v>
      </c>
      <c r="O16" s="308">
        <f t="shared" si="1"/>
        <v>0.60205361241838906</v>
      </c>
      <c r="P16" s="308">
        <f t="shared" si="1"/>
        <v>0.57871275058767924</v>
      </c>
      <c r="Q16" s="308">
        <f t="shared" si="1"/>
        <v>0.55537188875696941</v>
      </c>
      <c r="R16" s="308">
        <f t="shared" si="1"/>
        <v>0.55537188875696941</v>
      </c>
      <c r="S16" s="308">
        <f t="shared" si="1"/>
        <v>0.55537188875696941</v>
      </c>
      <c r="T16" s="308">
        <f t="shared" si="1"/>
        <v>0.55537188875696941</v>
      </c>
      <c r="U16" s="308">
        <f t="shared" si="1"/>
        <v>0.55537188875696941</v>
      </c>
      <c r="V16" s="308">
        <f t="shared" si="1"/>
        <v>0.55537188875696941</v>
      </c>
      <c r="W16" s="308">
        <f t="shared" si="1"/>
        <v>0.55537188875696941</v>
      </c>
      <c r="X16" s="308">
        <f t="shared" si="1"/>
        <v>0.55537188875696941</v>
      </c>
      <c r="Y16" s="308">
        <f t="shared" si="1"/>
        <v>0</v>
      </c>
      <c r="Z16" s="308">
        <f t="shared" si="1"/>
        <v>0</v>
      </c>
      <c r="AA16" s="308">
        <f t="shared" si="1"/>
        <v>0</v>
      </c>
      <c r="AB16" s="308">
        <f t="shared" si="1"/>
        <v>0</v>
      </c>
      <c r="AC16" s="308">
        <f t="shared" si="1"/>
        <v>0</v>
      </c>
      <c r="AD16" s="308">
        <f t="shared" si="1"/>
        <v>0</v>
      </c>
      <c r="AE16" s="308">
        <f t="shared" si="1"/>
        <v>0</v>
      </c>
      <c r="AF16" s="308">
        <f t="shared" si="1"/>
        <v>0</v>
      </c>
      <c r="AG16" s="308">
        <f t="shared" si="1"/>
        <v>0</v>
      </c>
      <c r="AH16" s="308">
        <f t="shared" si="1"/>
        <v>0</v>
      </c>
      <c r="AI16" s="308">
        <f t="shared" si="1"/>
        <v>0</v>
      </c>
      <c r="AJ16" s="308">
        <f t="shared" si="1"/>
        <v>0</v>
      </c>
      <c r="AK16" s="308">
        <f t="shared" si="1"/>
        <v>0</v>
      </c>
      <c r="AL16" s="308">
        <f t="shared" si="1"/>
        <v>0</v>
      </c>
      <c r="AM16" s="308">
        <f t="shared" si="1"/>
        <v>0</v>
      </c>
      <c r="AN16" s="308">
        <f t="shared" si="1"/>
        <v>0</v>
      </c>
      <c r="AO16" s="308">
        <f t="shared" si="1"/>
        <v>0</v>
      </c>
      <c r="AP16" s="308">
        <f t="shared" si="1"/>
        <v>0</v>
      </c>
      <c r="AQ16" s="308">
        <f t="shared" si="1"/>
        <v>0</v>
      </c>
      <c r="AR16" s="308">
        <f t="shared" si="1"/>
        <v>0</v>
      </c>
      <c r="AS16" s="308">
        <f t="shared" si="1"/>
        <v>0</v>
      </c>
      <c r="AT16" s="308">
        <f t="shared" si="1"/>
        <v>0</v>
      </c>
      <c r="AU16" s="308">
        <f t="shared" si="1"/>
        <v>0</v>
      </c>
      <c r="AV16" s="308">
        <f t="shared" si="1"/>
        <v>0</v>
      </c>
      <c r="AW16" s="308">
        <f t="shared" si="1"/>
        <v>0</v>
      </c>
      <c r="AX16" s="308">
        <f t="shared" si="1"/>
        <v>0</v>
      </c>
      <c r="AY16" s="308">
        <f t="shared" si="1"/>
        <v>0</v>
      </c>
      <c r="AZ16" s="308">
        <f t="shared" si="1"/>
        <v>0</v>
      </c>
      <c r="BA16" s="308">
        <f t="shared" si="1"/>
        <v>0</v>
      </c>
      <c r="BB16" s="308">
        <f t="shared" si="1"/>
        <v>0</v>
      </c>
      <c r="BC16" s="308">
        <f t="shared" si="1"/>
        <v>0</v>
      </c>
      <c r="BD16" s="308">
        <f t="shared" si="1"/>
        <v>0</v>
      </c>
      <c r="BE16" s="308">
        <f t="shared" si="1"/>
        <v>0</v>
      </c>
      <c r="BF16" s="308">
        <f t="shared" si="1"/>
        <v>0</v>
      </c>
      <c r="BG16" s="308">
        <f t="shared" si="1"/>
        <v>0</v>
      </c>
      <c r="BH16" s="308">
        <f t="shared" si="1"/>
        <v>0</v>
      </c>
      <c r="BI16" s="308">
        <f t="shared" si="1"/>
        <v>0</v>
      </c>
      <c r="BJ16" s="308">
        <f t="shared" si="1"/>
        <v>0</v>
      </c>
      <c r="BK16" s="308">
        <f t="shared" si="1"/>
        <v>0</v>
      </c>
      <c r="BL16" s="308">
        <f t="shared" si="1"/>
        <v>0</v>
      </c>
    </row>
    <row r="17" spans="1:64" s="172" customFormat="1" x14ac:dyDescent="0.15">
      <c r="B17" s="188"/>
      <c r="C17" s="216" t="s">
        <v>388</v>
      </c>
      <c r="D17" s="309">
        <f>Leadsheet!E10</f>
        <v>16.179160103242385</v>
      </c>
      <c r="E17" s="309">
        <f>IF(E$5&gt;Leadsheet!$E$12,0,D17+E21+E18)</f>
        <v>13.426217396280725</v>
      </c>
      <c r="F17" s="309">
        <f>IF(F$5&gt;Leadsheet!$E$12,0,SAP_Speadsheet!E17+SAP_Speadsheet!F21+F18)</f>
        <v>11.941635089089909</v>
      </c>
      <c r="G17" s="309">
        <f>IF(G$5&gt;Leadsheet!$E$12,0,SAP_Speadsheet!F17+SAP_Speadsheet!G21+G18)</f>
        <v>10.531459231133677</v>
      </c>
      <c r="H17" s="309">
        <f>IF(H$5&gt;Leadsheet!$E$12,0,SAP_Speadsheet!G17+SAP_Speadsheet!H21+H18)</f>
        <v>9.4799419524120641</v>
      </c>
      <c r="I17" s="309">
        <f>IF(I$5&gt;Leadsheet!$E$12,0,SAP_Speadsheet!H17+SAP_Speadsheet!I21+I18)</f>
        <v>8.4467878921983104</v>
      </c>
      <c r="J17" s="309">
        <f>IF(J$5&gt;Leadsheet!$E$12,0,SAP_Speadsheet!I17+SAP_Speadsheet!J21+J18)</f>
        <v>7.4313214042210376</v>
      </c>
      <c r="K17" s="309">
        <f>IF(K$5&gt;Leadsheet!$E$12,0,SAP_Speadsheet!J17+SAP_Speadsheet!K21+K18)</f>
        <v>6.433342535888376</v>
      </c>
      <c r="L17" s="309">
        <f>IF(L$5&gt;Leadsheet!$E$12,0,SAP_Speadsheet!K17+SAP_Speadsheet!L21+L18)</f>
        <v>5.4521868721443987</v>
      </c>
      <c r="M17" s="309">
        <f>IF(M$5&gt;Leadsheet!$E$12,0,SAP_Speadsheet!L17+SAP_Speadsheet!M21+M18)</f>
        <v>4.4877878558591773</v>
      </c>
      <c r="N17" s="309">
        <f>IF(N$5&gt;Leadsheet!$E$12,0,SAP_Speadsheet!M17+SAP_Speadsheet!N21+N18)</f>
        <v>3.5407941812354062</v>
      </c>
      <c r="O17" s="309">
        <f>IF(O$5&gt;Leadsheet!$E$12,0,SAP_Speadsheet!N17+SAP_Speadsheet!O21+O18)</f>
        <v>2.6122903385320329</v>
      </c>
      <c r="P17" s="309">
        <f>IF(P$5&gt;Leadsheet!$E$12,0,SAP_Speadsheet!O17+SAP_Speadsheet!P21+P18)</f>
        <v>1.7042906187804061</v>
      </c>
      <c r="Q17" s="309">
        <f>IF(Q$5&gt;Leadsheet!$E$12,0,SAP_Speadsheet!P17+SAP_Speadsheet!Q21+Q18)</f>
        <v>0.82105885785221955</v>
      </c>
      <c r="R17" s="309">
        <f>IF(R$5&gt;Leadsheet!$E$12,0,SAP_Speadsheet!Q17+SAP_Speadsheet!R21+R18)</f>
        <v>0</v>
      </c>
      <c r="S17" s="309">
        <f>IF(S$5&gt;Leadsheet!$E$12,0,SAP_Speadsheet!R17+SAP_Speadsheet!S21+S18)</f>
        <v>0</v>
      </c>
      <c r="T17" s="309">
        <f>IF(T$5&gt;Leadsheet!$E$12,0,SAP_Speadsheet!S17+SAP_Speadsheet!T21+T18)</f>
        <v>0</v>
      </c>
      <c r="U17" s="309">
        <f>IF(U$5&gt;Leadsheet!$E$12,0,SAP_Speadsheet!T17+SAP_Speadsheet!U21+U18)</f>
        <v>0</v>
      </c>
      <c r="V17" s="309">
        <f>IF(V$5&gt;Leadsheet!$E$12,0,SAP_Speadsheet!U17+SAP_Speadsheet!V21+V18)</f>
        <v>0</v>
      </c>
      <c r="W17" s="309">
        <f>IF(W$5&gt;Leadsheet!$E$12,0,SAP_Speadsheet!V17+SAP_Speadsheet!W21+W18)</f>
        <v>0</v>
      </c>
      <c r="X17" s="309">
        <f>IF(X$5&gt;Leadsheet!$E$12,0,SAP_Speadsheet!W17+SAP_Speadsheet!X21+X18)</f>
        <v>0</v>
      </c>
      <c r="Y17" s="309">
        <f>IF(Y$5&gt;Leadsheet!$E$12,0,SAP_Speadsheet!X17+SAP_Speadsheet!Y21+Y18)</f>
        <v>0</v>
      </c>
      <c r="Z17" s="309">
        <f>IF(Z$5&gt;Leadsheet!$E$12,0,SAP_Speadsheet!Y17+SAP_Speadsheet!Z21+Z18)</f>
        <v>0</v>
      </c>
      <c r="AA17" s="309">
        <f>IF(AA$5&gt;Leadsheet!$E$12,0,SAP_Speadsheet!Z17+SAP_Speadsheet!AA21+AA18)</f>
        <v>0</v>
      </c>
      <c r="AB17" s="309">
        <f>IF(AB$5&gt;Leadsheet!$E$12,0,SAP_Speadsheet!AA17+SAP_Speadsheet!AB21+AB18)</f>
        <v>0</v>
      </c>
      <c r="AC17" s="309">
        <f>IF(AC$5&gt;Leadsheet!$E$12,0,SAP_Speadsheet!AB17+SAP_Speadsheet!AC21+AC18)</f>
        <v>0</v>
      </c>
      <c r="AD17" s="309">
        <f>IF(AD$5&gt;Leadsheet!$E$12,0,SAP_Speadsheet!AC17+SAP_Speadsheet!AD21+AD18)</f>
        <v>0</v>
      </c>
      <c r="AE17" s="309">
        <f>IF(AE$5&gt;Leadsheet!$E$12,0,SAP_Speadsheet!AD17+SAP_Speadsheet!AE21+AE18)</f>
        <v>0</v>
      </c>
      <c r="AF17" s="309">
        <f>IF(AF$5&gt;Leadsheet!$E$12,0,SAP_Speadsheet!AE17+SAP_Speadsheet!AF21+AF18)</f>
        <v>0</v>
      </c>
      <c r="AG17" s="309">
        <f>IF(AG$5&gt;Leadsheet!$E$12,0,SAP_Speadsheet!AF17+SAP_Speadsheet!AG21+AG18)</f>
        <v>0</v>
      </c>
      <c r="AH17" s="309">
        <f>IF(AH$5&gt;Leadsheet!$E$12,0,SAP_Speadsheet!AG17+SAP_Speadsheet!AH21+AH18)</f>
        <v>0</v>
      </c>
      <c r="AI17" s="309">
        <f>IF(AI$5&gt;Leadsheet!$E$12,0,SAP_Speadsheet!AH17+SAP_Speadsheet!AI21+AI18)</f>
        <v>0</v>
      </c>
      <c r="AJ17" s="309">
        <f>IF(AJ$5&gt;Leadsheet!$E$12,0,SAP_Speadsheet!AI17+SAP_Speadsheet!AJ21+AJ18)</f>
        <v>0</v>
      </c>
      <c r="AK17" s="309">
        <f>IF(AK$5&gt;Leadsheet!$E$12,0,SAP_Speadsheet!AJ17+SAP_Speadsheet!AK21+AK18)</f>
        <v>0</v>
      </c>
      <c r="AL17" s="309">
        <f>IF(AL$5&gt;Leadsheet!$E$12,0,SAP_Speadsheet!AK17+SAP_Speadsheet!AL21+AL18)</f>
        <v>0</v>
      </c>
      <c r="AM17" s="309">
        <f>IF(AM$5&gt;Leadsheet!$E$12,0,SAP_Speadsheet!AL17+SAP_Speadsheet!AM21+AM18)</f>
        <v>0</v>
      </c>
      <c r="AN17" s="309">
        <f>IF(AN$5&gt;Leadsheet!$E$12,0,SAP_Speadsheet!AM17+SAP_Speadsheet!AN21+AN18)</f>
        <v>0</v>
      </c>
      <c r="AO17" s="309">
        <f>IF(AO$5&gt;Leadsheet!$E$12,0,SAP_Speadsheet!AN17+SAP_Speadsheet!AO21+AO18)</f>
        <v>0</v>
      </c>
      <c r="AP17" s="309">
        <f>IF(AP$5&gt;Leadsheet!$E$12,0,SAP_Speadsheet!AO17+SAP_Speadsheet!AP21+AP18)</f>
        <v>0</v>
      </c>
      <c r="AQ17" s="309">
        <f>IF(AQ$5&gt;Leadsheet!$E$12,0,SAP_Speadsheet!AP17+SAP_Speadsheet!AQ21+AQ18)</f>
        <v>0</v>
      </c>
      <c r="AR17" s="309">
        <f>IF(AR$5&gt;Leadsheet!$E$12,0,SAP_Speadsheet!AQ17+SAP_Speadsheet!AR21+AR18)</f>
        <v>0</v>
      </c>
      <c r="AS17" s="309">
        <f>IF(AS$5&gt;Leadsheet!$E$12,0,SAP_Speadsheet!AR17+SAP_Speadsheet!AS21+AS18)</f>
        <v>0</v>
      </c>
      <c r="AT17" s="309">
        <f>IF(AT$5&gt;Leadsheet!$E$12,0,SAP_Speadsheet!AS17+SAP_Speadsheet!AT21+AT18)</f>
        <v>0</v>
      </c>
      <c r="AU17" s="309">
        <f>IF(AU$5&gt;Leadsheet!$E$12,0,SAP_Speadsheet!AT17+SAP_Speadsheet!AU21+AU18)</f>
        <v>0</v>
      </c>
      <c r="AV17" s="309">
        <f>IF(AV$5&gt;Leadsheet!$E$12,0,SAP_Speadsheet!AU17+SAP_Speadsheet!AV21+AV18)</f>
        <v>0</v>
      </c>
      <c r="AW17" s="309">
        <f>IF(AW$5&gt;Leadsheet!$E$12,0,SAP_Speadsheet!AV17+SAP_Speadsheet!AW21+AW18)</f>
        <v>0</v>
      </c>
      <c r="AX17" s="309">
        <f>IF(AX$5&gt;Leadsheet!$E$12,0,SAP_Speadsheet!AW17+SAP_Speadsheet!AX21+AX18)</f>
        <v>0</v>
      </c>
      <c r="AY17" s="309">
        <f>IF(AY$5&gt;Leadsheet!$E$12,0,SAP_Speadsheet!AX17+SAP_Speadsheet!AY21+AY18)</f>
        <v>0</v>
      </c>
      <c r="AZ17" s="309">
        <f>IF(AZ$5&gt;Leadsheet!$E$12,0,SAP_Speadsheet!AY17+SAP_Speadsheet!AZ21+AZ18)</f>
        <v>0</v>
      </c>
      <c r="BA17" s="309">
        <f>IF(BA$5&gt;Leadsheet!$E$12,0,SAP_Speadsheet!AZ17+SAP_Speadsheet!BA21+BA18)</f>
        <v>0</v>
      </c>
      <c r="BB17" s="309">
        <f>IF(BB$5&gt;Leadsheet!$E$12,0,SAP_Speadsheet!BA17+SAP_Speadsheet!BB21+BB18)</f>
        <v>0</v>
      </c>
      <c r="BC17" s="309">
        <f>IF(BC$5&gt;Leadsheet!$E$12,0,SAP_Speadsheet!BB17+SAP_Speadsheet!BC21+BC18)</f>
        <v>0</v>
      </c>
      <c r="BD17" s="309">
        <f>IF(BD$5&gt;Leadsheet!$E$12,0,SAP_Speadsheet!BC17+SAP_Speadsheet!BD21+BD18)</f>
        <v>0</v>
      </c>
      <c r="BE17" s="309">
        <f>IF(BE$5&gt;Leadsheet!$E$12,0,SAP_Speadsheet!BD17+SAP_Speadsheet!BE21+BE18)</f>
        <v>0</v>
      </c>
      <c r="BF17" s="309">
        <f>IF(BF$5&gt;Leadsheet!$E$12,0,SAP_Speadsheet!BE17+SAP_Speadsheet!BF21+BF18)</f>
        <v>0</v>
      </c>
      <c r="BG17" s="309">
        <f>IF(BG$5&gt;Leadsheet!$E$12,0,SAP_Speadsheet!BF17+SAP_Speadsheet!BG21+BG18)</f>
        <v>0</v>
      </c>
      <c r="BH17" s="309">
        <f>IF(BH$5&gt;Leadsheet!$E$12,0,SAP_Speadsheet!BG17+SAP_Speadsheet!BH21+BH18)</f>
        <v>0</v>
      </c>
      <c r="BI17" s="309">
        <f>IF(BI$5&gt;Leadsheet!$E$12,0,SAP_Speadsheet!BH17+SAP_Speadsheet!BI21+BI18)</f>
        <v>0</v>
      </c>
      <c r="BJ17" s="309">
        <f>IF(BJ$5&gt;Leadsheet!$E$12,0,SAP_Speadsheet!BI17+SAP_Speadsheet!BJ21+BJ18)</f>
        <v>0</v>
      </c>
      <c r="BK17" s="309">
        <f>IF(BK$5&gt;Leadsheet!$E$12,0,SAP_Speadsheet!BJ17+SAP_Speadsheet!BK21+BK18)</f>
        <v>0</v>
      </c>
      <c r="BL17" s="309">
        <f>IF(BL$5&gt;Leadsheet!$E$12,0,SAP_Speadsheet!BK17+SAP_Speadsheet!BL21+BL18)</f>
        <v>0</v>
      </c>
    </row>
    <row r="18" spans="1:64" x14ac:dyDescent="0.15">
      <c r="C18" s="116" t="s">
        <v>389</v>
      </c>
      <c r="E18" s="172">
        <f>-IF(E6&gt;0,IFERROR(D27*(D16-E16)/D16,0),0)</f>
        <v>-1.8743526881259649</v>
      </c>
      <c r="F18" s="172">
        <f>-IF(F6&gt;0,IFERROR(E27*(E16-F16)/E16,0),0)</f>
        <v>-0.68203023003308494</v>
      </c>
      <c r="G18" s="172">
        <f>-IF(G6&gt;0,IFERROR(F27*(F16-G16)/F16,0),0)</f>
        <v>-0.61987501966595016</v>
      </c>
      <c r="H18" s="172">
        <f t="shared" ref="H18:BL18" si="2">-IF(H6&gt;0,IFERROR(G27*(G16-H16)/G16,0),0)</f>
        <v>-0.27456372872059648</v>
      </c>
      <c r="I18" s="172">
        <f t="shared" si="2"/>
        <v>-0.24712905357577333</v>
      </c>
      <c r="J18" s="172">
        <f t="shared" si="2"/>
        <v>-0.22049169162684235</v>
      </c>
      <c r="K18" s="172">
        <f t="shared" si="2"/>
        <v>-0.19427520629303091</v>
      </c>
      <c r="L18" s="172">
        <f t="shared" si="2"/>
        <v>-0.16904340476154212</v>
      </c>
      <c r="M18" s="172">
        <f t="shared" si="2"/>
        <v>-0.14443212314525383</v>
      </c>
      <c r="N18" s="172">
        <f t="shared" si="2"/>
        <v>-0.1200415699750557</v>
      </c>
      <c r="O18" s="172">
        <f t="shared" si="2"/>
        <v>-9.589371136381683E-2</v>
      </c>
      <c r="P18" s="172">
        <f t="shared" si="2"/>
        <v>-7.1962033077084861E-2</v>
      </c>
      <c r="Q18" s="172">
        <f t="shared" si="2"/>
        <v>-4.8194866208342846E-2</v>
      </c>
      <c r="R18" s="172">
        <f t="shared" si="2"/>
        <v>0</v>
      </c>
      <c r="S18" s="172">
        <f t="shared" si="2"/>
        <v>0</v>
      </c>
      <c r="T18" s="172">
        <f t="shared" si="2"/>
        <v>0</v>
      </c>
      <c r="U18" s="172">
        <f t="shared" si="2"/>
        <v>0</v>
      </c>
      <c r="V18" s="172">
        <f t="shared" si="2"/>
        <v>0</v>
      </c>
      <c r="W18" s="172">
        <f t="shared" si="2"/>
        <v>0</v>
      </c>
      <c r="X18" s="172">
        <f t="shared" si="2"/>
        <v>0</v>
      </c>
      <c r="Y18" s="172">
        <f t="shared" si="2"/>
        <v>0</v>
      </c>
      <c r="Z18" s="172">
        <f t="shared" si="2"/>
        <v>0</v>
      </c>
      <c r="AA18" s="172">
        <f t="shared" si="2"/>
        <v>0</v>
      </c>
      <c r="AB18" s="172">
        <f t="shared" si="2"/>
        <v>0</v>
      </c>
      <c r="AC18" s="172">
        <f t="shared" si="2"/>
        <v>0</v>
      </c>
      <c r="AD18" s="172">
        <f t="shared" si="2"/>
        <v>0</v>
      </c>
      <c r="AE18" s="172">
        <f t="shared" si="2"/>
        <v>0</v>
      </c>
      <c r="AF18" s="172">
        <f t="shared" si="2"/>
        <v>0</v>
      </c>
      <c r="AG18" s="172">
        <f t="shared" si="2"/>
        <v>0</v>
      </c>
      <c r="AH18" s="172">
        <f t="shared" si="2"/>
        <v>0</v>
      </c>
      <c r="AI18" s="172">
        <f t="shared" si="2"/>
        <v>0</v>
      </c>
      <c r="AJ18" s="172">
        <f t="shared" si="2"/>
        <v>0</v>
      </c>
      <c r="AK18" s="172">
        <f t="shared" si="2"/>
        <v>0</v>
      </c>
      <c r="AL18" s="172">
        <f t="shared" si="2"/>
        <v>0</v>
      </c>
      <c r="AM18" s="172">
        <f t="shared" si="2"/>
        <v>0</v>
      </c>
      <c r="AN18" s="172">
        <f t="shared" si="2"/>
        <v>0</v>
      </c>
      <c r="AO18" s="172">
        <f t="shared" si="2"/>
        <v>0</v>
      </c>
      <c r="AP18" s="172">
        <f t="shared" si="2"/>
        <v>0</v>
      </c>
      <c r="AQ18" s="172">
        <f t="shared" si="2"/>
        <v>0</v>
      </c>
      <c r="AR18" s="172">
        <f t="shared" si="2"/>
        <v>0</v>
      </c>
      <c r="AS18" s="172">
        <f t="shared" si="2"/>
        <v>0</v>
      </c>
      <c r="AT18" s="172">
        <f t="shared" si="2"/>
        <v>0</v>
      </c>
      <c r="AU18" s="172">
        <f t="shared" si="2"/>
        <v>0</v>
      </c>
      <c r="AV18" s="172">
        <f t="shared" si="2"/>
        <v>0</v>
      </c>
      <c r="AW18" s="172">
        <f t="shared" si="2"/>
        <v>0</v>
      </c>
      <c r="AX18" s="172">
        <f t="shared" si="2"/>
        <v>0</v>
      </c>
      <c r="AY18" s="172">
        <f t="shared" si="2"/>
        <v>0</v>
      </c>
      <c r="AZ18" s="172">
        <f t="shared" si="2"/>
        <v>0</v>
      </c>
      <c r="BA18" s="172">
        <f t="shared" si="2"/>
        <v>0</v>
      </c>
      <c r="BB18" s="172">
        <f t="shared" si="2"/>
        <v>0</v>
      </c>
      <c r="BC18" s="172">
        <f t="shared" si="2"/>
        <v>0</v>
      </c>
      <c r="BD18" s="172">
        <f t="shared" si="2"/>
        <v>0</v>
      </c>
      <c r="BE18" s="172">
        <f t="shared" si="2"/>
        <v>0</v>
      </c>
      <c r="BF18" s="172">
        <f t="shared" si="2"/>
        <v>0</v>
      </c>
      <c r="BG18" s="172">
        <f t="shared" si="2"/>
        <v>0</v>
      </c>
      <c r="BH18" s="172">
        <f t="shared" si="2"/>
        <v>0</v>
      </c>
      <c r="BI18" s="172">
        <f t="shared" si="2"/>
        <v>0</v>
      </c>
      <c r="BJ18" s="172">
        <f t="shared" si="2"/>
        <v>0</v>
      </c>
      <c r="BK18" s="172">
        <f t="shared" si="2"/>
        <v>0</v>
      </c>
      <c r="BL18" s="172">
        <f t="shared" si="2"/>
        <v>0</v>
      </c>
    </row>
    <row r="19" spans="1:64" x14ac:dyDescent="0.15">
      <c r="C19" s="116" t="s">
        <v>390</v>
      </c>
      <c r="E19" s="309">
        <f>-IFERROR(PMT(D11/12,D6,-D17),0)</f>
        <v>-1.5415542107526847</v>
      </c>
      <c r="F19" s="309">
        <f>-IFERROR(PMT(E11/12,E6,-E17),0)</f>
        <v>-1.3527105099705228</v>
      </c>
      <c r="G19" s="309">
        <f>-IFERROR(PMT(F11/12,F6,-F17),0)</f>
        <v>-1.2796263908212469</v>
      </c>
      <c r="H19" s="309">
        <f t="shared" ref="H19:BL19" si="3">-IFERROR(PMT(G11/12,G6,-G17),0)</f>
        <v>-1.2084951327730438</v>
      </c>
      <c r="I19" s="309">
        <f t="shared" si="3"/>
        <v>-1.1744791671627464</v>
      </c>
      <c r="J19" s="309">
        <f t="shared" si="3"/>
        <v>-1.1410939937322047</v>
      </c>
      <c r="K19" s="309">
        <f t="shared" si="3"/>
        <v>-1.108212669811764</v>
      </c>
      <c r="L19" s="309">
        <f t="shared" si="3"/>
        <v>-1.0757276573352648</v>
      </c>
      <c r="M19" s="309">
        <f t="shared" si="3"/>
        <v>-1.0433780369080081</v>
      </c>
      <c r="N19" s="309">
        <f t="shared" si="3"/>
        <v>-1.0108456213930308</v>
      </c>
      <c r="O19" s="309">
        <f t="shared" si="3"/>
        <v>-0.9776992297926137</v>
      </c>
      <c r="P19" s="309">
        <f t="shared" si="3"/>
        <v>-0.94308001410601194</v>
      </c>
      <c r="Q19" s="309">
        <f t="shared" si="3"/>
        <v>-0.90487263685116881</v>
      </c>
      <c r="R19" s="309">
        <f t="shared" si="3"/>
        <v>-0.85470291716919211</v>
      </c>
      <c r="S19" s="309">
        <f t="shared" si="3"/>
        <v>0</v>
      </c>
      <c r="T19" s="309">
        <f t="shared" si="3"/>
        <v>0</v>
      </c>
      <c r="U19" s="309">
        <f t="shared" si="3"/>
        <v>0</v>
      </c>
      <c r="V19" s="309">
        <f t="shared" si="3"/>
        <v>0</v>
      </c>
      <c r="W19" s="309">
        <f t="shared" si="3"/>
        <v>0</v>
      </c>
      <c r="X19" s="309">
        <f t="shared" si="3"/>
        <v>0</v>
      </c>
      <c r="Y19" s="309">
        <f t="shared" si="3"/>
        <v>0</v>
      </c>
      <c r="Z19" s="309">
        <f>-IFERROR(PMT(Y11/12,Y6,-Y17),0)</f>
        <v>0</v>
      </c>
      <c r="AA19" s="309">
        <f>-IFERROR(PMT(Z11/12,Z6,-Z17),0)</f>
        <v>0</v>
      </c>
      <c r="AB19" s="309">
        <f t="shared" si="3"/>
        <v>0</v>
      </c>
      <c r="AC19" s="309">
        <f t="shared" si="3"/>
        <v>0</v>
      </c>
      <c r="AD19" s="309">
        <f t="shared" si="3"/>
        <v>0</v>
      </c>
      <c r="AE19" s="309">
        <f t="shared" si="3"/>
        <v>0</v>
      </c>
      <c r="AF19" s="309">
        <f t="shared" si="3"/>
        <v>0</v>
      </c>
      <c r="AG19" s="309">
        <f t="shared" si="3"/>
        <v>0</v>
      </c>
      <c r="AH19" s="309">
        <f t="shared" si="3"/>
        <v>0</v>
      </c>
      <c r="AI19" s="309">
        <f t="shared" si="3"/>
        <v>0</v>
      </c>
      <c r="AJ19" s="309">
        <f t="shared" si="3"/>
        <v>0</v>
      </c>
      <c r="AK19" s="309">
        <f t="shared" si="3"/>
        <v>0</v>
      </c>
      <c r="AL19" s="309">
        <f t="shared" si="3"/>
        <v>0</v>
      </c>
      <c r="AM19" s="309">
        <f t="shared" si="3"/>
        <v>0</v>
      </c>
      <c r="AN19" s="309">
        <f t="shared" si="3"/>
        <v>0</v>
      </c>
      <c r="AO19" s="309">
        <f t="shared" si="3"/>
        <v>0</v>
      </c>
      <c r="AP19" s="309">
        <f t="shared" si="3"/>
        <v>0</v>
      </c>
      <c r="AQ19" s="309">
        <f t="shared" si="3"/>
        <v>0</v>
      </c>
      <c r="AR19" s="309">
        <f t="shared" si="3"/>
        <v>0</v>
      </c>
      <c r="AS19" s="309">
        <f t="shared" si="3"/>
        <v>0</v>
      </c>
      <c r="AT19" s="309">
        <f t="shared" si="3"/>
        <v>0</v>
      </c>
      <c r="AU19" s="309">
        <f t="shared" si="3"/>
        <v>0</v>
      </c>
      <c r="AV19" s="309">
        <f t="shared" si="3"/>
        <v>0</v>
      </c>
      <c r="AW19" s="309">
        <f t="shared" si="3"/>
        <v>0</v>
      </c>
      <c r="AX19" s="309">
        <f t="shared" si="3"/>
        <v>0</v>
      </c>
      <c r="AY19" s="309">
        <f t="shared" si="3"/>
        <v>0</v>
      </c>
      <c r="AZ19" s="309">
        <f t="shared" si="3"/>
        <v>0</v>
      </c>
      <c r="BA19" s="309">
        <f t="shared" si="3"/>
        <v>0</v>
      </c>
      <c r="BB19" s="309">
        <f t="shared" si="3"/>
        <v>0</v>
      </c>
      <c r="BC19" s="309">
        <f t="shared" si="3"/>
        <v>0</v>
      </c>
      <c r="BD19" s="309">
        <f t="shared" si="3"/>
        <v>0</v>
      </c>
      <c r="BE19" s="309">
        <f t="shared" si="3"/>
        <v>0</v>
      </c>
      <c r="BF19" s="309">
        <f t="shared" si="3"/>
        <v>0</v>
      </c>
      <c r="BG19" s="309">
        <f t="shared" si="3"/>
        <v>0</v>
      </c>
      <c r="BH19" s="309">
        <f t="shared" si="3"/>
        <v>0</v>
      </c>
      <c r="BI19" s="309">
        <f t="shared" si="3"/>
        <v>0</v>
      </c>
      <c r="BJ19" s="309">
        <f t="shared" si="3"/>
        <v>0</v>
      </c>
      <c r="BK19" s="309">
        <f t="shared" si="3"/>
        <v>0</v>
      </c>
      <c r="BL19" s="309">
        <f t="shared" si="3"/>
        <v>0</v>
      </c>
    </row>
    <row r="20" spans="1:64" s="172" customFormat="1" x14ac:dyDescent="0.15">
      <c r="C20" s="116" t="s">
        <v>391</v>
      </c>
      <c r="E20" s="172">
        <f>-IF(E5&gt;$D$6,0,D17*D11/12)</f>
        <v>-0.66296419191699008</v>
      </c>
      <c r="F20" s="172">
        <f t="shared" ref="F20:BL20" si="4">-IF(F5&gt;$D$6,0,E17*E11/12)</f>
        <v>-0.55015843281279231</v>
      </c>
      <c r="G20" s="172">
        <f t="shared" si="4"/>
        <v>-0.48932555253096749</v>
      </c>
      <c r="H20" s="172">
        <f t="shared" si="4"/>
        <v>-0.43154158277202787</v>
      </c>
      <c r="I20" s="172">
        <f t="shared" si="4"/>
        <v>-0.38845416052476783</v>
      </c>
      <c r="J20" s="172">
        <f t="shared" si="4"/>
        <v>-0.34611919738177366</v>
      </c>
      <c r="K20" s="172">
        <f t="shared" si="4"/>
        <v>-0.3045090077721338</v>
      </c>
      <c r="L20" s="172">
        <f t="shared" si="4"/>
        <v>-0.26361539835282882</v>
      </c>
      <c r="M20" s="172">
        <f t="shared" si="4"/>
        <v>-0.22341114376804072</v>
      </c>
      <c r="N20" s="172">
        <f t="shared" si="4"/>
        <v>-0.18389351674431528</v>
      </c>
      <c r="O20" s="172">
        <f t="shared" si="4"/>
        <v>-0.14508909845305731</v>
      </c>
      <c r="P20" s="172">
        <f t="shared" si="4"/>
        <v>-0.10704232743147013</v>
      </c>
      <c r="Q20" s="172">
        <f t="shared" si="4"/>
        <v>-6.9835742131325138E-2</v>
      </c>
      <c r="R20" s="172">
        <f t="shared" si="4"/>
        <v>-3.3644059316972612E-2</v>
      </c>
      <c r="S20" s="172">
        <f t="shared" si="4"/>
        <v>0</v>
      </c>
      <c r="T20" s="172">
        <f t="shared" si="4"/>
        <v>0</v>
      </c>
      <c r="U20" s="172">
        <f t="shared" si="4"/>
        <v>0</v>
      </c>
      <c r="V20" s="172">
        <f t="shared" si="4"/>
        <v>0</v>
      </c>
      <c r="W20" s="172">
        <f t="shared" si="4"/>
        <v>0</v>
      </c>
      <c r="X20" s="172">
        <f t="shared" si="4"/>
        <v>0</v>
      </c>
      <c r="Y20" s="172">
        <f t="shared" si="4"/>
        <v>0</v>
      </c>
      <c r="Z20" s="172">
        <f t="shared" si="4"/>
        <v>0</v>
      </c>
      <c r="AA20" s="172">
        <f t="shared" si="4"/>
        <v>0</v>
      </c>
      <c r="AB20" s="172">
        <f t="shared" si="4"/>
        <v>0</v>
      </c>
      <c r="AC20" s="172">
        <f t="shared" si="4"/>
        <v>0</v>
      </c>
      <c r="AD20" s="172">
        <f t="shared" si="4"/>
        <v>0</v>
      </c>
      <c r="AE20" s="172">
        <f t="shared" si="4"/>
        <v>0</v>
      </c>
      <c r="AF20" s="172">
        <f t="shared" si="4"/>
        <v>0</v>
      </c>
      <c r="AG20" s="172">
        <f t="shared" si="4"/>
        <v>0</v>
      </c>
      <c r="AH20" s="172">
        <f t="shared" si="4"/>
        <v>0</v>
      </c>
      <c r="AI20" s="172">
        <f t="shared" si="4"/>
        <v>0</v>
      </c>
      <c r="AJ20" s="172">
        <f t="shared" si="4"/>
        <v>0</v>
      </c>
      <c r="AK20" s="172">
        <f t="shared" si="4"/>
        <v>0</v>
      </c>
      <c r="AL20" s="172">
        <f t="shared" si="4"/>
        <v>0</v>
      </c>
      <c r="AM20" s="172">
        <f t="shared" si="4"/>
        <v>0</v>
      </c>
      <c r="AN20" s="172">
        <f t="shared" si="4"/>
        <v>0</v>
      </c>
      <c r="AO20" s="172">
        <f t="shared" si="4"/>
        <v>0</v>
      </c>
      <c r="AP20" s="172">
        <f t="shared" si="4"/>
        <v>0</v>
      </c>
      <c r="AQ20" s="172">
        <f t="shared" si="4"/>
        <v>0</v>
      </c>
      <c r="AR20" s="172">
        <f t="shared" si="4"/>
        <v>0</v>
      </c>
      <c r="AS20" s="172">
        <f t="shared" si="4"/>
        <v>0</v>
      </c>
      <c r="AT20" s="172">
        <f t="shared" si="4"/>
        <v>0</v>
      </c>
      <c r="AU20" s="172">
        <f t="shared" si="4"/>
        <v>0</v>
      </c>
      <c r="AV20" s="172">
        <f t="shared" si="4"/>
        <v>0</v>
      </c>
      <c r="AW20" s="172">
        <f t="shared" si="4"/>
        <v>0</v>
      </c>
      <c r="AX20" s="172">
        <f t="shared" si="4"/>
        <v>0</v>
      </c>
      <c r="AY20" s="172">
        <f t="shared" si="4"/>
        <v>0</v>
      </c>
      <c r="AZ20" s="172">
        <f t="shared" si="4"/>
        <v>0</v>
      </c>
      <c r="BA20" s="172">
        <f t="shared" si="4"/>
        <v>0</v>
      </c>
      <c r="BB20" s="172">
        <f t="shared" si="4"/>
        <v>0</v>
      </c>
      <c r="BC20" s="172">
        <f t="shared" si="4"/>
        <v>0</v>
      </c>
      <c r="BD20" s="172">
        <f t="shared" si="4"/>
        <v>0</v>
      </c>
      <c r="BE20" s="172">
        <f t="shared" si="4"/>
        <v>0</v>
      </c>
      <c r="BF20" s="172">
        <f t="shared" si="4"/>
        <v>0</v>
      </c>
      <c r="BG20" s="172">
        <f t="shared" si="4"/>
        <v>0</v>
      </c>
      <c r="BH20" s="172">
        <f t="shared" si="4"/>
        <v>0</v>
      </c>
      <c r="BI20" s="172">
        <f t="shared" si="4"/>
        <v>0</v>
      </c>
      <c r="BJ20" s="172">
        <f t="shared" si="4"/>
        <v>0</v>
      </c>
      <c r="BK20" s="172">
        <f t="shared" si="4"/>
        <v>0</v>
      </c>
      <c r="BL20" s="172">
        <f t="shared" si="4"/>
        <v>0</v>
      </c>
    </row>
    <row r="21" spans="1:64" s="172" customFormat="1" x14ac:dyDescent="0.15">
      <c r="C21" s="310" t="s">
        <v>392</v>
      </c>
      <c r="E21" s="172">
        <f t="shared" ref="E21:BL21" si="5">E19-E20</f>
        <v>-0.87859001883569465</v>
      </c>
      <c r="F21" s="172">
        <f t="shared" si="5"/>
        <v>-0.80255207715773047</v>
      </c>
      <c r="G21" s="172">
        <f t="shared" si="5"/>
        <v>-0.79030083829027942</v>
      </c>
      <c r="H21" s="172">
        <f t="shared" si="5"/>
        <v>-0.77695355000101585</v>
      </c>
      <c r="I21" s="172">
        <f t="shared" si="5"/>
        <v>-0.78602500663797858</v>
      </c>
      <c r="J21" s="172">
        <f t="shared" si="5"/>
        <v>-0.794974796350431</v>
      </c>
      <c r="K21" s="172">
        <f t="shared" si="5"/>
        <v>-0.80370366203963028</v>
      </c>
      <c r="L21" s="172">
        <f t="shared" si="5"/>
        <v>-0.81211225898243589</v>
      </c>
      <c r="M21" s="172">
        <f t="shared" si="5"/>
        <v>-0.8199668931399674</v>
      </c>
      <c r="N21" s="172">
        <f t="shared" si="5"/>
        <v>-0.82695210464871549</v>
      </c>
      <c r="O21" s="172">
        <f t="shared" si="5"/>
        <v>-0.83261013133955641</v>
      </c>
      <c r="P21" s="172">
        <f t="shared" si="5"/>
        <v>-0.83603768667454181</v>
      </c>
      <c r="Q21" s="172">
        <f t="shared" si="5"/>
        <v>-0.83503689471984366</v>
      </c>
      <c r="R21" s="172">
        <f t="shared" si="5"/>
        <v>-0.82105885785221955</v>
      </c>
      <c r="S21" s="172">
        <f t="shared" si="5"/>
        <v>0</v>
      </c>
      <c r="T21" s="172">
        <f t="shared" si="5"/>
        <v>0</v>
      </c>
      <c r="U21" s="172">
        <f t="shared" si="5"/>
        <v>0</v>
      </c>
      <c r="V21" s="172">
        <f t="shared" si="5"/>
        <v>0</v>
      </c>
      <c r="W21" s="172">
        <f t="shared" si="5"/>
        <v>0</v>
      </c>
      <c r="X21" s="172">
        <f t="shared" si="5"/>
        <v>0</v>
      </c>
      <c r="Y21" s="172">
        <f t="shared" si="5"/>
        <v>0</v>
      </c>
      <c r="Z21" s="172">
        <f t="shared" si="5"/>
        <v>0</v>
      </c>
      <c r="AA21" s="172">
        <f t="shared" si="5"/>
        <v>0</v>
      </c>
      <c r="AB21" s="172">
        <f t="shared" si="5"/>
        <v>0</v>
      </c>
      <c r="AC21" s="172">
        <f t="shared" si="5"/>
        <v>0</v>
      </c>
      <c r="AD21" s="172">
        <f t="shared" si="5"/>
        <v>0</v>
      </c>
      <c r="AE21" s="172">
        <f t="shared" si="5"/>
        <v>0</v>
      </c>
      <c r="AF21" s="172">
        <f t="shared" si="5"/>
        <v>0</v>
      </c>
      <c r="AG21" s="172">
        <f t="shared" si="5"/>
        <v>0</v>
      </c>
      <c r="AH21" s="172">
        <f t="shared" si="5"/>
        <v>0</v>
      </c>
      <c r="AI21" s="172">
        <f t="shared" si="5"/>
        <v>0</v>
      </c>
      <c r="AJ21" s="172">
        <f t="shared" si="5"/>
        <v>0</v>
      </c>
      <c r="AK21" s="172">
        <f t="shared" si="5"/>
        <v>0</v>
      </c>
      <c r="AL21" s="172">
        <f t="shared" si="5"/>
        <v>0</v>
      </c>
      <c r="AM21" s="172">
        <f t="shared" si="5"/>
        <v>0</v>
      </c>
      <c r="AN21" s="172">
        <f t="shared" si="5"/>
        <v>0</v>
      </c>
      <c r="AO21" s="172">
        <f t="shared" si="5"/>
        <v>0</v>
      </c>
      <c r="AP21" s="172">
        <f t="shared" si="5"/>
        <v>0</v>
      </c>
      <c r="AQ21" s="172">
        <f t="shared" si="5"/>
        <v>0</v>
      </c>
      <c r="AR21" s="172">
        <f t="shared" si="5"/>
        <v>0</v>
      </c>
      <c r="AS21" s="172">
        <f t="shared" si="5"/>
        <v>0</v>
      </c>
      <c r="AT21" s="172">
        <f t="shared" si="5"/>
        <v>0</v>
      </c>
      <c r="AU21" s="172">
        <f t="shared" si="5"/>
        <v>0</v>
      </c>
      <c r="AV21" s="172">
        <f t="shared" si="5"/>
        <v>0</v>
      </c>
      <c r="AW21" s="172">
        <f t="shared" si="5"/>
        <v>0</v>
      </c>
      <c r="AX21" s="172">
        <f t="shared" si="5"/>
        <v>0</v>
      </c>
      <c r="AY21" s="172">
        <f t="shared" si="5"/>
        <v>0</v>
      </c>
      <c r="AZ21" s="172">
        <f t="shared" si="5"/>
        <v>0</v>
      </c>
      <c r="BA21" s="172">
        <f t="shared" si="5"/>
        <v>0</v>
      </c>
      <c r="BB21" s="172">
        <f t="shared" si="5"/>
        <v>0</v>
      </c>
      <c r="BC21" s="172">
        <f t="shared" si="5"/>
        <v>0</v>
      </c>
      <c r="BD21" s="172">
        <f t="shared" si="5"/>
        <v>0</v>
      </c>
      <c r="BE21" s="172">
        <f t="shared" si="5"/>
        <v>0</v>
      </c>
      <c r="BF21" s="172">
        <f t="shared" si="5"/>
        <v>0</v>
      </c>
      <c r="BG21" s="172">
        <f t="shared" si="5"/>
        <v>0</v>
      </c>
      <c r="BH21" s="172">
        <f t="shared" si="5"/>
        <v>0</v>
      </c>
      <c r="BI21" s="172">
        <f t="shared" si="5"/>
        <v>0</v>
      </c>
      <c r="BJ21" s="172">
        <f t="shared" si="5"/>
        <v>0</v>
      </c>
      <c r="BK21" s="172">
        <f t="shared" si="5"/>
        <v>0</v>
      </c>
      <c r="BL21" s="172">
        <f t="shared" si="5"/>
        <v>0</v>
      </c>
    </row>
    <row r="22" spans="1:64" s="172" customFormat="1" x14ac:dyDescent="0.15">
      <c r="C22" s="310"/>
    </row>
    <row r="23" spans="1:64" x14ac:dyDescent="0.15">
      <c r="E23" s="172"/>
      <c r="F23" s="172"/>
      <c r="G23" s="172"/>
      <c r="H23" s="172"/>
      <c r="I23" s="172"/>
      <c r="J23" s="172"/>
      <c r="K23" s="172"/>
      <c r="L23" s="172"/>
      <c r="M23" s="172"/>
      <c r="N23" s="172"/>
      <c r="O23" s="172"/>
      <c r="P23" s="172"/>
      <c r="Q23" s="172"/>
      <c r="R23" s="172"/>
      <c r="S23" s="172"/>
      <c r="T23" s="172"/>
      <c r="U23" s="172"/>
      <c r="V23" s="172"/>
      <c r="W23" s="172"/>
      <c r="X23" s="172"/>
      <c r="Y23" s="172"/>
      <c r="Z23" s="172"/>
      <c r="AA23" s="172"/>
      <c r="AB23" s="172"/>
      <c r="AC23" s="172"/>
      <c r="AD23" s="172"/>
      <c r="AE23" s="172"/>
      <c r="AF23" s="172"/>
      <c r="AG23" s="172"/>
      <c r="AH23" s="172"/>
      <c r="AI23" s="172"/>
      <c r="AJ23" s="172"/>
      <c r="AK23" s="172"/>
      <c r="AL23" s="172"/>
      <c r="AM23" s="172"/>
      <c r="AN23" s="172"/>
      <c r="AO23" s="172"/>
      <c r="AP23" s="172"/>
      <c r="AQ23" s="172"/>
      <c r="AR23" s="172"/>
      <c r="AS23" s="172"/>
      <c r="AT23" s="172"/>
      <c r="AU23" s="172"/>
      <c r="AV23" s="172"/>
      <c r="AW23" s="172"/>
      <c r="AX23" s="172"/>
      <c r="AY23" s="172"/>
      <c r="AZ23" s="172"/>
      <c r="BA23" s="172"/>
      <c r="BB23" s="172"/>
      <c r="BC23" s="172"/>
      <c r="BD23" s="172"/>
      <c r="BE23" s="172"/>
      <c r="BF23" s="172"/>
      <c r="BG23" s="172"/>
      <c r="BH23" s="172"/>
      <c r="BI23" s="172"/>
      <c r="BJ23" s="172"/>
      <c r="BK23" s="172"/>
      <c r="BL23" s="172"/>
    </row>
    <row r="24" spans="1:64" x14ac:dyDescent="0.15">
      <c r="C24" s="188" t="s">
        <v>393</v>
      </c>
      <c r="D24" s="188"/>
      <c r="E24" s="311">
        <f>IF(E5&gt;Leadsheet!$E$12,0,IFERROR(E21/D17*D27*(1-Leadsheet!$D$91)+E18,0))</f>
        <v>-2.7081346160010389</v>
      </c>
      <c r="F24" s="311">
        <f>IF(F5&gt;Leadsheet!$E$12,0,IFERROR(F21/E17*E27*(1-Leadsheet!$D$91)+F18,0))</f>
        <v>-1.3993868372647633</v>
      </c>
      <c r="G24" s="311">
        <f>IF(G5&gt;Leadsheet!$E$12,0,IFERROR(G21/F17*F27*(1-Leadsheet!$D$91)+G18,0))</f>
        <v>-1.3027899735818806</v>
      </c>
      <c r="H24" s="311">
        <f>IF(H5&gt;Leadsheet!$E$12,0,IFERROR(H21/G17*G27*(1-Leadsheet!$D$91)+H18,0))</f>
        <v>-0.924177409898991</v>
      </c>
      <c r="I24" s="311">
        <f>IF(I5&gt;Leadsheet!$E$12,0,IFERROR(I21/H17*H27*(1-Leadsheet!$D$91)+I18,0))</f>
        <v>-0.88482663203556744</v>
      </c>
      <c r="J24" s="311">
        <f>IF(J5&gt;Leadsheet!$E$12,0,IFERROR(J21/I17*I27*(1-Leadsheet!$D$91)+J18,0))</f>
        <v>-0.84662245904347888</v>
      </c>
      <c r="K24" s="311">
        <f>IF(K5&gt;Leadsheet!$E$12,0,IFERROR(K21/J17*J27*(1-Leadsheet!$D$91)+K18,0))</f>
        <v>-0.80829058670997567</v>
      </c>
      <c r="L24" s="311">
        <f>IF(L5&gt;Leadsheet!$E$12,0,IFERROR(L21/K17*K27*(1-Leadsheet!$D$91)+L18,0))</f>
        <v>-0.77239753120137944</v>
      </c>
      <c r="M24" s="311">
        <f>IF(M5&gt;Leadsheet!$E$12,0,IFERROR(M21/L17*L27*(1-Leadsheet!$D$91)+M18,0))</f>
        <v>-0.73798200088678678</v>
      </c>
      <c r="N24" s="311">
        <f>IF(N5&gt;Leadsheet!$E$12,0,IFERROR(N21/M17*M27*(1-Leadsheet!$D$91)+N18,0))</f>
        <v>-0.70348208441639215</v>
      </c>
      <c r="O24" s="311">
        <f>IF(O5&gt;Leadsheet!$E$12,0,IFERROR(O21/N17*N27*(1-Leadsheet!$D$91)+O18,0))</f>
        <v>-0.66926309620350555</v>
      </c>
      <c r="P24" s="311">
        <f>IF(P5&gt;Leadsheet!$E$12,0,IFERROR(P21/O17*O27*(1-Leadsheet!$D$91)+P18,0))</f>
        <v>-0.63571952515239594</v>
      </c>
      <c r="Q24" s="311">
        <f>IF(Q5&gt;Leadsheet!$E$12,0,IFERROR(Q21/P17*P27*(1-Leadsheet!$D$91)+Q18,0))</f>
        <v>-0.60381140643852693</v>
      </c>
      <c r="R24" s="311">
        <f>IF(R5&gt;Leadsheet!$E$12,0,IFERROR(R21/Q17*Q27*(1-Leadsheet!$D$91)+R18,0))</f>
        <v>-0.5528877122423379</v>
      </c>
      <c r="S24" s="311">
        <f>IF(S5&gt;Leadsheet!$E$12,0,IFERROR(S21/R17*R27*(1-Leadsheet!$D$91)+S18,0))</f>
        <v>0</v>
      </c>
      <c r="T24" s="311">
        <f>IF(T5&gt;Leadsheet!$E$12,0,IFERROR(T21/S17*S27*(1-Leadsheet!$D$91)+T18,0))</f>
        <v>0</v>
      </c>
      <c r="U24" s="311">
        <f>IF(U5&gt;Leadsheet!$E$12,0,IFERROR(U21/T17*T27*(1-Leadsheet!$D$91)+U18,0))</f>
        <v>0</v>
      </c>
      <c r="V24" s="311">
        <f>IF(V5&gt;Leadsheet!$E$12,0,IFERROR(V21/U17*U27*(1-Leadsheet!$D$91)+V18,0))</f>
        <v>0</v>
      </c>
      <c r="W24" s="311">
        <f>IF(W5&gt;Leadsheet!$E$12,0,IFERROR(W21/V17*V27*(1-Leadsheet!$D$91)+W18,0))</f>
        <v>0</v>
      </c>
      <c r="X24" s="311">
        <f>IF(X5&gt;Leadsheet!$E$12,0,IFERROR(X21/W17*W27*(1-Leadsheet!$D$91)+X18,0))</f>
        <v>0</v>
      </c>
      <c r="Y24" s="311">
        <f>IF(Y5&gt;Leadsheet!$E$12,0,IFERROR(Y21/X17*X27*(1-Leadsheet!$D$91)+Y18,0))</f>
        <v>0</v>
      </c>
      <c r="Z24" s="311">
        <f>IF(Z5&gt;Leadsheet!$E$12,0,IFERROR(Z21/Y17*Y27*(1-Leadsheet!$D$91)+Z18,0))</f>
        <v>0</v>
      </c>
      <c r="AA24" s="311">
        <f>IF(AA5&gt;Leadsheet!$E$12,0,IFERROR(AA21/Z17*Z27*(1-Leadsheet!$D$91)+AA18,0))</f>
        <v>0</v>
      </c>
      <c r="AB24" s="311">
        <f>IF(AB5&gt;Leadsheet!$E$12,0,IFERROR(AB21/AA17*AA27*(1-Leadsheet!$D$91)+AB18,0))</f>
        <v>0</v>
      </c>
      <c r="AC24" s="311">
        <f>IF(AC5&gt;Leadsheet!$E$12,0,IFERROR(AC21/AB17*AB27*(1-Leadsheet!$D$91)+AC18,0))</f>
        <v>0</v>
      </c>
      <c r="AD24" s="311">
        <f>IF(AD5&gt;Leadsheet!$E$12,0,IFERROR(AD21/AC17*AC27*(1-Leadsheet!$D$91)+AD18,0))</f>
        <v>0</v>
      </c>
      <c r="AE24" s="311">
        <f>IF(AE5&gt;Leadsheet!$E$12,0,IFERROR(AE21/AD17*AD27*(1-Leadsheet!$D$91)+AE18,0))</f>
        <v>0</v>
      </c>
      <c r="AF24" s="311">
        <f>IF(AF5&gt;Leadsheet!$E$12,0,IFERROR(AF21/AE17*AE27*(1-Leadsheet!$D$91)+AF18,0))</f>
        <v>0</v>
      </c>
      <c r="AG24" s="311">
        <f>IF(AG5&gt;Leadsheet!$E$12,0,IFERROR(AG21/AF17*AF27*(1-Leadsheet!$D$91)+AG18,0))</f>
        <v>0</v>
      </c>
      <c r="AH24" s="311">
        <f>IF(AH5&gt;Leadsheet!$E$12,0,IFERROR(AH21/AG17*AG27*(1-Leadsheet!$D$91)+AH18,0))</f>
        <v>0</v>
      </c>
      <c r="AI24" s="311">
        <f>IF(AI5&gt;Leadsheet!$E$12,0,IFERROR(AI21/AH17*AH27*(1-Leadsheet!$D$91)+AI18,0))</f>
        <v>0</v>
      </c>
      <c r="AJ24" s="311">
        <f>IF(AJ5&gt;Leadsheet!$E$12,0,IFERROR(AJ21/AI17*AI27*(1-Leadsheet!$D$91)+AJ18,0))</f>
        <v>0</v>
      </c>
      <c r="AK24" s="311">
        <f>IF(AK5&gt;Leadsheet!$E$12,0,IFERROR(AK21/AJ17*AJ27*(1-Leadsheet!$D$91)+AK18,0))</f>
        <v>0</v>
      </c>
      <c r="AL24" s="311">
        <f>IF(AL5&gt;Leadsheet!$E$12,0,IFERROR(AL21/AK17*AK27*(1-Leadsheet!$D$91)+AL18,0))</f>
        <v>0</v>
      </c>
      <c r="AM24" s="311">
        <f>IF(AM5&gt;Leadsheet!$E$12,0,IFERROR(AM21/AL17*AL27*(1-Leadsheet!$D$91)+AM18,0))</f>
        <v>0</v>
      </c>
      <c r="AN24" s="311">
        <f>IF(AN5&gt;Leadsheet!$E$12,0,IFERROR(AN21/AM17*AM27*(1-Leadsheet!$D$91)+AN18,0))</f>
        <v>0</v>
      </c>
      <c r="AO24" s="311">
        <f>IF(AO5&gt;Leadsheet!$E$12,0,IFERROR(AO21/AN17*AN27*(1-Leadsheet!$D$91)+AO18,0))</f>
        <v>0</v>
      </c>
      <c r="AP24" s="311">
        <f>IF(AP5&gt;Leadsheet!$E$12,0,IFERROR(AP21/AO17*AO27*(1-Leadsheet!$D$91)+AP18,0))</f>
        <v>0</v>
      </c>
      <c r="AQ24" s="311">
        <f>IF(AQ5&gt;Leadsheet!$E$12,0,IFERROR(AQ21/AP17*AP27*(1-Leadsheet!$D$91)+AQ18,0))</f>
        <v>0</v>
      </c>
      <c r="AR24" s="311">
        <f>IF(AR5&gt;Leadsheet!$E$12,0,IFERROR(AR21/AQ17*AQ27*(1-Leadsheet!$D$91)+AR18,0))</f>
        <v>0</v>
      </c>
      <c r="AS24" s="311">
        <f>IF(AS5&gt;Leadsheet!$E$12,0,IFERROR(AS21/AR17*AR27*(1-Leadsheet!$D$91)+AS18,0))</f>
        <v>0</v>
      </c>
      <c r="AT24" s="311">
        <f>IF(AT5&gt;Leadsheet!$E$12,0,IFERROR(AT21/AS17*AS27*(1-Leadsheet!$D$91)+AT18,0))</f>
        <v>0</v>
      </c>
      <c r="AU24" s="311">
        <f>IF(AU5&gt;Leadsheet!$E$12,0,IFERROR(AU21/AT17*AT27*(1-Leadsheet!$D$91)+AU18,0))</f>
        <v>0</v>
      </c>
      <c r="AV24" s="311">
        <f>IF(AV5&gt;Leadsheet!$E$12,0,IFERROR(AV21/AU17*AU27*(1-Leadsheet!$D$91)+AV18,0))</f>
        <v>0</v>
      </c>
      <c r="AW24" s="311">
        <f>IF(AW5&gt;Leadsheet!$E$12,0,IFERROR(AW21/AV17*AV27*(1-Leadsheet!$D$91)+AW18,0))</f>
        <v>0</v>
      </c>
      <c r="AX24" s="311">
        <f>IF(AX5&gt;Leadsheet!$E$12,0,IFERROR(AX21/AW17*AW27*(1-Leadsheet!$D$91)+AX18,0))</f>
        <v>0</v>
      </c>
      <c r="AY24" s="311">
        <f>IF(AY5&gt;Leadsheet!$E$12,0,IFERROR(AY21/AX17*AX27*(1-Leadsheet!$D$91)+AY18,0))</f>
        <v>0</v>
      </c>
      <c r="AZ24" s="311">
        <f>IF(AZ5&gt;Leadsheet!$E$12,0,IFERROR(AZ21/AY17*AY27*(1-Leadsheet!$D$91)+AZ18,0))</f>
        <v>0</v>
      </c>
      <c r="BA24" s="311">
        <f>IF(BA5&gt;Leadsheet!$E$12,0,IFERROR(BA21/AZ17*AZ27*(1-Leadsheet!$D$91)+BA18,0))</f>
        <v>0</v>
      </c>
      <c r="BB24" s="311">
        <f>IF(BB5&gt;Leadsheet!$E$12,0,IFERROR(BB21/BA17*BA27*(1-Leadsheet!$D$91)+BB18,0))</f>
        <v>0</v>
      </c>
      <c r="BC24" s="311">
        <f>IF(BC5&gt;Leadsheet!$E$12,0,IFERROR(BC21/BB17*BB27*(1-Leadsheet!$D$91)+BC18,0))</f>
        <v>0</v>
      </c>
      <c r="BD24" s="311">
        <f>IF(BD5&gt;Leadsheet!$E$12,0,IFERROR(BD21/BC17*BC27*(1-Leadsheet!$D$91)+BD18,0))</f>
        <v>0</v>
      </c>
      <c r="BE24" s="311">
        <f>IF(BE5&gt;Leadsheet!$E$12,0,IFERROR(BE21/BD17*BD27*(1-Leadsheet!$D$91)+BE18,0))</f>
        <v>0</v>
      </c>
      <c r="BF24" s="311">
        <f>IF(BF5&gt;Leadsheet!$E$12,0,IFERROR(BF21/BE17*BE27*(1-Leadsheet!$D$91)+BF18,0))</f>
        <v>0</v>
      </c>
      <c r="BG24" s="311">
        <f>IF(BG5&gt;Leadsheet!$E$12,0,IFERROR(BG21/BF17*BF27*(1-Leadsheet!$D$91)+BG18,0))</f>
        <v>0</v>
      </c>
      <c r="BH24" s="311">
        <f>IF(BH5&gt;Leadsheet!$E$12,0,IFERROR(BH21/BG17*BG27*(1-Leadsheet!$D$91)+BH18,0))</f>
        <v>0</v>
      </c>
      <c r="BI24" s="311">
        <f>IF(BI5&gt;Leadsheet!$E$12,0,IFERROR(BI21/BH17*BH27*(1-Leadsheet!$D$91)+BI18,0))</f>
        <v>0</v>
      </c>
      <c r="BJ24" s="311">
        <f>IF(BJ5&gt;Leadsheet!$E$12,0,IFERROR(BJ21/BI17*BI27*(1-Leadsheet!$D$91)+BJ18,0))</f>
        <v>0</v>
      </c>
      <c r="BK24" s="311">
        <f>IF(BK5&gt;Leadsheet!$E$12,0,IFERROR(BK21/BJ17*BJ27*(1-Leadsheet!$D$91)+BK18,0))</f>
        <v>0</v>
      </c>
      <c r="BL24" s="311">
        <f>IF(BL5&gt;Leadsheet!$E$12,0,IFERROR(BL21/BK17*BK27*(1-Leadsheet!$D$91)+BL18,0))</f>
        <v>0</v>
      </c>
    </row>
    <row r="25" spans="1:64" x14ac:dyDescent="0.15">
      <c r="E25" s="138"/>
      <c r="F25" s="138"/>
      <c r="G25" s="138"/>
      <c r="H25" s="138"/>
      <c r="I25" s="138"/>
      <c r="J25" s="138"/>
      <c r="K25" s="138"/>
      <c r="L25" s="138"/>
      <c r="M25" s="138"/>
      <c r="N25" s="138"/>
      <c r="O25" s="138"/>
      <c r="P25" s="138"/>
      <c r="Q25" s="138"/>
      <c r="R25" s="138"/>
      <c r="S25" s="138"/>
      <c r="T25" s="138"/>
      <c r="U25" s="138"/>
      <c r="V25" s="138"/>
      <c r="W25" s="138"/>
      <c r="X25" s="138"/>
      <c r="Y25" s="138"/>
      <c r="Z25" s="138"/>
      <c r="AA25" s="138"/>
      <c r="AB25" s="138"/>
      <c r="AC25" s="138"/>
      <c r="AD25" s="138"/>
      <c r="AE25" s="138"/>
      <c r="AF25" s="138"/>
      <c r="AG25" s="138"/>
      <c r="AH25" s="138"/>
      <c r="AI25" s="138"/>
      <c r="AJ25" s="138"/>
      <c r="AK25" s="138"/>
      <c r="AL25" s="138"/>
      <c r="AM25" s="138"/>
      <c r="AN25" s="138"/>
      <c r="AO25" s="138"/>
      <c r="AP25" s="138"/>
      <c r="AQ25" s="138"/>
      <c r="AR25" s="138"/>
      <c r="AS25" s="138"/>
      <c r="AT25" s="138"/>
      <c r="AU25" s="138"/>
      <c r="AV25" s="138"/>
      <c r="AW25" s="138"/>
      <c r="AX25" s="138"/>
      <c r="AY25" s="138"/>
      <c r="AZ25" s="138"/>
      <c r="BA25" s="138"/>
      <c r="BB25" s="138"/>
      <c r="BC25" s="138"/>
      <c r="BD25" s="172"/>
      <c r="BE25" s="172"/>
      <c r="BF25" s="172"/>
      <c r="BG25" s="172"/>
      <c r="BH25" s="172"/>
      <c r="BI25" s="172"/>
      <c r="BJ25" s="172"/>
      <c r="BK25" s="172"/>
      <c r="BL25" s="172"/>
    </row>
    <row r="26" spans="1:64" s="188" customFormat="1" x14ac:dyDescent="0.15">
      <c r="A26" s="312" t="s">
        <v>394</v>
      </c>
      <c r="B26" s="312" t="s">
        <v>395</v>
      </c>
      <c r="C26" s="297" t="s">
        <v>396</v>
      </c>
      <c r="D26" s="309"/>
      <c r="E26" s="309"/>
      <c r="F26" s="309"/>
      <c r="G26" s="309"/>
      <c r="H26" s="309"/>
      <c r="I26" s="309"/>
      <c r="J26" s="309"/>
      <c r="K26" s="309"/>
      <c r="L26" s="309"/>
      <c r="M26" s="309"/>
      <c r="N26" s="309"/>
      <c r="O26" s="309"/>
      <c r="P26" s="309"/>
      <c r="Q26" s="309"/>
      <c r="R26" s="309"/>
      <c r="S26" s="309"/>
      <c r="T26" s="309"/>
      <c r="U26" s="309"/>
      <c r="V26" s="309"/>
      <c r="W26" s="309"/>
      <c r="X26" s="309"/>
      <c r="Y26" s="309"/>
      <c r="Z26" s="309"/>
      <c r="AA26" s="309"/>
      <c r="AB26" s="309"/>
      <c r="AC26" s="309"/>
      <c r="AD26" s="309"/>
      <c r="AE26" s="309"/>
      <c r="AF26" s="309"/>
      <c r="AG26" s="309"/>
      <c r="AH26" s="309"/>
      <c r="AI26" s="309"/>
      <c r="AJ26" s="309"/>
      <c r="AK26" s="309"/>
      <c r="AL26" s="309"/>
      <c r="AM26" s="309"/>
      <c r="AN26" s="309"/>
      <c r="AO26" s="309"/>
      <c r="AP26" s="309"/>
      <c r="AQ26" s="309"/>
      <c r="AR26" s="309"/>
      <c r="AS26" s="309"/>
      <c r="AT26" s="309"/>
      <c r="AU26" s="309"/>
      <c r="AV26" s="309"/>
      <c r="AW26" s="309"/>
      <c r="AX26" s="309"/>
      <c r="AY26" s="309"/>
      <c r="AZ26" s="309"/>
      <c r="BA26" s="309"/>
      <c r="BB26" s="309"/>
      <c r="BC26" s="309"/>
      <c r="BD26" s="309"/>
      <c r="BE26" s="309"/>
      <c r="BF26" s="309"/>
      <c r="BG26" s="309"/>
      <c r="BH26" s="309"/>
      <c r="BI26" s="309"/>
      <c r="BJ26" s="309"/>
      <c r="BK26" s="309"/>
      <c r="BL26" s="309"/>
    </row>
    <row r="27" spans="1:64" s="172" customFormat="1" x14ac:dyDescent="0.15">
      <c r="A27" s="313" t="s">
        <v>397</v>
      </c>
      <c r="B27" s="314">
        <v>0</v>
      </c>
      <c r="C27" s="116" t="s">
        <v>398</v>
      </c>
      <c r="D27" s="315">
        <f>Leadsheet!E10</f>
        <v>16.179160103242385</v>
      </c>
      <c r="E27" s="316">
        <f>IF(E5&gt;=Leadsheet!$E$12,0,D44+E24-SUM(E28:E41))</f>
        <v>12.645888321975983</v>
      </c>
      <c r="F27" s="316">
        <f>IF(F5&gt;=Leadsheet!$E$12,0,E44+F24-SUM(F28:F41))</f>
        <v>10.873560208121551</v>
      </c>
      <c r="G27" s="316">
        <f>IF(G5&gt;=Leadsheet!$E$12,0,F44+G24-SUM(G28:G41))</f>
        <v>9.2785998534419605</v>
      </c>
      <c r="H27" s="316">
        <f>IF(H5&gt;=Leadsheet!$E$12,0,G44+H24-SUM(H28:H41))</f>
        <v>8.1043440669792428</v>
      </c>
      <c r="I27" s="316">
        <f>IF(I5&gt;=Leadsheet!$E$12,0,H44+I24-SUM(I28:I41))</f>
        <v>7.0103073868243468</v>
      </c>
      <c r="J27" s="316">
        <f>IF(J5&gt;=Leadsheet!$E$12,0,I44+J24-SUM(J28:J41))</f>
        <v>5.9825058946373915</v>
      </c>
      <c r="K27" s="316">
        <f>IF(K5&gt;=Leadsheet!$E$12,0,J44+K24-SUM(K28:K41))</f>
        <v>5.0364750179553655</v>
      </c>
      <c r="L27" s="316">
        <f>IF(L5&gt;=Leadsheet!$E$12,0,K44+L24-SUM(L28:L41))</f>
        <v>4.1587749794178874</v>
      </c>
      <c r="M27" s="316">
        <f>IF(M5&gt;=Leadsheet!$E$12,0,L44+M24-SUM(M28:M41))</f>
        <v>3.336432425080996</v>
      </c>
      <c r="N27" s="316">
        <f>IF(N5&gt;=Leadsheet!$E$12,0,M44+N24-SUM(N28:N41))</f>
        <v>2.5693737290910161</v>
      </c>
      <c r="O27" s="316">
        <f>IF(O5&gt;=Leadsheet!$E$12,0,N44+O24-SUM(O28:O41))</f>
        <v>1.8561869002637841</v>
      </c>
      <c r="P27" s="316">
        <f>IF(P5&gt;=Leadsheet!$E$12,0,O44+P24-SUM(P28:P41))</f>
        <v>1.194942320036307</v>
      </c>
      <c r="Q27" s="316">
        <f>IF(Q5&gt;=Leadsheet!$E$12,0,P44+Q24-SUM(Q28:Q41))</f>
        <v>0.5826003290224846</v>
      </c>
      <c r="R27" s="316">
        <f>IF(R5&gt;=Leadsheet!$E$12,0,Q44+R24-SUM(R28:R41))</f>
        <v>0</v>
      </c>
      <c r="S27" s="316">
        <f>IF(S5&gt;=Leadsheet!$E$12,0,R44+S24-SUM(S28:S41))</f>
        <v>0</v>
      </c>
      <c r="T27" s="316">
        <f>IF(T5&gt;=Leadsheet!$E$12,0,S44+T24-SUM(T28:T41))</f>
        <v>0</v>
      </c>
      <c r="U27" s="316">
        <f>IF(U5&gt;=Leadsheet!$E$12,0,T44+U24-SUM(U28:U41))</f>
        <v>0</v>
      </c>
      <c r="V27" s="316">
        <f>IF(V5&gt;=Leadsheet!$E$12,0,U44+V24-SUM(V28:V41))</f>
        <v>0</v>
      </c>
      <c r="W27" s="316">
        <f>IF(W5&gt;=Leadsheet!$E$12,0,V44+W24-SUM(W28:W41))</f>
        <v>0</v>
      </c>
      <c r="X27" s="316">
        <f>IF(X5&gt;=Leadsheet!$E$12,0,W44+X24-SUM(X28:X41))</f>
        <v>0</v>
      </c>
      <c r="Y27" s="316">
        <f>IF(Y5&gt;=Leadsheet!$E$12,0,X44+Y24-SUM(Y28:Y41))</f>
        <v>0</v>
      </c>
      <c r="Z27" s="316">
        <f>IF(Z5&gt;=Leadsheet!$E$12,0,Y44+Z24-SUM(Z28:Z41))</f>
        <v>0</v>
      </c>
      <c r="AA27" s="316">
        <f>IF(AA5&gt;=Leadsheet!$E$12,0,Z44+AA24-SUM(AA28:AA41))</f>
        <v>0</v>
      </c>
      <c r="AB27" s="316">
        <f>IF(AB5&gt;=Leadsheet!$E$12,0,AA44+AB24-SUM(AB28:AB41))</f>
        <v>0</v>
      </c>
      <c r="AC27" s="316">
        <f>IF(AC5&gt;=Leadsheet!$E$12,0,AB44+AC24-SUM(AC28:AC41))</f>
        <v>0</v>
      </c>
      <c r="AD27" s="316">
        <f>IF(AD5&gt;=Leadsheet!$E$12,0,AC44+AD24-SUM(AD28:AD41))</f>
        <v>0</v>
      </c>
      <c r="AE27" s="316">
        <f>IF(AE5&gt;=Leadsheet!$E$12,0,AD44+AE24-SUM(AE28:AE41))</f>
        <v>0</v>
      </c>
      <c r="AF27" s="316">
        <f>IF(AF5&gt;=Leadsheet!$E$12,0,AE44+AF24-SUM(AF28:AF41))</f>
        <v>0</v>
      </c>
      <c r="AG27" s="316">
        <f>IF(AG5&gt;=Leadsheet!$E$12,0,AF44+AG24-SUM(AG28:AG41))</f>
        <v>0</v>
      </c>
      <c r="AH27" s="316">
        <f>IF(AH5&gt;=Leadsheet!$E$12,0,AG44+AH24-SUM(AH28:AH41))</f>
        <v>0</v>
      </c>
      <c r="AI27" s="316">
        <f>IF(AI5&gt;=Leadsheet!$E$12,0,AH44+AI24-SUM(AI28:AI41))</f>
        <v>0</v>
      </c>
      <c r="AJ27" s="316">
        <f>IF(AJ5&gt;=Leadsheet!$E$12,0,AI44+AJ24-SUM(AJ28:AJ41))</f>
        <v>0</v>
      </c>
      <c r="AK27" s="316">
        <f>IF(AK5&gt;=Leadsheet!$E$12,0,AJ44+AK24-SUM(AK28:AK41))</f>
        <v>0</v>
      </c>
      <c r="AL27" s="316">
        <f>IF(AL5&gt;=Leadsheet!$E$12,0,AK44+AL24-SUM(AL28:AL41))</f>
        <v>0</v>
      </c>
      <c r="AM27" s="316">
        <f>IF(AM5&gt;=Leadsheet!$E$12,0,AL44+AM24-SUM(AM28:AM41))</f>
        <v>0</v>
      </c>
      <c r="AN27" s="316">
        <f>IF(AN5&gt;=Leadsheet!$E$12,0,AM44+AN24-SUM(AN28:AN41))</f>
        <v>0</v>
      </c>
      <c r="AO27" s="316">
        <f>IF(AO5&gt;=Leadsheet!$E$12,0,AN44+AO24-SUM(AO28:AO41))</f>
        <v>0</v>
      </c>
      <c r="AP27" s="316">
        <f>IF(AP5&gt;=Leadsheet!$E$12,0,AO44+AP24-SUM(AP28:AP41))</f>
        <v>0</v>
      </c>
      <c r="AQ27" s="316">
        <f>IF(AQ5&gt;=Leadsheet!$E$12,0,AP44+AQ24-SUM(AQ28:AQ41))</f>
        <v>0</v>
      </c>
      <c r="AR27" s="316">
        <f>IF(AR5&gt;=Leadsheet!$E$12,0,AQ44+AR24-SUM(AR28:AR41))</f>
        <v>0</v>
      </c>
      <c r="AS27" s="316">
        <f>IF(AS5&gt;=Leadsheet!$E$12,0,AR44+AS24-SUM(AS28:AS41))</f>
        <v>0</v>
      </c>
      <c r="AT27" s="316">
        <f>IF(AT5&gt;=Leadsheet!$E$12,0,AS44+AT24-SUM(AT28:AT41))</f>
        <v>0</v>
      </c>
      <c r="AU27" s="316">
        <f>IF(AU5&gt;=Leadsheet!$E$12,0,AT44+AU24-SUM(AU28:AU41))</f>
        <v>0</v>
      </c>
      <c r="AV27" s="316">
        <f>IF(AV5&gt;=Leadsheet!$E$12,0,AU44+AV24-SUM(AV28:AV41))</f>
        <v>0</v>
      </c>
      <c r="AW27" s="316">
        <f>IF(AW5&gt;=Leadsheet!$E$12,0,AV44+AW24-SUM(AW28:AW41))</f>
        <v>0</v>
      </c>
      <c r="AX27" s="316">
        <f>IF(AX5&gt;=Leadsheet!$E$12,0,AW44+AX24-SUM(AX28:AX41))</f>
        <v>0</v>
      </c>
      <c r="AY27" s="316">
        <f>IF(AY5&gt;=Leadsheet!$E$12,0,AX44+AY24-SUM(AY28:AY41))</f>
        <v>0</v>
      </c>
      <c r="AZ27" s="316">
        <f>IF(AZ5&gt;=Leadsheet!$E$12,0,AY44+AZ24-SUM(AZ28:AZ41))</f>
        <v>0</v>
      </c>
      <c r="BA27" s="316">
        <f>IF(BA5&gt;=Leadsheet!$E$12,0,AZ44+BA24-SUM(BA28:BA41))</f>
        <v>0</v>
      </c>
      <c r="BB27" s="316">
        <f>IF(BB5&gt;=Leadsheet!$E$12,0,BA44+BB24-SUM(BB28:BB41))</f>
        <v>0</v>
      </c>
      <c r="BC27" s="316">
        <f>IF(BC5&gt;=Leadsheet!$E$12,0,BB44+BC24-SUM(BC28:BC41))</f>
        <v>0</v>
      </c>
      <c r="BD27" s="316">
        <f>IF(BD5&gt;=Leadsheet!$E$12,0,BC44+BD24-SUM(BD28:BD41))</f>
        <v>0</v>
      </c>
      <c r="BE27" s="316">
        <f>IF(BE5&gt;=Leadsheet!$E$12,0,BD44+BE24-SUM(BE28:BE41))</f>
        <v>0</v>
      </c>
      <c r="BF27" s="316">
        <f>IF(BF5&gt;=Leadsheet!$E$12,0,BE44+BF24-SUM(BF28:BF41))</f>
        <v>0</v>
      </c>
      <c r="BG27" s="316">
        <f>IF(BG5&gt;=Leadsheet!$E$12,0,BF44+BG24-SUM(BG28:BG41))</f>
        <v>0</v>
      </c>
      <c r="BH27" s="316">
        <f>IF(BH5&gt;=Leadsheet!$E$12,0,BG44+BH24-SUM(BH28:BH41))</f>
        <v>0</v>
      </c>
      <c r="BI27" s="316">
        <f>IF(BI5&gt;=Leadsheet!$E$12,0,BH44+BI24-SUM(BI28:BI41))</f>
        <v>0</v>
      </c>
      <c r="BJ27" s="316">
        <f>IF(BJ5&gt;=Leadsheet!$E$12,0,BI44+BJ24-SUM(BJ28:BJ41))</f>
        <v>0</v>
      </c>
      <c r="BK27" s="316">
        <f>IF(BK5&gt;=Leadsheet!$E$12,0,BJ44+BK24-SUM(BK28:BK41))</f>
        <v>0</v>
      </c>
      <c r="BL27" s="316">
        <f>IF(BL5&gt;=Leadsheet!$E$12,0,BK44+BL24-SUM(BL28:BL41))</f>
        <v>0</v>
      </c>
    </row>
    <row r="28" spans="1:64" s="172" customFormat="1" x14ac:dyDescent="0.15">
      <c r="A28" s="313" t="s">
        <v>399</v>
      </c>
      <c r="B28" s="314">
        <v>30</v>
      </c>
      <c r="C28" s="116" t="s">
        <v>400</v>
      </c>
      <c r="D28" s="315"/>
      <c r="E28" s="316">
        <f>IF(E$5&gt;$D$7,0,D27*Leadsheet!$D91)</f>
        <v>0.82513716526536163</v>
      </c>
      <c r="F28" s="316">
        <f>IF(F$5&gt;$D$7,0,E27*Leadsheet!$D91)</f>
        <v>0.6449403044207751</v>
      </c>
      <c r="G28" s="316">
        <f>IF(G$5&gt;$D$7,0,F27*Leadsheet!$D91)</f>
        <v>0.55455157061419913</v>
      </c>
      <c r="H28" s="316">
        <f>IF(H$5&gt;$D$7,0,G27*Leadsheet!$D91)</f>
        <v>0.47320859252553993</v>
      </c>
      <c r="I28" s="316">
        <f>IF(I$5&gt;$D$7,0,H27*Leadsheet!$D91)</f>
        <v>0.41332154741594135</v>
      </c>
      <c r="J28" s="316">
        <f>IF(J$5&gt;$D$7,0,I27*Leadsheet!$D91)</f>
        <v>0.35752567672804164</v>
      </c>
      <c r="K28" s="316">
        <f>IF(K$5&gt;$D$7,0,J27*Leadsheet!$D91)</f>
        <v>0.30510780062650694</v>
      </c>
      <c r="L28" s="316">
        <f>IF(L$5&gt;$D$7,0,K27*Leadsheet!$D91)</f>
        <v>0.25686022591572361</v>
      </c>
      <c r="M28" s="316">
        <f>IF(M$5&gt;$D$7,0,L27*Leadsheet!$D91)</f>
        <v>0.21209752395031226</v>
      </c>
      <c r="N28" s="316">
        <f>IF(N$5&gt;$D$7,0,M27*Leadsheet!$D91)</f>
        <v>0.17015805367913078</v>
      </c>
      <c r="O28" s="316">
        <f>IF(O$5&gt;$D$7,0,N27*Leadsheet!$D91)</f>
        <v>0.13103806018364181</v>
      </c>
      <c r="P28" s="316">
        <f>IF(P$5&gt;$D$7,0,O27*Leadsheet!$D91)</f>
        <v>9.4665531913452977E-2</v>
      </c>
      <c r="Q28" s="316">
        <f>IF(Q$5&gt;$D$7,0,P27*Leadsheet!$D91)</f>
        <v>6.094205832185165E-2</v>
      </c>
      <c r="R28" s="316">
        <f>IF(R$5&gt;$D$7,0,Q27*Leadsheet!$D91)</f>
        <v>2.9712616780146712E-2</v>
      </c>
      <c r="S28" s="316">
        <f>IF(S$5&gt;$D$7,0,R27*Leadsheet!$D91)</f>
        <v>0</v>
      </c>
      <c r="T28" s="315">
        <f>IF(T$5&gt;$D$7,0,S27*Leadsheet!$D91)</f>
        <v>0</v>
      </c>
      <c r="U28" s="315">
        <f>IF(U$5&gt;$D$7,0,T27*Leadsheet!$D91)</f>
        <v>0</v>
      </c>
      <c r="V28" s="315">
        <f>IF(V$5&gt;$D$7,0,U27*Leadsheet!$D91)</f>
        <v>0</v>
      </c>
      <c r="W28" s="315">
        <f>IF(W$5&gt;$D$7,0,V27*Leadsheet!$D91)</f>
        <v>0</v>
      </c>
      <c r="X28" s="315">
        <f>IF(X$5&gt;$D$7,0,W27*Leadsheet!$D91)</f>
        <v>0</v>
      </c>
      <c r="Y28" s="315">
        <f>IF(Y$5&gt;$D$7,0,X27*Leadsheet!$D91)</f>
        <v>0</v>
      </c>
      <c r="Z28" s="315">
        <f>IF(Z$5&gt;$D$7,0,Y27*Leadsheet!$D91)</f>
        <v>0</v>
      </c>
      <c r="AA28" s="315">
        <f>IF(AA$5&gt;$D$7,0,Z27*Leadsheet!$D91)</f>
        <v>0</v>
      </c>
      <c r="AB28" s="315">
        <f>IF(AB$5&gt;$D$7,0,AA27*Leadsheet!$D91)</f>
        <v>0</v>
      </c>
      <c r="AC28" s="315">
        <f>IF(AC$5&gt;$D$7,0,AB27*Leadsheet!$D91)</f>
        <v>0</v>
      </c>
      <c r="AD28" s="315">
        <f>IF(AD$5&gt;$D$7,0,AC27*Leadsheet!$D91)</f>
        <v>0</v>
      </c>
      <c r="AE28" s="315">
        <f>IF(AE$5&gt;$D$7,0,AD27*Leadsheet!$D91)</f>
        <v>0</v>
      </c>
      <c r="AF28" s="315">
        <f>IF(AF$5&gt;$D$7,0,AE27*Leadsheet!$D91)</f>
        <v>0</v>
      </c>
      <c r="AG28" s="315">
        <f>IF(AG$5&gt;$D$7,0,AF27*Leadsheet!$D91)</f>
        <v>0</v>
      </c>
      <c r="AH28" s="315">
        <f>IF(AH$5&gt;$D$7,0,AG27*Leadsheet!$D91)</f>
        <v>0</v>
      </c>
      <c r="AI28" s="315">
        <f>IF(AI$5&gt;$D$7,0,AH27*Leadsheet!$D91)</f>
        <v>0</v>
      </c>
      <c r="AJ28" s="315">
        <f>IF(AJ$5&gt;$D$7,0,AI27*Leadsheet!$D91)</f>
        <v>0</v>
      </c>
      <c r="AK28" s="315">
        <f>IF(AK$5&gt;$D$7,0,AJ27*Leadsheet!$D91)</f>
        <v>0</v>
      </c>
      <c r="AL28" s="315">
        <f>IF(AL$5&gt;$D$7,0,AK27*Leadsheet!$D91)</f>
        <v>0</v>
      </c>
      <c r="AM28" s="315">
        <f>IF(AM$5&gt;$D$7,0,AL27*Leadsheet!$D91)</f>
        <v>0</v>
      </c>
      <c r="AN28" s="315">
        <f>IF(AN$5&gt;$D$7,0,AM27*Leadsheet!$D91)</f>
        <v>0</v>
      </c>
      <c r="AO28" s="315">
        <f>IF(AO$5&gt;$D$7,0,AN27*Leadsheet!$D91)</f>
        <v>0</v>
      </c>
      <c r="AP28" s="315">
        <f>IF(AP$5&gt;$D$7,0,AO27*Leadsheet!$D91)</f>
        <v>0</v>
      </c>
      <c r="AQ28" s="315">
        <f>IF(AQ$5&gt;$D$7,0,AP27*Leadsheet!$D91)</f>
        <v>0</v>
      </c>
      <c r="AR28" s="315">
        <f>IF(AR$5&gt;$D$7,0,AQ27*Leadsheet!$D91)</f>
        <v>0</v>
      </c>
      <c r="AS28" s="315">
        <f>IF(AS$5&gt;$D$7,0,AR27*Leadsheet!$D91)</f>
        <v>0</v>
      </c>
      <c r="AT28" s="315">
        <f>IF(AT$5&gt;$D$7,0,AS27*Leadsheet!$D91)</f>
        <v>0</v>
      </c>
      <c r="AU28" s="315">
        <f>IF(AU$5&gt;$D$7,0,AT27*Leadsheet!$D91)</f>
        <v>0</v>
      </c>
      <c r="AV28" s="315">
        <f>IF(AV$5&gt;$D$7,0,AU27*Leadsheet!$D91)</f>
        <v>0</v>
      </c>
      <c r="AW28" s="315">
        <f>IF(AW$5&gt;$D$7,0,AV27*Leadsheet!$D91)</f>
        <v>0</v>
      </c>
      <c r="AX28" s="315">
        <f>IF(AX$5&gt;$D$7,0,AW27*Leadsheet!$D91)</f>
        <v>0</v>
      </c>
      <c r="AY28" s="315">
        <f>IF(AY$5&gt;$D$7,0,AX27*Leadsheet!$D91)</f>
        <v>0</v>
      </c>
      <c r="AZ28" s="315">
        <f>IF(AZ$5&gt;$D$7,0,AY27*Leadsheet!$D91)</f>
        <v>0</v>
      </c>
      <c r="BA28" s="315">
        <f>IF(BA$5&gt;$D$7,0,AZ27*Leadsheet!$D91)</f>
        <v>0</v>
      </c>
      <c r="BB28" s="315">
        <f>IF(BB$5&gt;$D$7,0,BA27*Leadsheet!$D91)</f>
        <v>0</v>
      </c>
      <c r="BC28" s="315">
        <f>IF(BC$5&gt;$D$7,0,BB27*Leadsheet!$D91)</f>
        <v>0</v>
      </c>
      <c r="BD28" s="315">
        <f>IF(BD$5&gt;$D$7,0,BC27*Leadsheet!$D91)</f>
        <v>0</v>
      </c>
      <c r="BE28" s="315">
        <f>IF(BE$5&gt;$D$7,0,BD27*Leadsheet!$D91)</f>
        <v>0</v>
      </c>
      <c r="BF28" s="315">
        <f>IF(BF$5&gt;$D$7,0,BE27*Leadsheet!$D91)</f>
        <v>0</v>
      </c>
      <c r="BG28" s="315">
        <f>IF(BG$5&gt;$D$7,0,BF27*Leadsheet!$D91)</f>
        <v>0</v>
      </c>
      <c r="BH28" s="315">
        <f>IF(BH$5&gt;$D$7,0,BG27*Leadsheet!$D91)</f>
        <v>0</v>
      </c>
      <c r="BI28" s="315">
        <f>IF(BI$5&gt;$D$7,0,BH27*Leadsheet!$D91)</f>
        <v>0</v>
      </c>
      <c r="BJ28" s="315">
        <f>IF(BJ$5&gt;$D$7,0,BI27*Leadsheet!$D91)</f>
        <v>0</v>
      </c>
      <c r="BK28" s="315">
        <f>IF(BK$5&gt;$D$7,0,BJ27*Leadsheet!$D91)</f>
        <v>0</v>
      </c>
      <c r="BL28" s="315">
        <f>IF(BL$5&gt;$D$7,0,BK27*Leadsheet!$D91)</f>
        <v>0</v>
      </c>
    </row>
    <row r="29" spans="1:64" s="172" customFormat="1" x14ac:dyDescent="0.15">
      <c r="A29" s="313" t="s">
        <v>399</v>
      </c>
      <c r="B29" s="314">
        <v>60</v>
      </c>
      <c r="C29" s="116" t="s">
        <v>401</v>
      </c>
      <c r="D29" s="315"/>
      <c r="E29" s="316">
        <f>IF(E$5&gt;$D$7,0,D28*Leadsheet!$D92)</f>
        <v>0</v>
      </c>
      <c r="F29" s="316">
        <f>IF(F$5&gt;$D$7,0,E28*Leadsheet!$D92)</f>
        <v>0.55313813743425422</v>
      </c>
      <c r="G29" s="316">
        <f>IF(G$5&gt;$D$7,0,F28*Leadsheet!$D92)</f>
        <v>0.43234154727336954</v>
      </c>
      <c r="H29" s="316">
        <f>IF(H$5&gt;$D$7,0,G28*Leadsheet!$D92)</f>
        <v>0.37174864470215763</v>
      </c>
      <c r="I29" s="316">
        <f>IF(I$5&gt;$D$7,0,H28*Leadsheet!$D92)</f>
        <v>0.31721964602489361</v>
      </c>
      <c r="J29" s="316">
        <f>IF(J$5&gt;$D$7,0,I28*Leadsheet!$D92)</f>
        <v>0.27707382544764281</v>
      </c>
      <c r="K29" s="316">
        <f>IF(K$5&gt;$D$7,0,J28*Leadsheet!$D92)</f>
        <v>0.23967056052634703</v>
      </c>
      <c r="L29" s="316">
        <f>IF(L$5&gt;$D$7,0,K28*Leadsheet!$D92)</f>
        <v>0.20453176472899867</v>
      </c>
      <c r="M29" s="316">
        <f>IF(M$5&gt;$D$7,0,L28*Leadsheet!$D92)</f>
        <v>0.17218856806464763</v>
      </c>
      <c r="N29" s="316">
        <f>IF(N$5&gt;$D$7,0,M28*Leadsheet!$D92)</f>
        <v>0.14218148726165225</v>
      </c>
      <c r="O29" s="316">
        <f>IF(O$5&gt;$D$7,0,N28*Leadsheet!$D92)</f>
        <v>0.1140669852766155</v>
      </c>
      <c r="P29" s="316">
        <f>IF(P$5&gt;$D$7,0,O28*Leadsheet!$D92)</f>
        <v>8.7842544966044891E-2</v>
      </c>
      <c r="Q29" s="316">
        <f>IF(Q$5&gt;$D$7,0,P28*Leadsheet!$D92)</f>
        <v>6.3459892737943169E-2</v>
      </c>
      <c r="R29" s="316">
        <f>IF(R$5&gt;$D$7,0,Q28*Leadsheet!$D92)</f>
        <v>4.0853058195140055E-2</v>
      </c>
      <c r="S29" s="316">
        <f>IF(S$5&gt;$D$7,0,R28*Leadsheet!$D92)</f>
        <v>1.9918120520947102E-2</v>
      </c>
      <c r="T29" s="315">
        <f>IF(T$5&gt;$D$7,0,S28*Leadsheet!$D92)</f>
        <v>0</v>
      </c>
      <c r="U29" s="315">
        <f>IF(U$5&gt;$D$7,0,T28*Leadsheet!$D92)</f>
        <v>0</v>
      </c>
      <c r="V29" s="315">
        <f>IF(V$5&gt;$D$7,0,U28*Leadsheet!$D92)</f>
        <v>0</v>
      </c>
      <c r="W29" s="315">
        <f>IF(W$5&gt;$D$7,0,V28*Leadsheet!$D92)</f>
        <v>0</v>
      </c>
      <c r="X29" s="315">
        <f>IF(X$5&gt;$D$7,0,W28*Leadsheet!$D92)</f>
        <v>0</v>
      </c>
      <c r="Y29" s="315">
        <f>IF(Y$5&gt;$D$7,0,X28*Leadsheet!$D92)</f>
        <v>0</v>
      </c>
      <c r="Z29" s="315">
        <f>IF(Z$5&gt;$D$7,0,Y28*Leadsheet!$D92)</f>
        <v>0</v>
      </c>
      <c r="AA29" s="315">
        <f>IF(AA$5&gt;$D$7,0,Z28*Leadsheet!$D92)</f>
        <v>0</v>
      </c>
      <c r="AB29" s="315">
        <f>IF(AB$5&gt;$D$7,0,AA28*Leadsheet!$D92)</f>
        <v>0</v>
      </c>
      <c r="AC29" s="315">
        <f>IF(AC$5&gt;$D$7,0,AB28*Leadsheet!$D92)</f>
        <v>0</v>
      </c>
      <c r="AD29" s="315">
        <f>IF(AD$5&gt;$D$7,0,AC28*Leadsheet!$D92)</f>
        <v>0</v>
      </c>
      <c r="AE29" s="315">
        <f>IF(AE$5&gt;$D$7,0,AD28*Leadsheet!$D92)</f>
        <v>0</v>
      </c>
      <c r="AF29" s="315">
        <f>IF(AF$5&gt;$D$7,0,AE28*Leadsheet!$D92)</f>
        <v>0</v>
      </c>
      <c r="AG29" s="315">
        <f>IF(AG$5&gt;$D$7,0,AF28*Leadsheet!$D92)</f>
        <v>0</v>
      </c>
      <c r="AH29" s="315">
        <f>IF(AH$5&gt;$D$7,0,AG28*Leadsheet!$D92)</f>
        <v>0</v>
      </c>
      <c r="AI29" s="315">
        <f>IF(AI$5&gt;$D$7,0,AH28*Leadsheet!$D92)</f>
        <v>0</v>
      </c>
      <c r="AJ29" s="315">
        <f>IF(AJ$5&gt;$D$7,0,AI28*Leadsheet!$D92)</f>
        <v>0</v>
      </c>
      <c r="AK29" s="315">
        <f>IF(AK$5&gt;$D$7,0,AJ28*Leadsheet!$D92)</f>
        <v>0</v>
      </c>
      <c r="AL29" s="315">
        <f>IF(AL$5&gt;$D$7,0,AK28*Leadsheet!$D92)</f>
        <v>0</v>
      </c>
      <c r="AM29" s="315">
        <f>IF(AM$5&gt;$D$7,0,AL28*Leadsheet!$D92)</f>
        <v>0</v>
      </c>
      <c r="AN29" s="315">
        <f>IF(AN$5&gt;$D$7,0,AM28*Leadsheet!$D92)</f>
        <v>0</v>
      </c>
      <c r="AO29" s="315">
        <f>IF(AO$5&gt;$D$7,0,AN28*Leadsheet!$D92)</f>
        <v>0</v>
      </c>
      <c r="AP29" s="315">
        <f>IF(AP$5&gt;$D$7,0,AO28*Leadsheet!$D92)</f>
        <v>0</v>
      </c>
      <c r="AQ29" s="315">
        <f>IF(AQ$5&gt;$D$7,0,AP28*Leadsheet!$D92)</f>
        <v>0</v>
      </c>
      <c r="AR29" s="315">
        <f>IF(AR$5&gt;$D$7,0,AQ28*Leadsheet!$D92)</f>
        <v>0</v>
      </c>
      <c r="AS29" s="315">
        <f>IF(AS$5&gt;$D$7,0,AR28*Leadsheet!$D92)</f>
        <v>0</v>
      </c>
      <c r="AT29" s="315">
        <f>IF(AT$5&gt;$D$7,0,AS28*Leadsheet!$D92)</f>
        <v>0</v>
      </c>
      <c r="AU29" s="315">
        <f>IF(AU$5&gt;$D$7,0,AT28*Leadsheet!$D92)</f>
        <v>0</v>
      </c>
      <c r="AV29" s="315">
        <f>IF(AV$5&gt;$D$7,0,AU28*Leadsheet!$D92)</f>
        <v>0</v>
      </c>
      <c r="AW29" s="315">
        <f>IF(AW$5&gt;$D$7,0,AV28*Leadsheet!$D92)</f>
        <v>0</v>
      </c>
      <c r="AX29" s="315">
        <f>IF(AX$5&gt;$D$7,0,AW28*Leadsheet!$D92)</f>
        <v>0</v>
      </c>
      <c r="AY29" s="315">
        <f>IF(AY$5&gt;$D$7,0,AX28*Leadsheet!$D92)</f>
        <v>0</v>
      </c>
      <c r="AZ29" s="315">
        <f>IF(AZ$5&gt;$D$7,0,AY28*Leadsheet!$D92)</f>
        <v>0</v>
      </c>
      <c r="BA29" s="315">
        <f>IF(BA$5&gt;$D$7,0,AZ28*Leadsheet!$D92)</f>
        <v>0</v>
      </c>
      <c r="BB29" s="315">
        <f>IF(BB$5&gt;$D$7,0,BA28*Leadsheet!$D92)</f>
        <v>0</v>
      </c>
      <c r="BC29" s="315">
        <f>IF(BC$5&gt;$D$7,0,BB28*Leadsheet!$D92)</f>
        <v>0</v>
      </c>
      <c r="BD29" s="315">
        <f>IF(BD$5&gt;$D$7,0,BC28*Leadsheet!$D92)</f>
        <v>0</v>
      </c>
      <c r="BE29" s="315">
        <f>IF(BE$5&gt;$D$7,0,BD28*Leadsheet!$D92)</f>
        <v>0</v>
      </c>
      <c r="BF29" s="315">
        <f>IF(BF$5&gt;$D$7,0,BE28*Leadsheet!$D92)</f>
        <v>0</v>
      </c>
      <c r="BG29" s="315">
        <f>IF(BG$5&gt;$D$7,0,BF28*Leadsheet!$D92)</f>
        <v>0</v>
      </c>
      <c r="BH29" s="315">
        <f>IF(BH$5&gt;$D$7,0,BG28*Leadsheet!$D92)</f>
        <v>0</v>
      </c>
      <c r="BI29" s="315">
        <f>IF(BI$5&gt;$D$7,0,BH28*Leadsheet!$D92)</f>
        <v>0</v>
      </c>
      <c r="BJ29" s="315">
        <f>IF(BJ$5&gt;$D$7,0,BI28*Leadsheet!$D92)</f>
        <v>0</v>
      </c>
      <c r="BK29" s="315">
        <f>IF(BK$5&gt;$D$7,0,BJ28*Leadsheet!$D92)</f>
        <v>0</v>
      </c>
      <c r="BL29" s="315">
        <f>IF(BL$5&gt;$D$7,0,BK28*Leadsheet!$D92)</f>
        <v>0</v>
      </c>
    </row>
    <row r="30" spans="1:64" s="172" customFormat="1" x14ac:dyDescent="0.15">
      <c r="A30" s="313" t="s">
        <v>399</v>
      </c>
      <c r="B30" s="314">
        <v>90</v>
      </c>
      <c r="C30" s="116" t="s">
        <v>402</v>
      </c>
      <c r="D30" s="315"/>
      <c r="E30" s="316">
        <f>IF(E$5&gt;$D$7,0,D29*Leadsheet!$D93)</f>
        <v>0</v>
      </c>
      <c r="F30" s="316">
        <f>IF(F$5&gt;$D$7,0,E29*Leadsheet!$D93)</f>
        <v>0</v>
      </c>
      <c r="G30" s="316">
        <f>IF(G$5&gt;$D$7,0,F29*Leadsheet!$D93)</f>
        <v>0.50335570506517135</v>
      </c>
      <c r="H30" s="316">
        <f>IF(H$5&gt;$D$7,0,G29*Leadsheet!$D93)</f>
        <v>0.39343080801876629</v>
      </c>
      <c r="I30" s="316">
        <f>IF(I$5&gt;$D$7,0,H29*Leadsheet!$D93)</f>
        <v>0.33829126667896348</v>
      </c>
      <c r="J30" s="316">
        <f>IF(J$5&gt;$D$7,0,I29*Leadsheet!$D93)</f>
        <v>0.28866987788265319</v>
      </c>
      <c r="K30" s="316">
        <f>IF(K$5&gt;$D$7,0,J29*Leadsheet!$D93)</f>
        <v>0.25213718115735495</v>
      </c>
      <c r="L30" s="316">
        <f>IF(L$5&gt;$D$7,0,K29*Leadsheet!$D93)</f>
        <v>0.21810021007897581</v>
      </c>
      <c r="M30" s="316">
        <f>IF(M$5&gt;$D$7,0,L29*Leadsheet!$D93)</f>
        <v>0.18612390590338879</v>
      </c>
      <c r="N30" s="316">
        <f>IF(N$5&gt;$D$7,0,M29*Leadsheet!$D93)</f>
        <v>0.15669159693882936</v>
      </c>
      <c r="O30" s="316">
        <f>IF(O$5&gt;$D$7,0,N29*Leadsheet!$D93)</f>
        <v>0.12938515340810355</v>
      </c>
      <c r="P30" s="316">
        <f>IF(P$5&gt;$D$7,0,O29*Leadsheet!$D93)</f>
        <v>0.10380095660172012</v>
      </c>
      <c r="Q30" s="316">
        <f>IF(Q$5&gt;$D$7,0,P29*Leadsheet!$D93)</f>
        <v>7.9936715919100856E-2</v>
      </c>
      <c r="R30" s="316">
        <f>IF(R$5&gt;$D$7,0,Q29*Leadsheet!$D93)</f>
        <v>5.7748502391528282E-2</v>
      </c>
      <c r="S30" s="316">
        <f>IF(S$5&gt;$D$7,0,R29*Leadsheet!$D93)</f>
        <v>3.7176282957577453E-2</v>
      </c>
      <c r="T30" s="315">
        <f>IF(T$5&gt;$D$7,0,S29*Leadsheet!$D93)</f>
        <v>1.8125489674061863E-2</v>
      </c>
      <c r="U30" s="315">
        <f>IF(U$5&gt;$D$7,0,T29*Leadsheet!$D93)</f>
        <v>0</v>
      </c>
      <c r="V30" s="315">
        <f>IF(V$5&gt;$D$7,0,U29*Leadsheet!$D93)</f>
        <v>0</v>
      </c>
      <c r="W30" s="315">
        <f>IF(W$5&gt;$D$7,0,V29*Leadsheet!$D93)</f>
        <v>0</v>
      </c>
      <c r="X30" s="315">
        <f>IF(X$5&gt;$D$7,0,W29*Leadsheet!$D93)</f>
        <v>0</v>
      </c>
      <c r="Y30" s="315">
        <f>IF(Y$5&gt;$D$7,0,X29*Leadsheet!$D93)</f>
        <v>0</v>
      </c>
      <c r="Z30" s="315">
        <f>IF(Z$5&gt;$D$7,0,Y29*Leadsheet!$D93)</f>
        <v>0</v>
      </c>
      <c r="AA30" s="315">
        <f>IF(AA$5&gt;$D$7,0,Z29*Leadsheet!$D93)</f>
        <v>0</v>
      </c>
      <c r="AB30" s="315">
        <f>IF(AB$5&gt;$D$7,0,AA29*Leadsheet!$D93)</f>
        <v>0</v>
      </c>
      <c r="AC30" s="315">
        <f>IF(AC$5&gt;$D$7,0,AB29*Leadsheet!$D93)</f>
        <v>0</v>
      </c>
      <c r="AD30" s="315">
        <f>IF(AD$5&gt;$D$7,0,AC29*Leadsheet!$D93)</f>
        <v>0</v>
      </c>
      <c r="AE30" s="315">
        <f>IF(AE$5&gt;$D$7,0,AD29*Leadsheet!$D93)</f>
        <v>0</v>
      </c>
      <c r="AF30" s="315">
        <f>IF(AF$5&gt;$D$7,0,AE29*Leadsheet!$D93)</f>
        <v>0</v>
      </c>
      <c r="AG30" s="315">
        <f>IF(AG$5&gt;$D$7,0,AF29*Leadsheet!$D93)</f>
        <v>0</v>
      </c>
      <c r="AH30" s="315">
        <f>IF(AH$5&gt;$D$7,0,AG29*Leadsheet!$D93)</f>
        <v>0</v>
      </c>
      <c r="AI30" s="315">
        <f>IF(AI$5&gt;$D$7,0,AH29*Leadsheet!$D93)</f>
        <v>0</v>
      </c>
      <c r="AJ30" s="315">
        <f>IF(AJ$5&gt;$D$7,0,AI29*Leadsheet!$D93)</f>
        <v>0</v>
      </c>
      <c r="AK30" s="315">
        <f>IF(AK$5&gt;$D$7,0,AJ29*Leadsheet!$D93)</f>
        <v>0</v>
      </c>
      <c r="AL30" s="315">
        <f>IF(AL$5&gt;$D$7,0,AK29*Leadsheet!$D93)</f>
        <v>0</v>
      </c>
      <c r="AM30" s="315">
        <f>IF(AM$5&gt;$D$7,0,AL29*Leadsheet!$D93)</f>
        <v>0</v>
      </c>
      <c r="AN30" s="315">
        <f>IF(AN$5&gt;$D$7,0,AM29*Leadsheet!$D93)</f>
        <v>0</v>
      </c>
      <c r="AO30" s="315">
        <f>IF(AO$5&gt;$D$7,0,AN29*Leadsheet!$D93)</f>
        <v>0</v>
      </c>
      <c r="AP30" s="315">
        <f>IF(AP$5&gt;$D$7,0,AO29*Leadsheet!$D93)</f>
        <v>0</v>
      </c>
      <c r="AQ30" s="315">
        <f>IF(AQ$5&gt;$D$7,0,AP29*Leadsheet!$D93)</f>
        <v>0</v>
      </c>
      <c r="AR30" s="315">
        <f>IF(AR$5&gt;$D$7,0,AQ29*Leadsheet!$D93)</f>
        <v>0</v>
      </c>
      <c r="AS30" s="315">
        <f>IF(AS$5&gt;$D$7,0,AR29*Leadsheet!$D93)</f>
        <v>0</v>
      </c>
      <c r="AT30" s="315">
        <f>IF(AT$5&gt;$D$7,0,AS29*Leadsheet!$D93)</f>
        <v>0</v>
      </c>
      <c r="AU30" s="315">
        <f>IF(AU$5&gt;$D$7,0,AT29*Leadsheet!$D93)</f>
        <v>0</v>
      </c>
      <c r="AV30" s="315">
        <v>0</v>
      </c>
      <c r="AW30" s="315">
        <f>IF(AW$5&gt;$D$7,0,AV29*Leadsheet!$D93)</f>
        <v>0</v>
      </c>
      <c r="AX30" s="315">
        <f>IF(AX$5&gt;$D$7,0,AW29*Leadsheet!$D93)</f>
        <v>0</v>
      </c>
      <c r="AY30" s="315">
        <f>IF(AY$5&gt;$D$7,0,AX29*Leadsheet!$D93)</f>
        <v>0</v>
      </c>
      <c r="AZ30" s="315">
        <f>IF(AZ$5&gt;$D$7,0,AY29*Leadsheet!$D93)</f>
        <v>0</v>
      </c>
      <c r="BA30" s="315">
        <f>IF(BA$5&gt;$D$7,0,AZ29*Leadsheet!$D93)</f>
        <v>0</v>
      </c>
      <c r="BB30" s="315">
        <f>IF(BB$5&gt;$D$7,0,BA29*Leadsheet!$D93)</f>
        <v>0</v>
      </c>
      <c r="BC30" s="315">
        <f>IF(BC$5&gt;$D$7,0,BB29*Leadsheet!$D93)</f>
        <v>0</v>
      </c>
      <c r="BD30" s="315">
        <f>IF(BD$5&gt;$D$7,0,BC29*Leadsheet!$D93)</f>
        <v>0</v>
      </c>
      <c r="BE30" s="315">
        <f>IF(BE$5&gt;$D$7,0,BD29*Leadsheet!$D93)</f>
        <v>0</v>
      </c>
      <c r="BF30" s="315">
        <f>IF(BF$5&gt;$D$7,0,BE29*Leadsheet!$D93)</f>
        <v>0</v>
      </c>
      <c r="BG30" s="315">
        <f>IF(BG$5&gt;$D$7,0,BF29*Leadsheet!$D93)</f>
        <v>0</v>
      </c>
      <c r="BH30" s="315">
        <f>IF(BH$5&gt;$D$7,0,BG29*Leadsheet!$D93)</f>
        <v>0</v>
      </c>
      <c r="BI30" s="315">
        <f>IF(BI$5&gt;$D$7,0,BH29*Leadsheet!$D93)</f>
        <v>0</v>
      </c>
      <c r="BJ30" s="315">
        <f>IF(BJ$5&gt;$D$7,0,BI29*Leadsheet!$D93)</f>
        <v>0</v>
      </c>
      <c r="BK30" s="315">
        <f>IF(BK$5&gt;$D$7,0,BJ29*Leadsheet!$D93)</f>
        <v>0</v>
      </c>
      <c r="BL30" s="315">
        <f>IF(BL$5&gt;$D$7,0,BK29*Leadsheet!$D93)</f>
        <v>0</v>
      </c>
    </row>
    <row r="31" spans="1:64" x14ac:dyDescent="0.15">
      <c r="A31" s="317" t="s">
        <v>403</v>
      </c>
      <c r="B31" s="318">
        <v>120</v>
      </c>
      <c r="C31" s="116" t="s">
        <v>404</v>
      </c>
      <c r="D31" s="319"/>
      <c r="E31" s="316">
        <f>IF(E$5&gt;$D$7,0,D30*Leadsheet!$D94)</f>
        <v>0</v>
      </c>
      <c r="F31" s="316">
        <f>IF(F$5&gt;$D$7,0,E30*Leadsheet!$D94)</f>
        <v>0</v>
      </c>
      <c r="G31" s="316">
        <f>IF(G$5&gt;$D$7,0,F30*Leadsheet!$D94)</f>
        <v>0</v>
      </c>
      <c r="H31" s="316">
        <f>IF(H$5&gt;$D$7,0,G30*Leadsheet!$D94)</f>
        <v>0.50193915427000158</v>
      </c>
      <c r="I31" s="316">
        <f>IF(I$5&gt;$D$7,0,H30*Leadsheet!$D94)</f>
        <v>0.39232360943467331</v>
      </c>
      <c r="J31" s="316">
        <f>IF(J$5&gt;$D$7,0,I30*Leadsheet!$D94)</f>
        <v>0.33733924257753595</v>
      </c>
      <c r="K31" s="316">
        <f>IF(K$5&gt;$D$7,0,J30*Leadsheet!$D94)</f>
        <v>0.28785749900040075</v>
      </c>
      <c r="L31" s="316">
        <f>IF(L$5&gt;$D$7,0,K30*Leadsheet!$D94)</f>
        <v>0.2514276131106114</v>
      </c>
      <c r="M31" s="316">
        <f>IF(M$5&gt;$D$7,0,L30*Leadsheet!$D94)</f>
        <v>0.21748642936107559</v>
      </c>
      <c r="N31" s="316">
        <f>IF(N$5&gt;$D$7,0,M30*Leadsheet!$D94)</f>
        <v>0.18560011335618121</v>
      </c>
      <c r="O31" s="316">
        <f>IF(O$5&gt;$D$7,0,N30*Leadsheet!$D94)</f>
        <v>0.15625063321475399</v>
      </c>
      <c r="P31" s="316">
        <f>IF(P$5&gt;$D$7,0,O30*Leadsheet!$D94)</f>
        <v>0.12902103586637492</v>
      </c>
      <c r="Q31" s="316">
        <f>IF(Q$5&gt;$D$7,0,P30*Leadsheet!$D94)</f>
        <v>0.10350883847107428</v>
      </c>
      <c r="R31" s="316">
        <f>IF(R$5&gt;$D$7,0,Q30*Leadsheet!$D94)</f>
        <v>7.9711756874514678E-2</v>
      </c>
      <c r="S31" s="316">
        <f>IF(S$5&gt;$D$7,0,R30*Leadsheet!$D94)</f>
        <v>5.7585985733508101E-2</v>
      </c>
      <c r="T31" s="315">
        <f>IF(T$5&gt;$D$7,0,S30*Leadsheet!$D94)</f>
        <v>3.7071660932526208E-2</v>
      </c>
      <c r="U31" s="315">
        <f>IF(U$5&gt;$D$7,0,T30*Leadsheet!$D94)</f>
        <v>1.807448066283528E-2</v>
      </c>
      <c r="V31" s="315">
        <f>IF(V$5&gt;$D$7,0,U30*Leadsheet!$D94)</f>
        <v>0</v>
      </c>
      <c r="W31" s="315">
        <f>IF(W$5&gt;$D$7,0,V30*Leadsheet!$D94)</f>
        <v>0</v>
      </c>
      <c r="X31" s="315">
        <f>IF(X$5&gt;$D$7,0,W30*Leadsheet!$D94)</f>
        <v>0</v>
      </c>
      <c r="Y31" s="315">
        <f>IF(Y$5&gt;$D$7,0,X30*Leadsheet!$D94)</f>
        <v>0</v>
      </c>
      <c r="Z31" s="315">
        <f>IF(Z$5&gt;$D$7,0,Y30*Leadsheet!$D94)</f>
        <v>0</v>
      </c>
      <c r="AA31" s="315">
        <f>IF(AA$5&gt;$D$7,0,Z30*Leadsheet!$D94)</f>
        <v>0</v>
      </c>
      <c r="AB31" s="315">
        <f>IF(AB$5&gt;$D$7,0,AA30*Leadsheet!$D94)</f>
        <v>0</v>
      </c>
      <c r="AC31" s="315">
        <f>IF(AC$5&gt;$D$7,0,AB30*Leadsheet!$D94)</f>
        <v>0</v>
      </c>
      <c r="AD31" s="315">
        <f>IF(AD$5&gt;$D$7,0,AC30*Leadsheet!$D94)</f>
        <v>0</v>
      </c>
      <c r="AE31" s="315">
        <f>IF(AE$5&gt;$D$7,0,AD30*Leadsheet!$D94)</f>
        <v>0</v>
      </c>
      <c r="AF31" s="315">
        <f>IF(AF$5&gt;$D$7,0,AE30*Leadsheet!$D94)</f>
        <v>0</v>
      </c>
      <c r="AG31" s="315">
        <f>IF(AG$5&gt;$D$7,0,AF30*Leadsheet!$D94)</f>
        <v>0</v>
      </c>
      <c r="AH31" s="315">
        <f>IF(AH$5&gt;$D$7,0,AG30*Leadsheet!$D94)</f>
        <v>0</v>
      </c>
      <c r="AI31" s="315">
        <f>IF(AI$5&gt;$D$7,0,AH30*Leadsheet!$D94)</f>
        <v>0</v>
      </c>
      <c r="AJ31" s="315">
        <f>IF(AJ$5&gt;$D$7,0,AI30*Leadsheet!$D94)</f>
        <v>0</v>
      </c>
      <c r="AK31" s="315">
        <f>IF(AK$5&gt;$D$7,0,AJ30*Leadsheet!$D94)</f>
        <v>0</v>
      </c>
      <c r="AL31" s="315">
        <f>IF(AL$5&gt;$D$7,0,AK30*Leadsheet!$D94)</f>
        <v>0</v>
      </c>
      <c r="AM31" s="315">
        <f>IF(AM$5&gt;$D$7,0,AL30*Leadsheet!$D94)</f>
        <v>0</v>
      </c>
      <c r="AN31" s="315">
        <f>IF(AN$5&gt;$D$7,0,AM30*Leadsheet!$D94)</f>
        <v>0</v>
      </c>
      <c r="AO31" s="315">
        <f>IF(AO$5&gt;$D$7,0,AN30*Leadsheet!$D94)</f>
        <v>0</v>
      </c>
      <c r="AP31" s="315">
        <f>IF(AP$5&gt;$D$7,0,AO30*Leadsheet!$D94)</f>
        <v>0</v>
      </c>
      <c r="AQ31" s="315">
        <f>IF(AQ$5&gt;$D$7,0,AP30*Leadsheet!$D94)</f>
        <v>0</v>
      </c>
      <c r="AR31" s="315">
        <f>IF(AR$5&gt;$D$7,0,AQ30*Leadsheet!$D94)</f>
        <v>0</v>
      </c>
      <c r="AS31" s="315">
        <f>IF(AS$5&gt;$D$7,0,AR30*Leadsheet!$D94)</f>
        <v>0</v>
      </c>
      <c r="AT31" s="315">
        <f>IF(AT$5&gt;$D$7,0,AS30*Leadsheet!$D94)</f>
        <v>0</v>
      </c>
      <c r="AU31" s="315">
        <f>IF(AU$5&gt;$D$7,0,AT30*Leadsheet!$D94)</f>
        <v>0</v>
      </c>
      <c r="AV31" s="315">
        <f>IF(AV$5&gt;$D$7,0,AU30*Leadsheet!$D94)</f>
        <v>0</v>
      </c>
      <c r="AW31" s="315">
        <f>IF(AW$5&gt;$D$7,0,AV30*Leadsheet!$D94)</f>
        <v>0</v>
      </c>
      <c r="AX31" s="315">
        <f>IF(AX$5&gt;$D$7,0,AW30*Leadsheet!$D94)</f>
        <v>0</v>
      </c>
      <c r="AY31" s="315">
        <f>IF(AY$5&gt;$D$7,0,AX30*Leadsheet!$D94)</f>
        <v>0</v>
      </c>
      <c r="AZ31" s="315">
        <f>IF(AZ$5&gt;$D$7,0,AY30*Leadsheet!$D94)</f>
        <v>0</v>
      </c>
      <c r="BA31" s="315">
        <f>IF(BA$5&gt;$D$7,0,AZ30*Leadsheet!$D94)</f>
        <v>0</v>
      </c>
      <c r="BB31" s="315">
        <f>IF(BB$5&gt;$D$7,0,BA30*Leadsheet!$D94)</f>
        <v>0</v>
      </c>
      <c r="BC31" s="315">
        <f>IF(BC$5&gt;$D$7,0,BB30*Leadsheet!$D94)</f>
        <v>0</v>
      </c>
      <c r="BD31" s="315">
        <f>IF(BD$5&gt;$D$7,0,BC30*Leadsheet!$D94)</f>
        <v>0</v>
      </c>
      <c r="BE31" s="315">
        <f>IF(BE$5&gt;$D$7,0,BD30*Leadsheet!$D94)</f>
        <v>0</v>
      </c>
      <c r="BF31" s="315">
        <f>IF(BF$5&gt;$D$7,0,BE30*Leadsheet!$D94)</f>
        <v>0</v>
      </c>
      <c r="BG31" s="315">
        <f>IF(BG$5&gt;$D$7,0,BF30*Leadsheet!$D94)</f>
        <v>0</v>
      </c>
      <c r="BH31" s="315">
        <f>IF(BH$5&gt;$D$7,0,BG30*Leadsheet!$D94)</f>
        <v>0</v>
      </c>
      <c r="BI31" s="315">
        <f>IF(BI$5&gt;$D$7,0,BH30*Leadsheet!$D94)</f>
        <v>0</v>
      </c>
      <c r="BJ31" s="315">
        <f>IF(BJ$5&gt;$D$7,0,BI30*Leadsheet!$D94)</f>
        <v>0</v>
      </c>
      <c r="BK31" s="315">
        <f>IF(BK$5&gt;$D$7,0,BJ30*Leadsheet!$D94)</f>
        <v>0</v>
      </c>
      <c r="BL31" s="315">
        <f>IF(BL$5&gt;$D$7,0,BK30*Leadsheet!$D94)</f>
        <v>0</v>
      </c>
    </row>
    <row r="32" spans="1:64" x14ac:dyDescent="0.15">
      <c r="A32" s="317" t="s">
        <v>403</v>
      </c>
      <c r="B32" s="318">
        <v>150</v>
      </c>
      <c r="C32" s="116" t="s">
        <v>405</v>
      </c>
      <c r="D32" s="319"/>
      <c r="E32" s="316">
        <f>IF(E$5&gt;$D$7,0,D31*Leadsheet!$D95)</f>
        <v>0</v>
      </c>
      <c r="F32" s="316">
        <f>IF(F$5&gt;$D$7,0,E31*Leadsheet!$D95)</f>
        <v>0</v>
      </c>
      <c r="G32" s="316">
        <f>IF(G$5&gt;$D$7,0,F31*Leadsheet!$D95)</f>
        <v>0</v>
      </c>
      <c r="H32" s="316">
        <f>IF(H$5&gt;$D$7,0,G31*Leadsheet!$D95)</f>
        <v>0</v>
      </c>
      <c r="I32" s="316">
        <f>IF(I$5&gt;$D$7,0,H31*Leadsheet!$D95)</f>
        <v>0.48838117808132298</v>
      </c>
      <c r="J32" s="316">
        <f>IF(J$5&gt;$D$7,0,I31*Leadsheet!$D95)</f>
        <v>0.3817264800620751</v>
      </c>
      <c r="K32" s="316">
        <f>IF(K$5&gt;$D$7,0,J31*Leadsheet!$D95)</f>
        <v>0.32822730663975319</v>
      </c>
      <c r="L32" s="316">
        <f>IF(L$5&gt;$D$7,0,K31*Leadsheet!$D95)</f>
        <v>0.28008212406903876</v>
      </c>
      <c r="M32" s="316">
        <f>IF(M$5&gt;$D$7,0,L31*Leadsheet!$D95)</f>
        <v>0.24463625291738708</v>
      </c>
      <c r="N32" s="316">
        <f>IF(N$5&gt;$D$7,0,M31*Leadsheet!$D95)</f>
        <v>0.21161186108810109</v>
      </c>
      <c r="O32" s="316">
        <f>IF(O$5&gt;$D$7,0,N31*Leadsheet!$D95)</f>
        <v>0.18058683257086602</v>
      </c>
      <c r="P32" s="316">
        <f>IF(P$5&gt;$D$7,0,O31*Leadsheet!$D95)</f>
        <v>0.15203011694984422</v>
      </c>
      <c r="Q32" s="316">
        <f>IF(Q$5&gt;$D$7,0,P31*Leadsheet!$D95)</f>
        <v>0.12553602355515361</v>
      </c>
      <c r="R32" s="316">
        <f>IF(R$5&gt;$D$7,0,Q31*Leadsheet!$D95)</f>
        <v>0.10071294108915035</v>
      </c>
      <c r="S32" s="316">
        <f>IF(S$5&gt;$D$7,0,R31*Leadsheet!$D95)</f>
        <v>7.7558647095234412E-2</v>
      </c>
      <c r="T32" s="315">
        <f>IF(T$5&gt;$D$7,0,S31*Leadsheet!$D95)</f>
        <v>5.6030519464868471E-2</v>
      </c>
      <c r="U32" s="315">
        <f>IF(U$5&gt;$D$7,0,T31*Leadsheet!$D95)</f>
        <v>3.6070311083800141E-2</v>
      </c>
      <c r="V32" s="315">
        <f>IF(V$5&gt;$D$7,0,U31*Leadsheet!$D95)</f>
        <v>1.7586267347805398E-2</v>
      </c>
      <c r="W32" s="315">
        <f>IF(W$5&gt;$D$7,0,V31*Leadsheet!$D95)</f>
        <v>0</v>
      </c>
      <c r="X32" s="315">
        <f>IF(X$5&gt;$D$7,0,W31*Leadsheet!$D95)</f>
        <v>0</v>
      </c>
      <c r="Y32" s="315">
        <f>IF(Y$5&gt;$D$7,0,X31*Leadsheet!$D95)</f>
        <v>0</v>
      </c>
      <c r="Z32" s="315">
        <f>IF(Z$5&gt;$D$7,0,Y31*Leadsheet!$D95)</f>
        <v>0</v>
      </c>
      <c r="AA32" s="315">
        <f>IF(AA$5&gt;$D$7,0,Z31*Leadsheet!$D95)</f>
        <v>0</v>
      </c>
      <c r="AB32" s="315">
        <f>IF(AB$5&gt;$D$7,0,AA31*Leadsheet!$D95)</f>
        <v>0</v>
      </c>
      <c r="AC32" s="315">
        <f>IF(AC$5&gt;$D$7,0,AB31*Leadsheet!$D95)</f>
        <v>0</v>
      </c>
      <c r="AD32" s="315">
        <f>IF(AD$5&gt;$D$7,0,AC31*Leadsheet!$D95)</f>
        <v>0</v>
      </c>
      <c r="AE32" s="315">
        <f>IF(AE$5&gt;$D$7,0,AD31*Leadsheet!$D95)</f>
        <v>0</v>
      </c>
      <c r="AF32" s="315">
        <f>IF(AF$5&gt;$D$7,0,AE31*Leadsheet!$D95)</f>
        <v>0</v>
      </c>
      <c r="AG32" s="315">
        <f>IF(AG$5&gt;$D$7,0,AF31*Leadsheet!$D95)</f>
        <v>0</v>
      </c>
      <c r="AH32" s="315">
        <f>IF(AH$5&gt;$D$7,0,AG31*Leadsheet!$D95)</f>
        <v>0</v>
      </c>
      <c r="AI32" s="315">
        <f>IF(AI$5&gt;$D$7,0,AH31*Leadsheet!$D95)</f>
        <v>0</v>
      </c>
      <c r="AJ32" s="315">
        <f>IF(AJ$5&gt;$D$7,0,AI31*Leadsheet!$D95)</f>
        <v>0</v>
      </c>
      <c r="AK32" s="315">
        <f>IF(AK$5&gt;$D$7,0,AJ31*Leadsheet!$D95)</f>
        <v>0</v>
      </c>
      <c r="AL32" s="315">
        <f>IF(AL$5&gt;$D$7,0,AK31*Leadsheet!$D95)</f>
        <v>0</v>
      </c>
      <c r="AM32" s="315">
        <f>IF(AM$5&gt;$D$7,0,AL31*Leadsheet!$D95)</f>
        <v>0</v>
      </c>
      <c r="AN32" s="315">
        <f>IF(AN$5&gt;$D$7,0,AM31*Leadsheet!$D95)</f>
        <v>0</v>
      </c>
      <c r="AO32" s="315">
        <f>IF(AO$5&gt;$D$7,0,AN31*Leadsheet!$D95)</f>
        <v>0</v>
      </c>
      <c r="AP32" s="315">
        <f>IF(AP$5&gt;$D$7,0,AO31*Leadsheet!$D95)</f>
        <v>0</v>
      </c>
      <c r="AQ32" s="315">
        <f>IF(AQ$5&gt;$D$7,0,AP31*Leadsheet!$D95)</f>
        <v>0</v>
      </c>
      <c r="AR32" s="315">
        <f>IF(AR$5&gt;$D$7,0,AQ31*Leadsheet!$D95)</f>
        <v>0</v>
      </c>
      <c r="AS32" s="315">
        <f>IF(AS$5&gt;$D$7,0,AR31*Leadsheet!$D95)</f>
        <v>0</v>
      </c>
      <c r="AT32" s="315">
        <f>IF(AT$5&gt;$D$7,0,AS31*Leadsheet!$D95)</f>
        <v>0</v>
      </c>
      <c r="AU32" s="315">
        <f>IF(AU$5&gt;$D$7,0,AT31*Leadsheet!$D95)</f>
        <v>0</v>
      </c>
      <c r="AV32" s="315">
        <f>IF(AV$5&gt;$D$7,0,AU31*Leadsheet!$D95)</f>
        <v>0</v>
      </c>
      <c r="AW32" s="315">
        <f>IF(AW$5&gt;$D$7,0,AV31*Leadsheet!$D95)</f>
        <v>0</v>
      </c>
      <c r="AX32" s="315">
        <f>IF(AX$5&gt;$D$7,0,AW31*Leadsheet!$D95)</f>
        <v>0</v>
      </c>
      <c r="AY32" s="315">
        <f>IF(AY$5&gt;$D$7,0,AX31*Leadsheet!$D95)</f>
        <v>0</v>
      </c>
      <c r="AZ32" s="315">
        <f>IF(AZ$5&gt;$D$7,0,AY31*Leadsheet!$D95)</f>
        <v>0</v>
      </c>
      <c r="BA32" s="315">
        <f>IF(BA$5&gt;$D$7,0,AZ31*Leadsheet!$D95)</f>
        <v>0</v>
      </c>
      <c r="BB32" s="315">
        <f>IF(BB$5&gt;$D$7,0,BA31*Leadsheet!$D95)</f>
        <v>0</v>
      </c>
      <c r="BC32" s="315">
        <f>IF(BC$5&gt;$D$7,0,BB31*Leadsheet!$D95)</f>
        <v>0</v>
      </c>
      <c r="BD32" s="315">
        <f>IF(BD$5&gt;$D$7,0,BC31*Leadsheet!$D95)</f>
        <v>0</v>
      </c>
      <c r="BE32" s="315">
        <f>IF(BE$5&gt;$D$7,0,BD31*Leadsheet!$D95)</f>
        <v>0</v>
      </c>
      <c r="BF32" s="315">
        <f>IF(BF$5&gt;$D$7,0,BE31*Leadsheet!$D95)</f>
        <v>0</v>
      </c>
      <c r="BG32" s="315">
        <f>IF(BG$5&gt;$D$7,0,BF31*Leadsheet!$D95)</f>
        <v>0</v>
      </c>
      <c r="BH32" s="315">
        <f>IF(BH$5&gt;$D$7,0,BG31*Leadsheet!$D95)</f>
        <v>0</v>
      </c>
      <c r="BI32" s="315">
        <f>IF(BI$5&gt;$D$7,0,BH31*Leadsheet!$D95)</f>
        <v>0</v>
      </c>
      <c r="BJ32" s="315">
        <f>IF(BJ$5&gt;$D$7,0,BI31*Leadsheet!$D95)</f>
        <v>0</v>
      </c>
      <c r="BK32" s="315">
        <f>IF(BK$5&gt;$D$7,0,BJ31*Leadsheet!$D95)</f>
        <v>0</v>
      </c>
      <c r="BL32" s="315">
        <f>IF(BL$5&gt;$D$7,0,BK31*Leadsheet!$D95)</f>
        <v>0</v>
      </c>
    </row>
    <row r="33" spans="1:64" s="188" customFormat="1" x14ac:dyDescent="0.15">
      <c r="A33" s="317" t="s">
        <v>403</v>
      </c>
      <c r="B33" s="318">
        <v>180</v>
      </c>
      <c r="C33" s="116" t="s">
        <v>406</v>
      </c>
      <c r="D33" s="320"/>
      <c r="E33" s="316">
        <f>IF(E$5&gt;$D$7,0,D32*Leadsheet!$D96)</f>
        <v>0</v>
      </c>
      <c r="F33" s="316">
        <f>IF(F$5&gt;$D$7,0,E32*Leadsheet!$D96)</f>
        <v>0</v>
      </c>
      <c r="G33" s="316">
        <f>IF(G$5&gt;$D$7,0,F32*Leadsheet!$D96)</f>
        <v>0</v>
      </c>
      <c r="H33" s="316">
        <f>IF(H$5&gt;$D$7,0,G32*Leadsheet!$D96)</f>
        <v>0</v>
      </c>
      <c r="I33" s="316">
        <f>IF(I$5&gt;$D$7,0,H32*Leadsheet!$D96)</f>
        <v>0</v>
      </c>
      <c r="J33" s="316">
        <f>IF(J$5&gt;$D$7,0,I32*Leadsheet!$D96)</f>
        <v>0.48838117808132298</v>
      </c>
      <c r="K33" s="316">
        <f>IF(K$5&gt;$D$7,0,J32*Leadsheet!$D96)</f>
        <v>0.3817264800620751</v>
      </c>
      <c r="L33" s="316">
        <f>IF(L$5&gt;$D$7,0,K32*Leadsheet!$D96)</f>
        <v>0.32822730663975319</v>
      </c>
      <c r="M33" s="316">
        <f>IF(M$5&gt;$D$7,0,L32*Leadsheet!$D96)</f>
        <v>0.28008212406903876</v>
      </c>
      <c r="N33" s="316">
        <f>IF(N$5&gt;$D$7,0,M32*Leadsheet!$D96)</f>
        <v>0.24463625291738708</v>
      </c>
      <c r="O33" s="316">
        <f>IF(O$5&gt;$D$7,0,N32*Leadsheet!$D96)</f>
        <v>0.21161186108810109</v>
      </c>
      <c r="P33" s="316">
        <f>IF(P$5&gt;$D$7,0,O32*Leadsheet!$D96)</f>
        <v>0.18058683257086602</v>
      </c>
      <c r="Q33" s="316">
        <f>IF(Q$5&gt;$D$7,0,P32*Leadsheet!$D96)</f>
        <v>0.15203011694984422</v>
      </c>
      <c r="R33" s="316">
        <f>IF(R$5&gt;$D$7,0,Q32*Leadsheet!$D96)</f>
        <v>0.12553602355515361</v>
      </c>
      <c r="S33" s="316">
        <f>IF(S$5&gt;$D$7,0,R32*Leadsheet!$D96)</f>
        <v>0.10071294108915035</v>
      </c>
      <c r="T33" s="315">
        <f>IF(T$5&gt;$D$7,0,S32*Leadsheet!$D96)</f>
        <v>7.7558647095234412E-2</v>
      </c>
      <c r="U33" s="315">
        <f>IF(U$5&gt;$D$7,0,T32*Leadsheet!$D96)</f>
        <v>5.6030519464868471E-2</v>
      </c>
      <c r="V33" s="315">
        <f>IF(V$5&gt;$D$7,0,U32*Leadsheet!$D96)</f>
        <v>3.6070311083800141E-2</v>
      </c>
      <c r="W33" s="315">
        <f>IF(W$5&gt;$D$7,0,V32*Leadsheet!$D96)</f>
        <v>1.7586267347805398E-2</v>
      </c>
      <c r="X33" s="315">
        <f>IF(X$5&gt;$D$7,0,W32*Leadsheet!$D96)</f>
        <v>0</v>
      </c>
      <c r="Y33" s="315">
        <f>IF(Y$5&gt;$D$7,0,X32*Leadsheet!$D96)</f>
        <v>0</v>
      </c>
      <c r="Z33" s="315">
        <f>IF(Z$5&gt;$D$7,0,Y32*Leadsheet!$D96)</f>
        <v>0</v>
      </c>
      <c r="AA33" s="315">
        <f>IF(AA$5&gt;$D$7,0,Z32*Leadsheet!$D96)</f>
        <v>0</v>
      </c>
      <c r="AB33" s="315">
        <f>IF(AB$5&gt;$D$7,0,AA32*Leadsheet!$D96)</f>
        <v>0</v>
      </c>
      <c r="AC33" s="315">
        <f>IF(AC$5&gt;$D$7,0,AB32*Leadsheet!$D96)</f>
        <v>0</v>
      </c>
      <c r="AD33" s="315">
        <f>IF(AD$5&gt;$D$7,0,AC32*Leadsheet!$D96)</f>
        <v>0</v>
      </c>
      <c r="AE33" s="315">
        <f>IF(AE$5&gt;$D$7,0,AD32*Leadsheet!$D96)</f>
        <v>0</v>
      </c>
      <c r="AF33" s="315">
        <f>IF(AF$5&gt;$D$7,0,AE32*Leadsheet!$D96)</f>
        <v>0</v>
      </c>
      <c r="AG33" s="315">
        <f>IF(AG$5&gt;$D$7,0,AF32*Leadsheet!$D96)</f>
        <v>0</v>
      </c>
      <c r="AH33" s="315">
        <f>IF(AH$5&gt;$D$7,0,AG32*Leadsheet!$D96)</f>
        <v>0</v>
      </c>
      <c r="AI33" s="315">
        <f>IF(AI$5&gt;$D$7,0,AH32*Leadsheet!$D96)</f>
        <v>0</v>
      </c>
      <c r="AJ33" s="315">
        <f>IF(AJ$5&gt;$D$7,0,AI32*Leadsheet!$D96)</f>
        <v>0</v>
      </c>
      <c r="AK33" s="315">
        <f>IF(AK$5&gt;$D$7,0,AJ32*Leadsheet!$D96)</f>
        <v>0</v>
      </c>
      <c r="AL33" s="315">
        <f>IF(AL$5&gt;$D$7,0,AK32*Leadsheet!$D96)</f>
        <v>0</v>
      </c>
      <c r="AM33" s="315">
        <f>IF(AM$5&gt;$D$7,0,AL32*Leadsheet!$D96)</f>
        <v>0</v>
      </c>
      <c r="AN33" s="315">
        <f>IF(AN$5&gt;$D$7,0,AM32*Leadsheet!$D96)</f>
        <v>0</v>
      </c>
      <c r="AO33" s="315">
        <f>IF(AO$5&gt;$D$7,0,AN32*Leadsheet!$D96)</f>
        <v>0</v>
      </c>
      <c r="AP33" s="315">
        <f>IF(AP$5&gt;$D$7,0,AO32*Leadsheet!$D96)</f>
        <v>0</v>
      </c>
      <c r="AQ33" s="315">
        <f>IF(AQ$5&gt;$D$7,0,AP32*Leadsheet!$D96)</f>
        <v>0</v>
      </c>
      <c r="AR33" s="315">
        <f>IF(AR$5&gt;$D$7,0,AQ32*Leadsheet!$D96)</f>
        <v>0</v>
      </c>
      <c r="AS33" s="315">
        <f>IF(AS$5&gt;$D$7,0,AR32*Leadsheet!$D96)</f>
        <v>0</v>
      </c>
      <c r="AT33" s="315">
        <f>IF(AT$5&gt;$D$7,0,AS32*Leadsheet!$D96)</f>
        <v>0</v>
      </c>
      <c r="AU33" s="315">
        <f>IF(AU$5&gt;$D$7,0,AT32*Leadsheet!$D96)</f>
        <v>0</v>
      </c>
      <c r="AV33" s="315">
        <f>IF(AV$5&gt;$D$7,0,AU32*Leadsheet!$D96)</f>
        <v>0</v>
      </c>
      <c r="AW33" s="315">
        <f>IF(AW$5&gt;$D$7,0,AV32*Leadsheet!$D96)</f>
        <v>0</v>
      </c>
      <c r="AX33" s="315">
        <f>IF(AX$5&gt;$D$7,0,AW32*Leadsheet!$D96)</f>
        <v>0</v>
      </c>
      <c r="AY33" s="315">
        <f>IF(AY$5&gt;$D$7,0,AX32*Leadsheet!$D96)</f>
        <v>0</v>
      </c>
      <c r="AZ33" s="315">
        <f>IF(AZ$5&gt;$D$7,0,AY32*Leadsheet!$D96)</f>
        <v>0</v>
      </c>
      <c r="BA33" s="315">
        <f>IF(BA$5&gt;$D$7,0,AZ32*Leadsheet!$D96)</f>
        <v>0</v>
      </c>
      <c r="BB33" s="315">
        <f>IF(BB$5&gt;$D$7,0,BA32*Leadsheet!$D96)</f>
        <v>0</v>
      </c>
      <c r="BC33" s="315">
        <f>IF(BC$5&gt;$D$7,0,BB32*Leadsheet!$D96)</f>
        <v>0</v>
      </c>
      <c r="BD33" s="315">
        <f>IF(BD$5&gt;$D$7,0,BC32*Leadsheet!$D96)</f>
        <v>0</v>
      </c>
      <c r="BE33" s="315">
        <f>IF(BE$5&gt;$D$7,0,BD32*Leadsheet!$D96)</f>
        <v>0</v>
      </c>
      <c r="BF33" s="315">
        <f>IF(BF$5&gt;$D$7,0,BE32*Leadsheet!$D96)</f>
        <v>0</v>
      </c>
      <c r="BG33" s="315">
        <f>IF(BG$5&gt;$D$7,0,BF32*Leadsheet!$D96)</f>
        <v>0</v>
      </c>
      <c r="BH33" s="315">
        <f>IF(BH$5&gt;$D$7,0,BG32*Leadsheet!$D96)</f>
        <v>0</v>
      </c>
      <c r="BI33" s="315">
        <f>IF(BI$5&gt;$D$7,0,BH32*Leadsheet!$D96)</f>
        <v>0</v>
      </c>
      <c r="BJ33" s="315">
        <f>IF(BJ$5&gt;$D$7,0,BI32*Leadsheet!$D96)</f>
        <v>0</v>
      </c>
      <c r="BK33" s="315">
        <f>IF(BK$5&gt;$D$7,0,BJ32*Leadsheet!$D96)</f>
        <v>0</v>
      </c>
      <c r="BL33" s="315">
        <f>IF(BL$5&gt;$D$7,0,BK32*Leadsheet!$D96)</f>
        <v>0</v>
      </c>
    </row>
    <row r="34" spans="1:64" s="188" customFormat="1" x14ac:dyDescent="0.15">
      <c r="A34" s="317" t="s">
        <v>407</v>
      </c>
      <c r="B34" s="318">
        <v>210</v>
      </c>
      <c r="C34" s="116" t="s">
        <v>408</v>
      </c>
      <c r="D34" s="320"/>
      <c r="E34" s="316">
        <f>IF(E$5&gt;$D$7,0,D33*Leadsheet!$D97)</f>
        <v>0</v>
      </c>
      <c r="F34" s="316">
        <f>IF(F$5&gt;$D$7,0,E33*Leadsheet!$D97)</f>
        <v>0</v>
      </c>
      <c r="G34" s="316">
        <f>IF(G$5&gt;$D$7,0,F33*Leadsheet!$D97)</f>
        <v>0</v>
      </c>
      <c r="H34" s="316">
        <f>IF(H$5&gt;$D$7,0,G33*Leadsheet!$D97)</f>
        <v>0</v>
      </c>
      <c r="I34" s="316">
        <f>IF(I$5&gt;$D$7,0,H33*Leadsheet!$D97)</f>
        <v>0</v>
      </c>
      <c r="J34" s="316">
        <f>IF(J$5&gt;$D$7,0,I33*Leadsheet!$D97)</f>
        <v>0</v>
      </c>
      <c r="K34" s="316">
        <f>IF(K$5&gt;$D$7,0,J33*Leadsheet!$D97)</f>
        <v>0.4737297427388833</v>
      </c>
      <c r="L34" s="316">
        <f>IF(L$5&gt;$D$7,0,K33*Leadsheet!$D97)</f>
        <v>0.37027468566021282</v>
      </c>
      <c r="M34" s="316">
        <f>IF(M$5&gt;$D$7,0,L33*Leadsheet!$D97)</f>
        <v>0.31838048744056058</v>
      </c>
      <c r="N34" s="316">
        <f>IF(N$5&gt;$D$7,0,M33*Leadsheet!$D97)</f>
        <v>0.27167966034696761</v>
      </c>
      <c r="O34" s="316">
        <f>IF(O$5&gt;$D$7,0,N33*Leadsheet!$D97)</f>
        <v>0.23729716532986547</v>
      </c>
      <c r="P34" s="316">
        <f>IF(P$5&gt;$D$7,0,O33*Leadsheet!$D97)</f>
        <v>0.20526350525545806</v>
      </c>
      <c r="Q34" s="316">
        <f>IF(Q$5&gt;$D$7,0,P33*Leadsheet!$D97)</f>
        <v>0.17516922759374004</v>
      </c>
      <c r="R34" s="316">
        <f>IF(R$5&gt;$D$7,0,Q33*Leadsheet!$D97)</f>
        <v>0.14746921344134889</v>
      </c>
      <c r="S34" s="316">
        <f>IF(S$5&gt;$D$7,0,R33*Leadsheet!$D97)</f>
        <v>0.121769942848499</v>
      </c>
      <c r="T34" s="315">
        <f>IF(T$5&gt;$D$7,0,S33*Leadsheet!$D97)</f>
        <v>9.7691552856475836E-2</v>
      </c>
      <c r="U34" s="315">
        <f>IF(U$5&gt;$D$7,0,T33*Leadsheet!$D97)</f>
        <v>7.5231887682377374E-2</v>
      </c>
      <c r="V34" s="315">
        <f>IF(V$5&gt;$D$7,0,U33*Leadsheet!$D97)</f>
        <v>5.4349603880922415E-2</v>
      </c>
      <c r="W34" s="315">
        <f>IF(W$5&gt;$D$7,0,V33*Leadsheet!$D97)</f>
        <v>3.4988201751286134E-2</v>
      </c>
      <c r="X34" s="315">
        <f>IF(X$5&gt;$D$7,0,W33*Leadsheet!$D97)</f>
        <v>1.7058679327371234E-2</v>
      </c>
      <c r="Y34" s="315">
        <f>IF(Y$5&gt;$D$7,0,X33*Leadsheet!$D97)</f>
        <v>0</v>
      </c>
      <c r="Z34" s="315">
        <f>IF(Z$5&gt;$D$7,0,Y33*Leadsheet!$D97)</f>
        <v>0</v>
      </c>
      <c r="AA34" s="315">
        <f>IF(AA$5&gt;$D$7,0,Z33*Leadsheet!$D97)</f>
        <v>0</v>
      </c>
      <c r="AB34" s="315">
        <f>IF(AB$5&gt;$D$7,0,AA33*Leadsheet!$D97)</f>
        <v>0</v>
      </c>
      <c r="AC34" s="315">
        <f>IF(AC$5&gt;$D$7,0,AB33*Leadsheet!$D97)</f>
        <v>0</v>
      </c>
      <c r="AD34" s="315">
        <f>IF(AD$5&gt;$D$7,0,AC33*Leadsheet!$D97)</f>
        <v>0</v>
      </c>
      <c r="AE34" s="315">
        <f>IF(AE$5&gt;$D$7,0,AD33*Leadsheet!$D97)</f>
        <v>0</v>
      </c>
      <c r="AF34" s="315">
        <f>IF(AF$5&gt;$D$7,0,AE33*Leadsheet!$D97)</f>
        <v>0</v>
      </c>
      <c r="AG34" s="315">
        <f>IF(AG$5&gt;$D$7,0,AF33*Leadsheet!$D97)</f>
        <v>0</v>
      </c>
      <c r="AH34" s="315">
        <f>IF(AH$5&gt;$D$7,0,AG33*Leadsheet!$D97)</f>
        <v>0</v>
      </c>
      <c r="AI34" s="315">
        <f>IF(AI$5&gt;$D$7,0,AH33*Leadsheet!$D97)</f>
        <v>0</v>
      </c>
      <c r="AJ34" s="315">
        <f>IF(AJ$5&gt;$D$7,0,AI33*Leadsheet!$D97)</f>
        <v>0</v>
      </c>
      <c r="AK34" s="315">
        <f>IF(AK$5&gt;$D$7,0,AJ33*Leadsheet!$D97)</f>
        <v>0</v>
      </c>
      <c r="AL34" s="315">
        <f>IF(AL$5&gt;$D$7,0,AK33*Leadsheet!$D97)</f>
        <v>0</v>
      </c>
      <c r="AM34" s="315">
        <f>IF(AM$5&gt;$D$7,0,AL33*Leadsheet!$D97)</f>
        <v>0</v>
      </c>
      <c r="AN34" s="315">
        <f>IF(AN$5&gt;$D$7,0,AM33*Leadsheet!$D97)</f>
        <v>0</v>
      </c>
      <c r="AO34" s="315">
        <f>IF(AO$5&gt;$D$7,0,AN33*Leadsheet!$D97)</f>
        <v>0</v>
      </c>
      <c r="AP34" s="315">
        <f>IF(AP$5&gt;$D$7,0,AO33*Leadsheet!$D97)</f>
        <v>0</v>
      </c>
      <c r="AQ34" s="315">
        <f>IF(AQ$5&gt;$D$7,0,AP33*Leadsheet!$D97)</f>
        <v>0</v>
      </c>
      <c r="AR34" s="315">
        <f>IF(AR$5&gt;$D$7,0,AQ33*Leadsheet!$D97)</f>
        <v>0</v>
      </c>
      <c r="AS34" s="315">
        <f>IF(AS$5&gt;$D$7,0,AR33*Leadsheet!$D97)</f>
        <v>0</v>
      </c>
      <c r="AT34" s="315">
        <f>IF(AT$5&gt;$D$7,0,AS33*Leadsheet!$D97)</f>
        <v>0</v>
      </c>
      <c r="AU34" s="315">
        <f>IF(AU$5&gt;$D$7,0,AT33*Leadsheet!$D97)</f>
        <v>0</v>
      </c>
      <c r="AV34" s="315">
        <f>IF(AV$5&gt;$D$7,0,AU33*Leadsheet!$D97)</f>
        <v>0</v>
      </c>
      <c r="AW34" s="315">
        <f>IF(AW$5&gt;$D$7,0,AV33*Leadsheet!$D97)</f>
        <v>0</v>
      </c>
      <c r="AX34" s="315">
        <f>IF(AX$5&gt;$D$7,0,AW33*Leadsheet!$D97)</f>
        <v>0</v>
      </c>
      <c r="AY34" s="315">
        <f>IF(AY$5&gt;$D$7,0,AX33*Leadsheet!$D97)</f>
        <v>0</v>
      </c>
      <c r="AZ34" s="315">
        <f>IF(AZ$5&gt;$D$7,0,AY33*Leadsheet!$D97)</f>
        <v>0</v>
      </c>
      <c r="BA34" s="315">
        <f>IF(BA$5&gt;$D$7,0,AZ33*Leadsheet!$D97)</f>
        <v>0</v>
      </c>
      <c r="BB34" s="315">
        <f>IF(BB$5&gt;$D$7,0,BA33*Leadsheet!$D97)</f>
        <v>0</v>
      </c>
      <c r="BC34" s="315">
        <f>IF(BC$5&gt;$D$7,0,BB33*Leadsheet!$D97)</f>
        <v>0</v>
      </c>
      <c r="BD34" s="315">
        <f>IF(BD$5&gt;$D$7,0,BC33*Leadsheet!$D97)</f>
        <v>0</v>
      </c>
      <c r="BE34" s="315">
        <f>IF(BE$5&gt;$D$7,0,BD33*Leadsheet!$D97)</f>
        <v>0</v>
      </c>
      <c r="BF34" s="315">
        <f>IF(BF$5&gt;$D$7,0,BE33*Leadsheet!$D97)</f>
        <v>0</v>
      </c>
      <c r="BG34" s="315">
        <f>IF(BG$5&gt;$D$7,0,BF33*Leadsheet!$D97)</f>
        <v>0</v>
      </c>
      <c r="BH34" s="315">
        <f>IF(BH$5&gt;$D$7,0,BG33*Leadsheet!$D97)</f>
        <v>0</v>
      </c>
      <c r="BI34" s="315">
        <f>IF(BI$5&gt;$D$7,0,BH33*Leadsheet!$D97)</f>
        <v>0</v>
      </c>
      <c r="BJ34" s="315">
        <f>IF(BJ$5&gt;$D$7,0,BI33*Leadsheet!$D97)</f>
        <v>0</v>
      </c>
      <c r="BK34" s="315">
        <f>IF(BK$5&gt;$D$7,0,BJ33*Leadsheet!$D97)</f>
        <v>0</v>
      </c>
      <c r="BL34" s="315">
        <f>IF(BL$5&gt;$D$7,0,BK33*Leadsheet!$D97)</f>
        <v>0</v>
      </c>
    </row>
    <row r="35" spans="1:64" s="188" customFormat="1" x14ac:dyDescent="0.15">
      <c r="A35" s="317" t="s">
        <v>407</v>
      </c>
      <c r="B35" s="318">
        <v>240</v>
      </c>
      <c r="C35" s="116" t="s">
        <v>409</v>
      </c>
      <c r="D35" s="320"/>
      <c r="E35" s="316">
        <f>IF(E$5&gt;$D$7,0,D34*Leadsheet!$D98)</f>
        <v>0</v>
      </c>
      <c r="F35" s="316">
        <f>IF(F$5&gt;$D$7,0,E34*Leadsheet!$D98)</f>
        <v>0</v>
      </c>
      <c r="G35" s="316">
        <f>IF(G$5&gt;$D$7,0,F34*Leadsheet!$D98)</f>
        <v>0</v>
      </c>
      <c r="H35" s="316">
        <f>IF(H$5&gt;$D$7,0,G34*Leadsheet!$D98)</f>
        <v>0</v>
      </c>
      <c r="I35" s="316">
        <f>IF(I$5&gt;$D$7,0,H34*Leadsheet!$D98)</f>
        <v>0</v>
      </c>
      <c r="J35" s="316">
        <f>IF(J$5&gt;$D$7,0,I34*Leadsheet!$D98)</f>
        <v>0</v>
      </c>
      <c r="K35" s="316">
        <f>IF(K$5&gt;$D$7,0,J34*Leadsheet!$D98)</f>
        <v>0</v>
      </c>
      <c r="L35" s="316">
        <f>IF(L$5&gt;$D$7,0,K34*Leadsheet!$D98)</f>
        <v>0.4642551478841056</v>
      </c>
      <c r="M35" s="316">
        <f>IF(M$5&gt;$D$7,0,L34*Leadsheet!$D98)</f>
        <v>0.36286919194700856</v>
      </c>
      <c r="N35" s="316">
        <f>IF(N$5&gt;$D$7,0,M34*Leadsheet!$D98)</f>
        <v>0.31201287769174935</v>
      </c>
      <c r="O35" s="316">
        <f>IF(O$5&gt;$D$7,0,N34*Leadsheet!$D98)</f>
        <v>0.26624606714002824</v>
      </c>
      <c r="P35" s="316">
        <f>IF(P$5&gt;$D$7,0,O34*Leadsheet!$D98)</f>
        <v>0.23255122202326817</v>
      </c>
      <c r="Q35" s="316">
        <f>IF(Q$5&gt;$D$7,0,P34*Leadsheet!$D98)</f>
        <v>0.20115823515034889</v>
      </c>
      <c r="R35" s="316">
        <f>IF(R$5&gt;$D$7,0,Q34*Leadsheet!$D98)</f>
        <v>0.17166584304186525</v>
      </c>
      <c r="S35" s="316">
        <f>IF(S$5&gt;$D$7,0,R34*Leadsheet!$D98)</f>
        <v>0.1445198291725219</v>
      </c>
      <c r="T35" s="315">
        <f>IF(T$5&gt;$D$7,0,S34*Leadsheet!$D98)</f>
        <v>0.11933454399152901</v>
      </c>
      <c r="U35" s="315">
        <f>IF(U$5&gt;$D$7,0,T34*Leadsheet!$D98)</f>
        <v>9.5737721799346323E-2</v>
      </c>
      <c r="V35" s="315">
        <f>IF(V$5&gt;$D$7,0,U34*Leadsheet!$D98)</f>
        <v>7.3727249928729824E-2</v>
      </c>
      <c r="W35" s="315">
        <f>IF(W$5&gt;$D$7,0,V34*Leadsheet!$D98)</f>
        <v>5.3262611803303966E-2</v>
      </c>
      <c r="X35" s="315">
        <f>IF(X$5&gt;$D$7,0,W34*Leadsheet!$D98)</f>
        <v>3.428843771626041E-2</v>
      </c>
      <c r="Y35" s="315">
        <f>IF(Y$5&gt;$D$7,0,X34*Leadsheet!$D98)</f>
        <v>0</v>
      </c>
      <c r="Z35" s="315">
        <f>IF(Z$5&gt;$D$7,0,Y34*Leadsheet!$D98)</f>
        <v>0</v>
      </c>
      <c r="AA35" s="315">
        <f>IF(AA$5&gt;$D$7,0,Z34*Leadsheet!$D98)</f>
        <v>0</v>
      </c>
      <c r="AB35" s="315">
        <f>IF(AB$5&gt;$D$7,0,AA34*Leadsheet!$D98)</f>
        <v>0</v>
      </c>
      <c r="AC35" s="315">
        <f>IF(AC$5&gt;$D$7,0,AB34*Leadsheet!$D98)</f>
        <v>0</v>
      </c>
      <c r="AD35" s="315">
        <f>IF(AD$5&gt;$D$7,0,AC34*Leadsheet!$D98)</f>
        <v>0</v>
      </c>
      <c r="AE35" s="315">
        <f>IF(AE$5&gt;$D$7,0,AD34*Leadsheet!$D98)</f>
        <v>0</v>
      </c>
      <c r="AF35" s="315">
        <f>IF(AF$5&gt;$D$7,0,AE34*Leadsheet!$D98)</f>
        <v>0</v>
      </c>
      <c r="AG35" s="315">
        <f>IF(AG$5&gt;$D$7,0,AF34*Leadsheet!$D98)</f>
        <v>0</v>
      </c>
      <c r="AH35" s="315">
        <f>IF(AH$5&gt;$D$7,0,AG34*Leadsheet!$D98)</f>
        <v>0</v>
      </c>
      <c r="AI35" s="315">
        <f>IF(AI$5&gt;$D$7,0,AH34*Leadsheet!$D98)</f>
        <v>0</v>
      </c>
      <c r="AJ35" s="315">
        <f>IF(AJ$5&gt;$D$7,0,AI34*Leadsheet!$D98)</f>
        <v>0</v>
      </c>
      <c r="AK35" s="315">
        <f>IF(AK$5&gt;$D$7,0,AJ34*Leadsheet!$D98)</f>
        <v>0</v>
      </c>
      <c r="AL35" s="315">
        <f>IF(AL$5&gt;$D$7,0,AK34*Leadsheet!$D98)</f>
        <v>0</v>
      </c>
      <c r="AM35" s="315">
        <f>IF(AM$5&gt;$D$7,0,AL34*Leadsheet!$D98)</f>
        <v>0</v>
      </c>
      <c r="AN35" s="315">
        <f>IF(AN$5&gt;$D$7,0,AM34*Leadsheet!$D98)</f>
        <v>0</v>
      </c>
      <c r="AO35" s="315">
        <f>IF(AO$5&gt;$D$7,0,AN34*Leadsheet!$D98)</f>
        <v>0</v>
      </c>
      <c r="AP35" s="315">
        <f>IF(AP$5&gt;$D$7,0,AO34*Leadsheet!$D98)</f>
        <v>0</v>
      </c>
      <c r="AQ35" s="315">
        <f>IF(AQ$5&gt;$D$7,0,AP34*Leadsheet!$D98)</f>
        <v>0</v>
      </c>
      <c r="AR35" s="315">
        <f>IF(AR$5&gt;$D$7,0,AQ34*Leadsheet!$D98)</f>
        <v>0</v>
      </c>
      <c r="AS35" s="315">
        <f>IF(AS$5&gt;$D$7,0,AR34*Leadsheet!$D98)</f>
        <v>0</v>
      </c>
      <c r="AT35" s="315">
        <f>IF(AT$5&gt;$D$7,0,AS34*Leadsheet!$D98)</f>
        <v>0</v>
      </c>
      <c r="AU35" s="315">
        <f>IF(AU$5&gt;$D$7,0,AT34*Leadsheet!$D98)</f>
        <v>0</v>
      </c>
      <c r="AV35" s="315">
        <f>IF(AV$5&gt;$D$7,0,AU34*Leadsheet!$D98)</f>
        <v>0</v>
      </c>
      <c r="AW35" s="315">
        <f>IF(AW$5&gt;$D$7,0,AV34*Leadsheet!$D98)</f>
        <v>0</v>
      </c>
      <c r="AX35" s="315">
        <f>IF(AX$5&gt;$D$7,0,AW34*Leadsheet!$D98)</f>
        <v>0</v>
      </c>
      <c r="AY35" s="315">
        <f>IF(AY$5&gt;$D$7,0,AX34*Leadsheet!$D98)</f>
        <v>0</v>
      </c>
      <c r="AZ35" s="315">
        <f>IF(AZ$5&gt;$D$7,0,AY34*Leadsheet!$D98)</f>
        <v>0</v>
      </c>
      <c r="BA35" s="315">
        <f>IF(BA$5&gt;$D$7,0,AZ34*Leadsheet!$D98)</f>
        <v>0</v>
      </c>
      <c r="BB35" s="315">
        <f>IF(BB$5&gt;$D$7,0,BA34*Leadsheet!$D98)</f>
        <v>0</v>
      </c>
      <c r="BC35" s="315">
        <f>IF(BC$5&gt;$D$7,0,BB34*Leadsheet!$D98)</f>
        <v>0</v>
      </c>
      <c r="BD35" s="315">
        <f>IF(BD$5&gt;$D$7,0,BC34*Leadsheet!$D98)</f>
        <v>0</v>
      </c>
      <c r="BE35" s="315">
        <f>IF(BE$5&gt;$D$7,0,BD34*Leadsheet!$D98)</f>
        <v>0</v>
      </c>
      <c r="BF35" s="315">
        <f>IF(BF$5&gt;$D$7,0,BE34*Leadsheet!$D98)</f>
        <v>0</v>
      </c>
      <c r="BG35" s="315">
        <f>IF(BG$5&gt;$D$7,0,BF34*Leadsheet!$D98)</f>
        <v>0</v>
      </c>
      <c r="BH35" s="315">
        <f>IF(BH$5&gt;$D$7,0,BG34*Leadsheet!$D98)</f>
        <v>0</v>
      </c>
      <c r="BI35" s="315">
        <f>IF(BI$5&gt;$D$7,0,BH34*Leadsheet!$D98)</f>
        <v>0</v>
      </c>
      <c r="BJ35" s="315">
        <f>IF(BJ$5&gt;$D$7,0,BI34*Leadsheet!$D98)</f>
        <v>0</v>
      </c>
      <c r="BK35" s="315">
        <f>IF(BK$5&gt;$D$7,0,BJ34*Leadsheet!$D98)</f>
        <v>0</v>
      </c>
      <c r="BL35" s="315">
        <f>IF(BL$5&gt;$D$7,0,BK34*Leadsheet!$D98)</f>
        <v>0</v>
      </c>
    </row>
    <row r="36" spans="1:64" s="188" customFormat="1" x14ac:dyDescent="0.15">
      <c r="A36" s="317" t="s">
        <v>407</v>
      </c>
      <c r="B36" s="318">
        <v>270</v>
      </c>
      <c r="C36" s="116" t="s">
        <v>410</v>
      </c>
      <c r="D36" s="320"/>
      <c r="E36" s="316">
        <f>IF(E$5&gt;$D$7,0,D35*Leadsheet!$D99)</f>
        <v>0</v>
      </c>
      <c r="F36" s="316">
        <f>IF(F$5&gt;$D$7,0,E35*Leadsheet!$D99)</f>
        <v>0</v>
      </c>
      <c r="G36" s="316">
        <f>IF(G$5&gt;$D$7,0,F35*Leadsheet!$D99)</f>
        <v>0</v>
      </c>
      <c r="H36" s="316">
        <f>IF(H$5&gt;$D$7,0,G35*Leadsheet!$D99)</f>
        <v>0</v>
      </c>
      <c r="I36" s="316">
        <f>IF(I$5&gt;$D$7,0,H35*Leadsheet!$D99)</f>
        <v>0</v>
      </c>
      <c r="J36" s="316">
        <f>IF(J$5&gt;$D$7,0,I35*Leadsheet!$D99)</f>
        <v>0</v>
      </c>
      <c r="K36" s="316">
        <f>IF(K$5&gt;$D$7,0,J35*Leadsheet!$D99)</f>
        <v>0</v>
      </c>
      <c r="L36" s="316">
        <f>IF(L$5&gt;$D$7,0,K35*Leadsheet!$D99)</f>
        <v>0</v>
      </c>
      <c r="M36" s="316">
        <f>IF(M$5&gt;$D$7,0,L35*Leadsheet!$D99)</f>
        <v>0.4642551478841056</v>
      </c>
      <c r="N36" s="316">
        <f>IF(N$5&gt;$D$7,0,M35*Leadsheet!$D99)</f>
        <v>0.36286919194700856</v>
      </c>
      <c r="O36" s="316">
        <f>IF(O$5&gt;$D$7,0,N35*Leadsheet!$D99)</f>
        <v>0.31201287769174935</v>
      </c>
      <c r="P36" s="316">
        <f>IF(P$5&gt;$D$7,0,O35*Leadsheet!$D99)</f>
        <v>0.26624606714002824</v>
      </c>
      <c r="Q36" s="316">
        <f>IF(Q$5&gt;$D$7,0,P35*Leadsheet!$D99)</f>
        <v>0.23255122202326817</v>
      </c>
      <c r="R36" s="316">
        <f>IF(R$5&gt;$D$7,0,Q35*Leadsheet!$D99)</f>
        <v>0.20115823515034889</v>
      </c>
      <c r="S36" s="316">
        <f>IF(S$5&gt;$D$7,0,R35*Leadsheet!$D99)</f>
        <v>0.17166584304186525</v>
      </c>
      <c r="T36" s="315">
        <f>IF(T$5&gt;$D$7,0,S35*Leadsheet!$D99)</f>
        <v>0.1445198291725219</v>
      </c>
      <c r="U36" s="315">
        <f>IF(U$5&gt;$D$7,0,T35*Leadsheet!$D99)</f>
        <v>0.11933454399152901</v>
      </c>
      <c r="V36" s="315">
        <f>IF(V$5&gt;$D$7,0,U35*Leadsheet!$D99)</f>
        <v>9.5737721799346323E-2</v>
      </c>
      <c r="W36" s="315">
        <f>IF(W$5&gt;$D$7,0,V35*Leadsheet!$D99)</f>
        <v>7.3727249928729824E-2</v>
      </c>
      <c r="X36" s="315">
        <f>IF(X$5&gt;$D$7,0,W35*Leadsheet!$D99)</f>
        <v>5.3262611803303966E-2</v>
      </c>
      <c r="Y36" s="315">
        <f>IF(Y$5&gt;$D$7,0,X35*Leadsheet!$D99)</f>
        <v>0</v>
      </c>
      <c r="Z36" s="315">
        <f>IF(Z$5&gt;$D$7,0,Y35*Leadsheet!$D99)</f>
        <v>0</v>
      </c>
      <c r="AA36" s="315">
        <f>IF(AA$5&gt;$D$7,0,Z35*Leadsheet!$D99)</f>
        <v>0</v>
      </c>
      <c r="AB36" s="315">
        <f>IF(AB$5&gt;$D$7,0,AA35*Leadsheet!$D99)</f>
        <v>0</v>
      </c>
      <c r="AC36" s="315">
        <f>IF(AC$5&gt;$D$7,0,AB35*Leadsheet!$D99)</f>
        <v>0</v>
      </c>
      <c r="AD36" s="315">
        <f>IF(AD$5&gt;$D$7,0,AC35*Leadsheet!$D99)</f>
        <v>0</v>
      </c>
      <c r="AE36" s="315">
        <f>IF(AE$5&gt;$D$7,0,AD35*Leadsheet!$D99)</f>
        <v>0</v>
      </c>
      <c r="AF36" s="315">
        <f>IF(AF$5&gt;$D$7,0,AE35*Leadsheet!$D99)</f>
        <v>0</v>
      </c>
      <c r="AG36" s="315">
        <f>IF(AG$5&gt;$D$7,0,AF35*Leadsheet!$D99)</f>
        <v>0</v>
      </c>
      <c r="AH36" s="315">
        <f>IF(AH$5&gt;$D$7,0,AG35*Leadsheet!$D99)</f>
        <v>0</v>
      </c>
      <c r="AI36" s="315">
        <f>IF(AI$5&gt;$D$7,0,AH35*Leadsheet!$D99)</f>
        <v>0</v>
      </c>
      <c r="AJ36" s="315">
        <f>IF(AJ$5&gt;$D$7,0,AI35*Leadsheet!$D99)</f>
        <v>0</v>
      </c>
      <c r="AK36" s="315">
        <f>IF(AK$5&gt;$D$7,0,AJ35*Leadsheet!$D99)</f>
        <v>0</v>
      </c>
      <c r="AL36" s="315">
        <f>IF(AL$5&gt;$D$7,0,AK35*Leadsheet!$D99)</f>
        <v>0</v>
      </c>
      <c r="AM36" s="315">
        <f>IF(AM$5&gt;$D$7,0,AL35*Leadsheet!$D99)</f>
        <v>0</v>
      </c>
      <c r="AN36" s="315">
        <f>IF(AN$5&gt;$D$7,0,AM35*Leadsheet!$D99)</f>
        <v>0</v>
      </c>
      <c r="AO36" s="315">
        <f>IF(AO$5&gt;$D$7,0,AN35*Leadsheet!$D99)</f>
        <v>0</v>
      </c>
      <c r="AP36" s="315">
        <f>IF(AP$5&gt;$D$7,0,AO35*Leadsheet!$D99)</f>
        <v>0</v>
      </c>
      <c r="AQ36" s="315">
        <f>IF(AQ$5&gt;$D$7,0,AP35*Leadsheet!$D99)</f>
        <v>0</v>
      </c>
      <c r="AR36" s="315">
        <f>IF(AR$5&gt;$D$7,0,AQ35*Leadsheet!$D99)</f>
        <v>0</v>
      </c>
      <c r="AS36" s="315">
        <f>IF(AS$5&gt;$D$7,0,AR35*Leadsheet!$D99)</f>
        <v>0</v>
      </c>
      <c r="AT36" s="315">
        <f>IF(AT$5&gt;$D$7,0,AS35*Leadsheet!$D99)</f>
        <v>0</v>
      </c>
      <c r="AU36" s="315">
        <f>IF(AU$5&gt;$D$7,0,AT35*Leadsheet!$D99)</f>
        <v>0</v>
      </c>
      <c r="AV36" s="315">
        <f>IF(AV$5&gt;$D$7,0,AU35*Leadsheet!$D99)</f>
        <v>0</v>
      </c>
      <c r="AW36" s="315">
        <f>IF(AW$5&gt;$D$7,0,AV35*Leadsheet!$D99)</f>
        <v>0</v>
      </c>
      <c r="AX36" s="315">
        <f>IF(AX$5&gt;$D$7,0,AW35*Leadsheet!$D99)</f>
        <v>0</v>
      </c>
      <c r="AY36" s="315">
        <f>IF(AY$5&gt;$D$7,0,AX35*Leadsheet!$D99)</f>
        <v>0</v>
      </c>
      <c r="AZ36" s="315">
        <f>IF(AZ$5&gt;$D$7,0,AY35*Leadsheet!$D99)</f>
        <v>0</v>
      </c>
      <c r="BA36" s="315">
        <f>IF(BA$5&gt;$D$7,0,AZ35*Leadsheet!$D99)</f>
        <v>0</v>
      </c>
      <c r="BB36" s="315">
        <f>IF(BB$5&gt;$D$7,0,BA35*Leadsheet!$D99)</f>
        <v>0</v>
      </c>
      <c r="BC36" s="315">
        <f>IF(BC$5&gt;$D$7,0,BB35*Leadsheet!$D99)</f>
        <v>0</v>
      </c>
      <c r="BD36" s="315">
        <f>IF(BD$5&gt;$D$7,0,BC35*Leadsheet!$D99)</f>
        <v>0</v>
      </c>
      <c r="BE36" s="315">
        <f>IF(BE$5&gt;$D$7,0,BD35*Leadsheet!$D99)</f>
        <v>0</v>
      </c>
      <c r="BF36" s="315">
        <f>IF(BF$5&gt;$D$7,0,BE35*Leadsheet!$D99)</f>
        <v>0</v>
      </c>
      <c r="BG36" s="315">
        <f>IF(BG$5&gt;$D$7,0,BF35*Leadsheet!$D99)</f>
        <v>0</v>
      </c>
      <c r="BH36" s="315">
        <f>IF(BH$5&gt;$D$7,0,BG35*Leadsheet!$D99)</f>
        <v>0</v>
      </c>
      <c r="BI36" s="315">
        <f>IF(BI$5&gt;$D$7,0,BH35*Leadsheet!$D99)</f>
        <v>0</v>
      </c>
      <c r="BJ36" s="315">
        <f>IF(BJ$5&gt;$D$7,0,BI35*Leadsheet!$D99)</f>
        <v>0</v>
      </c>
      <c r="BK36" s="315">
        <f>IF(BK$5&gt;$D$7,0,BJ35*Leadsheet!$D99)</f>
        <v>0</v>
      </c>
      <c r="BL36" s="315">
        <f>IF(BL$5&gt;$D$7,0,BK35*Leadsheet!$D99)</f>
        <v>0</v>
      </c>
    </row>
    <row r="37" spans="1:64" s="188" customFormat="1" x14ac:dyDescent="0.15">
      <c r="A37" s="317" t="s">
        <v>407</v>
      </c>
      <c r="B37" s="318">
        <v>300</v>
      </c>
      <c r="C37" s="116" t="s">
        <v>411</v>
      </c>
      <c r="D37" s="320"/>
      <c r="E37" s="316">
        <f>IF(E$5&gt;$D$7,0,D36*Leadsheet!$D100)</f>
        <v>0</v>
      </c>
      <c r="F37" s="316">
        <f>IF(F$5&gt;$D$7,0,E36*Leadsheet!$D100)</f>
        <v>0</v>
      </c>
      <c r="G37" s="316">
        <f>IF(G$5&gt;$D$7,0,F36*Leadsheet!$D100)</f>
        <v>0</v>
      </c>
      <c r="H37" s="316">
        <f>IF(H$5&gt;$D$7,0,G36*Leadsheet!$D100)</f>
        <v>0</v>
      </c>
      <c r="I37" s="316">
        <f>IF(I$5&gt;$D$7,0,H36*Leadsheet!$D100)</f>
        <v>0</v>
      </c>
      <c r="J37" s="316">
        <f>IF(J$5&gt;$D$7,0,I36*Leadsheet!$D100)</f>
        <v>0</v>
      </c>
      <c r="K37" s="316">
        <f>IF(K$5&gt;$D$7,0,J36*Leadsheet!$D100)</f>
        <v>0</v>
      </c>
      <c r="L37" s="316">
        <f>IF(L$5&gt;$D$7,0,K36*Leadsheet!$D100)</f>
        <v>0</v>
      </c>
      <c r="M37" s="316">
        <f>IF(M$5&gt;$D$7,0,L36*Leadsheet!$D100)</f>
        <v>0</v>
      </c>
      <c r="N37" s="316">
        <f>IF(N$5&gt;$D$7,0,M36*Leadsheet!$D100)</f>
        <v>0.4642551478841056</v>
      </c>
      <c r="O37" s="316">
        <f>IF(O$5&gt;$D$7,0,N36*Leadsheet!$D100)</f>
        <v>0.36286919194700856</v>
      </c>
      <c r="P37" s="316">
        <f>IF(P$5&gt;$D$7,0,O36*Leadsheet!$D100)</f>
        <v>0.31201287769174935</v>
      </c>
      <c r="Q37" s="316">
        <f>IF(Q$5&gt;$D$7,0,P36*Leadsheet!$D100)</f>
        <v>0.26624606714002824</v>
      </c>
      <c r="R37" s="316">
        <f>IF(R$5&gt;$D$7,0,Q36*Leadsheet!$D100)</f>
        <v>0.23255122202326817</v>
      </c>
      <c r="S37" s="316">
        <f>IF(S$5&gt;$D$7,0,R36*Leadsheet!$D100)</f>
        <v>0.20115823515034889</v>
      </c>
      <c r="T37" s="315">
        <f>IF(T$5&gt;$D$7,0,S36*Leadsheet!$D100)</f>
        <v>0.17166584304186525</v>
      </c>
      <c r="U37" s="315">
        <f>IF(U$5&gt;$D$7,0,T36*Leadsheet!$D100)</f>
        <v>0.1445198291725219</v>
      </c>
      <c r="V37" s="315">
        <f>IF(V$5&gt;$D$7,0,U36*Leadsheet!$D100)</f>
        <v>0.11933454399152901</v>
      </c>
      <c r="W37" s="315">
        <f>IF(W$5&gt;$D$7,0,V36*Leadsheet!$D100)</f>
        <v>9.5737721799346323E-2</v>
      </c>
      <c r="X37" s="315">
        <f>IF(X$5&gt;$D$7,0,W36*Leadsheet!$D100)</f>
        <v>7.3727249928729824E-2</v>
      </c>
      <c r="Y37" s="315">
        <f>IF(Y$5&gt;$D$7,0,X36*Leadsheet!$D100)</f>
        <v>0</v>
      </c>
      <c r="Z37" s="315">
        <f>IF(Z$5&gt;$D$7,0,Y36*Leadsheet!$D100)</f>
        <v>0</v>
      </c>
      <c r="AA37" s="315">
        <f>IF(AA$5&gt;$D$7,0,Z36*Leadsheet!$D100)</f>
        <v>0</v>
      </c>
      <c r="AB37" s="315">
        <f>IF(AB$5&gt;$D$7,0,AA36*Leadsheet!$D100)</f>
        <v>0</v>
      </c>
      <c r="AC37" s="315">
        <f>IF(AC$5&gt;$D$7,0,AB36*Leadsheet!$D100)</f>
        <v>0</v>
      </c>
      <c r="AD37" s="315">
        <f>IF(AD$5&gt;$D$7,0,AC36*Leadsheet!$D100)</f>
        <v>0</v>
      </c>
      <c r="AE37" s="315">
        <f>IF(AE$5&gt;$D$7,0,AD36*Leadsheet!$D100)</f>
        <v>0</v>
      </c>
      <c r="AF37" s="315">
        <f>IF(AF$5&gt;$D$7,0,AE36*Leadsheet!$D100)</f>
        <v>0</v>
      </c>
      <c r="AG37" s="315">
        <f>IF(AG$5&gt;$D$7,0,AF36*Leadsheet!$D100)</f>
        <v>0</v>
      </c>
      <c r="AH37" s="315">
        <f>IF(AH$5&gt;$D$7,0,AG36*Leadsheet!$D100)</f>
        <v>0</v>
      </c>
      <c r="AI37" s="315">
        <f>IF(AI$5&gt;$D$7,0,AH36*Leadsheet!$D100)</f>
        <v>0</v>
      </c>
      <c r="AJ37" s="315">
        <f>IF(AJ$5&gt;$D$7,0,AI36*Leadsheet!$D100)</f>
        <v>0</v>
      </c>
      <c r="AK37" s="315">
        <f>IF(AK$5&gt;$D$7,0,AJ36*Leadsheet!$D100)</f>
        <v>0</v>
      </c>
      <c r="AL37" s="315">
        <f>IF(AL$5&gt;$D$7,0,AK36*Leadsheet!$D100)</f>
        <v>0</v>
      </c>
      <c r="AM37" s="315">
        <f>IF(AM$5&gt;$D$7,0,AL36*Leadsheet!$D100)</f>
        <v>0</v>
      </c>
      <c r="AN37" s="315">
        <f>IF(AN$5&gt;$D$7,0,AM36*Leadsheet!$D100)</f>
        <v>0</v>
      </c>
      <c r="AO37" s="315">
        <f>IF(AO$5&gt;$D$7,0,AN36*Leadsheet!$D100)</f>
        <v>0</v>
      </c>
      <c r="AP37" s="315">
        <f>IF(AP$5&gt;$D$7,0,AO36*Leadsheet!$D100)</f>
        <v>0</v>
      </c>
      <c r="AQ37" s="315">
        <f>IF(AQ$5&gt;$D$7,0,AP36*Leadsheet!$D100)</f>
        <v>0</v>
      </c>
      <c r="AR37" s="315">
        <f>IF(AR$5&gt;$D$7,0,AQ36*Leadsheet!$D100)</f>
        <v>0</v>
      </c>
      <c r="AS37" s="315">
        <f>IF(AS$5&gt;$D$7,0,AR36*Leadsheet!$D100)</f>
        <v>0</v>
      </c>
      <c r="AT37" s="315">
        <f>IF(AT$5&gt;$D$7,0,AS36*Leadsheet!$D100)</f>
        <v>0</v>
      </c>
      <c r="AU37" s="315">
        <f>IF(AU$5&gt;$D$7,0,AT36*Leadsheet!$D100)</f>
        <v>0</v>
      </c>
      <c r="AV37" s="315">
        <f>IF(AV$5&gt;$D$7,0,AU36*Leadsheet!$D100)</f>
        <v>0</v>
      </c>
      <c r="AW37" s="315">
        <f>IF(AW$5&gt;$D$7,0,AV36*Leadsheet!$D100)</f>
        <v>0</v>
      </c>
      <c r="AX37" s="315">
        <f>IF(AX$5&gt;$D$7,0,AW36*Leadsheet!$D100)</f>
        <v>0</v>
      </c>
      <c r="AY37" s="315">
        <f>IF(AY$5&gt;$D$7,0,AX36*Leadsheet!$D100)</f>
        <v>0</v>
      </c>
      <c r="AZ37" s="315">
        <f>IF(AZ$5&gt;$D$7,0,AY36*Leadsheet!$D100)</f>
        <v>0</v>
      </c>
      <c r="BA37" s="315">
        <f>IF(BA$5&gt;$D$7,0,AZ36*Leadsheet!$D100)</f>
        <v>0</v>
      </c>
      <c r="BB37" s="315">
        <f>IF(BB$5&gt;$D$7,0,BA36*Leadsheet!$D100)</f>
        <v>0</v>
      </c>
      <c r="BC37" s="315">
        <f>IF(BC$5&gt;$D$7,0,BB36*Leadsheet!$D100)</f>
        <v>0</v>
      </c>
      <c r="BD37" s="315">
        <f>IF(BD$5&gt;$D$7,0,BC36*Leadsheet!$D100)</f>
        <v>0</v>
      </c>
      <c r="BE37" s="315">
        <f>IF(BE$5&gt;$D$7,0,BD36*Leadsheet!$D100)</f>
        <v>0</v>
      </c>
      <c r="BF37" s="315">
        <f>IF(BF$5&gt;$D$7,0,BE36*Leadsheet!$D100)</f>
        <v>0</v>
      </c>
      <c r="BG37" s="315">
        <f>IF(BG$5&gt;$D$7,0,BF36*Leadsheet!$D100)</f>
        <v>0</v>
      </c>
      <c r="BH37" s="315">
        <f>IF(BH$5&gt;$D$7,0,BG36*Leadsheet!$D100)</f>
        <v>0</v>
      </c>
      <c r="BI37" s="315">
        <f>IF(BI$5&gt;$D$7,0,BH36*Leadsheet!$D100)</f>
        <v>0</v>
      </c>
      <c r="BJ37" s="315">
        <f>IF(BJ$5&gt;$D$7,0,BI36*Leadsheet!$D100)</f>
        <v>0</v>
      </c>
      <c r="BK37" s="315">
        <f>IF(BK$5&gt;$D$7,0,BJ36*Leadsheet!$D100)</f>
        <v>0</v>
      </c>
      <c r="BL37" s="315">
        <f>IF(BL$5&gt;$D$7,0,BK36*Leadsheet!$D100)</f>
        <v>0</v>
      </c>
    </row>
    <row r="38" spans="1:64" s="188" customFormat="1" x14ac:dyDescent="0.15">
      <c r="A38" s="317" t="s">
        <v>407</v>
      </c>
      <c r="B38" s="318">
        <v>330</v>
      </c>
      <c r="C38" s="116" t="s">
        <v>412</v>
      </c>
      <c r="D38" s="320"/>
      <c r="E38" s="316">
        <f>IF(E$5&gt;$D$7,0,D37*Leadsheet!$D101)</f>
        <v>0</v>
      </c>
      <c r="F38" s="316">
        <f>IF(F$5&gt;$D$7,0,E37*Leadsheet!$D101)</f>
        <v>0</v>
      </c>
      <c r="G38" s="316">
        <f>IF(G$5&gt;$D$7,0,F37*Leadsheet!$D101)</f>
        <v>0</v>
      </c>
      <c r="H38" s="316">
        <f>IF(H$5&gt;$D$7,0,G37*Leadsheet!$D101)</f>
        <v>0</v>
      </c>
      <c r="I38" s="316">
        <f>IF(I$5&gt;$D$7,0,H37*Leadsheet!$D101)</f>
        <v>0</v>
      </c>
      <c r="J38" s="316">
        <f>IF(J$5&gt;$D$7,0,I37*Leadsheet!$D101)</f>
        <v>0</v>
      </c>
      <c r="K38" s="316">
        <f>IF(K$5&gt;$D$7,0,J37*Leadsheet!$D101)</f>
        <v>0</v>
      </c>
      <c r="L38" s="316">
        <f>IF(L$5&gt;$D$7,0,K37*Leadsheet!$D101)</f>
        <v>0</v>
      </c>
      <c r="M38" s="316">
        <f>IF(M$5&gt;$D$7,0,L37*Leadsheet!$D101)</f>
        <v>0</v>
      </c>
      <c r="N38" s="316">
        <f>IF(N$5&gt;$D$7,0,M37*Leadsheet!$D101)</f>
        <v>0</v>
      </c>
      <c r="O38" s="316">
        <f>IF(O$5&gt;$D$7,0,N37*Leadsheet!$D101)</f>
        <v>0.4642551478841056</v>
      </c>
      <c r="P38" s="316">
        <f>IF(P$5&gt;$D$7,0,O37*Leadsheet!$D101)</f>
        <v>0.36286919194700856</v>
      </c>
      <c r="Q38" s="316">
        <f>IF(Q$5&gt;$D$7,0,P37*Leadsheet!$D101)</f>
        <v>0.31201287769174935</v>
      </c>
      <c r="R38" s="316">
        <f>IF(R$5&gt;$D$7,0,Q37*Leadsheet!$D101)</f>
        <v>0.26624606714002824</v>
      </c>
      <c r="S38" s="316">
        <f>IF(S$5&gt;$D$7,0,R37*Leadsheet!$D101)</f>
        <v>0.23255122202326817</v>
      </c>
      <c r="T38" s="315">
        <f>IF(T$5&gt;$D$7,0,S37*Leadsheet!$D101)</f>
        <v>0.20115823515034889</v>
      </c>
      <c r="U38" s="315">
        <f>IF(U$5&gt;$D$7,0,T37*Leadsheet!$D101)</f>
        <v>0.17166584304186525</v>
      </c>
      <c r="V38" s="315">
        <f>IF(V$5&gt;$D$7,0,U37*Leadsheet!$D101)</f>
        <v>0.1445198291725219</v>
      </c>
      <c r="W38" s="315">
        <f>IF(W$5&gt;$D$7,0,V37*Leadsheet!$D101)</f>
        <v>0.11933454399152901</v>
      </c>
      <c r="X38" s="315">
        <f>IF(X$5&gt;$D$7,0,W37*Leadsheet!$D101)</f>
        <v>9.5737721799346323E-2</v>
      </c>
      <c r="Y38" s="315">
        <f>IF(Y$5&gt;$D$7,0,X37*Leadsheet!$D101)</f>
        <v>0</v>
      </c>
      <c r="Z38" s="315">
        <f>IF(Z$5&gt;$D$7,0,Y37*Leadsheet!$D101)</f>
        <v>0</v>
      </c>
      <c r="AA38" s="315">
        <f>IF(AA$5&gt;$D$7,0,Z37*Leadsheet!$D101)</f>
        <v>0</v>
      </c>
      <c r="AB38" s="315">
        <f>IF(AB$5&gt;$D$7,0,AA37*Leadsheet!$D101)</f>
        <v>0</v>
      </c>
      <c r="AC38" s="315">
        <f>IF(AC$5&gt;$D$7,0,AB37*Leadsheet!$D101)</f>
        <v>0</v>
      </c>
      <c r="AD38" s="315">
        <f>IF(AD$5&gt;$D$7,0,AC37*Leadsheet!$D101)</f>
        <v>0</v>
      </c>
      <c r="AE38" s="315">
        <f>IF(AE$5&gt;$D$7,0,AD37*Leadsheet!$D101)</f>
        <v>0</v>
      </c>
      <c r="AF38" s="315">
        <f>IF(AF$5&gt;$D$7,0,AE37*Leadsheet!$D101)</f>
        <v>0</v>
      </c>
      <c r="AG38" s="315">
        <f>IF(AG$5&gt;$D$7,0,AF37*Leadsheet!$D101)</f>
        <v>0</v>
      </c>
      <c r="AH38" s="315">
        <f>IF(AH$5&gt;$D$7,0,AG37*Leadsheet!$D101)</f>
        <v>0</v>
      </c>
      <c r="AI38" s="315">
        <f>IF(AI$5&gt;$D$7,0,AH37*Leadsheet!$D101)</f>
        <v>0</v>
      </c>
      <c r="AJ38" s="315">
        <f>IF(AJ$5&gt;$D$7,0,AI37*Leadsheet!$D101)</f>
        <v>0</v>
      </c>
      <c r="AK38" s="315">
        <f>IF(AK$5&gt;$D$7,0,AJ37*Leadsheet!$D101)</f>
        <v>0</v>
      </c>
      <c r="AL38" s="315">
        <f>IF(AL$5&gt;$D$7,0,AK37*Leadsheet!$D101)</f>
        <v>0</v>
      </c>
      <c r="AM38" s="315">
        <f>IF(AM$5&gt;$D$7,0,AL37*Leadsheet!$D101)</f>
        <v>0</v>
      </c>
      <c r="AN38" s="315">
        <f>IF(AN$5&gt;$D$7,0,AM37*Leadsheet!$D101)</f>
        <v>0</v>
      </c>
      <c r="AO38" s="315">
        <f>IF(AO$5&gt;$D$7,0,AN37*Leadsheet!$D101)</f>
        <v>0</v>
      </c>
      <c r="AP38" s="315">
        <f>IF(AP$5&gt;$D$7,0,AO37*Leadsheet!$D101)</f>
        <v>0</v>
      </c>
      <c r="AQ38" s="315">
        <f>IF(AQ$5&gt;$D$7,0,AP37*Leadsheet!$D101)</f>
        <v>0</v>
      </c>
      <c r="AR38" s="315">
        <f>IF(AR$5&gt;$D$7,0,AQ37*Leadsheet!$D101)</f>
        <v>0</v>
      </c>
      <c r="AS38" s="315">
        <f>IF(AS$5&gt;$D$7,0,AR37*Leadsheet!$D101)</f>
        <v>0</v>
      </c>
      <c r="AT38" s="315">
        <f>IF(AT$5&gt;$D$7,0,AS37*Leadsheet!$D101)</f>
        <v>0</v>
      </c>
      <c r="AU38" s="315">
        <f>IF(AU$5&gt;$D$7,0,AT37*Leadsheet!$D101)</f>
        <v>0</v>
      </c>
      <c r="AV38" s="315">
        <f>IF(AV$5&gt;$D$7,0,AU37*Leadsheet!$D101)</f>
        <v>0</v>
      </c>
      <c r="AW38" s="315">
        <f>IF(AW$5&gt;$D$7,0,AV37*Leadsheet!$D101)</f>
        <v>0</v>
      </c>
      <c r="AX38" s="315">
        <f>IF(AX$5&gt;$D$7,0,AW37*Leadsheet!$D101)</f>
        <v>0</v>
      </c>
      <c r="AY38" s="315">
        <f>IF(AY$5&gt;$D$7,0,AX37*Leadsheet!$D101)</f>
        <v>0</v>
      </c>
      <c r="AZ38" s="315">
        <f>IF(AZ$5&gt;$D$7,0,AY37*Leadsheet!$D101)</f>
        <v>0</v>
      </c>
      <c r="BA38" s="315">
        <f>IF(BA$5&gt;$D$7,0,AZ37*Leadsheet!$D101)</f>
        <v>0</v>
      </c>
      <c r="BB38" s="315">
        <f>IF(BB$5&gt;$D$7,0,BA37*Leadsheet!$D101)</f>
        <v>0</v>
      </c>
      <c r="BC38" s="315">
        <f>IF(BC$5&gt;$D$7,0,BB37*Leadsheet!$D101)</f>
        <v>0</v>
      </c>
      <c r="BD38" s="315">
        <f>IF(BD$5&gt;$D$7,0,BC37*Leadsheet!$D101)</f>
        <v>0</v>
      </c>
      <c r="BE38" s="315">
        <f>IF(BE$5&gt;$D$7,0,BD37*Leadsheet!$D101)</f>
        <v>0</v>
      </c>
      <c r="BF38" s="315">
        <f>IF(BF$5&gt;$D$7,0,BE37*Leadsheet!$D101)</f>
        <v>0</v>
      </c>
      <c r="BG38" s="315">
        <f>IF(BG$5&gt;$D$7,0,BF37*Leadsheet!$D101)</f>
        <v>0</v>
      </c>
      <c r="BH38" s="315">
        <f>IF(BH$5&gt;$D$7,0,BG37*Leadsheet!$D101)</f>
        <v>0</v>
      </c>
      <c r="BI38" s="315">
        <f>IF(BI$5&gt;$D$7,0,BH37*Leadsheet!$D101)</f>
        <v>0</v>
      </c>
      <c r="BJ38" s="315">
        <f>IF(BJ$5&gt;$D$7,0,BI37*Leadsheet!$D101)</f>
        <v>0</v>
      </c>
      <c r="BK38" s="315">
        <f>IF(BK$5&gt;$D$7,0,BJ37*Leadsheet!$D101)</f>
        <v>0</v>
      </c>
      <c r="BL38" s="315">
        <f>IF(BL$5&gt;$D$7,0,BK37*Leadsheet!$D101)</f>
        <v>0</v>
      </c>
    </row>
    <row r="39" spans="1:64" s="188" customFormat="1" x14ac:dyDescent="0.15">
      <c r="A39" s="317" t="s">
        <v>407</v>
      </c>
      <c r="B39" s="318">
        <v>360</v>
      </c>
      <c r="C39" s="116" t="s">
        <v>413</v>
      </c>
      <c r="D39" s="320"/>
      <c r="E39" s="316">
        <f>IF(E$5&gt;$D$7,0,D38*Leadsheet!$D102)</f>
        <v>0</v>
      </c>
      <c r="F39" s="316">
        <f>IF(F$5&gt;$D$7,0,E38*Leadsheet!$D102)</f>
        <v>0</v>
      </c>
      <c r="G39" s="316">
        <f>IF(G$5&gt;$D$7,0,F38*Leadsheet!$D102)</f>
        <v>0</v>
      </c>
      <c r="H39" s="316">
        <f>IF(H$5&gt;$D$7,0,G38*Leadsheet!$D102)</f>
        <v>0</v>
      </c>
      <c r="I39" s="316">
        <f>IF(I$5&gt;$D$7,0,H38*Leadsheet!$D102)</f>
        <v>0</v>
      </c>
      <c r="J39" s="316">
        <f>IF(J$5&gt;$D$7,0,I38*Leadsheet!$D102)</f>
        <v>0</v>
      </c>
      <c r="K39" s="316">
        <f>IF(K$5&gt;$D$7,0,J38*Leadsheet!$D102)</f>
        <v>0</v>
      </c>
      <c r="L39" s="316">
        <f>IF(L$5&gt;$D$7,0,K38*Leadsheet!$D102)</f>
        <v>0</v>
      </c>
      <c r="M39" s="316">
        <f>IF(M$5&gt;$D$7,0,L38*Leadsheet!$D102)</f>
        <v>0</v>
      </c>
      <c r="N39" s="316">
        <f>IF(N$5&gt;$D$7,0,M38*Leadsheet!$D102)</f>
        <v>0</v>
      </c>
      <c r="O39" s="316">
        <f>IF(O$5&gt;$D$7,0,N38*Leadsheet!$D102)</f>
        <v>0</v>
      </c>
      <c r="P39" s="316">
        <f>IF(P$5&gt;$D$7,0,O38*Leadsheet!$D102)</f>
        <v>0.4642551478841056</v>
      </c>
      <c r="Q39" s="316">
        <f>IF(Q$5&gt;$D$7,0,P38*Leadsheet!$D102)</f>
        <v>0.36286919194700856</v>
      </c>
      <c r="R39" s="316">
        <f>IF(R$5&gt;$D$7,0,Q38*Leadsheet!$D102)</f>
        <v>0.31201287769174935</v>
      </c>
      <c r="S39" s="316">
        <f>IF(S$5&gt;$D$7,0,R38*Leadsheet!$D102)</f>
        <v>0.26624606714002824</v>
      </c>
      <c r="T39" s="315">
        <f>IF(T$5&gt;$D$7,0,S38*Leadsheet!$D102)</f>
        <v>0.23255122202326817</v>
      </c>
      <c r="U39" s="315">
        <f>IF(U$5&gt;$D$7,0,T38*Leadsheet!$D102)</f>
        <v>0.20115823515034889</v>
      </c>
      <c r="V39" s="315">
        <f>IF(V$5&gt;$D$7,0,U38*Leadsheet!$D102)</f>
        <v>0.17166584304186525</v>
      </c>
      <c r="W39" s="315">
        <f>IF(W$5&gt;$D$7,0,V38*Leadsheet!$D102)</f>
        <v>0.1445198291725219</v>
      </c>
      <c r="X39" s="315">
        <f>IF(X$5&gt;$D$7,0,W38*Leadsheet!$D102)</f>
        <v>0.11933454399152901</v>
      </c>
      <c r="Y39" s="315">
        <f>IF(Y$5&gt;$D$7,0,X38*Leadsheet!$D102)</f>
        <v>0</v>
      </c>
      <c r="Z39" s="315">
        <f>IF(Z$5&gt;$D$7,0,Y38*Leadsheet!$D102)</f>
        <v>0</v>
      </c>
      <c r="AA39" s="315">
        <f>IF(AA$5&gt;$D$7,0,Z38*Leadsheet!$D102)</f>
        <v>0</v>
      </c>
      <c r="AB39" s="315">
        <f>IF(AB$5&gt;$D$7,0,AA38*Leadsheet!$D102)</f>
        <v>0</v>
      </c>
      <c r="AC39" s="315">
        <f>IF(AC$5&gt;$D$7,0,AB38*Leadsheet!$D102)</f>
        <v>0</v>
      </c>
      <c r="AD39" s="315">
        <f>IF(AD$5&gt;$D$7,0,AC38*Leadsheet!$D102)</f>
        <v>0</v>
      </c>
      <c r="AE39" s="315">
        <f>IF(AE$5&gt;$D$7,0,AD38*Leadsheet!$D102)</f>
        <v>0</v>
      </c>
      <c r="AF39" s="315">
        <f>IF(AF$5&gt;$D$7,0,AE38*Leadsheet!$D102)</f>
        <v>0</v>
      </c>
      <c r="AG39" s="315">
        <f>IF(AG$5&gt;$D$7,0,AF38*Leadsheet!$D102)</f>
        <v>0</v>
      </c>
      <c r="AH39" s="315">
        <f>IF(AH$5&gt;$D$7,0,AG38*Leadsheet!$D102)</f>
        <v>0</v>
      </c>
      <c r="AI39" s="315">
        <f>IF(AI$5&gt;$D$7,0,AH38*Leadsheet!$D102)</f>
        <v>0</v>
      </c>
      <c r="AJ39" s="315">
        <f>IF(AJ$5&gt;$D$7,0,AI38*Leadsheet!$D102)</f>
        <v>0</v>
      </c>
      <c r="AK39" s="315">
        <f>IF(AK$5&gt;$D$7,0,AJ38*Leadsheet!$D102)</f>
        <v>0</v>
      </c>
      <c r="AL39" s="315">
        <f>IF(AL$5&gt;$D$7,0,AK38*Leadsheet!$D102)</f>
        <v>0</v>
      </c>
      <c r="AM39" s="315">
        <f>IF(AM$5&gt;$D$7,0,AL38*Leadsheet!$D102)</f>
        <v>0</v>
      </c>
      <c r="AN39" s="315">
        <f>IF(AN$5&gt;$D$7,0,AM38*Leadsheet!$D102)</f>
        <v>0</v>
      </c>
      <c r="AO39" s="315">
        <f>IF(AO$5&gt;$D$7,0,AN38*Leadsheet!$D102)</f>
        <v>0</v>
      </c>
      <c r="AP39" s="315">
        <f>IF(AP$5&gt;$D$7,0,AO38*Leadsheet!$D102)</f>
        <v>0</v>
      </c>
      <c r="AQ39" s="315">
        <f>IF(AQ$5&gt;$D$7,0,AP38*Leadsheet!$D102)</f>
        <v>0</v>
      </c>
      <c r="AR39" s="315">
        <f>IF(AR$5&gt;$D$7,0,AQ38*Leadsheet!$D102)</f>
        <v>0</v>
      </c>
      <c r="AS39" s="315">
        <f>IF(AS$5&gt;$D$7,0,AR38*Leadsheet!$D102)</f>
        <v>0</v>
      </c>
      <c r="AT39" s="315">
        <f>IF(AT$5&gt;$D$7,0,AS38*Leadsheet!$D102)</f>
        <v>0</v>
      </c>
      <c r="AU39" s="315">
        <f>IF(AU$5&gt;$D$7,0,AT38*Leadsheet!$D102)</f>
        <v>0</v>
      </c>
      <c r="AV39" s="315">
        <f>IF(AV$5&gt;$D$7,0,AU38*Leadsheet!$D102)</f>
        <v>0</v>
      </c>
      <c r="AW39" s="315">
        <f>IF(AW$5&gt;$D$7,0,AV38*Leadsheet!$D102)</f>
        <v>0</v>
      </c>
      <c r="AX39" s="315">
        <f>IF(AX$5&gt;$D$7,0,AW38*Leadsheet!$D102)</f>
        <v>0</v>
      </c>
      <c r="AY39" s="315">
        <f>IF(AY$5&gt;$D$7,0,AX38*Leadsheet!$D102)</f>
        <v>0</v>
      </c>
      <c r="AZ39" s="315">
        <f>IF(AZ$5&gt;$D$7,0,AY38*Leadsheet!$D102)</f>
        <v>0</v>
      </c>
      <c r="BA39" s="315">
        <f>IF(BA$5&gt;$D$7,0,AZ38*Leadsheet!$D102)</f>
        <v>0</v>
      </c>
      <c r="BB39" s="315">
        <f>IF(BB$5&gt;$D$7,0,BA38*Leadsheet!$D102)</f>
        <v>0</v>
      </c>
      <c r="BC39" s="315">
        <f>IF(BC$5&gt;$D$7,0,BB38*Leadsheet!$D102)</f>
        <v>0</v>
      </c>
      <c r="BD39" s="315">
        <f>IF(BD$5&gt;$D$7,0,BC38*Leadsheet!$D102)</f>
        <v>0</v>
      </c>
      <c r="BE39" s="315">
        <f>IF(BE$5&gt;$D$7,0,BD38*Leadsheet!$D102)</f>
        <v>0</v>
      </c>
      <c r="BF39" s="315">
        <f>IF(BF$5&gt;$D$7,0,BE38*Leadsheet!$D102)</f>
        <v>0</v>
      </c>
      <c r="BG39" s="315">
        <f>IF(BG$5&gt;$D$7,0,BF38*Leadsheet!$D102)</f>
        <v>0</v>
      </c>
      <c r="BH39" s="315">
        <f>IF(BH$5&gt;$D$7,0,BG38*Leadsheet!$D102)</f>
        <v>0</v>
      </c>
      <c r="BI39" s="315">
        <f>IF(BI$5&gt;$D$7,0,BH38*Leadsheet!$D102)</f>
        <v>0</v>
      </c>
      <c r="BJ39" s="315">
        <f>IF(BJ$5&gt;$D$7,0,BI38*Leadsheet!$D102)</f>
        <v>0</v>
      </c>
      <c r="BK39" s="315">
        <f>IF(BK$5&gt;$D$7,0,BJ38*Leadsheet!$D102)</f>
        <v>0</v>
      </c>
      <c r="BL39" s="315">
        <f>IF(BL$5&gt;$D$7,0,BK38*Leadsheet!$D102)</f>
        <v>0</v>
      </c>
    </row>
    <row r="40" spans="1:64" x14ac:dyDescent="0.15">
      <c r="A40" s="317" t="s">
        <v>414</v>
      </c>
      <c r="B40" s="318">
        <v>390</v>
      </c>
      <c r="C40" s="116" t="s">
        <v>415</v>
      </c>
      <c r="D40" s="319"/>
      <c r="E40" s="316">
        <f>IF(E$5&gt;$D$7,0,D39*Leadsheet!$D103)</f>
        <v>0</v>
      </c>
      <c r="F40" s="316">
        <f>IF(F$5&gt;$D$7,0,E39*Leadsheet!$D103)</f>
        <v>0</v>
      </c>
      <c r="G40" s="316">
        <f>IF(G$5&gt;$D$7,0,F39*Leadsheet!$D103)</f>
        <v>0</v>
      </c>
      <c r="H40" s="316">
        <f>IF(H$5&gt;$D$7,0,G39*Leadsheet!$D103)</f>
        <v>0</v>
      </c>
      <c r="I40" s="316">
        <f>IF(I$5&gt;$D$7,0,H39*Leadsheet!$D103)</f>
        <v>0</v>
      </c>
      <c r="J40" s="316">
        <f>IF(J$5&gt;$D$7,0,I39*Leadsheet!$D103)</f>
        <v>0</v>
      </c>
      <c r="K40" s="316">
        <f>IF(K$5&gt;$D$7,0,J39*Leadsheet!$D103)</f>
        <v>0</v>
      </c>
      <c r="L40" s="316">
        <f>IF(L$5&gt;$D$7,0,K39*Leadsheet!$D103)</f>
        <v>0</v>
      </c>
      <c r="M40" s="316">
        <f>IF(M$5&gt;$D$7,0,L39*Leadsheet!$D103)</f>
        <v>0</v>
      </c>
      <c r="N40" s="316">
        <f>IF(N$5&gt;$D$7,0,M39*Leadsheet!$D103)</f>
        <v>0</v>
      </c>
      <c r="O40" s="316">
        <f>IF(O$5&gt;$D$7,0,N39*Leadsheet!$D103)</f>
        <v>0</v>
      </c>
      <c r="P40" s="316">
        <f>IF(P$5&gt;$D$7,0,O39*Leadsheet!$D103)</f>
        <v>0</v>
      </c>
      <c r="Q40" s="316">
        <f>IF(Q$5&gt;$D$7,0,P39*Leadsheet!$D103)</f>
        <v>0.4642551478841056</v>
      </c>
      <c r="R40" s="316">
        <f>IF(R$5&gt;$D$7,0,Q39*Leadsheet!$D103)</f>
        <v>0.36286919194700856</v>
      </c>
      <c r="S40" s="316">
        <f>IF(S$5&gt;$D$7,0,R39*Leadsheet!$D103)</f>
        <v>0.31201287769174935</v>
      </c>
      <c r="T40" s="315">
        <f>IF(T$5&gt;$D$7,0,S39*Leadsheet!$D103)</f>
        <v>0.26624606714002824</v>
      </c>
      <c r="U40" s="315">
        <f>IF(U$5&gt;$D$7,0,T39*Leadsheet!$D103)</f>
        <v>0.23255122202326817</v>
      </c>
      <c r="V40" s="315">
        <f>IF(V$5&gt;$D$7,0,U39*Leadsheet!$D103)</f>
        <v>0.20115823515034889</v>
      </c>
      <c r="W40" s="315">
        <f>IF(W$5&gt;$D$7,0,V39*Leadsheet!$D103)</f>
        <v>0.17166584304186525</v>
      </c>
      <c r="X40" s="315">
        <f>IF(X$5&gt;$D$7,0,W39*Leadsheet!$D103)</f>
        <v>0.1445198291725219</v>
      </c>
      <c r="Y40" s="315">
        <f>IF(Y$5&gt;$D$7,0,X39*Leadsheet!$D103)</f>
        <v>0</v>
      </c>
      <c r="Z40" s="315">
        <f>IF(Z$5&gt;$D$7,0,Y39*Leadsheet!$D103)</f>
        <v>0</v>
      </c>
      <c r="AA40" s="315">
        <f>IF(AA$5&gt;$D$7,0,Z39*Leadsheet!$D103)</f>
        <v>0</v>
      </c>
      <c r="AB40" s="315">
        <f>IF(AB$5&gt;$D$7,0,AA39*Leadsheet!$D103)</f>
        <v>0</v>
      </c>
      <c r="AC40" s="315">
        <f>IF(AC$5&gt;$D$7,0,AB39*Leadsheet!$D103)</f>
        <v>0</v>
      </c>
      <c r="AD40" s="315">
        <f>IF(AD$5&gt;$D$7,0,AC39*Leadsheet!$D103)</f>
        <v>0</v>
      </c>
      <c r="AE40" s="315">
        <f>IF(AE$5&gt;$D$7,0,AD39*Leadsheet!$D103)</f>
        <v>0</v>
      </c>
      <c r="AF40" s="315">
        <f>IF(AF$5&gt;$D$7,0,AE39*Leadsheet!$D103)</f>
        <v>0</v>
      </c>
      <c r="AG40" s="315">
        <f>IF(AG$5&gt;$D$7,0,AF39*Leadsheet!$D103)</f>
        <v>0</v>
      </c>
      <c r="AH40" s="315">
        <f>IF(AH$5&gt;$D$7,0,AG39*Leadsheet!$D103)</f>
        <v>0</v>
      </c>
      <c r="AI40" s="315">
        <f>IF(AI$5&gt;$D$7,0,AH39*Leadsheet!$D103)</f>
        <v>0</v>
      </c>
      <c r="AJ40" s="315">
        <f>IF(AJ$5&gt;$D$7,0,AI39*Leadsheet!$D103)</f>
        <v>0</v>
      </c>
      <c r="AK40" s="315">
        <f>IF(AK$5&gt;$D$7,0,AJ39*Leadsheet!$D103)</f>
        <v>0</v>
      </c>
      <c r="AL40" s="315">
        <f>IF(AL$5&gt;$D$7,0,AK39*Leadsheet!$D103)</f>
        <v>0</v>
      </c>
      <c r="AM40" s="315">
        <f>IF(AM$5&gt;$D$7,0,AL39*Leadsheet!$D103)</f>
        <v>0</v>
      </c>
      <c r="AN40" s="315">
        <f>IF(AN$5&gt;$D$7,0,AM39*Leadsheet!$D103)</f>
        <v>0</v>
      </c>
      <c r="AO40" s="315">
        <f>IF(AO$5&gt;$D$7,0,AN39*Leadsheet!$D103)</f>
        <v>0</v>
      </c>
      <c r="AP40" s="315">
        <f>IF(AP$5&gt;$D$7,0,AO39*Leadsheet!$D103)</f>
        <v>0</v>
      </c>
      <c r="AQ40" s="315">
        <f>IF(AQ$5&gt;$D$7,0,AP39*Leadsheet!$D103)</f>
        <v>0</v>
      </c>
      <c r="AR40" s="315">
        <f>IF(AR$5&gt;$D$7,0,AQ39*Leadsheet!$D103)</f>
        <v>0</v>
      </c>
      <c r="AS40" s="315">
        <f>IF(AS$5&gt;$D$7,0,AR39*Leadsheet!$D103)</f>
        <v>0</v>
      </c>
      <c r="AT40" s="315">
        <f>IF(AT$5&gt;$D$7,0,AS39*Leadsheet!$D103)</f>
        <v>0</v>
      </c>
      <c r="AU40" s="315">
        <f>IF(AU$5&gt;$D$7,0,AT39*Leadsheet!$D103)</f>
        <v>0</v>
      </c>
      <c r="AV40" s="315">
        <f>IF(AV$5&gt;$D$7,0,AU39*Leadsheet!$D103)</f>
        <v>0</v>
      </c>
      <c r="AW40" s="315">
        <f>IF(AW$5&gt;$D$7,0,AV39*Leadsheet!$D103)</f>
        <v>0</v>
      </c>
      <c r="AX40" s="315">
        <f>IF(AX$5&gt;$D$7,0,AW39*Leadsheet!$D103)</f>
        <v>0</v>
      </c>
      <c r="AY40" s="315">
        <f>IF(AY$5&gt;$D$7,0,AX39*Leadsheet!$D103)</f>
        <v>0</v>
      </c>
      <c r="AZ40" s="315">
        <f>IF(AZ$5&gt;$D$7,0,AY39*Leadsheet!$D103)</f>
        <v>0</v>
      </c>
      <c r="BA40" s="315">
        <f>IF(BA$5&gt;$D$7,0,AZ39*Leadsheet!$D103)</f>
        <v>0</v>
      </c>
      <c r="BB40" s="315">
        <f>IF(BB$5&gt;$D$7,0,BA39*Leadsheet!$D103)</f>
        <v>0</v>
      </c>
      <c r="BC40" s="315">
        <f>IF(BC$5&gt;$D$7,0,BB39*Leadsheet!$D103)</f>
        <v>0</v>
      </c>
      <c r="BD40" s="315">
        <f>IF(BD$5&gt;$D$7,0,BC39*Leadsheet!$D103)</f>
        <v>0</v>
      </c>
      <c r="BE40" s="315">
        <f>IF(BE$5&gt;$D$7,0,BD39*Leadsheet!$D103)</f>
        <v>0</v>
      </c>
      <c r="BF40" s="315">
        <f>IF(BF$5&gt;$D$7,0,BE39*Leadsheet!$D103)</f>
        <v>0</v>
      </c>
      <c r="BG40" s="315">
        <f>IF(BG$5&gt;$D$7,0,BF39*Leadsheet!$D103)</f>
        <v>0</v>
      </c>
      <c r="BH40" s="315">
        <f>IF(BH$5&gt;$D$7,0,BG39*Leadsheet!$D103)</f>
        <v>0</v>
      </c>
      <c r="BI40" s="315">
        <f>IF(BI$5&gt;$D$7,0,BH39*Leadsheet!$D103)</f>
        <v>0</v>
      </c>
      <c r="BJ40" s="315">
        <f>IF(BJ$5&gt;$D$7,0,BI39*Leadsheet!$D103)</f>
        <v>0</v>
      </c>
      <c r="BK40" s="315">
        <f>IF(BK$5&gt;$D$7,0,BJ39*Leadsheet!$D103)</f>
        <v>0</v>
      </c>
      <c r="BL40" s="315">
        <f>IF(BL$5&gt;$D$7,0,BK39*Leadsheet!$D103)</f>
        <v>0</v>
      </c>
    </row>
    <row r="41" spans="1:64" x14ac:dyDescent="0.15">
      <c r="A41" s="317" t="s">
        <v>414</v>
      </c>
      <c r="B41" s="318" t="s">
        <v>416</v>
      </c>
      <c r="C41" s="116" t="s">
        <v>417</v>
      </c>
      <c r="D41" s="319"/>
      <c r="E41" s="315">
        <f t="shared" ref="E41:BL41" si="6">IF(E5&gt;$D$7,0,D40+D41)</f>
        <v>0</v>
      </c>
      <c r="F41" s="315">
        <f t="shared" si="6"/>
        <v>0</v>
      </c>
      <c r="G41" s="315">
        <f t="shared" si="6"/>
        <v>0</v>
      </c>
      <c r="H41" s="315">
        <f t="shared" si="6"/>
        <v>0</v>
      </c>
      <c r="I41" s="315">
        <f t="shared" si="6"/>
        <v>0</v>
      </c>
      <c r="J41" s="315">
        <f t="shared" si="6"/>
        <v>0</v>
      </c>
      <c r="K41" s="315">
        <f t="shared" si="6"/>
        <v>0</v>
      </c>
      <c r="L41" s="315">
        <f t="shared" si="6"/>
        <v>0</v>
      </c>
      <c r="M41" s="315">
        <f t="shared" si="6"/>
        <v>0</v>
      </c>
      <c r="N41" s="315">
        <f t="shared" si="6"/>
        <v>0</v>
      </c>
      <c r="O41" s="315">
        <f t="shared" si="6"/>
        <v>0</v>
      </c>
      <c r="P41" s="315">
        <f t="shared" si="6"/>
        <v>0</v>
      </c>
      <c r="Q41" s="315">
        <f t="shared" si="6"/>
        <v>0</v>
      </c>
      <c r="R41" s="315">
        <f t="shared" si="6"/>
        <v>0.4642551478841056</v>
      </c>
      <c r="S41" s="315">
        <f t="shared" si="6"/>
        <v>0.82712433983111411</v>
      </c>
      <c r="T41" s="315">
        <f t="shared" si="6"/>
        <v>1.1391372175228636</v>
      </c>
      <c r="U41" s="315">
        <f t="shared" si="6"/>
        <v>1.4053832846628918</v>
      </c>
      <c r="V41" s="315">
        <f t="shared" si="6"/>
        <v>1.6379345066861599</v>
      </c>
      <c r="W41" s="315">
        <f t="shared" si="6"/>
        <v>1.8390927418365088</v>
      </c>
      <c r="X41" s="315">
        <f t="shared" si="6"/>
        <v>2.0107585848783742</v>
      </c>
      <c r="Y41" s="315">
        <f t="shared" si="6"/>
        <v>0</v>
      </c>
      <c r="Z41" s="315">
        <f t="shared" si="6"/>
        <v>0</v>
      </c>
      <c r="AA41" s="315">
        <f t="shared" si="6"/>
        <v>0</v>
      </c>
      <c r="AB41" s="315">
        <f t="shared" si="6"/>
        <v>0</v>
      </c>
      <c r="AC41" s="315">
        <f t="shared" si="6"/>
        <v>0</v>
      </c>
      <c r="AD41" s="315">
        <f t="shared" si="6"/>
        <v>0</v>
      </c>
      <c r="AE41" s="315">
        <f t="shared" si="6"/>
        <v>0</v>
      </c>
      <c r="AF41" s="315">
        <f t="shared" si="6"/>
        <v>0</v>
      </c>
      <c r="AG41" s="315">
        <f t="shared" si="6"/>
        <v>0</v>
      </c>
      <c r="AH41" s="315">
        <f t="shared" si="6"/>
        <v>0</v>
      </c>
      <c r="AI41" s="315">
        <f t="shared" si="6"/>
        <v>0</v>
      </c>
      <c r="AJ41" s="315">
        <f t="shared" si="6"/>
        <v>0</v>
      </c>
      <c r="AK41" s="315">
        <f t="shared" si="6"/>
        <v>0</v>
      </c>
      <c r="AL41" s="315">
        <f t="shared" si="6"/>
        <v>0</v>
      </c>
      <c r="AM41" s="315">
        <f t="shared" si="6"/>
        <v>0</v>
      </c>
      <c r="AN41" s="315">
        <f t="shared" si="6"/>
        <v>0</v>
      </c>
      <c r="AO41" s="315">
        <f t="shared" si="6"/>
        <v>0</v>
      </c>
      <c r="AP41" s="315">
        <f t="shared" si="6"/>
        <v>0</v>
      </c>
      <c r="AQ41" s="315">
        <f t="shared" si="6"/>
        <v>0</v>
      </c>
      <c r="AR41" s="315">
        <f t="shared" si="6"/>
        <v>0</v>
      </c>
      <c r="AS41" s="315">
        <f t="shared" si="6"/>
        <v>0</v>
      </c>
      <c r="AT41" s="315">
        <f t="shared" si="6"/>
        <v>0</v>
      </c>
      <c r="AU41" s="315">
        <f t="shared" si="6"/>
        <v>0</v>
      </c>
      <c r="AV41" s="315">
        <f t="shared" si="6"/>
        <v>0</v>
      </c>
      <c r="AW41" s="315">
        <f t="shared" si="6"/>
        <v>0</v>
      </c>
      <c r="AX41" s="315">
        <f t="shared" si="6"/>
        <v>0</v>
      </c>
      <c r="AY41" s="315">
        <f t="shared" si="6"/>
        <v>0</v>
      </c>
      <c r="AZ41" s="315">
        <f t="shared" si="6"/>
        <v>0</v>
      </c>
      <c r="BA41" s="315">
        <f t="shared" si="6"/>
        <v>0</v>
      </c>
      <c r="BB41" s="315">
        <f t="shared" si="6"/>
        <v>0</v>
      </c>
      <c r="BC41" s="315">
        <f t="shared" si="6"/>
        <v>0</v>
      </c>
      <c r="BD41" s="315">
        <f t="shared" si="6"/>
        <v>0</v>
      </c>
      <c r="BE41" s="315">
        <f t="shared" si="6"/>
        <v>0</v>
      </c>
      <c r="BF41" s="315">
        <f t="shared" si="6"/>
        <v>0</v>
      </c>
      <c r="BG41" s="315">
        <f t="shared" si="6"/>
        <v>0</v>
      </c>
      <c r="BH41" s="315">
        <f t="shared" si="6"/>
        <v>0</v>
      </c>
      <c r="BI41" s="315">
        <f t="shared" si="6"/>
        <v>0</v>
      </c>
      <c r="BJ41" s="315">
        <f t="shared" si="6"/>
        <v>0</v>
      </c>
      <c r="BK41" s="315">
        <f t="shared" si="6"/>
        <v>0</v>
      </c>
      <c r="BL41" s="315">
        <f t="shared" si="6"/>
        <v>0</v>
      </c>
    </row>
    <row r="42" spans="1:64" x14ac:dyDescent="0.15">
      <c r="E42" s="138"/>
      <c r="F42" s="138"/>
      <c r="G42" s="138"/>
      <c r="H42" s="138"/>
      <c r="I42" s="138"/>
      <c r="J42" s="138"/>
      <c r="K42" s="138"/>
      <c r="L42" s="138"/>
      <c r="M42" s="138"/>
      <c r="N42" s="138"/>
      <c r="O42" s="138"/>
      <c r="P42" s="138"/>
      <c r="Q42" s="138"/>
      <c r="R42" s="138"/>
      <c r="S42" s="138"/>
      <c r="T42" s="138"/>
      <c r="U42" s="138"/>
      <c r="V42" s="138"/>
      <c r="W42" s="138"/>
      <c r="X42" s="138"/>
      <c r="Y42" s="138"/>
      <c r="Z42" s="138"/>
      <c r="AA42" s="138"/>
      <c r="AB42" s="138"/>
      <c r="AC42" s="138"/>
      <c r="AD42" s="138"/>
      <c r="AE42" s="138"/>
      <c r="AF42" s="138"/>
      <c r="AG42" s="138"/>
      <c r="AH42" s="138"/>
      <c r="AI42" s="138"/>
      <c r="AJ42" s="138"/>
      <c r="AK42" s="138"/>
      <c r="AL42" s="138"/>
      <c r="AM42" s="138"/>
      <c r="AN42" s="138"/>
      <c r="AO42" s="138"/>
      <c r="AP42" s="138"/>
      <c r="AQ42" s="138"/>
      <c r="AR42" s="138"/>
      <c r="AS42" s="138"/>
      <c r="AT42" s="138"/>
      <c r="AU42" s="138"/>
      <c r="AV42" s="138"/>
      <c r="AW42" s="138"/>
      <c r="AX42" s="138"/>
      <c r="AY42" s="138"/>
      <c r="AZ42" s="138"/>
      <c r="BA42" s="138"/>
      <c r="BB42" s="138"/>
      <c r="BC42" s="138"/>
      <c r="BD42" s="172"/>
      <c r="BE42" s="172"/>
      <c r="BF42" s="172"/>
      <c r="BG42" s="172"/>
      <c r="BH42" s="172"/>
      <c r="BI42" s="172"/>
      <c r="BJ42" s="172"/>
      <c r="BK42" s="172"/>
      <c r="BL42" s="172"/>
    </row>
    <row r="43" spans="1:64" x14ac:dyDescent="0.15">
      <c r="B43" s="188" t="s">
        <v>418</v>
      </c>
      <c r="C43" s="297"/>
      <c r="E43" s="321"/>
      <c r="F43" s="321"/>
      <c r="G43" s="321"/>
      <c r="H43" s="321"/>
      <c r="I43" s="321"/>
      <c r="J43" s="321"/>
      <c r="K43" s="321"/>
      <c r="L43" s="321"/>
      <c r="M43" s="321"/>
      <c r="N43" s="321"/>
      <c r="O43" s="321"/>
      <c r="P43" s="321"/>
      <c r="Q43" s="321"/>
      <c r="R43" s="321"/>
      <c r="S43" s="321"/>
      <c r="T43" s="180"/>
      <c r="U43" s="180"/>
      <c r="V43" s="180"/>
      <c r="W43" s="180"/>
      <c r="X43" s="180"/>
      <c r="Y43" s="180"/>
      <c r="Z43" s="180"/>
      <c r="AA43" s="180"/>
      <c r="AB43" s="180"/>
    </row>
    <row r="44" spans="1:64" s="172" customFormat="1" x14ac:dyDescent="0.15">
      <c r="C44" s="188" t="s">
        <v>419</v>
      </c>
      <c r="D44" s="309">
        <f>SUM(D27:D41)</f>
        <v>16.179160103242385</v>
      </c>
      <c r="E44" s="309">
        <f>SUM(E27:E41)</f>
        <v>13.471025487241345</v>
      </c>
      <c r="F44" s="309">
        <f t="shared" ref="F44:BL44" si="7">SUM(F27:F41)</f>
        <v>12.071638649976581</v>
      </c>
      <c r="G44" s="309">
        <f t="shared" si="7"/>
        <v>10.7688486763947</v>
      </c>
      <c r="H44" s="309">
        <f t="shared" si="7"/>
        <v>9.844671266495709</v>
      </c>
      <c r="I44" s="309">
        <f t="shared" si="7"/>
        <v>8.9598446344601417</v>
      </c>
      <c r="J44" s="309">
        <f t="shared" si="7"/>
        <v>8.1132221754166629</v>
      </c>
      <c r="K44" s="309">
        <f t="shared" si="7"/>
        <v>7.3049315887066868</v>
      </c>
      <c r="L44" s="309">
        <f t="shared" si="7"/>
        <v>6.5325340575053081</v>
      </c>
      <c r="M44" s="309">
        <f t="shared" si="7"/>
        <v>5.7945520566185209</v>
      </c>
      <c r="N44" s="309">
        <f t="shared" si="7"/>
        <v>5.0910699722021286</v>
      </c>
      <c r="O44" s="309">
        <f t="shared" si="7"/>
        <v>4.421806875998624</v>
      </c>
      <c r="P44" s="309">
        <f t="shared" si="7"/>
        <v>3.7860873508462278</v>
      </c>
      <c r="Q44" s="309">
        <f t="shared" si="7"/>
        <v>3.1822759444077007</v>
      </c>
      <c r="R44" s="309">
        <f t="shared" si="7"/>
        <v>2.5925026972053562</v>
      </c>
      <c r="S44" s="309">
        <f t="shared" si="7"/>
        <v>2.5700003342958126</v>
      </c>
      <c r="T44" s="309">
        <f t="shared" si="7"/>
        <v>2.5610908280655922</v>
      </c>
      <c r="U44" s="309">
        <f t="shared" si="7"/>
        <v>2.555757878735653</v>
      </c>
      <c r="V44" s="309">
        <f t="shared" si="7"/>
        <v>2.5520841120830289</v>
      </c>
      <c r="W44" s="309">
        <f t="shared" si="7"/>
        <v>2.5499150106728967</v>
      </c>
      <c r="X44" s="309">
        <f t="shared" si="7"/>
        <v>2.5486876586174372</v>
      </c>
      <c r="Y44" s="309">
        <f>SUM(Y27:Y41)</f>
        <v>0</v>
      </c>
      <c r="Z44" s="309">
        <f t="shared" si="7"/>
        <v>0</v>
      </c>
      <c r="AA44" s="309">
        <f t="shared" si="7"/>
        <v>0</v>
      </c>
      <c r="AB44" s="309">
        <f t="shared" si="7"/>
        <v>0</v>
      </c>
      <c r="AC44" s="309">
        <f t="shared" si="7"/>
        <v>0</v>
      </c>
      <c r="AD44" s="309">
        <f t="shared" si="7"/>
        <v>0</v>
      </c>
      <c r="AE44" s="309">
        <f t="shared" si="7"/>
        <v>0</v>
      </c>
      <c r="AF44" s="309">
        <f t="shared" si="7"/>
        <v>0</v>
      </c>
      <c r="AG44" s="309">
        <f t="shared" si="7"/>
        <v>0</v>
      </c>
      <c r="AH44" s="309">
        <f t="shared" si="7"/>
        <v>0</v>
      </c>
      <c r="AI44" s="309">
        <f t="shared" si="7"/>
        <v>0</v>
      </c>
      <c r="AJ44" s="309">
        <f t="shared" si="7"/>
        <v>0</v>
      </c>
      <c r="AK44" s="309">
        <f t="shared" si="7"/>
        <v>0</v>
      </c>
      <c r="AL44" s="309">
        <f t="shared" si="7"/>
        <v>0</v>
      </c>
      <c r="AM44" s="309">
        <f t="shared" si="7"/>
        <v>0</v>
      </c>
      <c r="AN44" s="309">
        <f t="shared" si="7"/>
        <v>0</v>
      </c>
      <c r="AO44" s="309">
        <f t="shared" si="7"/>
        <v>0</v>
      </c>
      <c r="AP44" s="309">
        <f t="shared" si="7"/>
        <v>0</v>
      </c>
      <c r="AQ44" s="309">
        <f t="shared" si="7"/>
        <v>0</v>
      </c>
      <c r="AR44" s="309">
        <f t="shared" si="7"/>
        <v>0</v>
      </c>
      <c r="AS44" s="309">
        <f t="shared" si="7"/>
        <v>0</v>
      </c>
      <c r="AT44" s="309">
        <f t="shared" si="7"/>
        <v>0</v>
      </c>
      <c r="AU44" s="309">
        <f t="shared" si="7"/>
        <v>0</v>
      </c>
      <c r="AV44" s="309">
        <f t="shared" si="7"/>
        <v>0</v>
      </c>
      <c r="AW44" s="309">
        <f t="shared" si="7"/>
        <v>0</v>
      </c>
      <c r="AX44" s="309">
        <f t="shared" si="7"/>
        <v>0</v>
      </c>
      <c r="AY44" s="309">
        <f t="shared" si="7"/>
        <v>0</v>
      </c>
      <c r="AZ44" s="309">
        <f t="shared" si="7"/>
        <v>0</v>
      </c>
      <c r="BA44" s="309">
        <f t="shared" si="7"/>
        <v>0</v>
      </c>
      <c r="BB44" s="309">
        <f t="shared" si="7"/>
        <v>0</v>
      </c>
      <c r="BC44" s="309">
        <f t="shared" si="7"/>
        <v>0</v>
      </c>
      <c r="BD44" s="309">
        <f t="shared" si="7"/>
        <v>0</v>
      </c>
      <c r="BE44" s="309">
        <f t="shared" si="7"/>
        <v>0</v>
      </c>
      <c r="BF44" s="309">
        <f t="shared" si="7"/>
        <v>0</v>
      </c>
      <c r="BG44" s="309">
        <f t="shared" si="7"/>
        <v>0</v>
      </c>
      <c r="BH44" s="309">
        <f t="shared" si="7"/>
        <v>0</v>
      </c>
      <c r="BI44" s="309">
        <f t="shared" si="7"/>
        <v>0</v>
      </c>
      <c r="BJ44" s="309">
        <f t="shared" si="7"/>
        <v>0</v>
      </c>
      <c r="BK44" s="309">
        <f t="shared" si="7"/>
        <v>0</v>
      </c>
      <c r="BL44" s="309">
        <f t="shared" si="7"/>
        <v>0</v>
      </c>
    </row>
    <row r="45" spans="1:64" s="188" customFormat="1" x14ac:dyDescent="0.15">
      <c r="C45" s="310" t="s">
        <v>420</v>
      </c>
      <c r="D45" s="172" cm="1">
        <f t="array" ref="D45">IF(D5=$D$7,0,_xlfn.IFS(Leadsheet!$G$5="DPD360+",SUM(SAP_Speadsheet!D27:D40),Leadsheet!$G$5="DPD180+",SUM(SAP_Speadsheet!D27:D34)))</f>
        <v>16.179160103242385</v>
      </c>
      <c r="E45" s="172" cm="1">
        <f t="array" ref="E45">IF(E5=$D$7,0,_xlfn.IFS(Leadsheet!$G$5="DPD360+",SUM(SAP_Speadsheet!E27:E40),Leadsheet!$G$5="DPD180+",SUM(SAP_Speadsheet!E27:E34)))</f>
        <v>13.471025487241345</v>
      </c>
      <c r="F45" s="172" cm="1">
        <f t="array" ref="F45">IF(F5=$D$7,0,_xlfn.IFS(Leadsheet!$G$5="DPD360+",SUM(SAP_Speadsheet!F27:F40),Leadsheet!$G$5="DPD180+",SUM(SAP_Speadsheet!F27:F34)))</f>
        <v>12.071638649976581</v>
      </c>
      <c r="G45" s="172" cm="1">
        <f t="array" ref="G45">IF(G5=$D$7,0,_xlfn.IFS(Leadsheet!$G$5="DPD360+",SUM(SAP_Speadsheet!G27:G40),Leadsheet!$G$5="DPD180+",SUM(SAP_Speadsheet!G27:G34)))</f>
        <v>10.7688486763947</v>
      </c>
      <c r="H45" s="172" cm="1">
        <f t="array" ref="H45">IF(H5=$D$7,0,_xlfn.IFS(Leadsheet!$G$5="DPD360+",SUM(SAP_Speadsheet!H27:H40),Leadsheet!$G$5="DPD180+",SUM(SAP_Speadsheet!H27:H34)))</f>
        <v>9.844671266495709</v>
      </c>
      <c r="I45" s="172" cm="1">
        <f t="array" ref="I45">IF(I5=$D$7,0,_xlfn.IFS(Leadsheet!$G$5="DPD360+",SUM(SAP_Speadsheet!I27:I40),Leadsheet!$G$5="DPD180+",SUM(SAP_Speadsheet!I27:I34)))</f>
        <v>8.9598446344601417</v>
      </c>
      <c r="J45" s="172" cm="1">
        <f t="array" ref="J45">IF(J5=$D$7,0,_xlfn.IFS(Leadsheet!$G$5="DPD360+",SUM(SAP_Speadsheet!J27:J40),Leadsheet!$G$5="DPD180+",SUM(SAP_Speadsheet!J27:J34)))</f>
        <v>8.1132221754166629</v>
      </c>
      <c r="K45" s="172" cm="1">
        <f t="array" ref="K45">IF(K5=$D$7,0,_xlfn.IFS(Leadsheet!$G$5="DPD360+",SUM(SAP_Speadsheet!K27:K40),Leadsheet!$G$5="DPD180+",SUM(SAP_Speadsheet!K27:K34)))</f>
        <v>7.3049315887066868</v>
      </c>
      <c r="L45" s="172" cm="1">
        <f t="array" ref="L45">IF(L5=$D$7,0,_xlfn.IFS(Leadsheet!$G$5="DPD360+",SUM(SAP_Speadsheet!L27:L40),Leadsheet!$G$5="DPD180+",SUM(SAP_Speadsheet!L27:L34)))</f>
        <v>6.0682789096212026</v>
      </c>
      <c r="M45" s="172" cm="1">
        <f t="array" ref="M45">IF(M5=$D$7,0,_xlfn.IFS(Leadsheet!$G$5="DPD360+",SUM(SAP_Speadsheet!M27:M40),Leadsheet!$G$5="DPD180+",SUM(SAP_Speadsheet!M27:M34)))</f>
        <v>4.967427716787407</v>
      </c>
      <c r="N45" s="172" cm="1">
        <f t="array" ref="N45">IF(N5=$D$7,0,_xlfn.IFS(Leadsheet!$G$5="DPD360+",SUM(SAP_Speadsheet!N27:N40),Leadsheet!$G$5="DPD180+",SUM(SAP_Speadsheet!N27:N34)))</f>
        <v>3.9519327546792655</v>
      </c>
      <c r="O45" s="172" cm="1">
        <f t="array" ref="O45">IF(O5=$D$7,0,_xlfn.IFS(Leadsheet!$G$5="DPD360+",SUM(SAP_Speadsheet!O27:O40),Leadsheet!$G$5="DPD180+",SUM(SAP_Speadsheet!O27:O34)))</f>
        <v>3.016423591335732</v>
      </c>
      <c r="P45" s="172" cm="1">
        <f t="array" ref="P45">IF(P5=$D$7,0,_xlfn.IFS(Leadsheet!$G$5="DPD360+",SUM(SAP_Speadsheet!P27:P40),Leadsheet!$G$5="DPD180+",SUM(SAP_Speadsheet!P27:P34)))</f>
        <v>2.1481528441600681</v>
      </c>
      <c r="Q45" s="172" cm="1">
        <f t="array" ref="Q45">IF(Q5=$D$7,0,_xlfn.IFS(Leadsheet!$G$5="DPD360+",SUM(SAP_Speadsheet!Q27:Q40),Leadsheet!$G$5="DPD180+",SUM(SAP_Speadsheet!Q27:Q34)))</f>
        <v>1.3431832025711923</v>
      </c>
      <c r="R45" s="172" cm="1">
        <f t="array" ref="R45">IF(R5=$D$7,0,_xlfn.IFS(Leadsheet!$G$5="DPD360+",SUM(SAP_Speadsheet!R27:R40),Leadsheet!$G$5="DPD180+",SUM(SAP_Speadsheet!R27:R34)))</f>
        <v>0.58174411232698253</v>
      </c>
      <c r="S45" s="172" cm="1">
        <f t="array" ref="S45">IF(S5=$D$7,0,_xlfn.IFS(Leadsheet!$G$5="DPD360+",SUM(SAP_Speadsheet!S27:S40),Leadsheet!$G$5="DPD180+",SUM(SAP_Speadsheet!S27:S34)))</f>
        <v>0.41472192024491644</v>
      </c>
      <c r="T45" s="172" cm="1">
        <f t="array" ref="T45">IF(T5=$D$7,0,_xlfn.IFS(Leadsheet!$G$5="DPD360+",SUM(SAP_Speadsheet!T27:T40),Leadsheet!$G$5="DPD180+",SUM(SAP_Speadsheet!T27:T34)))</f>
        <v>0.28647787002316677</v>
      </c>
      <c r="U45" s="172" cm="1">
        <f t="array" ref="U45">IF(U5=$D$7,0,_xlfn.IFS(Leadsheet!$G$5="DPD360+",SUM(SAP_Speadsheet!U27:U40),Leadsheet!$G$5="DPD180+",SUM(SAP_Speadsheet!U27:U34)))</f>
        <v>0.18540719889388127</v>
      </c>
      <c r="V45" s="172" cm="1">
        <f t="array" ref="V45">IF(V5=$D$7,0,_xlfn.IFS(Leadsheet!$G$5="DPD360+",SUM(SAP_Speadsheet!V27:V40),Leadsheet!$G$5="DPD180+",SUM(SAP_Speadsheet!V27:V34)))</f>
        <v>0.10800618231252795</v>
      </c>
      <c r="W45" s="172" cm="1">
        <f t="array" ref="W45">IF(W5=$D$7,0,_xlfn.IFS(Leadsheet!$G$5="DPD360+",SUM(SAP_Speadsheet!W27:W40),Leadsheet!$G$5="DPD180+",SUM(SAP_Speadsheet!W27:W34)))</f>
        <v>5.2574469099091532E-2</v>
      </c>
      <c r="X45" s="172" cm="1">
        <f t="array" ref="X45">IF(X5=$D$7,0,_xlfn.IFS(Leadsheet!$G$5="DPD360+",SUM(SAP_Speadsheet!X27:X40),Leadsheet!$G$5="DPD180+",SUM(SAP_Speadsheet!X27:X34)))</f>
        <v>0</v>
      </c>
      <c r="Y45" s="172" cm="1">
        <f t="array" ref="Y45">IF(Y5=$D$7,0,_xlfn.IFS(Leadsheet!$G$5="DPD360+",SUM(SAP_Speadsheet!Y27:Y40),Leadsheet!$G$5="DPD180+",SUM(SAP_Speadsheet!Y27:Y34)))</f>
        <v>0</v>
      </c>
      <c r="Z45" s="172" cm="1">
        <f t="array" ref="Z45">IF(Z5=$D$7,0,_xlfn.IFS(Leadsheet!$G$5="DPD360+",SUM(SAP_Speadsheet!Z27:Z40),Leadsheet!$G$5="DPD180+",SUM(SAP_Speadsheet!Z27:Z34)))</f>
        <v>0</v>
      </c>
      <c r="AA45" s="172" cm="1">
        <f t="array" ref="AA45">IF(AA5=$D$7,0,_xlfn.IFS(Leadsheet!$G$5="DPD360+",SUM(SAP_Speadsheet!AA27:AA40),Leadsheet!$G$5="DPD180+",SUM(SAP_Speadsheet!AA27:AA34)))</f>
        <v>0</v>
      </c>
      <c r="AB45" s="172" cm="1">
        <f t="array" ref="AB45">IF(AB5=$D$7,0,_xlfn.IFS(Leadsheet!$G$5="DPD360+",SUM(SAP_Speadsheet!AB27:AB40),Leadsheet!$G$5="DPD180+",SUM(SAP_Speadsheet!AB27:AB34)))</f>
        <v>0</v>
      </c>
      <c r="AC45" s="172" cm="1">
        <f t="array" ref="AC45">IF(AC5=$D$7,0,_xlfn.IFS(Leadsheet!$G$5="DPD360+",SUM(SAP_Speadsheet!AC27:AC40),Leadsheet!$G$5="DPD180+",SUM(SAP_Speadsheet!AC27:AC34)))</f>
        <v>0</v>
      </c>
      <c r="AD45" s="172" cm="1">
        <f t="array" ref="AD45">IF(AD5=$D$7,0,_xlfn.IFS(Leadsheet!$G$5="DPD360+",SUM(SAP_Speadsheet!AD27:AD40),Leadsheet!$G$5="DPD180+",SUM(SAP_Speadsheet!AD27:AD34)))</f>
        <v>0</v>
      </c>
      <c r="AE45" s="172" cm="1">
        <f t="array" ref="AE45">IF(AE5=$D$7,0,_xlfn.IFS(Leadsheet!$G$5="DPD360+",SUM(SAP_Speadsheet!AE27:AE40),Leadsheet!$G$5="DPD180+",SUM(SAP_Speadsheet!AE27:AE34)))</f>
        <v>0</v>
      </c>
      <c r="AF45" s="172" cm="1">
        <f t="array" ref="AF45">IF(AF5=$D$7,0,_xlfn.IFS(Leadsheet!$G$5="DPD360+",SUM(SAP_Speadsheet!AF27:AF40),Leadsheet!$G$5="DPD180+",SUM(SAP_Speadsheet!AF27:AF34)))</f>
        <v>0</v>
      </c>
      <c r="AG45" s="172" cm="1">
        <f t="array" ref="AG45">IF(AG5=$D$7,0,_xlfn.IFS(Leadsheet!$G$5="DPD360+",SUM(SAP_Speadsheet!AG27:AG40),Leadsheet!$G$5="DPD180+",SUM(SAP_Speadsheet!AG27:AG34)))</f>
        <v>0</v>
      </c>
      <c r="AH45" s="172" cm="1">
        <f t="array" ref="AH45">IF(AH5=$D$7,0,_xlfn.IFS(Leadsheet!$G$5="DPD360+",SUM(SAP_Speadsheet!AH27:AH40),Leadsheet!$G$5="DPD180+",SUM(SAP_Speadsheet!AH27:AH34)))</f>
        <v>0</v>
      </c>
      <c r="AI45" s="172" cm="1">
        <f t="array" ref="AI45">IF(AI5=$D$7,0,_xlfn.IFS(Leadsheet!$G$5="DPD360+",SUM(SAP_Speadsheet!AI27:AI40),Leadsheet!$G$5="DPD180+",SUM(SAP_Speadsheet!AI27:AI34)))</f>
        <v>0</v>
      </c>
      <c r="AJ45" s="172" cm="1">
        <f t="array" ref="AJ45">IF(AJ5=$D$7,0,_xlfn.IFS(Leadsheet!$G$5="DPD360+",SUM(SAP_Speadsheet!AJ27:AJ40),Leadsheet!$G$5="DPD180+",SUM(SAP_Speadsheet!AJ27:AJ34)))</f>
        <v>0</v>
      </c>
      <c r="AK45" s="172" cm="1">
        <f t="array" ref="AK45">IF(AK5=$D$7,0,_xlfn.IFS(Leadsheet!$G$5="DPD360+",SUM(SAP_Speadsheet!AK27:AK40),Leadsheet!$G$5="DPD180+",SUM(SAP_Speadsheet!AK27:AK34)))</f>
        <v>0</v>
      </c>
      <c r="AL45" s="172" cm="1">
        <f t="array" ref="AL45">IF(AL5=$D$7,0,_xlfn.IFS(Leadsheet!$G$5="DPD360+",SUM(SAP_Speadsheet!AL27:AL40),Leadsheet!$G$5="DPD180+",SUM(SAP_Speadsheet!AL27:AL34)))</f>
        <v>0</v>
      </c>
      <c r="AM45" s="172" cm="1">
        <f t="array" ref="AM45">IF(AM5=$D$7,0,_xlfn.IFS(Leadsheet!$G$5="DPD360+",SUM(SAP_Speadsheet!AM27:AM40),Leadsheet!$G$5="DPD180+",SUM(SAP_Speadsheet!AM27:AM34)))</f>
        <v>0</v>
      </c>
      <c r="AN45" s="172" cm="1">
        <f t="array" ref="AN45">IF(AN5=$D$7,0,_xlfn.IFS(Leadsheet!$G$5="DPD360+",SUM(SAP_Speadsheet!AN27:AN40),Leadsheet!$G$5="DPD180+",SUM(SAP_Speadsheet!AN27:AN34)))</f>
        <v>0</v>
      </c>
      <c r="AO45" s="172" cm="1">
        <f t="array" ref="AO45">IF(AO5=$D$7,0,_xlfn.IFS(Leadsheet!$G$5="DPD360+",SUM(SAP_Speadsheet!AO27:AO40),Leadsheet!$G$5="DPD180+",SUM(SAP_Speadsheet!AO27:AO34)))</f>
        <v>0</v>
      </c>
      <c r="AP45" s="172" cm="1">
        <f t="array" ref="AP45">IF(AP5=$D$7,0,_xlfn.IFS(Leadsheet!$G$5="DPD360+",SUM(SAP_Speadsheet!AP27:AP40),Leadsheet!$G$5="DPD180+",SUM(SAP_Speadsheet!AP27:AP34)))</f>
        <v>0</v>
      </c>
      <c r="AQ45" s="172" cm="1">
        <f t="array" ref="AQ45">IF(AQ5=$D$7,0,_xlfn.IFS(Leadsheet!$G$5="DPD360+",SUM(SAP_Speadsheet!AQ27:AQ40),Leadsheet!$G$5="DPD180+",SUM(SAP_Speadsheet!AQ27:AQ34)))</f>
        <v>0</v>
      </c>
      <c r="AR45" s="172" cm="1">
        <f t="array" ref="AR45">IF(AR5=$D$7,0,_xlfn.IFS(Leadsheet!$G$5="DPD360+",SUM(SAP_Speadsheet!AR27:AR40),Leadsheet!$G$5="DPD180+",SUM(SAP_Speadsheet!AR27:AR34)))</f>
        <v>0</v>
      </c>
      <c r="AS45" s="172" cm="1">
        <f t="array" ref="AS45">IF(AS5=$D$7,0,_xlfn.IFS(Leadsheet!$G$5="DPD360+",SUM(SAP_Speadsheet!AS27:AS40),Leadsheet!$G$5="DPD180+",SUM(SAP_Speadsheet!AS27:AS34)))</f>
        <v>0</v>
      </c>
      <c r="AT45" s="172" cm="1">
        <f t="array" ref="AT45">IF(AT5=$D$7,0,_xlfn.IFS(Leadsheet!$G$5="DPD360+",SUM(SAP_Speadsheet!AT27:AT40),Leadsheet!$G$5="DPD180+",SUM(SAP_Speadsheet!AT27:AT34)))</f>
        <v>0</v>
      </c>
      <c r="AU45" s="172" cm="1">
        <f t="array" ref="AU45">IF(AU5=$D$7,0,_xlfn.IFS(Leadsheet!$G$5="DPD360+",SUM(SAP_Speadsheet!AU27:AU40),Leadsheet!$G$5="DPD180+",SUM(SAP_Speadsheet!AU27:AU34)))</f>
        <v>0</v>
      </c>
      <c r="AV45" s="172" cm="1">
        <f t="array" ref="AV45">IF(AV5=$D$7,0,_xlfn.IFS(Leadsheet!$G$5="DPD360+",SUM(SAP_Speadsheet!AV27:AV40),Leadsheet!$G$5="DPD180+",SUM(SAP_Speadsheet!AV27:AV34)))</f>
        <v>0</v>
      </c>
      <c r="AW45" s="172" cm="1">
        <f t="array" ref="AW45">IF(AW5=$D$7,0,_xlfn.IFS(Leadsheet!$G$5="DPD360+",SUM(SAP_Speadsheet!AW27:AW40),Leadsheet!$G$5="DPD180+",SUM(SAP_Speadsheet!AW27:AW34)))</f>
        <v>0</v>
      </c>
      <c r="AX45" s="172" cm="1">
        <f t="array" ref="AX45">IF(AX5=$D$7,0,_xlfn.IFS(Leadsheet!$G$5="DPD360+",SUM(SAP_Speadsheet!AX27:AX40),Leadsheet!$G$5="DPD180+",SUM(SAP_Speadsheet!AX27:AX34)))</f>
        <v>0</v>
      </c>
      <c r="AY45" s="172" cm="1">
        <f t="array" ref="AY45">IF(AY5=$D$7,0,_xlfn.IFS(Leadsheet!$G$5="DPD360+",SUM(SAP_Speadsheet!AY27:AY40),Leadsheet!$G$5="DPD180+",SUM(SAP_Speadsheet!AY27:AY34)))</f>
        <v>0</v>
      </c>
      <c r="AZ45" s="172" cm="1">
        <f t="array" ref="AZ45">IF(AZ5=$D$7,0,_xlfn.IFS(Leadsheet!$G$5="DPD360+",SUM(SAP_Speadsheet!AZ27:AZ40),Leadsheet!$G$5="DPD180+",SUM(SAP_Speadsheet!AZ27:AZ34)))</f>
        <v>0</v>
      </c>
      <c r="BA45" s="172" cm="1">
        <f t="array" ref="BA45">IF(BA5=$D$7,0,_xlfn.IFS(Leadsheet!$G$5="DPD360+",SUM(SAP_Speadsheet!BA27:BA40),Leadsheet!$G$5="DPD180+",SUM(SAP_Speadsheet!BA27:BA34)))</f>
        <v>0</v>
      </c>
      <c r="BB45" s="172" cm="1">
        <f t="array" ref="BB45">IF(BB5=$D$7,0,_xlfn.IFS(Leadsheet!$G$5="DPD360+",SUM(SAP_Speadsheet!BB27:BB40),Leadsheet!$G$5="DPD180+",SUM(SAP_Speadsheet!BB27:BB34)))</f>
        <v>0</v>
      </c>
      <c r="BC45" s="172" cm="1">
        <f t="array" ref="BC45">IF(BC5=$D$7,0,_xlfn.IFS(Leadsheet!$G$5="DPD360+",SUM(SAP_Speadsheet!BC27:BC40),Leadsheet!$G$5="DPD180+",SUM(SAP_Speadsheet!BC27:BC34)))</f>
        <v>0</v>
      </c>
      <c r="BD45" s="172" cm="1">
        <f t="array" ref="BD45">IF(BD5=$D$7,0,_xlfn.IFS(Leadsheet!$G$5="DPD360+",SUM(SAP_Speadsheet!BD27:BD40),Leadsheet!$G$5="DPD180+",SUM(SAP_Speadsheet!BD27:BD34)))</f>
        <v>0</v>
      </c>
      <c r="BE45" s="172" cm="1">
        <f t="array" ref="BE45">IF(BE5=$D$7,0,_xlfn.IFS(Leadsheet!$G$5="DPD360+",SUM(SAP_Speadsheet!BE27:BE40),Leadsheet!$G$5="DPD180+",SUM(SAP_Speadsheet!BE27:BE34)))</f>
        <v>0</v>
      </c>
      <c r="BF45" s="172" cm="1">
        <f t="array" ref="BF45">IF(BF5=$D$7,0,_xlfn.IFS(Leadsheet!$G$5="DPD360+",SUM(SAP_Speadsheet!BF27:BF40),Leadsheet!$G$5="DPD180+",SUM(SAP_Speadsheet!BF27:BF34)))</f>
        <v>0</v>
      </c>
      <c r="BG45" s="172" cm="1">
        <f t="array" ref="BG45">IF(BG5=$D$7,0,_xlfn.IFS(Leadsheet!$G$5="DPD360+",SUM(SAP_Speadsheet!BG27:BG40),Leadsheet!$G$5="DPD180+",SUM(SAP_Speadsheet!BG27:BG34)))</f>
        <v>0</v>
      </c>
      <c r="BH45" s="172" cm="1">
        <f t="array" ref="BH45">IF(BH5=$D$7,0,_xlfn.IFS(Leadsheet!$G$5="DPD360+",SUM(SAP_Speadsheet!BH27:BH40),Leadsheet!$G$5="DPD180+",SUM(SAP_Speadsheet!BH27:BH34)))</f>
        <v>0</v>
      </c>
      <c r="BI45" s="172" cm="1">
        <f t="array" ref="BI45">IF(BI5=$D$7,0,_xlfn.IFS(Leadsheet!$G$5="DPD360+",SUM(SAP_Speadsheet!BI27:BI40),Leadsheet!$G$5="DPD180+",SUM(SAP_Speadsheet!BI27:BI34)))</f>
        <v>0</v>
      </c>
      <c r="BJ45" s="172" cm="1">
        <f t="array" ref="BJ45">IF(BJ5=$D$7,0,_xlfn.IFS(Leadsheet!$G$5="DPD360+",SUM(SAP_Speadsheet!BJ27:BJ40),Leadsheet!$G$5="DPD180+",SUM(SAP_Speadsheet!BJ27:BJ34)))</f>
        <v>0</v>
      </c>
      <c r="BK45" s="172" cm="1">
        <f t="array" ref="BK45">IF(BK5=$D$7,0,_xlfn.IFS(Leadsheet!$G$5="DPD360+",SUM(SAP_Speadsheet!BK27:BK40),Leadsheet!$G$5="DPD180+",SUM(SAP_Speadsheet!BK27:BK34)))</f>
        <v>0</v>
      </c>
      <c r="BL45" s="172" cm="1">
        <f t="array" ref="BL45">IF(BL5=$D$7,0,_xlfn.IFS(Leadsheet!$G$5="DPD360+",SUM(SAP_Speadsheet!BL27:BL40),Leadsheet!$G$5="DPD180+",SUM(SAP_Speadsheet!BL27:BL34)))</f>
        <v>0</v>
      </c>
    </row>
    <row r="46" spans="1:64" s="188" customFormat="1" x14ac:dyDescent="0.15">
      <c r="C46" s="310" t="s">
        <v>421</v>
      </c>
      <c r="D46" s="172">
        <f>D44-D45</f>
        <v>0</v>
      </c>
      <c r="E46" s="172">
        <f t="shared" ref="E46:BL46" si="8">E44-E45</f>
        <v>0</v>
      </c>
      <c r="F46" s="172">
        <f t="shared" si="8"/>
        <v>0</v>
      </c>
      <c r="G46" s="172">
        <f t="shared" si="8"/>
        <v>0</v>
      </c>
      <c r="H46" s="172">
        <f t="shared" si="8"/>
        <v>0</v>
      </c>
      <c r="I46" s="172">
        <f t="shared" si="8"/>
        <v>0</v>
      </c>
      <c r="J46" s="172">
        <f t="shared" si="8"/>
        <v>0</v>
      </c>
      <c r="K46" s="172">
        <f t="shared" si="8"/>
        <v>0</v>
      </c>
      <c r="L46" s="172">
        <f t="shared" si="8"/>
        <v>0.46425514788410549</v>
      </c>
      <c r="M46" s="172">
        <f t="shared" si="8"/>
        <v>0.82712433983111389</v>
      </c>
      <c r="N46" s="172">
        <f t="shared" si="8"/>
        <v>1.1391372175228631</v>
      </c>
      <c r="O46" s="172">
        <f t="shared" si="8"/>
        <v>1.405383284662892</v>
      </c>
      <c r="P46" s="172">
        <f t="shared" si="8"/>
        <v>1.6379345066861597</v>
      </c>
      <c r="Q46" s="172">
        <f t="shared" si="8"/>
        <v>1.8390927418365084</v>
      </c>
      <c r="R46" s="172">
        <f t="shared" si="8"/>
        <v>2.0107585848783738</v>
      </c>
      <c r="S46" s="172">
        <f t="shared" si="8"/>
        <v>2.1552784140508963</v>
      </c>
      <c r="T46" s="172">
        <f t="shared" si="8"/>
        <v>2.2746129580424252</v>
      </c>
      <c r="U46" s="172">
        <f t="shared" si="8"/>
        <v>2.3703506798417715</v>
      </c>
      <c r="V46" s="172">
        <f t="shared" si="8"/>
        <v>2.4440779297705011</v>
      </c>
      <c r="W46" s="172">
        <f t="shared" si="8"/>
        <v>2.4973405415738053</v>
      </c>
      <c r="X46" s="172">
        <f t="shared" si="8"/>
        <v>2.5486876586174372</v>
      </c>
      <c r="Y46" s="172">
        <f>Y44-Y45</f>
        <v>0</v>
      </c>
      <c r="Z46" s="172">
        <f t="shared" si="8"/>
        <v>0</v>
      </c>
      <c r="AA46" s="172">
        <f t="shared" si="8"/>
        <v>0</v>
      </c>
      <c r="AB46" s="172">
        <f t="shared" si="8"/>
        <v>0</v>
      </c>
      <c r="AC46" s="172">
        <f t="shared" si="8"/>
        <v>0</v>
      </c>
      <c r="AD46" s="172">
        <f t="shared" si="8"/>
        <v>0</v>
      </c>
      <c r="AE46" s="172">
        <f t="shared" si="8"/>
        <v>0</v>
      </c>
      <c r="AF46" s="172">
        <f t="shared" si="8"/>
        <v>0</v>
      </c>
      <c r="AG46" s="172">
        <f t="shared" si="8"/>
        <v>0</v>
      </c>
      <c r="AH46" s="172">
        <f t="shared" si="8"/>
        <v>0</v>
      </c>
      <c r="AI46" s="172">
        <f t="shared" si="8"/>
        <v>0</v>
      </c>
      <c r="AJ46" s="172">
        <f t="shared" si="8"/>
        <v>0</v>
      </c>
      <c r="AK46" s="172">
        <f t="shared" si="8"/>
        <v>0</v>
      </c>
      <c r="AL46" s="172">
        <f t="shared" si="8"/>
        <v>0</v>
      </c>
      <c r="AM46" s="172">
        <f t="shared" si="8"/>
        <v>0</v>
      </c>
      <c r="AN46" s="172">
        <f t="shared" si="8"/>
        <v>0</v>
      </c>
      <c r="AO46" s="172">
        <f t="shared" si="8"/>
        <v>0</v>
      </c>
      <c r="AP46" s="172">
        <f t="shared" si="8"/>
        <v>0</v>
      </c>
      <c r="AQ46" s="172">
        <f t="shared" si="8"/>
        <v>0</v>
      </c>
      <c r="AR46" s="172">
        <f t="shared" si="8"/>
        <v>0</v>
      </c>
      <c r="AS46" s="172">
        <f t="shared" si="8"/>
        <v>0</v>
      </c>
      <c r="AT46" s="172">
        <f t="shared" si="8"/>
        <v>0</v>
      </c>
      <c r="AU46" s="172">
        <f t="shared" si="8"/>
        <v>0</v>
      </c>
      <c r="AV46" s="172">
        <f t="shared" si="8"/>
        <v>0</v>
      </c>
      <c r="AW46" s="172">
        <f t="shared" si="8"/>
        <v>0</v>
      </c>
      <c r="AX46" s="172">
        <f t="shared" si="8"/>
        <v>0</v>
      </c>
      <c r="AY46" s="172">
        <f t="shared" si="8"/>
        <v>0</v>
      </c>
      <c r="AZ46" s="172">
        <f t="shared" si="8"/>
        <v>0</v>
      </c>
      <c r="BA46" s="172">
        <f t="shared" si="8"/>
        <v>0</v>
      </c>
      <c r="BB46" s="172">
        <f t="shared" si="8"/>
        <v>0</v>
      </c>
      <c r="BC46" s="172">
        <f t="shared" si="8"/>
        <v>0</v>
      </c>
      <c r="BD46" s="172">
        <f t="shared" si="8"/>
        <v>0</v>
      </c>
      <c r="BE46" s="172">
        <f t="shared" si="8"/>
        <v>0</v>
      </c>
      <c r="BF46" s="172">
        <f t="shared" si="8"/>
        <v>0</v>
      </c>
      <c r="BG46" s="172">
        <f t="shared" si="8"/>
        <v>0</v>
      </c>
      <c r="BH46" s="172">
        <f t="shared" si="8"/>
        <v>0</v>
      </c>
      <c r="BI46" s="172">
        <f t="shared" si="8"/>
        <v>0</v>
      </c>
      <c r="BJ46" s="172">
        <f t="shared" si="8"/>
        <v>0</v>
      </c>
      <c r="BK46" s="172">
        <f t="shared" si="8"/>
        <v>0</v>
      </c>
      <c r="BL46" s="172">
        <f t="shared" si="8"/>
        <v>0</v>
      </c>
    </row>
    <row r="47" spans="1:64" s="188" customFormat="1" x14ac:dyDescent="0.15">
      <c r="C47" s="310" t="s">
        <v>422</v>
      </c>
      <c r="D47" s="322">
        <f>IFERROR(D45/D44,"")</f>
        <v>1</v>
      </c>
      <c r="E47" s="322">
        <f t="shared" ref="E47:BL47" si="9">IFERROR(E45/E44,"")</f>
        <v>1</v>
      </c>
      <c r="F47" s="322">
        <f t="shared" si="9"/>
        <v>1</v>
      </c>
      <c r="G47" s="322">
        <f t="shared" si="9"/>
        <v>1</v>
      </c>
      <c r="H47" s="322">
        <f t="shared" si="9"/>
        <v>1</v>
      </c>
      <c r="I47" s="322">
        <f t="shared" si="9"/>
        <v>1</v>
      </c>
      <c r="J47" s="322">
        <f t="shared" si="9"/>
        <v>1</v>
      </c>
      <c r="K47" s="322">
        <f t="shared" si="9"/>
        <v>1</v>
      </c>
      <c r="L47" s="322">
        <f t="shared" si="9"/>
        <v>0.92893184424339637</v>
      </c>
      <c r="M47" s="322">
        <f t="shared" si="9"/>
        <v>0.85725827781866681</v>
      </c>
      <c r="N47" s="322">
        <f t="shared" si="9"/>
        <v>0.77624797464134399</v>
      </c>
      <c r="O47" s="322">
        <f t="shared" si="9"/>
        <v>0.68216990834872249</v>
      </c>
      <c r="P47" s="322">
        <f t="shared" si="9"/>
        <v>0.56738068752690951</v>
      </c>
      <c r="Q47" s="322">
        <f t="shared" si="9"/>
        <v>0.42208256795945187</v>
      </c>
      <c r="R47" s="322">
        <f t="shared" si="9"/>
        <v>0.22439479540526075</v>
      </c>
      <c r="S47" s="322">
        <f t="shared" si="9"/>
        <v>0.16137037599201379</v>
      </c>
      <c r="T47" s="322">
        <f t="shared" si="9"/>
        <v>0.11185775486125391</v>
      </c>
      <c r="U47" s="322">
        <f t="shared" si="9"/>
        <v>7.2544899670074853E-2</v>
      </c>
      <c r="V47" s="322">
        <f t="shared" si="9"/>
        <v>4.2320776890214858E-2</v>
      </c>
      <c r="W47" s="322">
        <f t="shared" si="9"/>
        <v>2.0618126046960939E-2</v>
      </c>
      <c r="X47" s="322">
        <f t="shared" si="9"/>
        <v>0</v>
      </c>
      <c r="Y47" s="322" t="str">
        <f t="shared" si="9"/>
        <v/>
      </c>
      <c r="Z47" s="322" t="str">
        <f t="shared" si="9"/>
        <v/>
      </c>
      <c r="AA47" s="322" t="str">
        <f t="shared" si="9"/>
        <v/>
      </c>
      <c r="AB47" s="322" t="str">
        <f t="shared" si="9"/>
        <v/>
      </c>
      <c r="AC47" s="322" t="str">
        <f t="shared" si="9"/>
        <v/>
      </c>
      <c r="AD47" s="322" t="str">
        <f t="shared" si="9"/>
        <v/>
      </c>
      <c r="AE47" s="322" t="str">
        <f t="shared" si="9"/>
        <v/>
      </c>
      <c r="AF47" s="322" t="str">
        <f t="shared" si="9"/>
        <v/>
      </c>
      <c r="AG47" s="322" t="str">
        <f t="shared" si="9"/>
        <v/>
      </c>
      <c r="AH47" s="322" t="str">
        <f t="shared" si="9"/>
        <v/>
      </c>
      <c r="AI47" s="322" t="str">
        <f t="shared" si="9"/>
        <v/>
      </c>
      <c r="AJ47" s="322" t="str">
        <f t="shared" si="9"/>
        <v/>
      </c>
      <c r="AK47" s="322" t="str">
        <f t="shared" si="9"/>
        <v/>
      </c>
      <c r="AL47" s="322" t="str">
        <f t="shared" si="9"/>
        <v/>
      </c>
      <c r="AM47" s="322" t="str">
        <f t="shared" si="9"/>
        <v/>
      </c>
      <c r="AN47" s="322" t="str">
        <f t="shared" si="9"/>
        <v/>
      </c>
      <c r="AO47" s="322" t="str">
        <f t="shared" si="9"/>
        <v/>
      </c>
      <c r="AP47" s="322" t="str">
        <f t="shared" si="9"/>
        <v/>
      </c>
      <c r="AQ47" s="322" t="str">
        <f t="shared" si="9"/>
        <v/>
      </c>
      <c r="AR47" s="322" t="str">
        <f t="shared" si="9"/>
        <v/>
      </c>
      <c r="AS47" s="322" t="str">
        <f t="shared" si="9"/>
        <v/>
      </c>
      <c r="AT47" s="322" t="str">
        <f t="shared" si="9"/>
        <v/>
      </c>
      <c r="AU47" s="322" t="str">
        <f t="shared" si="9"/>
        <v/>
      </c>
      <c r="AV47" s="322" t="str">
        <f t="shared" si="9"/>
        <v/>
      </c>
      <c r="AW47" s="322" t="str">
        <f t="shared" si="9"/>
        <v/>
      </c>
      <c r="AX47" s="322" t="str">
        <f t="shared" si="9"/>
        <v/>
      </c>
      <c r="AY47" s="322" t="str">
        <f t="shared" si="9"/>
        <v/>
      </c>
      <c r="AZ47" s="322" t="str">
        <f t="shared" si="9"/>
        <v/>
      </c>
      <c r="BA47" s="322" t="str">
        <f t="shared" si="9"/>
        <v/>
      </c>
      <c r="BB47" s="322" t="str">
        <f t="shared" si="9"/>
        <v/>
      </c>
      <c r="BC47" s="322" t="str">
        <f t="shared" si="9"/>
        <v/>
      </c>
      <c r="BD47" s="322" t="str">
        <f t="shared" si="9"/>
        <v/>
      </c>
      <c r="BE47" s="322" t="str">
        <f t="shared" si="9"/>
        <v/>
      </c>
      <c r="BF47" s="322" t="str">
        <f t="shared" si="9"/>
        <v/>
      </c>
      <c r="BG47" s="322" t="str">
        <f t="shared" si="9"/>
        <v/>
      </c>
      <c r="BH47" s="322" t="str">
        <f t="shared" si="9"/>
        <v/>
      </c>
      <c r="BI47" s="322" t="str">
        <f t="shared" si="9"/>
        <v/>
      </c>
      <c r="BJ47" s="322" t="str">
        <f t="shared" si="9"/>
        <v/>
      </c>
      <c r="BK47" s="322" t="str">
        <f t="shared" si="9"/>
        <v/>
      </c>
      <c r="BL47" s="322" t="str">
        <f t="shared" si="9"/>
        <v/>
      </c>
    </row>
    <row r="48" spans="1:64" s="188" customFormat="1" x14ac:dyDescent="0.15">
      <c r="D48" s="309"/>
      <c r="E48" s="309"/>
      <c r="F48" s="309"/>
      <c r="G48" s="309"/>
      <c r="H48" s="309"/>
      <c r="I48" s="309"/>
      <c r="J48" s="309"/>
      <c r="K48" s="309"/>
      <c r="L48" s="323"/>
      <c r="M48" s="323"/>
      <c r="N48" s="323"/>
      <c r="O48" s="323"/>
      <c r="P48" s="323"/>
      <c r="Q48" s="323"/>
      <c r="R48" s="323"/>
      <c r="S48" s="323"/>
      <c r="T48" s="323"/>
      <c r="U48" s="323"/>
      <c r="V48" s="323"/>
      <c r="W48" s="323"/>
      <c r="X48" s="323"/>
      <c r="Y48" s="323"/>
      <c r="Z48" s="309"/>
      <c r="AA48" s="324"/>
      <c r="AB48" s="309"/>
      <c r="AC48" s="309"/>
      <c r="AD48" s="309"/>
      <c r="AE48" s="309"/>
      <c r="AF48" s="309"/>
      <c r="AG48" s="309"/>
      <c r="AH48" s="309"/>
      <c r="AI48" s="309"/>
      <c r="AJ48" s="309"/>
      <c r="AK48" s="309"/>
      <c r="AL48" s="309"/>
      <c r="AM48" s="309"/>
      <c r="AN48" s="309"/>
      <c r="AO48" s="309"/>
      <c r="AP48" s="309"/>
      <c r="AQ48" s="309"/>
      <c r="AR48" s="309"/>
      <c r="AS48" s="309"/>
      <c r="AT48" s="309"/>
      <c r="AU48" s="309"/>
      <c r="AV48" s="309"/>
      <c r="AW48" s="309"/>
      <c r="AX48" s="309"/>
      <c r="AY48" s="309"/>
      <c r="AZ48" s="309"/>
      <c r="BA48" s="309"/>
      <c r="BB48" s="309"/>
      <c r="BC48" s="309"/>
      <c r="BD48" s="309"/>
      <c r="BE48" s="309"/>
      <c r="BF48" s="309"/>
      <c r="BG48" s="309"/>
      <c r="BH48" s="309"/>
      <c r="BI48" s="309"/>
      <c r="BJ48" s="309"/>
      <c r="BK48" s="309"/>
      <c r="BL48" s="309"/>
    </row>
    <row r="49" spans="1:64" x14ac:dyDescent="0.15">
      <c r="B49" s="188" t="s">
        <v>228</v>
      </c>
      <c r="L49" s="306"/>
    </row>
    <row r="50" spans="1:64" x14ac:dyDescent="0.15">
      <c r="C50" s="116" t="s">
        <v>420</v>
      </c>
      <c r="D50" s="172"/>
      <c r="E50" s="309">
        <f>IF(E5&gt;$D$7,0,AVERAGE(D45:E45))</f>
        <v>14.825092795241865</v>
      </c>
      <c r="F50" s="309">
        <f t="shared" ref="F50:BL50" si="10">IF(F5&gt;$D$7,0,AVERAGE(E45:F45))</f>
        <v>12.771332068608963</v>
      </c>
      <c r="G50" s="309">
        <f t="shared" si="10"/>
        <v>11.420243663185641</v>
      </c>
      <c r="H50" s="309">
        <f t="shared" si="10"/>
        <v>10.306759971445205</v>
      </c>
      <c r="I50" s="309">
        <f t="shared" si="10"/>
        <v>9.4022579504779245</v>
      </c>
      <c r="J50" s="309">
        <f t="shared" si="10"/>
        <v>8.5365334049384032</v>
      </c>
      <c r="K50" s="309">
        <f t="shared" si="10"/>
        <v>7.7090768820616749</v>
      </c>
      <c r="L50" s="309">
        <f t="shared" si="10"/>
        <v>6.6866052491639447</v>
      </c>
      <c r="M50" s="309">
        <f t="shared" si="10"/>
        <v>5.5178533132043048</v>
      </c>
      <c r="N50" s="309">
        <f t="shared" si="10"/>
        <v>4.4596802357333365</v>
      </c>
      <c r="O50" s="309">
        <f t="shared" si="10"/>
        <v>3.484178173007499</v>
      </c>
      <c r="P50" s="309">
        <f t="shared" si="10"/>
        <v>2.5822882177478998</v>
      </c>
      <c r="Q50" s="309">
        <f t="shared" si="10"/>
        <v>1.7456680233656301</v>
      </c>
      <c r="R50" s="309">
        <f t="shared" si="10"/>
        <v>0.96246365744908746</v>
      </c>
      <c r="S50" s="309">
        <f t="shared" si="10"/>
        <v>0.49823301628594951</v>
      </c>
      <c r="T50" s="309">
        <f t="shared" si="10"/>
        <v>0.35059989513404161</v>
      </c>
      <c r="U50" s="309">
        <f t="shared" si="10"/>
        <v>0.23594253445852403</v>
      </c>
      <c r="V50" s="309">
        <f t="shared" si="10"/>
        <v>0.14670669060320463</v>
      </c>
      <c r="W50" s="309">
        <f t="shared" si="10"/>
        <v>8.029032570580974E-2</v>
      </c>
      <c r="X50" s="309">
        <f t="shared" si="10"/>
        <v>2.6287234549545766E-2</v>
      </c>
      <c r="Y50" s="309">
        <f t="shared" si="10"/>
        <v>0</v>
      </c>
      <c r="Z50" s="309">
        <f t="shared" si="10"/>
        <v>0</v>
      </c>
      <c r="AA50" s="309">
        <f t="shared" si="10"/>
        <v>0</v>
      </c>
      <c r="AB50" s="309">
        <f t="shared" si="10"/>
        <v>0</v>
      </c>
      <c r="AC50" s="309">
        <f t="shared" si="10"/>
        <v>0</v>
      </c>
      <c r="AD50" s="309">
        <f t="shared" si="10"/>
        <v>0</v>
      </c>
      <c r="AE50" s="309">
        <f t="shared" si="10"/>
        <v>0</v>
      </c>
      <c r="AF50" s="309">
        <f t="shared" si="10"/>
        <v>0</v>
      </c>
      <c r="AG50" s="309">
        <f t="shared" si="10"/>
        <v>0</v>
      </c>
      <c r="AH50" s="309">
        <f t="shared" si="10"/>
        <v>0</v>
      </c>
      <c r="AI50" s="309">
        <f t="shared" si="10"/>
        <v>0</v>
      </c>
      <c r="AJ50" s="309">
        <f t="shared" si="10"/>
        <v>0</v>
      </c>
      <c r="AK50" s="309">
        <f t="shared" si="10"/>
        <v>0</v>
      </c>
      <c r="AL50" s="309">
        <f t="shared" si="10"/>
        <v>0</v>
      </c>
      <c r="AM50" s="309">
        <f t="shared" si="10"/>
        <v>0</v>
      </c>
      <c r="AN50" s="309">
        <f t="shared" si="10"/>
        <v>0</v>
      </c>
      <c r="AO50" s="309">
        <f t="shared" si="10"/>
        <v>0</v>
      </c>
      <c r="AP50" s="309">
        <f t="shared" si="10"/>
        <v>0</v>
      </c>
      <c r="AQ50" s="309">
        <f t="shared" si="10"/>
        <v>0</v>
      </c>
      <c r="AR50" s="309">
        <f t="shared" si="10"/>
        <v>0</v>
      </c>
      <c r="AS50" s="309">
        <f t="shared" si="10"/>
        <v>0</v>
      </c>
      <c r="AT50" s="309">
        <f t="shared" si="10"/>
        <v>0</v>
      </c>
      <c r="AU50" s="309">
        <f t="shared" si="10"/>
        <v>0</v>
      </c>
      <c r="AV50" s="309">
        <f t="shared" si="10"/>
        <v>0</v>
      </c>
      <c r="AW50" s="309">
        <f t="shared" si="10"/>
        <v>0</v>
      </c>
      <c r="AX50" s="309">
        <f t="shared" si="10"/>
        <v>0</v>
      </c>
      <c r="AY50" s="309">
        <f t="shared" si="10"/>
        <v>0</v>
      </c>
      <c r="AZ50" s="309">
        <f t="shared" si="10"/>
        <v>0</v>
      </c>
      <c r="BA50" s="309">
        <f t="shared" si="10"/>
        <v>0</v>
      </c>
      <c r="BB50" s="309">
        <f t="shared" si="10"/>
        <v>0</v>
      </c>
      <c r="BC50" s="309">
        <f t="shared" si="10"/>
        <v>0</v>
      </c>
      <c r="BD50" s="309">
        <f t="shared" si="10"/>
        <v>0</v>
      </c>
      <c r="BE50" s="309">
        <f t="shared" si="10"/>
        <v>0</v>
      </c>
      <c r="BF50" s="309">
        <f t="shared" si="10"/>
        <v>0</v>
      </c>
      <c r="BG50" s="309">
        <f t="shared" si="10"/>
        <v>0</v>
      </c>
      <c r="BH50" s="309">
        <f t="shared" si="10"/>
        <v>0</v>
      </c>
      <c r="BI50" s="309">
        <f t="shared" si="10"/>
        <v>0</v>
      </c>
      <c r="BJ50" s="309">
        <f t="shared" si="10"/>
        <v>0</v>
      </c>
      <c r="BK50" s="309">
        <f t="shared" si="10"/>
        <v>0</v>
      </c>
      <c r="BL50" s="309">
        <f t="shared" si="10"/>
        <v>0</v>
      </c>
    </row>
    <row r="51" spans="1:64" x14ac:dyDescent="0.15">
      <c r="C51" s="116" t="s">
        <v>423</v>
      </c>
      <c r="D51" s="172"/>
      <c r="E51" s="172">
        <f>D27*(1-Leadsheet!$D$91)+D28*Leadsheet!$E$117</f>
        <v>15.354022937977023</v>
      </c>
      <c r="F51" s="172">
        <f>E27*(1-Leadsheet!$D$91)+E28*Leadsheet!$E$117</f>
        <v>12.272947045386315</v>
      </c>
      <c r="G51" s="172">
        <f>F27*(1-Leadsheet!$D$91)+F28*Leadsheet!$E$117</f>
        <v>10.531607394654758</v>
      </c>
      <c r="H51" s="172">
        <f>G27*(1-Leadsheet!$D$91)+G28*Leadsheet!$E$117</f>
        <v>8.9881941868284603</v>
      </c>
      <c r="I51" s="172">
        <f>H27*(1-Leadsheet!$D$91)+H28*Leadsheet!$E$117</f>
        <v>7.8470114660639476</v>
      </c>
      <c r="J51" s="172">
        <f>I27*(1-Leadsheet!$D$91)+I28*Leadsheet!$E$117</f>
        <v>6.789029432064603</v>
      </c>
      <c r="K51" s="172">
        <f>J27*(1-Leadsheet!$D$91)+J28*Leadsheet!$E$117</f>
        <v>5.7952532102125796</v>
      </c>
      <c r="L51" s="172">
        <f>K27*(1-Leadsheet!$D$91)+K28*Leadsheet!$E$117</f>
        <v>4.8801908279371498</v>
      </c>
      <c r="M51" s="172">
        <f>L27*(1-Leadsheet!$D$91)+L28*Leadsheet!$E$117</f>
        <v>4.031349113318651</v>
      </c>
      <c r="N51" s="172">
        <f>M27*(1-Leadsheet!$D$91)+M28*Leadsheet!$E$117</f>
        <v>3.2361904080905255</v>
      </c>
      <c r="O51" s="172">
        <f>N27*(1-Leadsheet!$D$91)+N28*Leadsheet!$E$117</f>
        <v>2.4944267373098894</v>
      </c>
      <c r="P51" s="172">
        <f>O27*(1-Leadsheet!$D$91)+O28*Leadsheet!$E$117</f>
        <v>1.8047168835679279</v>
      </c>
      <c r="Q51" s="172">
        <f>P27*(1-Leadsheet!$D$91)+P28*Leadsheet!$E$117</f>
        <v>1.1652059008899651</v>
      </c>
      <c r="R51" s="172">
        <f>Q27*(1-Leadsheet!$D$91)+Q28*Leadsheet!$E$117</f>
        <v>0.57297671236904946</v>
      </c>
      <c r="S51" s="172">
        <f>R27*(1-Leadsheet!$D$91)+R28*Leadsheet!$E$117</f>
        <v>9.7944962591996077E-3</v>
      </c>
      <c r="T51" s="172">
        <f>S27*(1-Leadsheet!$D$91)+S28*Leadsheet!$E$117</f>
        <v>0</v>
      </c>
      <c r="U51" s="172">
        <f>T27*(1-Leadsheet!$D$91)+T28*Leadsheet!$E$117</f>
        <v>0</v>
      </c>
      <c r="V51" s="172">
        <f>U27*(1-Leadsheet!$D$91)+U28*Leadsheet!$E$117</f>
        <v>0</v>
      </c>
      <c r="W51" s="172">
        <f>V27*(1-Leadsheet!$D$91)+V28*Leadsheet!$E$117</f>
        <v>0</v>
      </c>
      <c r="X51" s="172">
        <f>W27*(1-Leadsheet!$D$91)+W28*Leadsheet!$E$117</f>
        <v>0</v>
      </c>
      <c r="Y51" s="172">
        <f>X27*(1-Leadsheet!$D$91)+X28*Leadsheet!$E$117</f>
        <v>0</v>
      </c>
      <c r="Z51" s="172">
        <f>Y27*(1-Leadsheet!$D$91)+Y28*Leadsheet!$E$117</f>
        <v>0</v>
      </c>
      <c r="AA51" s="172">
        <f>Z27*(1-Leadsheet!$D$91)+Z28*Leadsheet!$E$117</f>
        <v>0</v>
      </c>
      <c r="AB51" s="172">
        <f>AA27*(1-Leadsheet!$D$91)+AA28*Leadsheet!$E$117</f>
        <v>0</v>
      </c>
      <c r="AC51" s="172">
        <f>AB27*(1-Leadsheet!$D$91)+AB28*Leadsheet!$E$117</f>
        <v>0</v>
      </c>
      <c r="AD51" s="172">
        <f>AC27*(1-Leadsheet!$D$91)+AC28*Leadsheet!$E$117</f>
        <v>0</v>
      </c>
      <c r="AE51" s="172">
        <f>AD27*(1-Leadsheet!$D$91)+AD28*Leadsheet!$E$117</f>
        <v>0</v>
      </c>
      <c r="AF51" s="172">
        <f>AE27*(1-Leadsheet!$D$91)+AE28*Leadsheet!$E$117</f>
        <v>0</v>
      </c>
      <c r="AG51" s="172">
        <f>AF27*(1-Leadsheet!$D$91)+AF28*Leadsheet!$E$117</f>
        <v>0</v>
      </c>
      <c r="AH51" s="172">
        <f>AG27*(1-Leadsheet!$D$91)+AG28*Leadsheet!$E$117</f>
        <v>0</v>
      </c>
      <c r="AI51" s="172">
        <f>AH27*(1-Leadsheet!$D$91)+AH28*Leadsheet!$E$117</f>
        <v>0</v>
      </c>
      <c r="AJ51" s="172">
        <f>AI27*(1-Leadsheet!$D$91)+AI28*Leadsheet!$E$117</f>
        <v>0</v>
      </c>
      <c r="AK51" s="172">
        <f>AJ27*(1-Leadsheet!$D$91)+AJ28*Leadsheet!$E$117</f>
        <v>0</v>
      </c>
      <c r="AL51" s="172">
        <f>AK27*(1-Leadsheet!$D$91)+AK28*Leadsheet!$E$117</f>
        <v>0</v>
      </c>
      <c r="AM51" s="172">
        <f>AL27*(1-Leadsheet!$D$91)+AL28*Leadsheet!$E$117</f>
        <v>0</v>
      </c>
      <c r="AN51" s="172">
        <f>AM27*(1-Leadsheet!$D$91)+AM28*Leadsheet!$E$117</f>
        <v>0</v>
      </c>
      <c r="AO51" s="172">
        <f>AN27*(1-Leadsheet!$D$91)+AN28*Leadsheet!$E$117</f>
        <v>0</v>
      </c>
      <c r="AP51" s="172">
        <f>AO27*(1-Leadsheet!$D$91)+AO28*Leadsheet!$E$117</f>
        <v>0</v>
      </c>
      <c r="AQ51" s="172">
        <f>AP27*(1-Leadsheet!$D$91)+AP28*Leadsheet!$E$117</f>
        <v>0</v>
      </c>
      <c r="AR51" s="172">
        <f>AQ27*(1-Leadsheet!$D$91)+AQ28*Leadsheet!$E$117</f>
        <v>0</v>
      </c>
      <c r="AS51" s="172">
        <f>AR27*(1-Leadsheet!$D$91)+AR28*Leadsheet!$E$117</f>
        <v>0</v>
      </c>
      <c r="AT51" s="172">
        <f>AS27*(1-Leadsheet!$D$91)+AS28*Leadsheet!$E$117</f>
        <v>0</v>
      </c>
      <c r="AU51" s="172">
        <f>AT27*(1-Leadsheet!$D$91)+AT28*Leadsheet!$E$117</f>
        <v>0</v>
      </c>
      <c r="AV51" s="172">
        <f>AU27*(1-Leadsheet!$D$91)+AU28*Leadsheet!$E$117</f>
        <v>0</v>
      </c>
      <c r="AW51" s="172">
        <f>AV27*(1-Leadsheet!$D$91)+AV28*Leadsheet!$E$117</f>
        <v>0</v>
      </c>
      <c r="AX51" s="172">
        <f>AW27*(1-Leadsheet!$D$91)+AW28*Leadsheet!$E$117</f>
        <v>0</v>
      </c>
      <c r="AY51" s="172">
        <f>AX27*(1-Leadsheet!$D$91)+AX28*Leadsheet!$E$117</f>
        <v>0</v>
      </c>
      <c r="AZ51" s="172">
        <f>AY27*(1-Leadsheet!$D$91)+AY28*Leadsheet!$E$117</f>
        <v>0</v>
      </c>
      <c r="BA51" s="172">
        <f>AZ27*(1-Leadsheet!$D$91)+AZ28*Leadsheet!$E$117</f>
        <v>0</v>
      </c>
      <c r="BB51" s="172">
        <f>BA27*(1-Leadsheet!$D$91)+BA28*Leadsheet!$E$117</f>
        <v>0</v>
      </c>
      <c r="BC51" s="172">
        <f>BB27*(1-Leadsheet!$D$91)+BB28*Leadsheet!$E$117</f>
        <v>0</v>
      </c>
      <c r="BD51" s="172">
        <f>BC27*(1-Leadsheet!$D$91)+BC28*Leadsheet!$E$117</f>
        <v>0</v>
      </c>
      <c r="BE51" s="172">
        <f>BD27*(1-Leadsheet!$D$91)+BD28*Leadsheet!$E$117</f>
        <v>0</v>
      </c>
      <c r="BF51" s="172">
        <f>BE27*(1-Leadsheet!$D$91)+BE28*Leadsheet!$E$117</f>
        <v>0</v>
      </c>
      <c r="BG51" s="172">
        <f>BF27*(1-Leadsheet!$D$91)+BF28*Leadsheet!$E$117</f>
        <v>0</v>
      </c>
      <c r="BH51" s="172">
        <f>BG27*(1-Leadsheet!$D$91)+BG28*Leadsheet!$E$117</f>
        <v>0</v>
      </c>
      <c r="BI51" s="172">
        <f>BH27*(1-Leadsheet!$D$91)+BH28*Leadsheet!$E$117</f>
        <v>0</v>
      </c>
      <c r="BJ51" s="172">
        <f>BI27*(1-Leadsheet!$D$91)+BI28*Leadsheet!$E$117</f>
        <v>0</v>
      </c>
      <c r="BK51" s="172">
        <f>BJ27*(1-Leadsheet!$D$91)+BJ28*Leadsheet!$E$117</f>
        <v>0</v>
      </c>
      <c r="BL51" s="172">
        <f>BK27*(1-Leadsheet!$D$91)+BK28*Leadsheet!$E$117</f>
        <v>0</v>
      </c>
    </row>
    <row r="52" spans="1:64" x14ac:dyDescent="0.15">
      <c r="BC52" s="172"/>
      <c r="BD52" s="172"/>
      <c r="BE52" s="172"/>
      <c r="BF52" s="295"/>
      <c r="BG52" s="295"/>
      <c r="BH52" s="295"/>
      <c r="BI52" s="295"/>
      <c r="BJ52" s="295"/>
      <c r="BK52" s="295"/>
      <c r="BL52" s="295"/>
    </row>
    <row r="53" spans="1:64" ht="13" thickBot="1" x14ac:dyDescent="0.2">
      <c r="A53" s="188"/>
      <c r="B53" s="302" t="s">
        <v>424</v>
      </c>
      <c r="C53" s="303"/>
      <c r="D53" s="304"/>
      <c r="E53" s="305"/>
      <c r="F53" s="304"/>
      <c r="G53" s="304"/>
      <c r="H53" s="304"/>
      <c r="I53" s="304"/>
      <c r="J53" s="304"/>
      <c r="K53" s="304"/>
      <c r="L53" s="304"/>
      <c r="M53" s="304"/>
      <c r="N53" s="304"/>
      <c r="O53" s="304"/>
      <c r="P53" s="304"/>
      <c r="Q53" s="304"/>
      <c r="R53" s="304"/>
      <c r="S53" s="304"/>
      <c r="T53" s="304"/>
      <c r="U53" s="304"/>
      <c r="V53" s="304"/>
      <c r="W53" s="304"/>
      <c r="X53" s="304"/>
      <c r="Y53" s="304"/>
      <c r="Z53" s="304"/>
      <c r="AA53" s="304"/>
      <c r="AB53" s="304"/>
      <c r="AC53" s="304"/>
      <c r="AD53" s="304"/>
      <c r="AE53" s="304"/>
      <c r="AF53" s="304"/>
      <c r="AG53" s="304"/>
      <c r="AH53" s="304"/>
      <c r="AI53" s="304"/>
      <c r="AJ53" s="304"/>
      <c r="AK53" s="304"/>
      <c r="AL53" s="304"/>
      <c r="AM53" s="304"/>
      <c r="AN53" s="304"/>
      <c r="AO53" s="304"/>
      <c r="AP53" s="304"/>
      <c r="AQ53" s="304"/>
      <c r="AR53" s="304"/>
      <c r="AS53" s="304"/>
      <c r="AT53" s="304"/>
      <c r="AU53" s="304"/>
      <c r="AV53" s="304"/>
      <c r="AW53" s="304"/>
      <c r="AX53" s="304"/>
      <c r="AY53" s="304"/>
      <c r="AZ53" s="304"/>
      <c r="BA53" s="304"/>
      <c r="BB53" s="304"/>
      <c r="BC53" s="304"/>
      <c r="BD53" s="304"/>
      <c r="BE53" s="304"/>
      <c r="BF53" s="304"/>
      <c r="BG53" s="304"/>
      <c r="BH53" s="304"/>
      <c r="BI53" s="304"/>
      <c r="BJ53" s="304"/>
      <c r="BK53" s="304"/>
      <c r="BL53" s="304"/>
    </row>
    <row r="54" spans="1:64" ht="13" thickTop="1" x14ac:dyDescent="0.15">
      <c r="A54" s="188"/>
      <c r="B54" s="325"/>
      <c r="C54" s="188"/>
      <c r="E54" s="326"/>
    </row>
    <row r="55" spans="1:64" x14ac:dyDescent="0.15">
      <c r="B55" s="188" t="s">
        <v>229</v>
      </c>
      <c r="E55" s="327">
        <f>E57+E61+E68</f>
        <v>1.3972554105501391</v>
      </c>
      <c r="F55" s="327">
        <f t="shared" ref="F55:BL55" si="11">F57+F61+F68</f>
        <v>0.48098268578230435</v>
      </c>
      <c r="G55" s="327">
        <f t="shared" si="11"/>
        <v>0.41270372939652739</v>
      </c>
      <c r="H55" s="327">
        <f t="shared" si="11"/>
        <v>0.32223464595271423</v>
      </c>
      <c r="I55" s="327">
        <f t="shared" si="11"/>
        <v>0.27935488397009789</v>
      </c>
      <c r="J55" s="327">
        <f t="shared" si="11"/>
        <v>0.23969968772751049</v>
      </c>
      <c r="K55" s="327">
        <f t="shared" si="11"/>
        <v>0.2024754830227698</v>
      </c>
      <c r="L55" s="327">
        <f t="shared" si="11"/>
        <v>0.16964656343471068</v>
      </c>
      <c r="M55" s="327">
        <f t="shared" si="11"/>
        <v>0.14040295081374773</v>
      </c>
      <c r="N55" s="327">
        <f t="shared" si="11"/>
        <v>0.11273331870514554</v>
      </c>
      <c r="O55" s="327">
        <f t="shared" si="11"/>
        <v>8.6787543279232826E-2</v>
      </c>
      <c r="P55" s="327">
        <f t="shared" si="11"/>
        <v>6.2561523066513136E-2</v>
      </c>
      <c r="Q55" s="327">
        <f t="shared" si="11"/>
        <v>4.002476807190513E-2</v>
      </c>
      <c r="R55" s="327">
        <f t="shared" si="11"/>
        <v>1.7939326647863251E-2</v>
      </c>
      <c r="S55" s="327">
        <f t="shared" si="11"/>
        <v>-2.466108723703943E-3</v>
      </c>
      <c r="T55" s="327">
        <f t="shared" si="11"/>
        <v>-2.0177876744893984E-3</v>
      </c>
      <c r="U55" s="327">
        <f t="shared" si="11"/>
        <v>-1.357906675175085E-3</v>
      </c>
      <c r="V55" s="327">
        <f t="shared" si="11"/>
        <v>-8.4433268855114811E-4</v>
      </c>
      <c r="W55" s="327">
        <f t="shared" si="11"/>
        <v>-4.6209035381480321E-4</v>
      </c>
      <c r="X55" s="327">
        <f t="shared" si="11"/>
        <v>-1.5128942879519754E-4</v>
      </c>
      <c r="Y55" s="327">
        <f t="shared" si="11"/>
        <v>0</v>
      </c>
      <c r="Z55" s="327">
        <f t="shared" si="11"/>
        <v>0</v>
      </c>
      <c r="AA55" s="327">
        <f t="shared" si="11"/>
        <v>0</v>
      </c>
      <c r="AB55" s="327">
        <f t="shared" si="11"/>
        <v>0</v>
      </c>
      <c r="AC55" s="327">
        <f t="shared" si="11"/>
        <v>0</v>
      </c>
      <c r="AD55" s="327">
        <f t="shared" si="11"/>
        <v>0</v>
      </c>
      <c r="AE55" s="327">
        <f t="shared" si="11"/>
        <v>0</v>
      </c>
      <c r="AF55" s="327">
        <f t="shared" si="11"/>
        <v>0</v>
      </c>
      <c r="AG55" s="327">
        <f t="shared" si="11"/>
        <v>0</v>
      </c>
      <c r="AH55" s="327">
        <f t="shared" si="11"/>
        <v>0</v>
      </c>
      <c r="AI55" s="327">
        <f t="shared" si="11"/>
        <v>0</v>
      </c>
      <c r="AJ55" s="327">
        <f t="shared" si="11"/>
        <v>0</v>
      </c>
      <c r="AK55" s="327">
        <f t="shared" si="11"/>
        <v>0</v>
      </c>
      <c r="AL55" s="327">
        <f t="shared" si="11"/>
        <v>0</v>
      </c>
      <c r="AM55" s="327">
        <f t="shared" si="11"/>
        <v>0</v>
      </c>
      <c r="AN55" s="327">
        <f t="shared" si="11"/>
        <v>0</v>
      </c>
      <c r="AO55" s="327">
        <f t="shared" si="11"/>
        <v>0</v>
      </c>
      <c r="AP55" s="327">
        <f t="shared" si="11"/>
        <v>0</v>
      </c>
      <c r="AQ55" s="327">
        <f t="shared" si="11"/>
        <v>0</v>
      </c>
      <c r="AR55" s="327">
        <f t="shared" si="11"/>
        <v>0</v>
      </c>
      <c r="AS55" s="327">
        <f t="shared" si="11"/>
        <v>0</v>
      </c>
      <c r="AT55" s="327">
        <f t="shared" si="11"/>
        <v>0</v>
      </c>
      <c r="AU55" s="327">
        <f t="shared" si="11"/>
        <v>0</v>
      </c>
      <c r="AV55" s="327">
        <f t="shared" si="11"/>
        <v>0</v>
      </c>
      <c r="AW55" s="327">
        <f t="shared" si="11"/>
        <v>0</v>
      </c>
      <c r="AX55" s="327">
        <f t="shared" si="11"/>
        <v>0</v>
      </c>
      <c r="AY55" s="327">
        <f t="shared" si="11"/>
        <v>0</v>
      </c>
      <c r="AZ55" s="327">
        <f t="shared" si="11"/>
        <v>0</v>
      </c>
      <c r="BA55" s="327">
        <f t="shared" si="11"/>
        <v>0</v>
      </c>
      <c r="BB55" s="327">
        <f t="shared" si="11"/>
        <v>0</v>
      </c>
      <c r="BC55" s="327">
        <f t="shared" si="11"/>
        <v>0</v>
      </c>
      <c r="BD55" s="327">
        <f t="shared" si="11"/>
        <v>0</v>
      </c>
      <c r="BE55" s="327">
        <f t="shared" si="11"/>
        <v>0</v>
      </c>
      <c r="BF55" s="327">
        <f t="shared" si="11"/>
        <v>0</v>
      </c>
      <c r="BG55" s="327">
        <f t="shared" si="11"/>
        <v>0</v>
      </c>
      <c r="BH55" s="327">
        <f t="shared" si="11"/>
        <v>0</v>
      </c>
      <c r="BI55" s="327">
        <f t="shared" si="11"/>
        <v>0</v>
      </c>
      <c r="BJ55" s="327">
        <f t="shared" si="11"/>
        <v>0</v>
      </c>
      <c r="BK55" s="327">
        <f t="shared" si="11"/>
        <v>0</v>
      </c>
      <c r="BL55" s="327">
        <f t="shared" si="11"/>
        <v>0</v>
      </c>
    </row>
    <row r="56" spans="1:64" x14ac:dyDescent="0.15">
      <c r="E56" s="180"/>
      <c r="F56" s="180"/>
      <c r="G56" s="180"/>
      <c r="H56" s="180"/>
      <c r="I56" s="180"/>
      <c r="J56" s="180"/>
      <c r="K56" s="180"/>
      <c r="L56" s="180"/>
      <c r="M56" s="180"/>
      <c r="N56" s="180"/>
      <c r="O56" s="180"/>
      <c r="P56" s="180"/>
      <c r="Q56" s="180"/>
      <c r="R56" s="180"/>
      <c r="S56" s="180"/>
      <c r="T56" s="180"/>
      <c r="U56" s="180"/>
      <c r="V56" s="180"/>
      <c r="W56" s="180"/>
      <c r="X56" s="180"/>
      <c r="Y56" s="180"/>
      <c r="Z56" s="180"/>
      <c r="AA56" s="180"/>
      <c r="AB56" s="180"/>
      <c r="AC56" s="180"/>
      <c r="AD56" s="180"/>
      <c r="AE56" s="180"/>
      <c r="AF56" s="180"/>
      <c r="AG56" s="180"/>
      <c r="AH56" s="180"/>
      <c r="AI56" s="180"/>
      <c r="AJ56" s="180"/>
      <c r="AK56" s="180"/>
      <c r="AL56" s="180"/>
      <c r="AM56" s="180"/>
      <c r="AN56" s="180"/>
      <c r="AO56" s="180"/>
      <c r="AP56" s="180"/>
      <c r="AQ56" s="180"/>
      <c r="AR56" s="180"/>
      <c r="AS56" s="180"/>
      <c r="AT56" s="180"/>
      <c r="AU56" s="180"/>
      <c r="AV56" s="180"/>
      <c r="AW56" s="180"/>
      <c r="AX56" s="180"/>
      <c r="AY56" s="180"/>
      <c r="AZ56" s="180"/>
      <c r="BA56" s="180"/>
      <c r="BB56" s="180"/>
      <c r="BC56" s="180"/>
      <c r="BD56" s="180"/>
      <c r="BE56" s="180"/>
      <c r="BF56" s="180"/>
      <c r="BG56" s="180"/>
      <c r="BH56" s="180"/>
      <c r="BI56" s="180"/>
      <c r="BJ56" s="180"/>
      <c r="BK56" s="180"/>
      <c r="BL56" s="180"/>
    </row>
    <row r="57" spans="1:64" x14ac:dyDescent="0.15">
      <c r="B57" s="188"/>
      <c r="C57" s="188" t="s">
        <v>230</v>
      </c>
      <c r="E57" s="327">
        <f t="shared" ref="E57:BL57" si="12">E58+E59</f>
        <v>0.54383100311845489</v>
      </c>
      <c r="F57" s="327">
        <f t="shared" si="12"/>
        <v>0.42939941062844961</v>
      </c>
      <c r="G57" s="327">
        <f t="shared" si="12"/>
        <v>0.36582137390492592</v>
      </c>
      <c r="H57" s="327">
        <f t="shared" si="12"/>
        <v>0.30898618293231156</v>
      </c>
      <c r="I57" s="327">
        <f t="shared" si="12"/>
        <v>0.2674302202760907</v>
      </c>
      <c r="J57" s="327">
        <f t="shared" si="12"/>
        <v>0.22906035078218179</v>
      </c>
      <c r="K57" s="327">
        <f t="shared" si="12"/>
        <v>0.19310116435967525</v>
      </c>
      <c r="L57" s="327">
        <f t="shared" si="12"/>
        <v>0.16148974932360394</v>
      </c>
      <c r="M57" s="327">
        <f t="shared" si="12"/>
        <v>0.13343369944407621</v>
      </c>
      <c r="N57" s="327">
        <f t="shared" si="12"/>
        <v>0.10694097931590305</v>
      </c>
      <c r="O57" s="327">
        <f t="shared" si="12"/>
        <v>8.2160405183415622E-2</v>
      </c>
      <c r="P57" s="327">
        <f t="shared" si="12"/>
        <v>5.9089154962622244E-2</v>
      </c>
      <c r="Q57" s="327">
        <f t="shared" si="12"/>
        <v>3.7699231826787166E-2</v>
      </c>
      <c r="R57" s="327">
        <f t="shared" si="12"/>
        <v>1.7939326647863251E-2</v>
      </c>
      <c r="S57" s="327">
        <f t="shared" si="12"/>
        <v>-2.466108723703943E-3</v>
      </c>
      <c r="T57" s="327">
        <f t="shared" si="12"/>
        <v>-2.0177876744893984E-3</v>
      </c>
      <c r="U57" s="327">
        <f t="shared" si="12"/>
        <v>-1.357906675175085E-3</v>
      </c>
      <c r="V57" s="327">
        <f t="shared" si="12"/>
        <v>-8.4433268855114811E-4</v>
      </c>
      <c r="W57" s="327">
        <f t="shared" si="12"/>
        <v>-4.6209035381480321E-4</v>
      </c>
      <c r="X57" s="327">
        <f t="shared" si="12"/>
        <v>-1.5128942879519754E-4</v>
      </c>
      <c r="Y57" s="327">
        <f t="shared" si="12"/>
        <v>0</v>
      </c>
      <c r="Z57" s="327">
        <f t="shared" si="12"/>
        <v>0</v>
      </c>
      <c r="AA57" s="327">
        <f t="shared" si="12"/>
        <v>0</v>
      </c>
      <c r="AB57" s="327">
        <f t="shared" si="12"/>
        <v>0</v>
      </c>
      <c r="AC57" s="327">
        <f t="shared" si="12"/>
        <v>0</v>
      </c>
      <c r="AD57" s="327">
        <f t="shared" si="12"/>
        <v>0</v>
      </c>
      <c r="AE57" s="327">
        <f t="shared" si="12"/>
        <v>0</v>
      </c>
      <c r="AF57" s="327">
        <f t="shared" si="12"/>
        <v>0</v>
      </c>
      <c r="AG57" s="327">
        <f t="shared" si="12"/>
        <v>0</v>
      </c>
      <c r="AH57" s="327">
        <f t="shared" si="12"/>
        <v>0</v>
      </c>
      <c r="AI57" s="327">
        <f t="shared" si="12"/>
        <v>0</v>
      </c>
      <c r="AJ57" s="327">
        <f t="shared" si="12"/>
        <v>0</v>
      </c>
      <c r="AK57" s="327">
        <f t="shared" si="12"/>
        <v>0</v>
      </c>
      <c r="AL57" s="327">
        <f t="shared" si="12"/>
        <v>0</v>
      </c>
      <c r="AM57" s="327">
        <f t="shared" si="12"/>
        <v>0</v>
      </c>
      <c r="AN57" s="327">
        <f t="shared" si="12"/>
        <v>0</v>
      </c>
      <c r="AO57" s="327">
        <f t="shared" si="12"/>
        <v>0</v>
      </c>
      <c r="AP57" s="327">
        <f t="shared" si="12"/>
        <v>0</v>
      </c>
      <c r="AQ57" s="327">
        <f t="shared" si="12"/>
        <v>0</v>
      </c>
      <c r="AR57" s="327">
        <f t="shared" si="12"/>
        <v>0</v>
      </c>
      <c r="AS57" s="327">
        <f t="shared" si="12"/>
        <v>0</v>
      </c>
      <c r="AT57" s="327">
        <f t="shared" si="12"/>
        <v>0</v>
      </c>
      <c r="AU57" s="327">
        <f t="shared" si="12"/>
        <v>0</v>
      </c>
      <c r="AV57" s="327">
        <f t="shared" si="12"/>
        <v>0</v>
      </c>
      <c r="AW57" s="327">
        <f t="shared" si="12"/>
        <v>0</v>
      </c>
      <c r="AX57" s="327">
        <f t="shared" si="12"/>
        <v>0</v>
      </c>
      <c r="AY57" s="327">
        <f t="shared" si="12"/>
        <v>0</v>
      </c>
      <c r="AZ57" s="327">
        <f t="shared" si="12"/>
        <v>0</v>
      </c>
      <c r="BA57" s="327">
        <f t="shared" si="12"/>
        <v>0</v>
      </c>
      <c r="BB57" s="327">
        <f t="shared" si="12"/>
        <v>0</v>
      </c>
      <c r="BC57" s="327">
        <f t="shared" si="12"/>
        <v>0</v>
      </c>
      <c r="BD57" s="327">
        <f t="shared" si="12"/>
        <v>0</v>
      </c>
      <c r="BE57" s="327">
        <f t="shared" si="12"/>
        <v>0</v>
      </c>
      <c r="BF57" s="327">
        <f t="shared" si="12"/>
        <v>0</v>
      </c>
      <c r="BG57" s="327">
        <f t="shared" si="12"/>
        <v>0</v>
      </c>
      <c r="BH57" s="327">
        <f t="shared" si="12"/>
        <v>0</v>
      </c>
      <c r="BI57" s="327">
        <f t="shared" si="12"/>
        <v>0</v>
      </c>
      <c r="BJ57" s="327">
        <f t="shared" si="12"/>
        <v>0</v>
      </c>
      <c r="BK57" s="327">
        <f t="shared" si="12"/>
        <v>0</v>
      </c>
      <c r="BL57" s="327">
        <f t="shared" si="12"/>
        <v>0</v>
      </c>
    </row>
    <row r="58" spans="1:64" s="188" customFormat="1" x14ac:dyDescent="0.15">
      <c r="C58" s="116" t="s">
        <v>244</v>
      </c>
      <c r="D58" s="327"/>
      <c r="E58" s="172">
        <f>IFERROR(E$51*D$11/12,0)</f>
        <v>0.62915301812922353</v>
      </c>
      <c r="F58" s="172">
        <f t="shared" ref="F58:BL58" si="13">IFERROR(F$51*E$11/12,0)</f>
        <v>0.50290153311196606</v>
      </c>
      <c r="G58" s="172">
        <f t="shared" si="13"/>
        <v>0.43154765398390765</v>
      </c>
      <c r="H58" s="172">
        <f t="shared" si="13"/>
        <v>0.36830409352766919</v>
      </c>
      <c r="I58" s="172">
        <f t="shared" si="13"/>
        <v>0.32154250173467758</v>
      </c>
      <c r="J58" s="172">
        <f t="shared" si="13"/>
        <v>0.27819017690710485</v>
      </c>
      <c r="K58" s="172">
        <f t="shared" si="13"/>
        <v>0.23746877692946253</v>
      </c>
      <c r="L58" s="172">
        <f t="shared" si="13"/>
        <v>0.19997278894568024</v>
      </c>
      <c r="M58" s="172">
        <f t="shared" si="13"/>
        <v>0.16519028739390271</v>
      </c>
      <c r="N58" s="172">
        <f t="shared" si="13"/>
        <v>0.13260752382067625</v>
      </c>
      <c r="O58" s="172">
        <f t="shared" si="13"/>
        <v>0.10221269804143739</v>
      </c>
      <c r="P58" s="172">
        <f t="shared" si="13"/>
        <v>7.3950851757365502E-2</v>
      </c>
      <c r="Q58" s="172">
        <f t="shared" si="13"/>
        <v>4.7745975907959114E-2</v>
      </c>
      <c r="R58" s="172">
        <f t="shared" si="13"/>
        <v>2.3478539100856913E-2</v>
      </c>
      <c r="S58" s="172">
        <f t="shared" si="13"/>
        <v>4.013434724842694E-4</v>
      </c>
      <c r="T58" s="172">
        <f t="shared" si="13"/>
        <v>0</v>
      </c>
      <c r="U58" s="172">
        <f t="shared" si="13"/>
        <v>0</v>
      </c>
      <c r="V58" s="172">
        <f t="shared" si="13"/>
        <v>0</v>
      </c>
      <c r="W58" s="172">
        <f t="shared" si="13"/>
        <v>0</v>
      </c>
      <c r="X58" s="172">
        <f t="shared" si="13"/>
        <v>0</v>
      </c>
      <c r="Y58" s="172">
        <f t="shared" si="13"/>
        <v>0</v>
      </c>
      <c r="Z58" s="172">
        <f t="shared" si="13"/>
        <v>0</v>
      </c>
      <c r="AA58" s="172">
        <f t="shared" si="13"/>
        <v>0</v>
      </c>
      <c r="AB58" s="172">
        <f t="shared" si="13"/>
        <v>0</v>
      </c>
      <c r="AC58" s="172">
        <f t="shared" si="13"/>
        <v>0</v>
      </c>
      <c r="AD58" s="172">
        <f t="shared" si="13"/>
        <v>0</v>
      </c>
      <c r="AE58" s="172">
        <f t="shared" si="13"/>
        <v>0</v>
      </c>
      <c r="AF58" s="172">
        <f t="shared" si="13"/>
        <v>0</v>
      </c>
      <c r="AG58" s="172">
        <f t="shared" si="13"/>
        <v>0</v>
      </c>
      <c r="AH58" s="172">
        <f t="shared" si="13"/>
        <v>0</v>
      </c>
      <c r="AI58" s="172">
        <f t="shared" si="13"/>
        <v>0</v>
      </c>
      <c r="AJ58" s="172">
        <f t="shared" si="13"/>
        <v>0</v>
      </c>
      <c r="AK58" s="172">
        <f t="shared" si="13"/>
        <v>0</v>
      </c>
      <c r="AL58" s="172">
        <f t="shared" si="13"/>
        <v>0</v>
      </c>
      <c r="AM58" s="172">
        <f t="shared" si="13"/>
        <v>0</v>
      </c>
      <c r="AN58" s="172">
        <f t="shared" si="13"/>
        <v>0</v>
      </c>
      <c r="AO58" s="172">
        <f t="shared" si="13"/>
        <v>0</v>
      </c>
      <c r="AP58" s="172">
        <f t="shared" si="13"/>
        <v>0</v>
      </c>
      <c r="AQ58" s="172">
        <f t="shared" si="13"/>
        <v>0</v>
      </c>
      <c r="AR58" s="172">
        <f t="shared" si="13"/>
        <v>0</v>
      </c>
      <c r="AS58" s="172">
        <f t="shared" si="13"/>
        <v>0</v>
      </c>
      <c r="AT58" s="172">
        <f t="shared" si="13"/>
        <v>0</v>
      </c>
      <c r="AU58" s="172">
        <f t="shared" si="13"/>
        <v>0</v>
      </c>
      <c r="AV58" s="172">
        <f t="shared" si="13"/>
        <v>0</v>
      </c>
      <c r="AW58" s="172">
        <f t="shared" si="13"/>
        <v>0</v>
      </c>
      <c r="AX58" s="172">
        <f t="shared" si="13"/>
        <v>0</v>
      </c>
      <c r="AY58" s="172">
        <f t="shared" si="13"/>
        <v>0</v>
      </c>
      <c r="AZ58" s="172">
        <f t="shared" si="13"/>
        <v>0</v>
      </c>
      <c r="BA58" s="172">
        <f t="shared" si="13"/>
        <v>0</v>
      </c>
      <c r="BB58" s="172">
        <f t="shared" si="13"/>
        <v>0</v>
      </c>
      <c r="BC58" s="172">
        <f t="shared" si="13"/>
        <v>0</v>
      </c>
      <c r="BD58" s="172">
        <f t="shared" si="13"/>
        <v>0</v>
      </c>
      <c r="BE58" s="172">
        <f t="shared" si="13"/>
        <v>0</v>
      </c>
      <c r="BF58" s="172">
        <f t="shared" si="13"/>
        <v>0</v>
      </c>
      <c r="BG58" s="172">
        <f t="shared" si="13"/>
        <v>0</v>
      </c>
      <c r="BH58" s="172">
        <f t="shared" si="13"/>
        <v>0</v>
      </c>
      <c r="BI58" s="172">
        <f t="shared" si="13"/>
        <v>0</v>
      </c>
      <c r="BJ58" s="172">
        <f t="shared" si="13"/>
        <v>0</v>
      </c>
      <c r="BK58" s="172">
        <f t="shared" si="13"/>
        <v>0</v>
      </c>
      <c r="BL58" s="172">
        <f t="shared" si="13"/>
        <v>0</v>
      </c>
    </row>
    <row r="59" spans="1:64" s="188" customFormat="1" x14ac:dyDescent="0.15">
      <c r="C59" s="206" t="s">
        <v>246</v>
      </c>
      <c r="E59" s="172">
        <f t="shared" ref="E59:BL59" si="14">-IFERROR(E50*D12/12,0)</f>
        <v>-8.5322015010768651E-2</v>
      </c>
      <c r="F59" s="172">
        <f t="shared" si="14"/>
        <v>-7.3502122483516466E-2</v>
      </c>
      <c r="G59" s="172">
        <f t="shared" si="14"/>
        <v>-6.5726280078981722E-2</v>
      </c>
      <c r="H59" s="172">
        <f t="shared" si="14"/>
        <v>-5.9317910595357619E-2</v>
      </c>
      <c r="I59" s="172">
        <f t="shared" si="14"/>
        <v>-5.4112281458586896E-2</v>
      </c>
      <c r="J59" s="172">
        <f t="shared" si="14"/>
        <v>-4.9129826124923066E-2</v>
      </c>
      <c r="K59" s="172">
        <f t="shared" si="14"/>
        <v>-4.4367612569787281E-2</v>
      </c>
      <c r="L59" s="172">
        <f t="shared" si="14"/>
        <v>-3.8483039622076304E-2</v>
      </c>
      <c r="M59" s="172">
        <f t="shared" si="14"/>
        <v>-3.1756587949826491E-2</v>
      </c>
      <c r="N59" s="172">
        <f t="shared" si="14"/>
        <v>-2.5666544504773212E-2</v>
      </c>
      <c r="O59" s="172">
        <f t="shared" si="14"/>
        <v>-2.0052292858021764E-2</v>
      </c>
      <c r="P59" s="172">
        <f t="shared" si="14"/>
        <v>-1.4861696794743256E-2</v>
      </c>
      <c r="Q59" s="172">
        <f t="shared" si="14"/>
        <v>-1.0046744081171951E-2</v>
      </c>
      <c r="R59" s="172">
        <f t="shared" si="14"/>
        <v>-5.5392124529936616E-3</v>
      </c>
      <c r="S59" s="172">
        <f t="shared" si="14"/>
        <v>-2.8674521961882123E-3</v>
      </c>
      <c r="T59" s="172">
        <f t="shared" si="14"/>
        <v>-2.0177876744893984E-3</v>
      </c>
      <c r="U59" s="172">
        <f t="shared" si="14"/>
        <v>-1.357906675175085E-3</v>
      </c>
      <c r="V59" s="172">
        <f t="shared" si="14"/>
        <v>-8.4433268855114811E-4</v>
      </c>
      <c r="W59" s="172">
        <f t="shared" si="14"/>
        <v>-4.6209035381480321E-4</v>
      </c>
      <c r="X59" s="172">
        <f t="shared" si="14"/>
        <v>-1.5128942879519754E-4</v>
      </c>
      <c r="Y59" s="172">
        <f t="shared" si="14"/>
        <v>0</v>
      </c>
      <c r="Z59" s="172">
        <f t="shared" si="14"/>
        <v>0</v>
      </c>
      <c r="AA59" s="172">
        <f t="shared" si="14"/>
        <v>0</v>
      </c>
      <c r="AB59" s="172">
        <f t="shared" si="14"/>
        <v>0</v>
      </c>
      <c r="AC59" s="172">
        <f t="shared" si="14"/>
        <v>0</v>
      </c>
      <c r="AD59" s="172">
        <f t="shared" si="14"/>
        <v>0</v>
      </c>
      <c r="AE59" s="172">
        <f t="shared" si="14"/>
        <v>0</v>
      </c>
      <c r="AF59" s="172">
        <f t="shared" si="14"/>
        <v>0</v>
      </c>
      <c r="AG59" s="172">
        <f t="shared" si="14"/>
        <v>0</v>
      </c>
      <c r="AH59" s="172">
        <f t="shared" si="14"/>
        <v>0</v>
      </c>
      <c r="AI59" s="172">
        <f t="shared" si="14"/>
        <v>0</v>
      </c>
      <c r="AJ59" s="172">
        <f t="shared" si="14"/>
        <v>0</v>
      </c>
      <c r="AK59" s="172">
        <f t="shared" si="14"/>
        <v>0</v>
      </c>
      <c r="AL59" s="172">
        <f t="shared" si="14"/>
        <v>0</v>
      </c>
      <c r="AM59" s="172">
        <f t="shared" si="14"/>
        <v>0</v>
      </c>
      <c r="AN59" s="172">
        <f t="shared" si="14"/>
        <v>0</v>
      </c>
      <c r="AO59" s="172">
        <f t="shared" si="14"/>
        <v>0</v>
      </c>
      <c r="AP59" s="172">
        <f t="shared" si="14"/>
        <v>0</v>
      </c>
      <c r="AQ59" s="172">
        <f t="shared" si="14"/>
        <v>0</v>
      </c>
      <c r="AR59" s="172">
        <f t="shared" si="14"/>
        <v>0</v>
      </c>
      <c r="AS59" s="172">
        <f t="shared" si="14"/>
        <v>0</v>
      </c>
      <c r="AT59" s="172">
        <f t="shared" si="14"/>
        <v>0</v>
      </c>
      <c r="AU59" s="172">
        <f t="shared" si="14"/>
        <v>0</v>
      </c>
      <c r="AV59" s="172">
        <f t="shared" si="14"/>
        <v>0</v>
      </c>
      <c r="AW59" s="172">
        <f t="shared" si="14"/>
        <v>0</v>
      </c>
      <c r="AX59" s="172">
        <f t="shared" si="14"/>
        <v>0</v>
      </c>
      <c r="AY59" s="172">
        <f t="shared" si="14"/>
        <v>0</v>
      </c>
      <c r="AZ59" s="172">
        <f t="shared" si="14"/>
        <v>0</v>
      </c>
      <c r="BA59" s="172">
        <f t="shared" si="14"/>
        <v>0</v>
      </c>
      <c r="BB59" s="172">
        <f t="shared" si="14"/>
        <v>0</v>
      </c>
      <c r="BC59" s="172">
        <f t="shared" si="14"/>
        <v>0</v>
      </c>
      <c r="BD59" s="172">
        <f t="shared" si="14"/>
        <v>0</v>
      </c>
      <c r="BE59" s="172">
        <f t="shared" si="14"/>
        <v>0</v>
      </c>
      <c r="BF59" s="172">
        <f t="shared" si="14"/>
        <v>0</v>
      </c>
      <c r="BG59" s="172">
        <f t="shared" si="14"/>
        <v>0</v>
      </c>
      <c r="BH59" s="172">
        <f t="shared" si="14"/>
        <v>0</v>
      </c>
      <c r="BI59" s="172">
        <f t="shared" si="14"/>
        <v>0</v>
      </c>
      <c r="BJ59" s="172">
        <f t="shared" si="14"/>
        <v>0</v>
      </c>
      <c r="BK59" s="172">
        <f t="shared" si="14"/>
        <v>0</v>
      </c>
      <c r="BL59" s="172">
        <f t="shared" si="14"/>
        <v>0</v>
      </c>
    </row>
    <row r="61" spans="1:64" x14ac:dyDescent="0.15">
      <c r="B61" s="188"/>
      <c r="C61" s="188" t="s">
        <v>231</v>
      </c>
      <c r="E61" s="327">
        <f>SUM(E62:E64)</f>
        <v>0.85342440743168424</v>
      </c>
      <c r="F61" s="327">
        <f t="shared" ref="F61:BL61" si="15">SUM(F62:F64)</f>
        <v>5.1583275153854732E-2</v>
      </c>
      <c r="G61" s="327">
        <f t="shared" si="15"/>
        <v>4.6882355491601482E-2</v>
      </c>
      <c r="H61" s="327">
        <f t="shared" si="15"/>
        <v>1.3248463020402654E-2</v>
      </c>
      <c r="I61" s="327">
        <f t="shared" si="15"/>
        <v>1.1924663694007201E-2</v>
      </c>
      <c r="J61" s="327">
        <f t="shared" si="15"/>
        <v>1.0639336945328691E-2</v>
      </c>
      <c r="K61" s="327">
        <f t="shared" si="15"/>
        <v>9.374318663094551E-3</v>
      </c>
      <c r="L61" s="327">
        <f t="shared" si="15"/>
        <v>8.1568141111067558E-3</v>
      </c>
      <c r="M61" s="327">
        <f t="shared" si="15"/>
        <v>6.9692513696715235E-3</v>
      </c>
      <c r="N61" s="327">
        <f t="shared" si="15"/>
        <v>5.792339389242499E-3</v>
      </c>
      <c r="O61" s="327">
        <f t="shared" si="15"/>
        <v>4.6271380958172069E-3</v>
      </c>
      <c r="P61" s="327">
        <f t="shared" si="15"/>
        <v>3.4723681038908937E-3</v>
      </c>
      <c r="Q61" s="327">
        <f t="shared" si="15"/>
        <v>2.3255362451179654E-3</v>
      </c>
      <c r="R61" s="327">
        <f t="shared" si="15"/>
        <v>0</v>
      </c>
      <c r="S61" s="327">
        <f t="shared" si="15"/>
        <v>0</v>
      </c>
      <c r="T61" s="327">
        <f t="shared" si="15"/>
        <v>0</v>
      </c>
      <c r="U61" s="327">
        <f t="shared" si="15"/>
        <v>0</v>
      </c>
      <c r="V61" s="327">
        <f t="shared" si="15"/>
        <v>0</v>
      </c>
      <c r="W61" s="327">
        <f t="shared" si="15"/>
        <v>0</v>
      </c>
      <c r="X61" s="327">
        <f t="shared" si="15"/>
        <v>0</v>
      </c>
      <c r="Y61" s="327">
        <f t="shared" si="15"/>
        <v>0</v>
      </c>
      <c r="Z61" s="327">
        <f t="shared" si="15"/>
        <v>0</v>
      </c>
      <c r="AA61" s="327">
        <f t="shared" si="15"/>
        <v>0</v>
      </c>
      <c r="AB61" s="327">
        <f t="shared" si="15"/>
        <v>0</v>
      </c>
      <c r="AC61" s="327">
        <f t="shared" si="15"/>
        <v>0</v>
      </c>
      <c r="AD61" s="327">
        <f t="shared" si="15"/>
        <v>0</v>
      </c>
      <c r="AE61" s="327">
        <f t="shared" si="15"/>
        <v>0</v>
      </c>
      <c r="AF61" s="327">
        <f t="shared" si="15"/>
        <v>0</v>
      </c>
      <c r="AG61" s="327">
        <f t="shared" si="15"/>
        <v>0</v>
      </c>
      <c r="AH61" s="327">
        <f t="shared" si="15"/>
        <v>0</v>
      </c>
      <c r="AI61" s="327">
        <f t="shared" si="15"/>
        <v>0</v>
      </c>
      <c r="AJ61" s="327">
        <f t="shared" si="15"/>
        <v>0</v>
      </c>
      <c r="AK61" s="327">
        <f t="shared" si="15"/>
        <v>0</v>
      </c>
      <c r="AL61" s="327">
        <f t="shared" si="15"/>
        <v>0</v>
      </c>
      <c r="AM61" s="327">
        <f t="shared" si="15"/>
        <v>0</v>
      </c>
      <c r="AN61" s="327">
        <f t="shared" si="15"/>
        <v>0</v>
      </c>
      <c r="AO61" s="327">
        <f t="shared" si="15"/>
        <v>0</v>
      </c>
      <c r="AP61" s="327">
        <f t="shared" si="15"/>
        <v>0</v>
      </c>
      <c r="AQ61" s="327">
        <f t="shared" si="15"/>
        <v>0</v>
      </c>
      <c r="AR61" s="327">
        <f t="shared" si="15"/>
        <v>0</v>
      </c>
      <c r="AS61" s="327">
        <f t="shared" si="15"/>
        <v>0</v>
      </c>
      <c r="AT61" s="327">
        <f t="shared" si="15"/>
        <v>0</v>
      </c>
      <c r="AU61" s="327">
        <f t="shared" si="15"/>
        <v>0</v>
      </c>
      <c r="AV61" s="327">
        <f t="shared" si="15"/>
        <v>0</v>
      </c>
      <c r="AW61" s="327">
        <f t="shared" si="15"/>
        <v>0</v>
      </c>
      <c r="AX61" s="327">
        <f t="shared" si="15"/>
        <v>0</v>
      </c>
      <c r="AY61" s="327">
        <f t="shared" si="15"/>
        <v>0</v>
      </c>
      <c r="AZ61" s="327">
        <f t="shared" si="15"/>
        <v>0</v>
      </c>
      <c r="BA61" s="327">
        <f t="shared" si="15"/>
        <v>0</v>
      </c>
      <c r="BB61" s="327">
        <f t="shared" si="15"/>
        <v>0</v>
      </c>
      <c r="BC61" s="327">
        <f t="shared" si="15"/>
        <v>0</v>
      </c>
      <c r="BD61" s="327">
        <f t="shared" si="15"/>
        <v>0</v>
      </c>
      <c r="BE61" s="327">
        <f t="shared" si="15"/>
        <v>0</v>
      </c>
      <c r="BF61" s="327">
        <f t="shared" si="15"/>
        <v>0</v>
      </c>
      <c r="BG61" s="327">
        <f t="shared" si="15"/>
        <v>0</v>
      </c>
      <c r="BH61" s="327">
        <f t="shared" si="15"/>
        <v>0</v>
      </c>
      <c r="BI61" s="327">
        <f t="shared" si="15"/>
        <v>0</v>
      </c>
      <c r="BJ61" s="327">
        <f t="shared" si="15"/>
        <v>0</v>
      </c>
      <c r="BK61" s="327">
        <f t="shared" si="15"/>
        <v>0</v>
      </c>
      <c r="BL61" s="327">
        <f t="shared" si="15"/>
        <v>0</v>
      </c>
    </row>
    <row r="62" spans="1:64" x14ac:dyDescent="0.15">
      <c r="C62" s="206" t="s">
        <v>247</v>
      </c>
      <c r="E62" s="172">
        <f t="shared" ref="E62:BL62" si="16">-E18*E14</f>
        <v>0.14176094576083345</v>
      </c>
      <c r="F62" s="172">
        <f t="shared" si="16"/>
        <v>5.1583275153854732E-2</v>
      </c>
      <c r="G62" s="172">
        <f t="shared" si="16"/>
        <v>4.6882355491601482E-2</v>
      </c>
      <c r="H62" s="172">
        <f t="shared" si="16"/>
        <v>1.3248463020402654E-2</v>
      </c>
      <c r="I62" s="172">
        <f t="shared" si="16"/>
        <v>1.1924663694007201E-2</v>
      </c>
      <c r="J62" s="172">
        <f t="shared" si="16"/>
        <v>1.0639336945328691E-2</v>
      </c>
      <c r="K62" s="172">
        <f t="shared" si="16"/>
        <v>9.374318663094551E-3</v>
      </c>
      <c r="L62" s="172">
        <f t="shared" si="16"/>
        <v>8.1568141111067558E-3</v>
      </c>
      <c r="M62" s="172">
        <f t="shared" si="16"/>
        <v>6.9692513696715235E-3</v>
      </c>
      <c r="N62" s="172">
        <f t="shared" si="16"/>
        <v>5.792339389242499E-3</v>
      </c>
      <c r="O62" s="172">
        <f t="shared" si="16"/>
        <v>4.6271380958172069E-3</v>
      </c>
      <c r="P62" s="172">
        <f t="shared" si="16"/>
        <v>3.4723681038908937E-3</v>
      </c>
      <c r="Q62" s="172">
        <f t="shared" si="16"/>
        <v>2.3255362451179654E-3</v>
      </c>
      <c r="R62" s="172">
        <f t="shared" si="16"/>
        <v>0</v>
      </c>
      <c r="S62" s="172">
        <f t="shared" si="16"/>
        <v>0</v>
      </c>
      <c r="T62" s="172">
        <f t="shared" si="16"/>
        <v>0</v>
      </c>
      <c r="U62" s="172">
        <f t="shared" si="16"/>
        <v>0</v>
      </c>
      <c r="V62" s="172">
        <f t="shared" si="16"/>
        <v>0</v>
      </c>
      <c r="W62" s="172">
        <f t="shared" si="16"/>
        <v>0</v>
      </c>
      <c r="X62" s="172">
        <f t="shared" si="16"/>
        <v>0</v>
      </c>
      <c r="Y62" s="172">
        <f t="shared" si="16"/>
        <v>0</v>
      </c>
      <c r="Z62" s="172">
        <f t="shared" si="16"/>
        <v>0</v>
      </c>
      <c r="AA62" s="172">
        <f t="shared" si="16"/>
        <v>0</v>
      </c>
      <c r="AB62" s="172">
        <f t="shared" si="16"/>
        <v>0</v>
      </c>
      <c r="AC62" s="172">
        <f t="shared" si="16"/>
        <v>0</v>
      </c>
      <c r="AD62" s="172">
        <f t="shared" si="16"/>
        <v>0</v>
      </c>
      <c r="AE62" s="172">
        <f t="shared" si="16"/>
        <v>0</v>
      </c>
      <c r="AF62" s="172">
        <f t="shared" si="16"/>
        <v>0</v>
      </c>
      <c r="AG62" s="172">
        <f t="shared" si="16"/>
        <v>0</v>
      </c>
      <c r="AH62" s="172">
        <f t="shared" si="16"/>
        <v>0</v>
      </c>
      <c r="AI62" s="172">
        <f t="shared" si="16"/>
        <v>0</v>
      </c>
      <c r="AJ62" s="172">
        <f t="shared" si="16"/>
        <v>0</v>
      </c>
      <c r="AK62" s="172">
        <f t="shared" si="16"/>
        <v>0</v>
      </c>
      <c r="AL62" s="172">
        <f t="shared" si="16"/>
        <v>0</v>
      </c>
      <c r="AM62" s="172">
        <f t="shared" si="16"/>
        <v>0</v>
      </c>
      <c r="AN62" s="172">
        <f t="shared" si="16"/>
        <v>0</v>
      </c>
      <c r="AO62" s="172">
        <f t="shared" si="16"/>
        <v>0</v>
      </c>
      <c r="AP62" s="172">
        <f t="shared" si="16"/>
        <v>0</v>
      </c>
      <c r="AQ62" s="172">
        <f t="shared" si="16"/>
        <v>0</v>
      </c>
      <c r="AR62" s="172">
        <f t="shared" si="16"/>
        <v>0</v>
      </c>
      <c r="AS62" s="172">
        <f t="shared" si="16"/>
        <v>0</v>
      </c>
      <c r="AT62" s="172">
        <f t="shared" si="16"/>
        <v>0</v>
      </c>
      <c r="AU62" s="172">
        <f t="shared" si="16"/>
        <v>0</v>
      </c>
      <c r="AV62" s="172">
        <f t="shared" si="16"/>
        <v>0</v>
      </c>
      <c r="AW62" s="172">
        <f t="shared" si="16"/>
        <v>0</v>
      </c>
      <c r="AX62" s="172">
        <f t="shared" si="16"/>
        <v>0</v>
      </c>
      <c r="AY62" s="172">
        <f t="shared" si="16"/>
        <v>0</v>
      </c>
      <c r="AZ62" s="172">
        <f t="shared" si="16"/>
        <v>0</v>
      </c>
      <c r="BA62" s="172">
        <f t="shared" si="16"/>
        <v>0</v>
      </c>
      <c r="BB62" s="172">
        <f t="shared" si="16"/>
        <v>0</v>
      </c>
      <c r="BC62" s="172">
        <f t="shared" si="16"/>
        <v>0</v>
      </c>
      <c r="BD62" s="172">
        <f t="shared" si="16"/>
        <v>0</v>
      </c>
      <c r="BE62" s="172">
        <f t="shared" si="16"/>
        <v>0</v>
      </c>
      <c r="BF62" s="172">
        <f t="shared" si="16"/>
        <v>0</v>
      </c>
      <c r="BG62" s="172">
        <f t="shared" si="16"/>
        <v>0</v>
      </c>
      <c r="BH62" s="172">
        <f t="shared" si="16"/>
        <v>0</v>
      </c>
      <c r="BI62" s="172">
        <f t="shared" si="16"/>
        <v>0</v>
      </c>
      <c r="BJ62" s="172">
        <f t="shared" si="16"/>
        <v>0</v>
      </c>
      <c r="BK62" s="172">
        <f t="shared" si="16"/>
        <v>0</v>
      </c>
      <c r="BL62" s="172">
        <f t="shared" si="16"/>
        <v>0</v>
      </c>
    </row>
    <row r="63" spans="1:64" x14ac:dyDescent="0.15">
      <c r="A63" s="188"/>
      <c r="C63" s="206" t="s">
        <v>425</v>
      </c>
      <c r="E63" s="172">
        <f>Leadsheet!E10*Leadsheet!E33*Leadsheet!E35*Leadsheet!E36+Leadsheet!E10/(1+Leadsheet!E34*Leadsheet!E35)*Leadsheet!E34*Leadsheet!E35*Leadsheet!E36</f>
        <v>0.71166346167085082</v>
      </c>
    </row>
    <row r="64" spans="1:64" x14ac:dyDescent="0.15">
      <c r="C64" s="116" t="s">
        <v>125</v>
      </c>
      <c r="E64" s="172">
        <f>SUM(E65:E66)</f>
        <v>0</v>
      </c>
      <c r="F64" s="172">
        <f t="shared" ref="F64:BL64" si="17">SUM(F65:F66)</f>
        <v>0</v>
      </c>
      <c r="G64" s="172">
        <f t="shared" si="17"/>
        <v>0</v>
      </c>
      <c r="H64" s="172">
        <f t="shared" si="17"/>
        <v>0</v>
      </c>
      <c r="I64" s="172">
        <f t="shared" si="17"/>
        <v>0</v>
      </c>
      <c r="J64" s="172">
        <f t="shared" si="17"/>
        <v>0</v>
      </c>
      <c r="K64" s="172">
        <f t="shared" si="17"/>
        <v>0</v>
      </c>
      <c r="L64" s="172">
        <f t="shared" si="17"/>
        <v>0</v>
      </c>
      <c r="M64" s="172">
        <f t="shared" si="17"/>
        <v>0</v>
      </c>
      <c r="N64" s="172">
        <f t="shared" si="17"/>
        <v>0</v>
      </c>
      <c r="O64" s="172">
        <f t="shared" si="17"/>
        <v>0</v>
      </c>
      <c r="P64" s="172">
        <f t="shared" si="17"/>
        <v>0</v>
      </c>
      <c r="Q64" s="172">
        <f t="shared" si="17"/>
        <v>0</v>
      </c>
      <c r="R64" s="172">
        <f t="shared" si="17"/>
        <v>0</v>
      </c>
      <c r="S64" s="172">
        <f t="shared" si="17"/>
        <v>0</v>
      </c>
      <c r="T64" s="172">
        <f t="shared" si="17"/>
        <v>0</v>
      </c>
      <c r="U64" s="172">
        <f t="shared" si="17"/>
        <v>0</v>
      </c>
      <c r="V64" s="172">
        <f t="shared" si="17"/>
        <v>0</v>
      </c>
      <c r="W64" s="172">
        <f t="shared" si="17"/>
        <v>0</v>
      </c>
      <c r="X64" s="172">
        <f t="shared" si="17"/>
        <v>0</v>
      </c>
      <c r="Y64" s="172">
        <f t="shared" si="17"/>
        <v>0</v>
      </c>
      <c r="Z64" s="172">
        <f t="shared" si="17"/>
        <v>0</v>
      </c>
      <c r="AA64" s="172">
        <f t="shared" si="17"/>
        <v>0</v>
      </c>
      <c r="AB64" s="172">
        <f t="shared" si="17"/>
        <v>0</v>
      </c>
      <c r="AC64" s="172">
        <f t="shared" si="17"/>
        <v>0</v>
      </c>
      <c r="AD64" s="172">
        <f t="shared" si="17"/>
        <v>0</v>
      </c>
      <c r="AE64" s="172">
        <f t="shared" si="17"/>
        <v>0</v>
      </c>
      <c r="AF64" s="172">
        <f t="shared" si="17"/>
        <v>0</v>
      </c>
      <c r="AG64" s="172">
        <f t="shared" si="17"/>
        <v>0</v>
      </c>
      <c r="AH64" s="172">
        <f t="shared" si="17"/>
        <v>0</v>
      </c>
      <c r="AI64" s="172">
        <f t="shared" si="17"/>
        <v>0</v>
      </c>
      <c r="AJ64" s="172">
        <f t="shared" si="17"/>
        <v>0</v>
      </c>
      <c r="AK64" s="172">
        <f t="shared" si="17"/>
        <v>0</v>
      </c>
      <c r="AL64" s="172">
        <f t="shared" si="17"/>
        <v>0</v>
      </c>
      <c r="AM64" s="172">
        <f t="shared" si="17"/>
        <v>0</v>
      </c>
      <c r="AN64" s="172">
        <f t="shared" si="17"/>
        <v>0</v>
      </c>
      <c r="AO64" s="172">
        <f t="shared" si="17"/>
        <v>0</v>
      </c>
      <c r="AP64" s="172">
        <f t="shared" si="17"/>
        <v>0</v>
      </c>
      <c r="AQ64" s="172">
        <f t="shared" si="17"/>
        <v>0</v>
      </c>
      <c r="AR64" s="172">
        <f t="shared" si="17"/>
        <v>0</v>
      </c>
      <c r="AS64" s="172">
        <f t="shared" si="17"/>
        <v>0</v>
      </c>
      <c r="AT64" s="172">
        <f t="shared" si="17"/>
        <v>0</v>
      </c>
      <c r="AU64" s="172">
        <f t="shared" si="17"/>
        <v>0</v>
      </c>
      <c r="AV64" s="172">
        <f t="shared" si="17"/>
        <v>0</v>
      </c>
      <c r="AW64" s="172">
        <f t="shared" si="17"/>
        <v>0</v>
      </c>
      <c r="AX64" s="172">
        <f t="shared" si="17"/>
        <v>0</v>
      </c>
      <c r="AY64" s="172">
        <f t="shared" si="17"/>
        <v>0</v>
      </c>
      <c r="AZ64" s="172">
        <f t="shared" si="17"/>
        <v>0</v>
      </c>
      <c r="BA64" s="172">
        <f t="shared" si="17"/>
        <v>0</v>
      </c>
      <c r="BB64" s="172">
        <f t="shared" si="17"/>
        <v>0</v>
      </c>
      <c r="BC64" s="172">
        <f t="shared" si="17"/>
        <v>0</v>
      </c>
      <c r="BD64" s="172">
        <f t="shared" si="17"/>
        <v>0</v>
      </c>
      <c r="BE64" s="172">
        <f t="shared" si="17"/>
        <v>0</v>
      </c>
      <c r="BF64" s="172">
        <f t="shared" si="17"/>
        <v>0</v>
      </c>
      <c r="BG64" s="172">
        <f t="shared" si="17"/>
        <v>0</v>
      </c>
      <c r="BH64" s="172">
        <f t="shared" si="17"/>
        <v>0</v>
      </c>
      <c r="BI64" s="172">
        <f t="shared" si="17"/>
        <v>0</v>
      </c>
      <c r="BJ64" s="172">
        <f t="shared" si="17"/>
        <v>0</v>
      </c>
      <c r="BK64" s="172">
        <f t="shared" si="17"/>
        <v>0</v>
      </c>
      <c r="BL64" s="172">
        <f t="shared" si="17"/>
        <v>0</v>
      </c>
    </row>
    <row r="65" spans="2:64" x14ac:dyDescent="0.15">
      <c r="C65" s="213" t="s">
        <v>250</v>
      </c>
      <c r="E65" s="172">
        <f>Leadsheet!E10*Leadsheet!E39+Leadsheet!E38</f>
        <v>0</v>
      </c>
      <c r="F65" s="172"/>
      <c r="G65" s="172"/>
      <c r="H65" s="172"/>
      <c r="I65" s="172"/>
      <c r="J65" s="172"/>
      <c r="K65" s="172"/>
      <c r="L65" s="172"/>
      <c r="M65" s="172"/>
      <c r="N65" s="172"/>
      <c r="O65" s="172"/>
      <c r="P65" s="172"/>
      <c r="Q65" s="172"/>
      <c r="R65" s="172"/>
      <c r="S65" s="172"/>
      <c r="T65" s="172"/>
      <c r="U65" s="172"/>
      <c r="V65" s="172"/>
      <c r="W65" s="172"/>
      <c r="X65" s="172"/>
      <c r="Y65" s="172"/>
      <c r="Z65" s="172"/>
      <c r="AA65" s="172"/>
      <c r="AB65" s="172"/>
      <c r="AC65" s="172"/>
      <c r="AD65" s="172"/>
      <c r="AE65" s="172"/>
      <c r="AF65" s="172"/>
      <c r="AG65" s="172"/>
      <c r="AH65" s="172"/>
      <c r="AI65" s="172"/>
      <c r="AJ65" s="172"/>
      <c r="AK65" s="172"/>
      <c r="AL65" s="172"/>
      <c r="AM65" s="172"/>
      <c r="AN65" s="172"/>
      <c r="AO65" s="172"/>
      <c r="AP65" s="172"/>
      <c r="AQ65" s="172"/>
      <c r="AR65" s="172"/>
      <c r="AS65" s="172"/>
      <c r="AT65" s="172"/>
      <c r="AU65" s="172"/>
      <c r="AV65" s="172"/>
      <c r="AW65" s="172"/>
      <c r="AX65" s="172"/>
      <c r="AY65" s="172"/>
      <c r="AZ65" s="172"/>
      <c r="BA65" s="172"/>
      <c r="BB65" s="172"/>
      <c r="BC65" s="172"/>
      <c r="BD65" s="172"/>
      <c r="BE65" s="172"/>
      <c r="BF65" s="172"/>
      <c r="BG65" s="172"/>
      <c r="BH65" s="172"/>
      <c r="BI65" s="172"/>
      <c r="BJ65" s="172"/>
      <c r="BK65" s="172"/>
      <c r="BL65" s="172"/>
    </row>
    <row r="66" spans="2:64" x14ac:dyDescent="0.15">
      <c r="C66" s="213" t="s">
        <v>253</v>
      </c>
      <c r="E66" s="172">
        <f>IF(E5&gt;$D$6,0,$D$17*Leadsheet!$E$40*D16*((D27*(1-Leadsheet!$D$91)+D28*Leadsheet!$E$117)/D45))</f>
        <v>0</v>
      </c>
      <c r="F66" s="172">
        <f>IF(F5&gt;$D$6,0,$D$17*Leadsheet!$E$40*E16*((E27*(1-Leadsheet!$D$91)+E28*Leadsheet!$E$117)/E45))</f>
        <v>0</v>
      </c>
      <c r="G66" s="172">
        <f>IF(G5&gt;$D$6,0,$D$17*Leadsheet!$E$40*F16*((F27*(1-Leadsheet!$D$91)+F28*Leadsheet!$E$117)/F45))</f>
        <v>0</v>
      </c>
      <c r="H66" s="172">
        <f>IF(H5&gt;$D$6,0,$D$17*Leadsheet!$E$40*G16*((G27*(1-Leadsheet!$D$91)+G28*Leadsheet!$E$117)/G45))</f>
        <v>0</v>
      </c>
      <c r="I66" s="172">
        <f>IF(I5&gt;$D$6,0,$D$17*Leadsheet!$E$40*H16*((H27*(1-Leadsheet!$D$91)+H28*Leadsheet!$E$117)/H45))</f>
        <v>0</v>
      </c>
      <c r="J66" s="172">
        <f>IF(J5&gt;$D$6,0,$D$17*Leadsheet!$E$40*I16*((I27*(1-Leadsheet!$D$91)+I28*Leadsheet!$E$117)/I45))</f>
        <v>0</v>
      </c>
      <c r="K66" s="172">
        <f>IF(K5&gt;$D$6,0,$D$17*Leadsheet!$E$40*J16*((J27*(1-Leadsheet!$D$91)+J28*Leadsheet!$E$117)/J45))</f>
        <v>0</v>
      </c>
      <c r="L66" s="172">
        <f>IF(L5&gt;$D$6,0,$D$17*Leadsheet!$E$40*K16*((K27*(1-Leadsheet!$D$91)+K28*Leadsheet!$E$117)/K45))</f>
        <v>0</v>
      </c>
      <c r="M66" s="172">
        <f>IF(M5&gt;$D$6,0,$D$17*Leadsheet!$E$40*L16*((L27*(1-Leadsheet!$D$91)+L28*Leadsheet!$E$117)/L45))</f>
        <v>0</v>
      </c>
      <c r="N66" s="172">
        <f>IF(N5&gt;$D$6,0,$D$17*Leadsheet!$E$40*M16*((M27*(1-Leadsheet!$D$91)+M28*Leadsheet!$E$117)/M45))</f>
        <v>0</v>
      </c>
      <c r="O66" s="172">
        <f>IF(O5&gt;$D$6,0,$D$17*Leadsheet!$E$40*N16*((N27*(1-Leadsheet!$D$91)+N28*Leadsheet!$E$117)/N45))</f>
        <v>0</v>
      </c>
      <c r="P66" s="172">
        <f>IF(P5&gt;$D$6,0,$D$17*Leadsheet!$E$40*O16*((O27*(1-Leadsheet!$D$91)+O28*Leadsheet!$E$117)/O45))</f>
        <v>0</v>
      </c>
      <c r="Q66" s="172">
        <f>IF(Q5&gt;$D$6,0,$D$17*Leadsheet!$E$40*P16*((P27*(1-Leadsheet!$D$91)+P28*Leadsheet!$E$117)/P45))</f>
        <v>0</v>
      </c>
      <c r="R66" s="172">
        <f>IF(R5&gt;$D$6,0,$D$17*Leadsheet!$E$40*Q16*((Q27*(1-Leadsheet!$D$91)+Q28*Leadsheet!$E$117)/Q45))</f>
        <v>0</v>
      </c>
      <c r="S66" s="172">
        <f>IF(S5&gt;$D$6,0,$D$17*Leadsheet!$E$40*R16*((R27*(1-Leadsheet!$D$91)+R28*Leadsheet!$E$117)/R45))</f>
        <v>0</v>
      </c>
      <c r="T66" s="172">
        <f>IF(T5&gt;$D$6,0,$D$17*Leadsheet!$E$40*S16*((S27*(1-Leadsheet!$D$91)+S28*Leadsheet!$E$117)/S45))</f>
        <v>0</v>
      </c>
      <c r="U66" s="172">
        <f>IF(U5&gt;$D$6,0,$D$17*Leadsheet!$E$40*T16*((T27*(1-Leadsheet!$D$91)+T28*Leadsheet!$E$117)/T45))</f>
        <v>0</v>
      </c>
      <c r="V66" s="172">
        <f>IF(V5&gt;$D$6,0,$D$17*Leadsheet!$E$40*U16*((U27*(1-Leadsheet!$D$91)+U28*Leadsheet!$E$117)/U45))</f>
        <v>0</v>
      </c>
      <c r="W66" s="172">
        <f>IF(W5&gt;$D$6,0,$D$17*Leadsheet!$E$40*V16*((V27*(1-Leadsheet!$D$91)+V28*Leadsheet!$E$117)/V45))</f>
        <v>0</v>
      </c>
      <c r="X66" s="172">
        <f>IF(X5&gt;$D$6,0,$D$17*Leadsheet!$E$40*W16*((W27*(1-Leadsheet!$D$91)+W28*Leadsheet!$E$117)/W45))</f>
        <v>0</v>
      </c>
      <c r="Y66" s="172">
        <f>IF(Y5&gt;$D$6,0,$D$17*Leadsheet!$E$40*X16*((X27*(1-Leadsheet!$D$91)+X28*Leadsheet!$E$117)/X45))</f>
        <v>0</v>
      </c>
      <c r="Z66" s="172">
        <f>IF(Z5&gt;$D$6,0,$D$17*Leadsheet!$E$40*Y16*((Y27*(1-Leadsheet!$D$91)+Y28*Leadsheet!$E$117)/Y45))</f>
        <v>0</v>
      </c>
      <c r="AA66" s="172">
        <f>IF(AA5&gt;$D$6,0,$D$17*Leadsheet!$E$40*Z16*((Z27*(1-Leadsheet!$D$91)+Z28*Leadsheet!$E$117)/Z45))</f>
        <v>0</v>
      </c>
      <c r="AB66" s="172">
        <f>IF(AB5&gt;$D$6,0,$D$17*Leadsheet!$E$40*AA16*((AA27*(1-Leadsheet!$D$91)+AA28*Leadsheet!$E$117)/AA45))</f>
        <v>0</v>
      </c>
      <c r="AC66" s="172">
        <f>IF(AC5&gt;$D$6,0,$D$17*Leadsheet!$E$40*AB16*((AB27*(1-Leadsheet!$D$91)+AB28*Leadsheet!$E$117)/AB45))</f>
        <v>0</v>
      </c>
      <c r="AD66" s="172">
        <f>IF(AD5&gt;$D$6,0,$D$17*Leadsheet!$E$40*AC16*((AC27*(1-Leadsheet!$D$91)+AC28*Leadsheet!$E$117)/AC45))</f>
        <v>0</v>
      </c>
      <c r="AE66" s="172">
        <f>IF(AE5&gt;$D$6,0,$D$17*Leadsheet!$E$40*AD16*((AD27*(1-Leadsheet!$D$91)+AD28*Leadsheet!$E$117)/AD45))</f>
        <v>0</v>
      </c>
      <c r="AF66" s="172">
        <f>IF(AF5&gt;$D$6,0,$D$17*Leadsheet!$E$40*AE16*((AE27*(1-Leadsheet!$D$91)+AE28*Leadsheet!$E$117)/AE45))</f>
        <v>0</v>
      </c>
      <c r="AG66" s="172">
        <f>IF(AG5&gt;$D$6,0,$D$17*Leadsheet!$E$40*AF16*((AF27*(1-Leadsheet!$D$91)+AF28*Leadsheet!$E$117)/AF45))</f>
        <v>0</v>
      </c>
      <c r="AH66" s="172">
        <f>IF(AH5&gt;$D$6,0,$D$17*Leadsheet!$E$40*AG16*((AG27*(1-Leadsheet!$D$91)+AG28*Leadsheet!$E$117)/AG45))</f>
        <v>0</v>
      </c>
      <c r="AI66" s="172">
        <f>IF(AI5&gt;$D$6,0,$D$17*Leadsheet!$E$40*AH16*((AH27*(1-Leadsheet!$D$91)+AH28*Leadsheet!$E$117)/AH45))</f>
        <v>0</v>
      </c>
      <c r="AJ66" s="172">
        <f>IF(AJ5&gt;$D$6,0,$D$17*Leadsheet!$E$40*AI16*((AI27*(1-Leadsheet!$D$91)+AI28*Leadsheet!$E$117)/AI45))</f>
        <v>0</v>
      </c>
      <c r="AK66" s="172">
        <f>IF(AK5&gt;$D$6,0,$D$17*Leadsheet!$E$40*AJ16*((AJ27*(1-Leadsheet!$D$91)+AJ28*Leadsheet!$E$117)/AJ45))</f>
        <v>0</v>
      </c>
      <c r="AL66" s="172">
        <f>IF(AL5&gt;$D$6,0,$D$17*Leadsheet!$E$40*AK16*((AK27*(1-Leadsheet!$D$91)+AK28*Leadsheet!$E$117)/AK45))</f>
        <v>0</v>
      </c>
      <c r="AM66" s="172">
        <f>IF(AM5&gt;$D$6,0,$D$17*Leadsheet!$E$40*AL16*((AL27*(1-Leadsheet!$D$91)+AL28*Leadsheet!$E$117)/AL45))</f>
        <v>0</v>
      </c>
      <c r="AN66" s="172">
        <f>IF(AN5&gt;$D$6,0,$D$17*Leadsheet!$E$40*AM16*((AM27*(1-Leadsheet!$D$91)+AM28*Leadsheet!$E$117)/AM45))</f>
        <v>0</v>
      </c>
      <c r="AO66" s="172">
        <f>IF(AO5&gt;$D$6,0,$D$17*Leadsheet!$E$40*AN16*((AN27*(1-Leadsheet!$D$91)+AN28*Leadsheet!$E$117)/AN45))</f>
        <v>0</v>
      </c>
      <c r="AP66" s="172">
        <f>IF(AP5&gt;$D$6,0,$D$17*Leadsheet!$E$40*AO16*((AO27*(1-Leadsheet!$D$91)+AO28*Leadsheet!$E$117)/AO45))</f>
        <v>0</v>
      </c>
      <c r="AQ66" s="172">
        <f>IF(AQ5&gt;$D$6,0,$D$17*Leadsheet!$E$40*AP16*((AP27*(1-Leadsheet!$D$91)+AP28*Leadsheet!$E$117)/AP45))</f>
        <v>0</v>
      </c>
      <c r="AR66" s="172">
        <f>IF(AR5&gt;$D$6,0,$D$17*Leadsheet!$E$40*AQ16*((AQ27*(1-Leadsheet!$D$91)+AQ28*Leadsheet!$E$117)/AQ45))</f>
        <v>0</v>
      </c>
      <c r="AS66" s="172">
        <f>IF(AS5&gt;$D$6,0,$D$17*Leadsheet!$E$40*AR16*((AR27*(1-Leadsheet!$D$91)+AR28*Leadsheet!$E$117)/AR45))</f>
        <v>0</v>
      </c>
      <c r="AT66" s="172">
        <f>IF(AT5&gt;$D$6,0,$D$17*Leadsheet!$E$40*AS16*((AS27*(1-Leadsheet!$D$91)+AS28*Leadsheet!$E$117)/AS45))</f>
        <v>0</v>
      </c>
      <c r="AU66" s="172">
        <f>IF(AU5&gt;$D$6,0,$D$17*Leadsheet!$E$40*AT16*((AT27*(1-Leadsheet!$D$91)+AT28*Leadsheet!$E$117)/AT45))</f>
        <v>0</v>
      </c>
      <c r="AV66" s="172">
        <f>IF(AV5&gt;$D$6,0,$D$17*Leadsheet!$E$40*AU16*((AU27*(1-Leadsheet!$D$91)+AU28*Leadsheet!$E$117)/AU45))</f>
        <v>0</v>
      </c>
      <c r="AW66" s="172">
        <f>IF(AW5&gt;$D$6,0,$D$17*Leadsheet!$E$40*AV16*((AV27*(1-Leadsheet!$D$91)+AV28*Leadsheet!$E$117)/AV45))</f>
        <v>0</v>
      </c>
      <c r="AX66" s="172">
        <f>IF(AX5&gt;$D$6,0,$D$17*Leadsheet!$E$40*AW16*((AW27*(1-Leadsheet!$D$91)+AW28*Leadsheet!$E$117)/AW45))</f>
        <v>0</v>
      </c>
      <c r="AY66" s="172">
        <f>IF(AY5&gt;$D$6,0,$D$17*Leadsheet!$E$40*AX16*((AX27*(1-Leadsheet!$D$91)+AX28*Leadsheet!$E$117)/AX45))</f>
        <v>0</v>
      </c>
      <c r="AZ66" s="172">
        <f>IF(AZ5&gt;$D$6,0,$D$17*Leadsheet!$E$40*AY16*((AY27*(1-Leadsheet!$D$91)+AY28*Leadsheet!$E$117)/AY45))</f>
        <v>0</v>
      </c>
      <c r="BA66" s="172">
        <f>IF(BA5&gt;$D$6,0,$D$17*Leadsheet!$E$40*AZ16*((AZ27*(1-Leadsheet!$D$91)+AZ28*Leadsheet!$E$117)/AZ45))</f>
        <v>0</v>
      </c>
      <c r="BB66" s="172">
        <f>IF(BB5&gt;$D$6,0,$D$17*Leadsheet!$E$40*BA16*((BA27*(1-Leadsheet!$D$91)+BA28*Leadsheet!$E$117)/BA45))</f>
        <v>0</v>
      </c>
      <c r="BC66" s="172">
        <f>IF(BC5&gt;$D$6,0,$D$17*Leadsheet!$E$40*BB16*((BB27*(1-Leadsheet!$D$91)+BB28*Leadsheet!$E$117)/BB45))</f>
        <v>0</v>
      </c>
      <c r="BD66" s="172">
        <f>IF(BD5&gt;$D$6,0,$D$17*Leadsheet!$E$40*BC16*((BC27*(1-Leadsheet!$D$91)+BC28*Leadsheet!$E$117)/BC45))</f>
        <v>0</v>
      </c>
      <c r="BE66" s="172">
        <f>IF(BE5&gt;$D$6,0,$D$17*Leadsheet!$E$40*BD16*((BD27*(1-Leadsheet!$D$91)+BD28*Leadsheet!$E$117)/BD45))</f>
        <v>0</v>
      </c>
      <c r="BF66" s="172">
        <f>IF(BF5&gt;$D$6,0,$D$17*Leadsheet!$E$40*BE16*((BE27*(1-Leadsheet!$D$91)+BE28*Leadsheet!$E$117)/BE45))</f>
        <v>0</v>
      </c>
      <c r="BG66" s="172">
        <f>IF(BG5&gt;$D$6,0,$D$17*Leadsheet!$E$40*BF16*((BF27*(1-Leadsheet!$D$91)+BF28*Leadsheet!$E$117)/BF45))</f>
        <v>0</v>
      </c>
      <c r="BH66" s="172">
        <f>IF(BH5&gt;$D$6,0,$D$17*Leadsheet!$E$40*BG16*((BG27*(1-Leadsheet!$D$91)+BG28*Leadsheet!$E$117)/BG45))</f>
        <v>0</v>
      </c>
      <c r="BI66" s="172">
        <f>IF(BI5&gt;$D$6,0,$D$17*Leadsheet!$E$40*BH16*((BH27*(1-Leadsheet!$D$91)+BH28*Leadsheet!$E$117)/BH45))</f>
        <v>0</v>
      </c>
      <c r="BJ66" s="172">
        <f>IF(BJ5&gt;$D$6,0,$D$17*Leadsheet!$E$40*BI16*((BI27*(1-Leadsheet!$D$91)+BI28*Leadsheet!$E$117)/BI45))</f>
        <v>0</v>
      </c>
      <c r="BK66" s="172">
        <f>IF(BK5&gt;$D$6,0,$D$17*Leadsheet!$E$40*BJ16*((BJ27*(1-Leadsheet!$D$91)+BJ28*Leadsheet!$E$117)/BJ45))</f>
        <v>0</v>
      </c>
      <c r="BL66" s="172">
        <f>IF(BL5&gt;$D$6,0,$D$17*Leadsheet!$E$40*BK16*((BK27*(1-Leadsheet!$D$91)+BK28*Leadsheet!$E$117)/BK45))</f>
        <v>0</v>
      </c>
    </row>
    <row r="67" spans="2:64" x14ac:dyDescent="0.15">
      <c r="C67" s="214"/>
      <c r="E67" s="172"/>
      <c r="F67" s="328"/>
      <c r="G67" s="328"/>
      <c r="H67" s="328"/>
      <c r="I67" s="328"/>
      <c r="J67" s="328"/>
      <c r="K67" s="328"/>
      <c r="L67" s="328"/>
      <c r="M67" s="328"/>
      <c r="N67" s="328"/>
      <c r="O67" s="328"/>
      <c r="P67" s="328"/>
      <c r="Q67" s="328"/>
      <c r="R67" s="328"/>
      <c r="S67" s="328"/>
      <c r="T67" s="328"/>
      <c r="U67" s="328"/>
      <c r="V67" s="328"/>
      <c r="W67" s="328"/>
      <c r="X67" s="328"/>
      <c r="Y67" s="328"/>
      <c r="Z67" s="328"/>
      <c r="AA67" s="328"/>
      <c r="AB67" s="328"/>
      <c r="AC67" s="328"/>
      <c r="AD67" s="328"/>
      <c r="AE67" s="328"/>
      <c r="AF67" s="328"/>
      <c r="AG67" s="328"/>
      <c r="AH67" s="328"/>
      <c r="AI67" s="328"/>
      <c r="AJ67" s="328"/>
      <c r="AK67" s="328"/>
      <c r="AL67" s="328"/>
      <c r="AM67" s="328"/>
      <c r="AN67" s="328"/>
      <c r="AO67" s="328"/>
      <c r="AP67" s="328"/>
      <c r="AQ67" s="328"/>
      <c r="AR67" s="328"/>
      <c r="AS67" s="328"/>
      <c r="AT67" s="328"/>
      <c r="AU67" s="328"/>
      <c r="AV67" s="328"/>
      <c r="AW67" s="328"/>
      <c r="AX67" s="328"/>
      <c r="AY67" s="328"/>
      <c r="AZ67" s="328"/>
      <c r="BA67" s="328"/>
      <c r="BB67" s="328"/>
      <c r="BC67" s="328"/>
      <c r="BD67" s="328"/>
      <c r="BE67" s="328"/>
      <c r="BF67" s="328"/>
      <c r="BG67" s="328"/>
      <c r="BH67" s="328"/>
      <c r="BI67" s="328"/>
      <c r="BJ67" s="328"/>
      <c r="BK67" s="328"/>
      <c r="BL67" s="328"/>
    </row>
    <row r="68" spans="2:64" x14ac:dyDescent="0.15">
      <c r="B68" s="329" t="s">
        <v>426</v>
      </c>
      <c r="C68" s="330"/>
      <c r="D68" s="330"/>
      <c r="E68" s="331" cm="1">
        <f t="array" ref="E68">IF(E5=$D$7,_xlfn.IFS(Leadsheet!$G$4="IFRS",0,Leadsheet!$G$5="DPD180+",(E180-E145)*(1+Leadsheet!$E$115),Leadsheet!$G$5="DPD360+",(E165-E145)*(1+Leadsheet!$E$115)),0)</f>
        <v>0</v>
      </c>
      <c r="F68" s="331" cm="1">
        <f t="array" ref="F68">IF(F5=$D$7,_xlfn.IFS(Leadsheet!$G$4="IFRS",0,Leadsheet!$G$5="DPD180+",(F180-F145)*(1+Leadsheet!$E$115),Leadsheet!$G$5="DPD360+",(F165-F145)*(1+Leadsheet!$E$115)),0)</f>
        <v>0</v>
      </c>
      <c r="G68" s="331" cm="1">
        <f t="array" ref="G68">IF(G5=$D$7,_xlfn.IFS(Leadsheet!$G$4="IFRS",0,Leadsheet!$G$5="DPD180+",(G180-G145)*(1+Leadsheet!$E$115),Leadsheet!$G$5="DPD360+",(G165-G145)*(1+Leadsheet!$E$115)),0)</f>
        <v>0</v>
      </c>
      <c r="H68" s="331" cm="1">
        <f t="array" ref="H68">IF(H5=$D$7,_xlfn.IFS(Leadsheet!$G$4="IFRS",0,Leadsheet!$G$5="DPD180+",(H180-H145)*(1+Leadsheet!$E$115),Leadsheet!$G$5="DPD360+",(H165-H145)*(1+Leadsheet!$E$115)),0)</f>
        <v>0</v>
      </c>
      <c r="I68" s="331" cm="1">
        <f t="array" ref="I68">IF(I5=$D$7,_xlfn.IFS(Leadsheet!$G$4="IFRS",0,Leadsheet!$G$5="DPD180+",(I180-I145)*(1+Leadsheet!$E$115),Leadsheet!$G$5="DPD360+",(I165-I145)*(1+Leadsheet!$E$115)),0)</f>
        <v>0</v>
      </c>
      <c r="J68" s="331" cm="1">
        <f t="array" ref="J68">IF(J5=$D$7,_xlfn.IFS(Leadsheet!$G$4="IFRS",0,Leadsheet!$G$5="DPD180+",(J180-J145)*(1+Leadsheet!$E$115),Leadsheet!$G$5="DPD360+",(J165-J145)*(1+Leadsheet!$E$115)),0)</f>
        <v>0</v>
      </c>
      <c r="K68" s="331" cm="1">
        <f t="array" ref="K68">IF(K5=$D$7,_xlfn.IFS(Leadsheet!$G$4="IFRS",0,Leadsheet!$G$5="DPD180+",(K180-K145)*(1+Leadsheet!$E$115),Leadsheet!$G$5="DPD360+",(K165-K145)*(1+Leadsheet!$E$115)),0)</f>
        <v>0</v>
      </c>
      <c r="L68" s="331" cm="1">
        <f t="array" ref="L68">IF(L5=$D$7,_xlfn.IFS(Leadsheet!$G$4="IFRS",0,Leadsheet!$G$5="DPD180+",(L180-L145)*(1+Leadsheet!$E$115),Leadsheet!$G$5="DPD360+",(L165-L145)*(1+Leadsheet!$E$115)),0)</f>
        <v>0</v>
      </c>
      <c r="M68" s="331" cm="1">
        <f t="array" ref="M68">IF(M5=$D$7,_xlfn.IFS(Leadsheet!$G$4="IFRS",0,Leadsheet!$G$5="DPD180+",(M180-M145)*(1+Leadsheet!$E$115),Leadsheet!$G$5="DPD360+",(M165-M145)*(1+Leadsheet!$E$115)),0)</f>
        <v>0</v>
      </c>
      <c r="N68" s="331" cm="1">
        <f t="array" ref="N68">IF(N5=$D$7,_xlfn.IFS(Leadsheet!$G$4="IFRS",0,Leadsheet!$G$5="DPD180+",(N180-N145)*(1+Leadsheet!$E$115),Leadsheet!$G$5="DPD360+",(N165-N145)*(1+Leadsheet!$E$115)),0)</f>
        <v>0</v>
      </c>
      <c r="O68" s="331" cm="1">
        <f t="array" ref="O68">IF(O5=$D$7,_xlfn.IFS(Leadsheet!$G$4="IFRS",0,Leadsheet!$G$5="DPD180+",(O180-O145)*(1+Leadsheet!$E$115),Leadsheet!$G$5="DPD360+",(O165-O145)*(1+Leadsheet!$E$115)),0)</f>
        <v>0</v>
      </c>
      <c r="P68" s="331" cm="1">
        <f t="array" ref="P68">IF(P5=$D$7,_xlfn.IFS(Leadsheet!$G$4="IFRS",0,Leadsheet!$G$5="DPD180+",(P180-P145)*(1+Leadsheet!$E$115),Leadsheet!$G$5="DPD360+",(P165-P145)*(1+Leadsheet!$E$115)),0)</f>
        <v>0</v>
      </c>
      <c r="Q68" s="331" cm="1">
        <f t="array" ref="Q68">IF(Q5=$D$7,_xlfn.IFS(Leadsheet!$G$4="IFRS",0,Leadsheet!$G$5="DPD180+",(Q180-Q145)*(1+Leadsheet!$E$115),Leadsheet!$G$5="DPD360+",(Q165-Q145)*(1+Leadsheet!$E$115)),0)</f>
        <v>0</v>
      </c>
      <c r="R68" s="331" cm="1">
        <f t="array" ref="R68">IF(R5=$D$7,_xlfn.IFS(Leadsheet!$G$4="IFRS",0,Leadsheet!$G$5="DPD180+",(R180-R145)*(1+Leadsheet!$E$115),Leadsheet!$G$5="DPD360+",(R165-R145)*(1+Leadsheet!$E$115)),0)</f>
        <v>0</v>
      </c>
      <c r="S68" s="331" cm="1">
        <f t="array" ref="S68">IF(S5=$D$7,_xlfn.IFS(Leadsheet!$G$4="IFRS",0,Leadsheet!$G$5="DPD180+",(S180-S145)*(1+Leadsheet!$E$115),Leadsheet!$G$5="DPD360+",(S165-S145)*(1+Leadsheet!$E$115)),0)</f>
        <v>0</v>
      </c>
      <c r="T68" s="331" cm="1">
        <f t="array" ref="T68">IF(T5=$D$7,_xlfn.IFS(Leadsheet!$G$4="IFRS",0,Leadsheet!$G$5="DPD180+",(T180-T145)*(1+Leadsheet!$E$115),Leadsheet!$G$5="DPD360+",(T165-T145)*(1+Leadsheet!$E$115)),0)</f>
        <v>0</v>
      </c>
      <c r="U68" s="331" cm="1">
        <f t="array" ref="U68">IF(U5=$D$7,_xlfn.IFS(Leadsheet!$G$4="IFRS",0,Leadsheet!$G$5="DPD180+",(U180-U145)*(1+Leadsheet!$E$115),Leadsheet!$G$5="DPD360+",(U165-U145)*(1+Leadsheet!$E$115)),0)</f>
        <v>0</v>
      </c>
      <c r="V68" s="331" cm="1">
        <f t="array" ref="V68">IF(V5=$D$7,_xlfn.IFS(Leadsheet!$G$4="IFRS",0,Leadsheet!$G$5="DPD180+",(V180-V145)*(1+Leadsheet!$E$115),Leadsheet!$G$5="DPD360+",(V165-V145)*(1+Leadsheet!$E$115)),0)</f>
        <v>0</v>
      </c>
      <c r="W68" s="331" cm="1">
        <f t="array" ref="W68">IF(W5=$D$7,_xlfn.IFS(Leadsheet!$G$4="IFRS",0,Leadsheet!$G$5="DPD180+",(W180-W145)*(1+Leadsheet!$E$115),Leadsheet!$G$5="DPD360+",(W165-W145)*(1+Leadsheet!$E$115)),0)</f>
        <v>0</v>
      </c>
      <c r="X68" s="331" cm="1">
        <f t="array" ref="X68">IF(X5=$D$7,_xlfn.IFS(Leadsheet!$G$4="IFRS",0,Leadsheet!$G$5="DPD180+",(X180-X145)*(1+Leadsheet!$E$115),Leadsheet!$G$5="DPD360+",(X165-X145)*(1+Leadsheet!$E$115)),0)</f>
        <v>0</v>
      </c>
      <c r="Y68" s="331" cm="1">
        <f t="array" ref="Y68">IF(Y5=$D$7,_xlfn.IFS(Leadsheet!$G$4="IFRS",0,Leadsheet!$G$5="DPD180+",(Y180-Y145)*(1+Leadsheet!$E$115),Leadsheet!$G$5="DPD360+",(Y165-Y145)*(1+Leadsheet!$E$115)),0)</f>
        <v>0</v>
      </c>
      <c r="Z68" s="331" cm="1">
        <f t="array" ref="Z68">IF(Z5=$D$7,_xlfn.IFS(Leadsheet!$G$4="IFRS",0,Leadsheet!$G$5="DPD180+",(Z180-Z145)*(1+Leadsheet!$E$115),Leadsheet!$G$5="DPD360+",(Z165-Z145)*(1+Leadsheet!$E$115)),0)</f>
        <v>0</v>
      </c>
      <c r="AA68" s="331" cm="1">
        <f t="array" ref="AA68">IF(AA5=$D$7,_xlfn.IFS(Leadsheet!$G$4="IFRS",0,Leadsheet!$G$5="DPD180+",(AA180-AA145)*(1+Leadsheet!$E$115),Leadsheet!$G$5="DPD360+",(AA165-AA145)*(1+Leadsheet!$E$115)),0)</f>
        <v>0</v>
      </c>
      <c r="AB68" s="331" cm="1">
        <f t="array" ref="AB68">IF(AB5=$D$7,_xlfn.IFS(Leadsheet!$G$4="IFRS",0,Leadsheet!$G$5="DPD180+",(AB180-AB145)*(1+Leadsheet!$E$115),Leadsheet!$G$5="DPD360+",(AB165-AB145)*(1+Leadsheet!$E$115)),0)</f>
        <v>0</v>
      </c>
      <c r="AC68" s="331" cm="1">
        <f t="array" ref="AC68">IF(AC5=$D$7,_xlfn.IFS(Leadsheet!$G$4="IFRS",0,Leadsheet!$G$5="DPD180+",(AC180-AC145)*(1+Leadsheet!$E$115),Leadsheet!$G$5="DPD360+",(AC165-AC145)*(1+Leadsheet!$E$115)),0)</f>
        <v>0</v>
      </c>
      <c r="AD68" s="331" cm="1">
        <f t="array" ref="AD68">IF(AD5=$D$7,_xlfn.IFS(Leadsheet!$G$4="IFRS",0,Leadsheet!$G$5="DPD180+",(AD180-AD145)*(1+Leadsheet!$E$115),Leadsheet!$G$5="DPD360+",(AD165-AD145)*(1+Leadsheet!$E$115)),0)</f>
        <v>0</v>
      </c>
      <c r="AE68" s="331" cm="1">
        <f t="array" ref="AE68">IF(AE5=$D$7,_xlfn.IFS(Leadsheet!$G$4="IFRS",0,Leadsheet!$G$5="DPD180+",(AE180-AE145)*(1+Leadsheet!$E$115),Leadsheet!$G$5="DPD360+",(AE165-AE145)*(1+Leadsheet!$E$115)),0)</f>
        <v>0</v>
      </c>
      <c r="AF68" s="331" cm="1">
        <f t="array" ref="AF68">IF(AF5=$D$7,_xlfn.IFS(Leadsheet!$G$4="IFRS",0,Leadsheet!$G$5="DPD180+",(AF180-AF145)*(1+Leadsheet!$E$115),Leadsheet!$G$5="DPD360+",(AF165-AF145)*(1+Leadsheet!$E$115)),0)</f>
        <v>0</v>
      </c>
      <c r="AG68" s="331" cm="1">
        <f t="array" ref="AG68">IF(AG5=$D$7,_xlfn.IFS(Leadsheet!$G$4="IFRS",0,Leadsheet!$G$5="DPD180+",(AG180-AG145)*(1+Leadsheet!$E$115),Leadsheet!$G$5="DPD360+",(AG165-AG145)*(1+Leadsheet!$E$115)),0)</f>
        <v>0</v>
      </c>
      <c r="AH68" s="331" cm="1">
        <f t="array" ref="AH68">IF(AH5=$D$7,_xlfn.IFS(Leadsheet!$G$4="IFRS",0,Leadsheet!$G$5="DPD180+",(AH180-AH145)*(1+Leadsheet!$E$115),Leadsheet!$G$5="DPD360+",(AH165-AH145)*(1+Leadsheet!$E$115)),0)</f>
        <v>0</v>
      </c>
      <c r="AI68" s="331" cm="1">
        <f t="array" ref="AI68">IF(AI5=$D$7,_xlfn.IFS(Leadsheet!$G$4="IFRS",0,Leadsheet!$G$5="DPD180+",(AI180-AI145)*(1+Leadsheet!$E$115),Leadsheet!$G$5="DPD360+",(AI165-AI145)*(1+Leadsheet!$E$115)),0)</f>
        <v>0</v>
      </c>
      <c r="AJ68" s="331" cm="1">
        <f t="array" ref="AJ68">IF(AJ5=$D$7,_xlfn.IFS(Leadsheet!$G$4="IFRS",0,Leadsheet!$G$5="DPD180+",(AJ180-AJ145)*(1+Leadsheet!$E$115),Leadsheet!$G$5="DPD360+",(AJ165-AJ145)*(1+Leadsheet!$E$115)),0)</f>
        <v>0</v>
      </c>
      <c r="AK68" s="331" cm="1">
        <f t="array" ref="AK68">IF(AK5=$D$7,_xlfn.IFS(Leadsheet!$G$4="IFRS",0,Leadsheet!$G$5="DPD180+",(AK180-AK145)*(1+Leadsheet!$E$115),Leadsheet!$G$5="DPD360+",(AK165-AK145)*(1+Leadsheet!$E$115)),0)</f>
        <v>0</v>
      </c>
      <c r="AL68" s="331" cm="1">
        <f t="array" ref="AL68">IF(AL5=$D$7,_xlfn.IFS(Leadsheet!$G$4="IFRS",0,Leadsheet!$G$5="DPD180+",(AL180-AL145)*(1+Leadsheet!$E$115),Leadsheet!$G$5="DPD360+",(AL165-AL145)*(1+Leadsheet!$E$115)),0)</f>
        <v>0</v>
      </c>
      <c r="AM68" s="331" cm="1">
        <f t="array" ref="AM68">IF(AM5=$D$7,_xlfn.IFS(Leadsheet!$G$4="IFRS",0,Leadsheet!$G$5="DPD180+",(AM180-AM145)*(1+Leadsheet!$E$115),Leadsheet!$G$5="DPD360+",(AM165-AM145)*(1+Leadsheet!$E$115)),0)</f>
        <v>0</v>
      </c>
      <c r="AN68" s="331" cm="1">
        <f t="array" ref="AN68">IF(AN5=$D$7,_xlfn.IFS(Leadsheet!$G$4="IFRS",0,Leadsheet!$G$5="DPD180+",(AN180-AN145)*(1+Leadsheet!$E$115),Leadsheet!$G$5="DPD360+",(AN165-AN145)*(1+Leadsheet!$E$115)),0)</f>
        <v>0</v>
      </c>
      <c r="AO68" s="331" cm="1">
        <f t="array" ref="AO68">IF(AO5=$D$7,_xlfn.IFS(Leadsheet!$G$4="IFRS",0,Leadsheet!$G$5="DPD180+",(AO180-AO145)*(1+Leadsheet!$E$115),Leadsheet!$G$5="DPD360+",(AO165-AO145)*(1+Leadsheet!$E$115)),0)</f>
        <v>0</v>
      </c>
      <c r="AP68" s="331" cm="1">
        <f t="array" ref="AP68">IF(AP5=$D$7,_xlfn.IFS(Leadsheet!$G$4="IFRS",0,Leadsheet!$G$5="DPD180+",(AP180-AP145)*(1+Leadsheet!$E$115),Leadsheet!$G$5="DPD360+",(AP165-AP145)*(1+Leadsheet!$E$115)),0)</f>
        <v>0</v>
      </c>
      <c r="AQ68" s="331" cm="1">
        <f t="array" ref="AQ68">IF(AQ5=$D$7,_xlfn.IFS(Leadsheet!$G$4="IFRS",0,Leadsheet!$G$5="DPD180+",(AQ180-AQ145)*(1+Leadsheet!$E$115),Leadsheet!$G$5="DPD360+",(AQ165-AQ145)*(1+Leadsheet!$E$115)),0)</f>
        <v>0</v>
      </c>
      <c r="AR68" s="331" cm="1">
        <f t="array" ref="AR68">IF(AR5=$D$7,_xlfn.IFS(Leadsheet!$G$4="IFRS",0,Leadsheet!$G$5="DPD180+",(AR180-AR145)*(1+Leadsheet!$E$115),Leadsheet!$G$5="DPD360+",(AR165-AR145)*(1+Leadsheet!$E$115)),0)</f>
        <v>0</v>
      </c>
      <c r="AS68" s="331" cm="1">
        <f t="array" ref="AS68">IF(AS5=$D$7,_xlfn.IFS(Leadsheet!$G$4="IFRS",0,Leadsheet!$G$5="DPD180+",(AS180-AS145)*(1+Leadsheet!$E$115),Leadsheet!$G$5="DPD360+",(AS165-AS145)*(1+Leadsheet!$E$115)),0)</f>
        <v>0</v>
      </c>
      <c r="AT68" s="331" cm="1">
        <f t="array" ref="AT68">IF(AT5=$D$7,_xlfn.IFS(Leadsheet!$G$4="IFRS",0,Leadsheet!$G$5="DPD180+",(AT180-AT145)*(1+Leadsheet!$E$115),Leadsheet!$G$5="DPD360+",(AT165-AT145)*(1+Leadsheet!$E$115)),0)</f>
        <v>0</v>
      </c>
      <c r="AU68" s="331" cm="1">
        <f t="array" ref="AU68">IF(AU5=$D$7,_xlfn.IFS(Leadsheet!$G$4="IFRS",0,Leadsheet!$G$5="DPD180+",(AU180-AU145)*(1+Leadsheet!$E$115),Leadsheet!$G$5="DPD360+",(AU165-AU145)*(1+Leadsheet!$E$115)),0)</f>
        <v>0</v>
      </c>
      <c r="AV68" s="331" cm="1">
        <f t="array" ref="AV68">IF(AV5=$D$7,_xlfn.IFS(Leadsheet!$G$4="IFRS",0,Leadsheet!$G$5="DPD180+",(AV180-AV145)*(1+Leadsheet!$E$115),Leadsheet!$G$5="DPD360+",(AV165-AV145)*(1+Leadsheet!$E$115)),0)</f>
        <v>0</v>
      </c>
      <c r="AW68" s="331" cm="1">
        <f t="array" ref="AW68">IF(AW5=$D$7,_xlfn.IFS(Leadsheet!$G$4="IFRS",0,Leadsheet!$G$5="DPD180+",(AW180-AW145)*(1+Leadsheet!$E$115),Leadsheet!$G$5="DPD360+",(AW165-AW145)*(1+Leadsheet!$E$115)),0)</f>
        <v>0</v>
      </c>
      <c r="AX68" s="331" cm="1">
        <f t="array" ref="AX68">IF(AX5=$D$7,_xlfn.IFS(Leadsheet!$G$4="IFRS",0,Leadsheet!$G$5="DPD180+",(AX180-AX145)*(1+Leadsheet!$E$115),Leadsheet!$G$5="DPD360+",(AX165-AX145)*(1+Leadsheet!$E$115)),0)</f>
        <v>0</v>
      </c>
      <c r="AY68" s="331" cm="1">
        <f t="array" ref="AY68">IF(AY5=$D$7,_xlfn.IFS(Leadsheet!$G$4="IFRS",0,Leadsheet!$G$5="DPD180+",(AY180-AY145)*(1+Leadsheet!$E$115),Leadsheet!$G$5="DPD360+",(AY165-AY145)*(1+Leadsheet!$E$115)),0)</f>
        <v>0</v>
      </c>
      <c r="AZ68" s="331" cm="1">
        <f t="array" ref="AZ68">IF(AZ5=$D$7,_xlfn.IFS(Leadsheet!$G$4="IFRS",0,Leadsheet!$G$5="DPD180+",(AZ180-AZ145)*(1+Leadsheet!$E$115),Leadsheet!$G$5="DPD360+",(AZ165-AZ145)*(1+Leadsheet!$E$115)),0)</f>
        <v>0</v>
      </c>
      <c r="BA68" s="331" cm="1">
        <f t="array" ref="BA68">IF(BA5=$D$7,_xlfn.IFS(Leadsheet!$G$4="IFRS",0,Leadsheet!$G$5="DPD180+",(BA180-BA145)*(1+Leadsheet!$E$115),Leadsheet!$G$5="DPD360+",(BA165-BA145)*(1+Leadsheet!$E$115)),0)</f>
        <v>0</v>
      </c>
      <c r="BB68" s="331" cm="1">
        <f t="array" ref="BB68">IF(BB5=$D$7,_xlfn.IFS(Leadsheet!$G$4="IFRS",0,Leadsheet!$G$5="DPD180+",(BB180-BB145)*(1+Leadsheet!$E$115),Leadsheet!$G$5="DPD360+",(BB165-BB145)*(1+Leadsheet!$E$115)),0)</f>
        <v>0</v>
      </c>
      <c r="BC68" s="331" cm="1">
        <f t="array" ref="BC68">IF(BC5=$D$7,_xlfn.IFS(Leadsheet!$G$4="IFRS",0,Leadsheet!$G$5="DPD180+",(BC180-BC145)*(1+Leadsheet!$E$115),Leadsheet!$G$5="DPD360+",(BC165-BC145)*(1+Leadsheet!$E$115)),0)</f>
        <v>0</v>
      </c>
      <c r="BD68" s="331" cm="1">
        <f t="array" ref="BD68">IF(BD5=$D$7,_xlfn.IFS(Leadsheet!$G$4="IFRS",0,Leadsheet!$G$5="DPD180+",(BD180-BD145)*(1+Leadsheet!$E$115),Leadsheet!$G$5="DPD360+",(BD165-BD145)*(1+Leadsheet!$E$115)),0)</f>
        <v>0</v>
      </c>
      <c r="BE68" s="331" cm="1">
        <f t="array" ref="BE68">IF(BE5=$D$7,_xlfn.IFS(Leadsheet!$G$4="IFRS",0,Leadsheet!$G$5="DPD180+",(BE180-BE145)*(1+Leadsheet!$E$115),Leadsheet!$G$5="DPD360+",(BE165-BE145)*(1+Leadsheet!$E$115)),0)</f>
        <v>0</v>
      </c>
      <c r="BF68" s="331" cm="1">
        <f t="array" ref="BF68">IF(BF5=$D$7,_xlfn.IFS(Leadsheet!$G$4="IFRS",0,Leadsheet!$G$5="DPD180+",(BF180-BF145)*(1+Leadsheet!$E$115),Leadsheet!$G$5="DPD360+",(BF165-BF145)*(1+Leadsheet!$E$115)),0)</f>
        <v>0</v>
      </c>
      <c r="BG68" s="331" cm="1">
        <f t="array" ref="BG68">IF(BG5=$D$7,_xlfn.IFS(Leadsheet!$G$4="IFRS",0,Leadsheet!$G$5="DPD180+",(BG180-BG145)*(1+Leadsheet!$E$115),Leadsheet!$G$5="DPD360+",(BG165-BG145)*(1+Leadsheet!$E$115)),0)</f>
        <v>0</v>
      </c>
      <c r="BH68" s="331" cm="1">
        <f t="array" ref="BH68">IF(BH5=$D$7,_xlfn.IFS(Leadsheet!$G$4="IFRS",0,Leadsheet!$G$5="DPD180+",(BH180-BH145)*(1+Leadsheet!$E$115),Leadsheet!$G$5="DPD360+",(BH165-BH145)*(1+Leadsheet!$E$115)),0)</f>
        <v>0</v>
      </c>
      <c r="BI68" s="331" cm="1">
        <f t="array" ref="BI68">IF(BI5=$D$7,_xlfn.IFS(Leadsheet!$G$4="IFRS",0,Leadsheet!$G$5="DPD180+",(BI180-BI145)*(1+Leadsheet!$E$115),Leadsheet!$G$5="DPD360+",(BI165-BI145)*(1+Leadsheet!$E$115)),0)</f>
        <v>0</v>
      </c>
      <c r="BJ68" s="331" cm="1">
        <f t="array" ref="BJ68">IF(BJ5=$D$7,_xlfn.IFS(Leadsheet!$G$4="IFRS",0,Leadsheet!$G$5="DPD180+",(BJ180-BJ145)*(1+Leadsheet!$E$115),Leadsheet!$G$5="DPD360+",(BJ165-BJ145)*(1+Leadsheet!$E$115)),0)</f>
        <v>0</v>
      </c>
      <c r="BK68" s="331" cm="1">
        <f t="array" ref="BK68">IF(BK5=$D$7,_xlfn.IFS(Leadsheet!$G$4="IFRS",0,Leadsheet!$G$5="DPD180+",(BK180-BK145)*(1+Leadsheet!$E$115),Leadsheet!$G$5="DPD360+",(BK165-BK145)*(1+Leadsheet!$E$115)),0)</f>
        <v>0</v>
      </c>
      <c r="BL68" s="331" cm="1">
        <f t="array" ref="BL68">IF(BL5=$D$7,_xlfn.IFS(Leadsheet!$G$4="IFRS",0,Leadsheet!$G$5="DPD180+",(BL180-BL145)*(1+Leadsheet!$E$115),Leadsheet!$G$5="DPD360+",(BL165-BL145)*(1+Leadsheet!$E$115)),0)</f>
        <v>0</v>
      </c>
    </row>
    <row r="69" spans="2:64" x14ac:dyDescent="0.15">
      <c r="E69" s="172"/>
      <c r="F69" s="172"/>
      <c r="G69" s="172"/>
      <c r="H69" s="172"/>
      <c r="I69" s="172"/>
      <c r="J69" s="172"/>
      <c r="K69" s="172"/>
      <c r="L69" s="172"/>
      <c r="M69" s="172"/>
      <c r="N69" s="172"/>
      <c r="O69" s="172"/>
      <c r="P69" s="172"/>
      <c r="Q69" s="172"/>
      <c r="R69" s="172"/>
      <c r="S69" s="172"/>
      <c r="T69" s="172"/>
      <c r="U69" s="172"/>
      <c r="V69" s="172"/>
      <c r="W69" s="172"/>
      <c r="X69" s="172"/>
      <c r="Y69" s="172"/>
      <c r="Z69" s="172"/>
      <c r="AA69" s="172"/>
      <c r="AB69" s="172"/>
      <c r="AC69" s="172"/>
      <c r="AD69" s="172"/>
      <c r="AE69" s="172"/>
      <c r="AF69" s="172"/>
      <c r="AG69" s="172"/>
      <c r="AH69" s="172"/>
      <c r="AI69" s="172"/>
      <c r="AJ69" s="172"/>
      <c r="AK69" s="172"/>
      <c r="AL69" s="172"/>
      <c r="AM69" s="172"/>
      <c r="AN69" s="172"/>
      <c r="AO69" s="172"/>
      <c r="AP69" s="172"/>
      <c r="AQ69" s="172"/>
      <c r="AR69" s="172"/>
      <c r="AS69" s="172"/>
      <c r="AT69" s="172"/>
      <c r="AU69" s="172"/>
      <c r="AV69" s="172"/>
      <c r="AW69" s="172"/>
      <c r="AX69" s="172"/>
      <c r="AY69" s="172"/>
      <c r="AZ69" s="172"/>
      <c r="BA69" s="172"/>
      <c r="BB69" s="172"/>
      <c r="BC69" s="172"/>
      <c r="BD69" s="172"/>
      <c r="BE69" s="172"/>
      <c r="BF69" s="172"/>
      <c r="BG69" s="172"/>
      <c r="BH69" s="172"/>
      <c r="BI69" s="172"/>
      <c r="BJ69" s="172"/>
      <c r="BK69" s="172"/>
      <c r="BL69" s="172"/>
    </row>
    <row r="71" spans="2:64" x14ac:dyDescent="0.15">
      <c r="B71" s="188" t="s">
        <v>427</v>
      </c>
      <c r="E71" s="327">
        <f t="shared" ref="E71:BL71" si="18">E72+E85+E88+E95+E99</f>
        <v>-0.46270617568767924</v>
      </c>
      <c r="F71" s="327">
        <f t="shared" si="18"/>
        <v>-0.119005078820069</v>
      </c>
      <c r="G71" s="327">
        <f t="shared" si="18"/>
        <v>-0.10280512140076453</v>
      </c>
      <c r="H71" s="327">
        <f t="shared" si="18"/>
        <v>3.4431728056013584E-2</v>
      </c>
      <c r="I71" s="327">
        <f t="shared" si="18"/>
        <v>1.6095872010595518E-2</v>
      </c>
      <c r="J71" s="327">
        <f t="shared" si="18"/>
        <v>1.3449154962597491E-2</v>
      </c>
      <c r="K71" s="327">
        <f t="shared" si="18"/>
        <v>7.7869419000971595E-3</v>
      </c>
      <c r="L71" s="327">
        <f t="shared" si="18"/>
        <v>6.0246234199926958E-3</v>
      </c>
      <c r="M71" s="327">
        <f t="shared" si="18"/>
        <v>6.2255722370008837E-3</v>
      </c>
      <c r="N71" s="327">
        <f t="shared" si="18"/>
        <v>6.24678195789867E-3</v>
      </c>
      <c r="O71" s="327">
        <f t="shared" si="18"/>
        <v>6.3309621744002224E-3</v>
      </c>
      <c r="P71" s="327">
        <f t="shared" si="18"/>
        <v>6.2494761956177697E-3</v>
      </c>
      <c r="Q71" s="327">
        <f t="shared" si="18"/>
        <v>6.3116686759934256E-3</v>
      </c>
      <c r="R71" s="327">
        <f t="shared" si="18"/>
        <v>6.6056507766784163E-3</v>
      </c>
      <c r="S71" s="327">
        <f t="shared" si="18"/>
        <v>1.0506912195901467E-2</v>
      </c>
      <c r="T71" s="327">
        <f t="shared" si="18"/>
        <v>6.0983711934957767E-3</v>
      </c>
      <c r="U71" s="327">
        <f t="shared" si="18"/>
        <v>1.9604535065019749E-3</v>
      </c>
      <c r="V71" s="327">
        <f t="shared" si="18"/>
        <v>-1.9596097787692671E-3</v>
      </c>
      <c r="W71" s="327">
        <f t="shared" si="18"/>
        <v>-1.6992470500270039E-3</v>
      </c>
      <c r="X71" s="327">
        <f t="shared" si="18"/>
        <v>-1.5528850430716094E-3</v>
      </c>
      <c r="Y71" s="327">
        <f t="shared" si="18"/>
        <v>0</v>
      </c>
      <c r="Z71" s="327">
        <f t="shared" si="18"/>
        <v>0</v>
      </c>
      <c r="AA71" s="327">
        <f t="shared" si="18"/>
        <v>0</v>
      </c>
      <c r="AB71" s="327">
        <f t="shared" si="18"/>
        <v>0</v>
      </c>
      <c r="AC71" s="327">
        <f t="shared" si="18"/>
        <v>0</v>
      </c>
      <c r="AD71" s="327">
        <f t="shared" si="18"/>
        <v>0</v>
      </c>
      <c r="AE71" s="327">
        <f t="shared" si="18"/>
        <v>0</v>
      </c>
      <c r="AF71" s="327">
        <f t="shared" si="18"/>
        <v>0</v>
      </c>
      <c r="AG71" s="327">
        <f t="shared" si="18"/>
        <v>0</v>
      </c>
      <c r="AH71" s="327">
        <f t="shared" si="18"/>
        <v>0</v>
      </c>
      <c r="AI71" s="327">
        <f t="shared" si="18"/>
        <v>0</v>
      </c>
      <c r="AJ71" s="327">
        <f t="shared" si="18"/>
        <v>0</v>
      </c>
      <c r="AK71" s="327">
        <f t="shared" si="18"/>
        <v>0</v>
      </c>
      <c r="AL71" s="327">
        <f t="shared" si="18"/>
        <v>0</v>
      </c>
      <c r="AM71" s="327">
        <f t="shared" si="18"/>
        <v>0</v>
      </c>
      <c r="AN71" s="327">
        <f t="shared" si="18"/>
        <v>0</v>
      </c>
      <c r="AO71" s="327">
        <f t="shared" si="18"/>
        <v>0</v>
      </c>
      <c r="AP71" s="327">
        <f t="shared" si="18"/>
        <v>0</v>
      </c>
      <c r="AQ71" s="327">
        <f t="shared" si="18"/>
        <v>0</v>
      </c>
      <c r="AR71" s="327">
        <f t="shared" si="18"/>
        <v>0</v>
      </c>
      <c r="AS71" s="327">
        <f t="shared" si="18"/>
        <v>0</v>
      </c>
      <c r="AT71" s="327">
        <f t="shared" si="18"/>
        <v>0</v>
      </c>
      <c r="AU71" s="327">
        <f t="shared" si="18"/>
        <v>0</v>
      </c>
      <c r="AV71" s="327">
        <f t="shared" si="18"/>
        <v>0</v>
      </c>
      <c r="AW71" s="327">
        <f t="shared" si="18"/>
        <v>0</v>
      </c>
      <c r="AX71" s="327">
        <f t="shared" si="18"/>
        <v>0</v>
      </c>
      <c r="AY71" s="327">
        <f t="shared" si="18"/>
        <v>0</v>
      </c>
      <c r="AZ71" s="327">
        <f t="shared" si="18"/>
        <v>0</v>
      </c>
      <c r="BA71" s="327">
        <f t="shared" si="18"/>
        <v>0</v>
      </c>
      <c r="BB71" s="327">
        <f t="shared" si="18"/>
        <v>0</v>
      </c>
      <c r="BC71" s="327">
        <f t="shared" si="18"/>
        <v>0</v>
      </c>
      <c r="BD71" s="327">
        <f t="shared" si="18"/>
        <v>0</v>
      </c>
      <c r="BE71" s="327">
        <f t="shared" si="18"/>
        <v>0</v>
      </c>
      <c r="BF71" s="327">
        <f t="shared" si="18"/>
        <v>0</v>
      </c>
      <c r="BG71" s="327">
        <f t="shared" si="18"/>
        <v>0</v>
      </c>
      <c r="BH71" s="327">
        <f t="shared" si="18"/>
        <v>0</v>
      </c>
      <c r="BI71" s="327">
        <f t="shared" si="18"/>
        <v>0</v>
      </c>
      <c r="BJ71" s="327">
        <f t="shared" si="18"/>
        <v>0</v>
      </c>
      <c r="BK71" s="327">
        <f t="shared" si="18"/>
        <v>0</v>
      </c>
      <c r="BL71" s="327">
        <f t="shared" si="18"/>
        <v>0</v>
      </c>
    </row>
    <row r="72" spans="2:64" x14ac:dyDescent="0.15">
      <c r="B72" s="188" t="s">
        <v>133</v>
      </c>
      <c r="C72" s="188"/>
      <c r="D72" s="188"/>
      <c r="E72" s="309">
        <f>E73+E74</f>
        <v>-0.32273233542957652</v>
      </c>
      <c r="F72" s="309">
        <f t="shared" ref="F72:BL72" si="19">F73+F74</f>
        <v>-0.11109541198526855</v>
      </c>
      <c r="G72" s="309">
        <f t="shared" si="19"/>
        <v>-9.5324618121317886E-2</v>
      </c>
      <c r="H72" s="309">
        <f t="shared" si="19"/>
        <v>4.1507411757759488E-2</v>
      </c>
      <c r="I72" s="309">
        <f t="shared" si="19"/>
        <v>2.2961487955865029E-2</v>
      </c>
      <c r="J72" s="309">
        <f t="shared" si="19"/>
        <v>2.0104703151390613E-2</v>
      </c>
      <c r="K72" s="309">
        <f t="shared" si="19"/>
        <v>1.4232422332413893E-2</v>
      </c>
      <c r="L72" s="309">
        <f t="shared" si="19"/>
        <v>1.2260036095833041E-2</v>
      </c>
      <c r="M72" s="309">
        <f t="shared" si="19"/>
        <v>1.2250917156364841E-2</v>
      </c>
      <c r="N72" s="309">
        <f t="shared" si="19"/>
        <v>1.2062059120786239E-2</v>
      </c>
      <c r="O72" s="309">
        <f t="shared" si="19"/>
        <v>1.1936171580811403E-2</v>
      </c>
      <c r="P72" s="309">
        <f t="shared" si="19"/>
        <v>1.1813192857029709E-2</v>
      </c>
      <c r="Q72" s="309">
        <f t="shared" si="19"/>
        <v>1.1658782139616379E-2</v>
      </c>
      <c r="R72" s="309">
        <f t="shared" si="19"/>
        <v>1.1759501904343092E-2</v>
      </c>
      <c r="S72" s="309">
        <f t="shared" si="19"/>
        <v>1.182215987453126E-2</v>
      </c>
      <c r="T72" s="309">
        <f t="shared" si="19"/>
        <v>7.409059258949394E-3</v>
      </c>
      <c r="U72" s="309">
        <f t="shared" si="19"/>
        <v>3.268412331366456E-3</v>
      </c>
      <c r="V72" s="309">
        <f t="shared" si="19"/>
        <v>-6.5353107547411486E-4</v>
      </c>
      <c r="W72" s="309">
        <f t="shared" si="19"/>
        <v>-3.942784265852732E-4</v>
      </c>
      <c r="X72" s="309">
        <f t="shared" si="19"/>
        <v>-2.4854454092630918E-4</v>
      </c>
      <c r="Y72" s="309">
        <f t="shared" si="19"/>
        <v>0</v>
      </c>
      <c r="Z72" s="309">
        <f t="shared" si="19"/>
        <v>0</v>
      </c>
      <c r="AA72" s="309">
        <f t="shared" si="19"/>
        <v>0</v>
      </c>
      <c r="AB72" s="309">
        <f t="shared" si="19"/>
        <v>0</v>
      </c>
      <c r="AC72" s="309">
        <f t="shared" si="19"/>
        <v>0</v>
      </c>
      <c r="AD72" s="309">
        <f t="shared" si="19"/>
        <v>0</v>
      </c>
      <c r="AE72" s="309">
        <f t="shared" si="19"/>
        <v>0</v>
      </c>
      <c r="AF72" s="309">
        <f t="shared" si="19"/>
        <v>0</v>
      </c>
      <c r="AG72" s="309">
        <f t="shared" si="19"/>
        <v>0</v>
      </c>
      <c r="AH72" s="309">
        <f t="shared" si="19"/>
        <v>0</v>
      </c>
      <c r="AI72" s="309">
        <f t="shared" si="19"/>
        <v>0</v>
      </c>
      <c r="AJ72" s="309">
        <f t="shared" si="19"/>
        <v>0</v>
      </c>
      <c r="AK72" s="309">
        <f t="shared" si="19"/>
        <v>0</v>
      </c>
      <c r="AL72" s="309">
        <f t="shared" si="19"/>
        <v>0</v>
      </c>
      <c r="AM72" s="309">
        <f t="shared" si="19"/>
        <v>0</v>
      </c>
      <c r="AN72" s="309">
        <f t="shared" si="19"/>
        <v>0</v>
      </c>
      <c r="AO72" s="309">
        <f t="shared" si="19"/>
        <v>0</v>
      </c>
      <c r="AP72" s="309">
        <f t="shared" si="19"/>
        <v>0</v>
      </c>
      <c r="AQ72" s="309">
        <f t="shared" si="19"/>
        <v>0</v>
      </c>
      <c r="AR72" s="309">
        <f t="shared" si="19"/>
        <v>0</v>
      </c>
      <c r="AS72" s="309">
        <f t="shared" si="19"/>
        <v>0</v>
      </c>
      <c r="AT72" s="309">
        <f t="shared" si="19"/>
        <v>0</v>
      </c>
      <c r="AU72" s="309">
        <f t="shared" si="19"/>
        <v>0</v>
      </c>
      <c r="AV72" s="309">
        <f t="shared" si="19"/>
        <v>0</v>
      </c>
      <c r="AW72" s="309">
        <f t="shared" si="19"/>
        <v>0</v>
      </c>
      <c r="AX72" s="309">
        <f t="shared" si="19"/>
        <v>0</v>
      </c>
      <c r="AY72" s="309">
        <f t="shared" si="19"/>
        <v>0</v>
      </c>
      <c r="AZ72" s="309">
        <f t="shared" si="19"/>
        <v>0</v>
      </c>
      <c r="BA72" s="309">
        <f t="shared" si="19"/>
        <v>0</v>
      </c>
      <c r="BB72" s="309">
        <f t="shared" si="19"/>
        <v>0</v>
      </c>
      <c r="BC72" s="309">
        <f t="shared" si="19"/>
        <v>0</v>
      </c>
      <c r="BD72" s="309">
        <f t="shared" si="19"/>
        <v>0</v>
      </c>
      <c r="BE72" s="309">
        <f t="shared" si="19"/>
        <v>0</v>
      </c>
      <c r="BF72" s="309">
        <f t="shared" si="19"/>
        <v>0</v>
      </c>
      <c r="BG72" s="309">
        <f t="shared" si="19"/>
        <v>0</v>
      </c>
      <c r="BH72" s="309">
        <f t="shared" si="19"/>
        <v>0</v>
      </c>
      <c r="BI72" s="309">
        <f t="shared" si="19"/>
        <v>0</v>
      </c>
      <c r="BJ72" s="309">
        <f t="shared" si="19"/>
        <v>0</v>
      </c>
      <c r="BK72" s="309">
        <f t="shared" si="19"/>
        <v>0</v>
      </c>
      <c r="BL72" s="309">
        <f t="shared" si="19"/>
        <v>0</v>
      </c>
    </row>
    <row r="73" spans="2:64" s="196" customFormat="1" x14ac:dyDescent="0.15">
      <c r="C73" s="116" t="s">
        <v>428</v>
      </c>
      <c r="E73" s="172">
        <f>-Leadsheet!E56-Leadsheet!E57*Leadsheet!E10</f>
        <v>0</v>
      </c>
    </row>
    <row r="74" spans="2:64" x14ac:dyDescent="0.15">
      <c r="C74" s="188" t="s">
        <v>429</v>
      </c>
      <c r="E74" s="309">
        <f t="shared" ref="E74:BL74" si="20">SUM(E75:E82)</f>
        <v>-0.32273233542957652</v>
      </c>
      <c r="F74" s="309">
        <f t="shared" si="20"/>
        <v>-0.11109541198526855</v>
      </c>
      <c r="G74" s="309">
        <f t="shared" si="20"/>
        <v>-9.5324618121317886E-2</v>
      </c>
      <c r="H74" s="309">
        <f t="shared" si="20"/>
        <v>4.1507411757759488E-2</v>
      </c>
      <c r="I74" s="309">
        <f t="shared" si="20"/>
        <v>2.2961487955865029E-2</v>
      </c>
      <c r="J74" s="309">
        <f t="shared" si="20"/>
        <v>2.0104703151390613E-2</v>
      </c>
      <c r="K74" s="309">
        <f t="shared" si="20"/>
        <v>1.4232422332413893E-2</v>
      </c>
      <c r="L74" s="309">
        <f t="shared" si="20"/>
        <v>1.2260036095833041E-2</v>
      </c>
      <c r="M74" s="309">
        <f t="shared" si="20"/>
        <v>1.2250917156364841E-2</v>
      </c>
      <c r="N74" s="309">
        <f t="shared" si="20"/>
        <v>1.2062059120786239E-2</v>
      </c>
      <c r="O74" s="309">
        <f t="shared" si="20"/>
        <v>1.1936171580811403E-2</v>
      </c>
      <c r="P74" s="309">
        <f t="shared" si="20"/>
        <v>1.1813192857029709E-2</v>
      </c>
      <c r="Q74" s="309">
        <f t="shared" si="20"/>
        <v>1.1658782139616379E-2</v>
      </c>
      <c r="R74" s="309">
        <f t="shared" si="20"/>
        <v>1.1759501904343092E-2</v>
      </c>
      <c r="S74" s="309">
        <f t="shared" si="20"/>
        <v>1.182215987453126E-2</v>
      </c>
      <c r="T74" s="309">
        <f t="shared" si="20"/>
        <v>7.409059258949394E-3</v>
      </c>
      <c r="U74" s="309">
        <f t="shared" si="20"/>
        <v>3.268412331366456E-3</v>
      </c>
      <c r="V74" s="309">
        <f t="shared" si="20"/>
        <v>-6.5353107547411486E-4</v>
      </c>
      <c r="W74" s="309">
        <f t="shared" si="20"/>
        <v>-3.942784265852732E-4</v>
      </c>
      <c r="X74" s="309">
        <f t="shared" si="20"/>
        <v>-2.4854454092630918E-4</v>
      </c>
      <c r="Y74" s="309">
        <f t="shared" si="20"/>
        <v>0</v>
      </c>
      <c r="Z74" s="309">
        <f t="shared" si="20"/>
        <v>0</v>
      </c>
      <c r="AA74" s="309">
        <f t="shared" si="20"/>
        <v>0</v>
      </c>
      <c r="AB74" s="309">
        <f t="shared" si="20"/>
        <v>0</v>
      </c>
      <c r="AC74" s="309">
        <f t="shared" si="20"/>
        <v>0</v>
      </c>
      <c r="AD74" s="309">
        <f t="shared" si="20"/>
        <v>0</v>
      </c>
      <c r="AE74" s="309">
        <f t="shared" si="20"/>
        <v>0</v>
      </c>
      <c r="AF74" s="309">
        <f t="shared" si="20"/>
        <v>0</v>
      </c>
      <c r="AG74" s="309">
        <f t="shared" si="20"/>
        <v>0</v>
      </c>
      <c r="AH74" s="309">
        <f t="shared" si="20"/>
        <v>0</v>
      </c>
      <c r="AI74" s="309">
        <f t="shared" si="20"/>
        <v>0</v>
      </c>
      <c r="AJ74" s="309">
        <f t="shared" si="20"/>
        <v>0</v>
      </c>
      <c r="AK74" s="309">
        <f t="shared" si="20"/>
        <v>0</v>
      </c>
      <c r="AL74" s="309">
        <f t="shared" si="20"/>
        <v>0</v>
      </c>
      <c r="AM74" s="309">
        <f t="shared" si="20"/>
        <v>0</v>
      </c>
      <c r="AN74" s="309">
        <f t="shared" si="20"/>
        <v>0</v>
      </c>
      <c r="AO74" s="309">
        <f t="shared" si="20"/>
        <v>0</v>
      </c>
      <c r="AP74" s="309">
        <f t="shared" si="20"/>
        <v>0</v>
      </c>
      <c r="AQ74" s="309">
        <f t="shared" si="20"/>
        <v>0</v>
      </c>
      <c r="AR74" s="309">
        <f t="shared" si="20"/>
        <v>0</v>
      </c>
      <c r="AS74" s="309">
        <f t="shared" si="20"/>
        <v>0</v>
      </c>
      <c r="AT74" s="309">
        <f t="shared" si="20"/>
        <v>0</v>
      </c>
      <c r="AU74" s="309">
        <f t="shared" si="20"/>
        <v>0</v>
      </c>
      <c r="AV74" s="309">
        <f t="shared" si="20"/>
        <v>0</v>
      </c>
      <c r="AW74" s="309">
        <f t="shared" si="20"/>
        <v>0</v>
      </c>
      <c r="AX74" s="309">
        <f t="shared" si="20"/>
        <v>0</v>
      </c>
      <c r="AY74" s="309">
        <f t="shared" si="20"/>
        <v>0</v>
      </c>
      <c r="AZ74" s="309">
        <f t="shared" si="20"/>
        <v>0</v>
      </c>
      <c r="BA74" s="309">
        <f t="shared" si="20"/>
        <v>0</v>
      </c>
      <c r="BB74" s="309">
        <f t="shared" si="20"/>
        <v>0</v>
      </c>
      <c r="BC74" s="309">
        <f t="shared" si="20"/>
        <v>0</v>
      </c>
      <c r="BD74" s="309">
        <f t="shared" si="20"/>
        <v>0</v>
      </c>
      <c r="BE74" s="309">
        <f t="shared" si="20"/>
        <v>0</v>
      </c>
      <c r="BF74" s="309">
        <f t="shared" si="20"/>
        <v>0</v>
      </c>
      <c r="BG74" s="309">
        <f t="shared" si="20"/>
        <v>0</v>
      </c>
      <c r="BH74" s="309">
        <f t="shared" si="20"/>
        <v>0</v>
      </c>
      <c r="BI74" s="309">
        <f t="shared" si="20"/>
        <v>0</v>
      </c>
      <c r="BJ74" s="309">
        <f t="shared" si="20"/>
        <v>0</v>
      </c>
      <c r="BK74" s="309">
        <f t="shared" si="20"/>
        <v>0</v>
      </c>
      <c r="BL74" s="309">
        <f t="shared" si="20"/>
        <v>0</v>
      </c>
    </row>
    <row r="75" spans="2:64" x14ac:dyDescent="0.15">
      <c r="C75" s="194" t="s">
        <v>140</v>
      </c>
      <c r="E75" s="172">
        <f>-SUM(E58:E58)*Leadsheet!$E$50</f>
        <v>0</v>
      </c>
      <c r="F75" s="172">
        <f>-SUM(F58:F58)*Leadsheet!$E$50</f>
        <v>0</v>
      </c>
      <c r="G75" s="172">
        <f>-SUM(G58:G58)*Leadsheet!$E$50</f>
        <v>0</v>
      </c>
      <c r="H75" s="172">
        <f>-SUM(H58:H58)*Leadsheet!$E$50</f>
        <v>0</v>
      </c>
      <c r="I75" s="172">
        <f>-SUM(I58:I58)*Leadsheet!$E$50</f>
        <v>0</v>
      </c>
      <c r="J75" s="172">
        <f>-SUM(J58:J58)*Leadsheet!$E$50</f>
        <v>0</v>
      </c>
      <c r="K75" s="172">
        <f>-SUM(K58:K58)*Leadsheet!$E$50</f>
        <v>0</v>
      </c>
      <c r="L75" s="172">
        <f>-SUM(L58:L58)*Leadsheet!$E$50</f>
        <v>0</v>
      </c>
      <c r="M75" s="172">
        <f>-SUM(M58:M58)*Leadsheet!$E$50</f>
        <v>0</v>
      </c>
      <c r="N75" s="172">
        <f>-SUM(N58:N58)*Leadsheet!$E$50</f>
        <v>0</v>
      </c>
      <c r="O75" s="172">
        <f>-SUM(O58:O58)*Leadsheet!$E$50</f>
        <v>0</v>
      </c>
      <c r="P75" s="172">
        <f>-SUM(P58:P58)*Leadsheet!$E$50</f>
        <v>0</v>
      </c>
      <c r="Q75" s="172">
        <f>-SUM(Q58:Q58)*Leadsheet!$E$50</f>
        <v>0</v>
      </c>
      <c r="R75" s="172">
        <f>-SUM(R58:R58)*Leadsheet!$E$50</f>
        <v>0</v>
      </c>
      <c r="S75" s="172">
        <f>-SUM(S58:S58)*Leadsheet!$E$50</f>
        <v>0</v>
      </c>
      <c r="T75" s="172">
        <f>-SUM(T58:T58)*Leadsheet!$E$50</f>
        <v>0</v>
      </c>
      <c r="U75" s="172">
        <f>-SUM(U58:U58)*Leadsheet!$E$50</f>
        <v>0</v>
      </c>
      <c r="V75" s="172">
        <f>-SUM(V58:V58)*Leadsheet!$E$50</f>
        <v>0</v>
      </c>
      <c r="W75" s="172">
        <f>-SUM(W58:W58)*Leadsheet!$E$50</f>
        <v>0</v>
      </c>
      <c r="X75" s="172">
        <f>-SUM(X58:X58)*Leadsheet!$E$50</f>
        <v>0</v>
      </c>
      <c r="Y75" s="172">
        <f>-SUM(Y58:Y58)*Leadsheet!$E$50</f>
        <v>0</v>
      </c>
      <c r="Z75" s="172">
        <f>-SUM(Z58:Z58)*Leadsheet!$E$50</f>
        <v>0</v>
      </c>
      <c r="AA75" s="172">
        <f>-SUM(AA58:AA58)*Leadsheet!$E$50</f>
        <v>0</v>
      </c>
      <c r="AB75" s="172">
        <f>-SUM(AB58:AB58)*Leadsheet!$E$50</f>
        <v>0</v>
      </c>
      <c r="AC75" s="172">
        <f>-SUM(AC58:AC58)*Leadsheet!$E$50</f>
        <v>0</v>
      </c>
      <c r="AD75" s="172">
        <f>-SUM(AD58:AD58)*Leadsheet!$E$50</f>
        <v>0</v>
      </c>
      <c r="AE75" s="172">
        <f>-SUM(AE58:AE58)*Leadsheet!$E$50</f>
        <v>0</v>
      </c>
      <c r="AF75" s="172">
        <f>-SUM(AF58:AF58)*Leadsheet!$E$50</f>
        <v>0</v>
      </c>
      <c r="AG75" s="172">
        <f>-SUM(AG58:AG58)*Leadsheet!$E$50</f>
        <v>0</v>
      </c>
      <c r="AH75" s="172">
        <f>-SUM(AH58:AH58)*Leadsheet!$E$50</f>
        <v>0</v>
      </c>
      <c r="AI75" s="172">
        <f>-SUM(AI58:AI58)*Leadsheet!$E$50</f>
        <v>0</v>
      </c>
      <c r="AJ75" s="172">
        <f>-SUM(AJ58:AJ58)*Leadsheet!$E$50</f>
        <v>0</v>
      </c>
      <c r="AK75" s="172">
        <f>-SUM(AK58:AK58)*Leadsheet!$E$50</f>
        <v>0</v>
      </c>
      <c r="AL75" s="172">
        <f>-SUM(AL58:AL58)*Leadsheet!$E$50</f>
        <v>0</v>
      </c>
      <c r="AM75" s="172">
        <f>-SUM(AM58:AM58)*Leadsheet!$E$50</f>
        <v>0</v>
      </c>
      <c r="AN75" s="172">
        <f>-SUM(AN58:AN58)*Leadsheet!$E$50</f>
        <v>0</v>
      </c>
      <c r="AO75" s="172">
        <f>-SUM(AO58:AO58)*Leadsheet!$E$50</f>
        <v>0</v>
      </c>
      <c r="AP75" s="172">
        <f>-SUM(AP58:AP58)*Leadsheet!$E$50</f>
        <v>0</v>
      </c>
      <c r="AQ75" s="172">
        <f>-SUM(AQ58:AQ58)*Leadsheet!$E$50</f>
        <v>0</v>
      </c>
      <c r="AR75" s="172">
        <f>-SUM(AR58:AR58)*Leadsheet!$E$50</f>
        <v>0</v>
      </c>
      <c r="AS75" s="172">
        <f>-SUM(AS58:AS58)*Leadsheet!$E$50</f>
        <v>0</v>
      </c>
      <c r="AT75" s="172">
        <f>-SUM(AT58:AT58)*Leadsheet!$E$50</f>
        <v>0</v>
      </c>
      <c r="AU75" s="172">
        <f>-SUM(AU58:AU58)*Leadsheet!$E$50</f>
        <v>0</v>
      </c>
      <c r="AV75" s="172">
        <f>-SUM(AV58:AV58)*Leadsheet!$E$50</f>
        <v>0</v>
      </c>
      <c r="AW75" s="172">
        <f>-SUM(AW58:AW58)*Leadsheet!$E$50</f>
        <v>0</v>
      </c>
      <c r="AX75" s="172">
        <f>-SUM(AX58:AX58)*Leadsheet!$E$50</f>
        <v>0</v>
      </c>
      <c r="AY75" s="172">
        <f>-SUM(AY58:AY58)*Leadsheet!$E$50</f>
        <v>0</v>
      </c>
      <c r="AZ75" s="172">
        <f>-SUM(AZ58:AZ58)*Leadsheet!$E$50</f>
        <v>0</v>
      </c>
      <c r="BA75" s="172">
        <f>-SUM(BA58:BA58)*Leadsheet!$E$50</f>
        <v>0</v>
      </c>
      <c r="BB75" s="172">
        <f>-SUM(BB58:BB58)*Leadsheet!$E$50</f>
        <v>0</v>
      </c>
      <c r="BC75" s="172">
        <f>-SUM(BC58:BC58)*Leadsheet!$E$50</f>
        <v>0</v>
      </c>
      <c r="BD75" s="172">
        <f>-SUM(BD58:BD58)*Leadsheet!$E$50</f>
        <v>0</v>
      </c>
      <c r="BE75" s="172">
        <f>-SUM(BE58:BE58)*Leadsheet!$E$50</f>
        <v>0</v>
      </c>
      <c r="BF75" s="172">
        <f>-SUM(BF58:BF58)*Leadsheet!$E$50</f>
        <v>0</v>
      </c>
      <c r="BG75" s="172">
        <f>-SUM(BG58:BG58)*Leadsheet!$E$50</f>
        <v>0</v>
      </c>
      <c r="BH75" s="172">
        <f>-SUM(BH58:BH58)*Leadsheet!$E$50</f>
        <v>0</v>
      </c>
      <c r="BI75" s="172">
        <f>-SUM(BI58:BI58)*Leadsheet!$E$50</f>
        <v>0</v>
      </c>
      <c r="BJ75" s="172">
        <f>-SUM(BJ58:BJ58)*Leadsheet!$E$50</f>
        <v>0</v>
      </c>
      <c r="BK75" s="172">
        <f>-SUM(BK58:BK58)*Leadsheet!$E$50</f>
        <v>0</v>
      </c>
      <c r="BL75" s="172">
        <f>-SUM(BL58:BL58)*Leadsheet!$E$50</f>
        <v>0</v>
      </c>
    </row>
    <row r="76" spans="2:64" x14ac:dyDescent="0.15">
      <c r="C76" s="194" t="s">
        <v>142</v>
      </c>
      <c r="E76" s="172">
        <f>-E59*Leadsheet!$E$51</f>
        <v>0</v>
      </c>
      <c r="F76" s="172">
        <f>-F59*Leadsheet!$E$51</f>
        <v>0</v>
      </c>
      <c r="G76" s="172">
        <f>-G59*Leadsheet!$E$51</f>
        <v>0</v>
      </c>
      <c r="H76" s="172">
        <f>-H59*Leadsheet!$E$51</f>
        <v>0</v>
      </c>
      <c r="I76" s="172">
        <f>-I59*Leadsheet!$E$51</f>
        <v>0</v>
      </c>
      <c r="J76" s="172">
        <f>-J59*Leadsheet!$E$51</f>
        <v>0</v>
      </c>
      <c r="K76" s="172">
        <f>-K59*Leadsheet!$E$51</f>
        <v>0</v>
      </c>
      <c r="L76" s="172">
        <f>-L59*Leadsheet!$E$51</f>
        <v>0</v>
      </c>
      <c r="M76" s="172">
        <f>-M59*Leadsheet!$E$51</f>
        <v>0</v>
      </c>
      <c r="N76" s="172">
        <f>-N59*Leadsheet!$E$51</f>
        <v>0</v>
      </c>
      <c r="O76" s="172">
        <f>-O59*Leadsheet!$E$51</f>
        <v>0</v>
      </c>
      <c r="P76" s="172">
        <f>-P59*Leadsheet!$E$51</f>
        <v>0</v>
      </c>
      <c r="Q76" s="172">
        <f>-Q59*Leadsheet!$E$51</f>
        <v>0</v>
      </c>
      <c r="R76" s="172">
        <f>-R59*Leadsheet!$E$51</f>
        <v>0</v>
      </c>
      <c r="S76" s="172">
        <f>-S59*Leadsheet!$E$51</f>
        <v>0</v>
      </c>
      <c r="T76" s="172">
        <f>-T59*Leadsheet!$E$51</f>
        <v>0</v>
      </c>
      <c r="U76" s="172">
        <f>-U59*Leadsheet!$E$51</f>
        <v>0</v>
      </c>
      <c r="V76" s="172">
        <f>-V59*Leadsheet!$E$51</f>
        <v>0</v>
      </c>
      <c r="W76" s="172">
        <f>-W59*Leadsheet!$E$51</f>
        <v>0</v>
      </c>
      <c r="X76" s="172">
        <f>-X59*Leadsheet!$E$51</f>
        <v>0</v>
      </c>
      <c r="Y76" s="172">
        <f>-Y59*Leadsheet!$E$51</f>
        <v>0</v>
      </c>
      <c r="Z76" s="172">
        <f>-Z59*Leadsheet!$E$51</f>
        <v>0</v>
      </c>
      <c r="AA76" s="172">
        <f>-AA59*Leadsheet!$E$51</f>
        <v>0</v>
      </c>
      <c r="AB76" s="172">
        <f>-AB59*Leadsheet!$E$51</f>
        <v>0</v>
      </c>
      <c r="AC76" s="172">
        <f>-AC59*Leadsheet!$E$51</f>
        <v>0</v>
      </c>
      <c r="AD76" s="172">
        <f>-AD59*Leadsheet!$E$51</f>
        <v>0</v>
      </c>
      <c r="AE76" s="172">
        <f>-AE59*Leadsheet!$E$51</f>
        <v>0</v>
      </c>
      <c r="AF76" s="172">
        <f>-AF59*Leadsheet!$E$51</f>
        <v>0</v>
      </c>
      <c r="AG76" s="172">
        <f>-AG59*Leadsheet!$E$51</f>
        <v>0</v>
      </c>
      <c r="AH76" s="172">
        <f>-AH59*Leadsheet!$E$51</f>
        <v>0</v>
      </c>
      <c r="AI76" s="172">
        <f>-AI59*Leadsheet!$E$51</f>
        <v>0</v>
      </c>
      <c r="AJ76" s="172">
        <f>-AJ59*Leadsheet!$E$51</f>
        <v>0</v>
      </c>
      <c r="AK76" s="172">
        <f>-AK59*Leadsheet!$E$51</f>
        <v>0</v>
      </c>
      <c r="AL76" s="172">
        <f>-AL59*Leadsheet!$E$51</f>
        <v>0</v>
      </c>
      <c r="AM76" s="172">
        <f>-AM59*Leadsheet!$E$51</f>
        <v>0</v>
      </c>
      <c r="AN76" s="172">
        <f>-AN59*Leadsheet!$E$51</f>
        <v>0</v>
      </c>
      <c r="AO76" s="172">
        <f>-AO59*Leadsheet!$E$51</f>
        <v>0</v>
      </c>
      <c r="AP76" s="172">
        <f>-AP59*Leadsheet!$E$51</f>
        <v>0</v>
      </c>
      <c r="AQ76" s="172">
        <f>-AQ59*Leadsheet!$E$51</f>
        <v>0</v>
      </c>
      <c r="AR76" s="172">
        <f>-AR59*Leadsheet!$E$51</f>
        <v>0</v>
      </c>
      <c r="AS76" s="172">
        <f>-AS59*Leadsheet!$E$51</f>
        <v>0</v>
      </c>
      <c r="AT76" s="172">
        <f>-AT59*Leadsheet!$E$51</f>
        <v>0</v>
      </c>
      <c r="AU76" s="172">
        <f>-AU59*Leadsheet!$E$51</f>
        <v>0</v>
      </c>
      <c r="AV76" s="172">
        <f>-AV59*Leadsheet!$E$51</f>
        <v>0</v>
      </c>
      <c r="AW76" s="172">
        <f>-AW59*Leadsheet!$E$51</f>
        <v>0</v>
      </c>
      <c r="AX76" s="172">
        <f>-AX59*Leadsheet!$E$51</f>
        <v>0</v>
      </c>
      <c r="AY76" s="172">
        <f>-AY59*Leadsheet!$E$51</f>
        <v>0</v>
      </c>
      <c r="AZ76" s="172">
        <f>-AZ59*Leadsheet!$E$51</f>
        <v>0</v>
      </c>
      <c r="BA76" s="172">
        <f>-BA59*Leadsheet!$E$51</f>
        <v>0</v>
      </c>
      <c r="BB76" s="172">
        <f>-BB59*Leadsheet!$E$51</f>
        <v>0</v>
      </c>
      <c r="BC76" s="172">
        <f>-BC59*Leadsheet!$E$51</f>
        <v>0</v>
      </c>
      <c r="BD76" s="172">
        <f>-BD59*Leadsheet!$E$51</f>
        <v>0</v>
      </c>
      <c r="BE76" s="172">
        <f>-BE59*Leadsheet!$E$51</f>
        <v>0</v>
      </c>
      <c r="BF76" s="172">
        <f>-BF59*Leadsheet!$E$51</f>
        <v>0</v>
      </c>
      <c r="BG76" s="172">
        <f>-BG59*Leadsheet!$E$51</f>
        <v>0</v>
      </c>
      <c r="BH76" s="172">
        <f>-BH59*Leadsheet!$E$51</f>
        <v>0</v>
      </c>
      <c r="BI76" s="172">
        <f>-BI59*Leadsheet!$E$51</f>
        <v>0</v>
      </c>
      <c r="BJ76" s="172">
        <f>-BJ59*Leadsheet!$E$51</f>
        <v>0</v>
      </c>
      <c r="BK76" s="172">
        <f>-BK59*Leadsheet!$E$51</f>
        <v>0</v>
      </c>
      <c r="BL76" s="172">
        <f>-BL59*Leadsheet!$E$51</f>
        <v>0</v>
      </c>
    </row>
    <row r="77" spans="2:64" x14ac:dyDescent="0.15">
      <c r="C77" s="194" t="s">
        <v>144</v>
      </c>
      <c r="E77" s="172">
        <f>-E61*Leadsheet!$E$52</f>
        <v>0</v>
      </c>
      <c r="F77" s="172">
        <f>-F61*Leadsheet!$E$52</f>
        <v>0</v>
      </c>
      <c r="G77" s="172">
        <f>-G61*Leadsheet!$E$52</f>
        <v>0</v>
      </c>
      <c r="H77" s="172">
        <f>-H61*Leadsheet!$E$52</f>
        <v>0</v>
      </c>
      <c r="I77" s="172">
        <f>-I61*Leadsheet!$E$52</f>
        <v>0</v>
      </c>
      <c r="J77" s="172">
        <f>-J61*Leadsheet!$E$52</f>
        <v>0</v>
      </c>
      <c r="K77" s="172">
        <f>-K61*Leadsheet!$E$52</f>
        <v>0</v>
      </c>
      <c r="L77" s="172">
        <f>-L61*Leadsheet!$E$52</f>
        <v>0</v>
      </c>
      <c r="M77" s="172">
        <f>-M61*Leadsheet!$E$52</f>
        <v>0</v>
      </c>
      <c r="N77" s="172">
        <f>-N61*Leadsheet!$E$52</f>
        <v>0</v>
      </c>
      <c r="O77" s="172">
        <f>-O61*Leadsheet!$E$52</f>
        <v>0</v>
      </c>
      <c r="P77" s="172">
        <f>-P61*Leadsheet!$E$52</f>
        <v>0</v>
      </c>
      <c r="Q77" s="172">
        <f>-Q61*Leadsheet!$E$52</f>
        <v>0</v>
      </c>
      <c r="R77" s="172">
        <f>-R61*Leadsheet!$E$52</f>
        <v>0</v>
      </c>
      <c r="S77" s="172">
        <f>-S61*Leadsheet!$E$52</f>
        <v>0</v>
      </c>
      <c r="T77" s="172">
        <f>-T61*Leadsheet!$E$52</f>
        <v>0</v>
      </c>
      <c r="U77" s="172">
        <f>-U61*Leadsheet!$E$52</f>
        <v>0</v>
      </c>
      <c r="V77" s="172">
        <f>-V61*Leadsheet!$E$52</f>
        <v>0</v>
      </c>
      <c r="W77" s="172">
        <f>-W61*Leadsheet!$E$52</f>
        <v>0</v>
      </c>
      <c r="X77" s="172">
        <f>-X61*Leadsheet!$E$52</f>
        <v>0</v>
      </c>
      <c r="Y77" s="172">
        <f>-Y61*Leadsheet!$E$52</f>
        <v>0</v>
      </c>
      <c r="Z77" s="172">
        <f>-Z61*Leadsheet!$E$52</f>
        <v>0</v>
      </c>
      <c r="AA77" s="172">
        <f>-AA61*Leadsheet!$E$52</f>
        <v>0</v>
      </c>
      <c r="AB77" s="172">
        <f>-AB61*Leadsheet!$E$52</f>
        <v>0</v>
      </c>
      <c r="AC77" s="172">
        <f>-AC61*Leadsheet!$E$52</f>
        <v>0</v>
      </c>
      <c r="AD77" s="172">
        <f>-AD61*Leadsheet!$E$52</f>
        <v>0</v>
      </c>
      <c r="AE77" s="172">
        <f>-AE61*Leadsheet!$E$52</f>
        <v>0</v>
      </c>
      <c r="AF77" s="172">
        <f>-AF61*Leadsheet!$E$52</f>
        <v>0</v>
      </c>
      <c r="AG77" s="172">
        <f>-AG61*Leadsheet!$E$52</f>
        <v>0</v>
      </c>
      <c r="AH77" s="172">
        <f>-AH61*Leadsheet!$E$52</f>
        <v>0</v>
      </c>
      <c r="AI77" s="172">
        <f>-AI61*Leadsheet!$E$52</f>
        <v>0</v>
      </c>
      <c r="AJ77" s="172">
        <f>-AJ61*Leadsheet!$E$52</f>
        <v>0</v>
      </c>
      <c r="AK77" s="172">
        <f>-AK61*Leadsheet!$E$52</f>
        <v>0</v>
      </c>
      <c r="AL77" s="172">
        <f>-AL61*Leadsheet!$E$52</f>
        <v>0</v>
      </c>
      <c r="AM77" s="172">
        <f>-AM61*Leadsheet!$E$52</f>
        <v>0</v>
      </c>
      <c r="AN77" s="172">
        <f>-AN61*Leadsheet!$E$52</f>
        <v>0</v>
      </c>
      <c r="AO77" s="172">
        <f>-AO61*Leadsheet!$E$52</f>
        <v>0</v>
      </c>
      <c r="AP77" s="172">
        <f>-AP61*Leadsheet!$E$52</f>
        <v>0</v>
      </c>
      <c r="AQ77" s="172">
        <f>-AQ61*Leadsheet!$E$52</f>
        <v>0</v>
      </c>
      <c r="AR77" s="172">
        <f>-AR61*Leadsheet!$E$52</f>
        <v>0</v>
      </c>
      <c r="AS77" s="172">
        <f>-AS61*Leadsheet!$E$52</f>
        <v>0</v>
      </c>
      <c r="AT77" s="172">
        <f>-AT61*Leadsheet!$E$52</f>
        <v>0</v>
      </c>
      <c r="AU77" s="172">
        <f>-AU61*Leadsheet!$E$52</f>
        <v>0</v>
      </c>
      <c r="AV77" s="172">
        <f>-AV61*Leadsheet!$E$52</f>
        <v>0</v>
      </c>
      <c r="AW77" s="172">
        <f>-AW61*Leadsheet!$E$52</f>
        <v>0</v>
      </c>
      <c r="AX77" s="172">
        <f>-AX61*Leadsheet!$E$52</f>
        <v>0</v>
      </c>
      <c r="AY77" s="172">
        <f>-AY61*Leadsheet!$E$52</f>
        <v>0</v>
      </c>
      <c r="AZ77" s="172">
        <f>-AZ61*Leadsheet!$E$52</f>
        <v>0</v>
      </c>
      <c r="BA77" s="172">
        <f>-BA61*Leadsheet!$E$52</f>
        <v>0</v>
      </c>
      <c r="BB77" s="172">
        <f>-BB61*Leadsheet!$E$52</f>
        <v>0</v>
      </c>
      <c r="BC77" s="172">
        <f>-BC61*Leadsheet!$E$52</f>
        <v>0</v>
      </c>
      <c r="BD77" s="172">
        <f>-BD61*Leadsheet!$E$52</f>
        <v>0</v>
      </c>
      <c r="BE77" s="172">
        <f>-BE61*Leadsheet!$E$52</f>
        <v>0</v>
      </c>
      <c r="BF77" s="172">
        <f>-BF61*Leadsheet!$E$52</f>
        <v>0</v>
      </c>
      <c r="BG77" s="172">
        <f>-BG61*Leadsheet!$E$52</f>
        <v>0</v>
      </c>
      <c r="BH77" s="172">
        <f>-BH61*Leadsheet!$E$52</f>
        <v>0</v>
      </c>
      <c r="BI77" s="172">
        <f>-BI61*Leadsheet!$E$52</f>
        <v>0</v>
      </c>
      <c r="BJ77" s="172">
        <f>-BJ61*Leadsheet!$E$52</f>
        <v>0</v>
      </c>
      <c r="BK77" s="172">
        <f>-BK61*Leadsheet!$E$52</f>
        <v>0</v>
      </c>
      <c r="BL77" s="172">
        <f>-BL61*Leadsheet!$E$52</f>
        <v>0</v>
      </c>
    </row>
    <row r="78" spans="2:64" x14ac:dyDescent="0.15">
      <c r="C78" s="194" t="s">
        <v>146</v>
      </c>
      <c r="E78" s="172">
        <f>IF(E5&gt;$D$7,0,Leadsheet!$E$53*(E31-SUM(D31:D39)+SUM(E32:E40)))</f>
        <v>0</v>
      </c>
      <c r="F78" s="172">
        <f>IF(F5&gt;$D$7,0,Leadsheet!$E$53*(F31-SUM(E31:E39)+SUM(F32:F40)))</f>
        <v>0</v>
      </c>
      <c r="G78" s="172">
        <f>IF(G5&gt;$D$7,0,Leadsheet!$E$53*(G31-SUM(F31:F39)+SUM(G32:G40)))</f>
        <v>0</v>
      </c>
      <c r="H78" s="172">
        <f>IF(H5&gt;$D$7,0,Leadsheet!$E$53*(H31-SUM(G31:G39)+SUM(H32:H40)))</f>
        <v>0</v>
      </c>
      <c r="I78" s="172">
        <f>IF(I5&gt;$D$7,0,Leadsheet!$E$53*(I31-SUM(H31:H39)+SUM(I32:I40)))</f>
        <v>0</v>
      </c>
      <c r="J78" s="172">
        <f>IF(J5&gt;$D$7,0,Leadsheet!$E$53*(J31-SUM(I31:I39)+SUM(J32:J40)))</f>
        <v>0</v>
      </c>
      <c r="K78" s="172">
        <f>IF(K5&gt;$D$7,0,Leadsheet!$E$53*(K31-SUM(J31:J39)+SUM(K32:K40)))</f>
        <v>0</v>
      </c>
      <c r="L78" s="172">
        <f>IF(L5&gt;$D$7,0,Leadsheet!$E$53*(L31-SUM(K31:K39)+SUM(L32:L40)))</f>
        <v>0</v>
      </c>
      <c r="M78" s="172">
        <f>IF(M5&gt;$D$7,0,Leadsheet!$E$53*(M31-SUM(L31:L39)+SUM(M32:M40)))</f>
        <v>0</v>
      </c>
      <c r="N78" s="172">
        <f>IF(N5&gt;$D$7,0,Leadsheet!$E$53*(N31-SUM(M31:M39)+SUM(N32:N40)))</f>
        <v>0</v>
      </c>
      <c r="O78" s="172">
        <f>IF(O5&gt;$D$7,0,Leadsheet!$E$53*(O31-SUM(N31:N39)+SUM(O32:O40)))</f>
        <v>0</v>
      </c>
      <c r="P78" s="172">
        <f>IF(P5&gt;$D$7,0,Leadsheet!$E$53*(P31-SUM(O31:O39)+SUM(P32:P40)))</f>
        <v>0</v>
      </c>
      <c r="Q78" s="172">
        <f>IF(Q5&gt;$D$7,0,Leadsheet!$E$53*(Q31-SUM(P31:P39)+SUM(Q32:Q40)))</f>
        <v>0</v>
      </c>
      <c r="R78" s="172">
        <f>IF(R5&gt;$D$7,0,Leadsheet!$E$53*(R31-SUM(Q31:Q39)+SUM(R32:R40)))</f>
        <v>0</v>
      </c>
      <c r="S78" s="172">
        <f>IF(S5&gt;$D$7,0,Leadsheet!$E$53*(S31-SUM(R31:R39)+SUM(S32:S40)))</f>
        <v>0</v>
      </c>
      <c r="T78" s="172">
        <f>IF(T5&gt;$D$7,0,Leadsheet!$E$53*(T31-SUM(S31:S39)+SUM(T32:T40)))</f>
        <v>0</v>
      </c>
      <c r="U78" s="172">
        <f>IF(U5&gt;$D$7,0,Leadsheet!$E$53*(U31-SUM(T31:T39)+SUM(U32:U40)))</f>
        <v>0</v>
      </c>
      <c r="V78" s="172">
        <f>IF(V5&gt;$D$7,0,Leadsheet!$E$53*(V31-SUM(U31:U39)+SUM(V32:V40)))</f>
        <v>0</v>
      </c>
      <c r="W78" s="172">
        <f>IF(W5&gt;$D$7,0,Leadsheet!$E$53*(W31-SUM(V31:V39)+SUM(W32:W40)))</f>
        <v>0</v>
      </c>
      <c r="X78" s="172">
        <f>IF(X5&gt;$D$7,0,Leadsheet!$E$53*(X31-SUM(W31:W39)+SUM(X32:X40)))</f>
        <v>0</v>
      </c>
      <c r="Y78" s="172">
        <f>IF(Y5&gt;$D$7,0,Leadsheet!$E$53*(Y31-SUM(X31:X39)+SUM(Y32:Y40)))</f>
        <v>0</v>
      </c>
      <c r="Z78" s="172">
        <f>IF(Z5&gt;$D$7,0,Leadsheet!$E$53*(Z31-SUM(Y31:Y39)+SUM(Z32:Z40)))</f>
        <v>0</v>
      </c>
      <c r="AA78" s="172">
        <f>IF(AA5&gt;$D$7,0,Leadsheet!$E$53*(AA31-SUM(Z31:Z39)+SUM(AA32:AA40)))</f>
        <v>0</v>
      </c>
      <c r="AB78" s="172">
        <f>IF(AB5&gt;$D$7,0,Leadsheet!$E$53*(AB31-SUM(AA31:AA39)+SUM(AB32:AB40)))</f>
        <v>0</v>
      </c>
      <c r="AC78" s="172">
        <f>IF(AC5&gt;$D$7,0,Leadsheet!$E$53*(AC31-SUM(AB31:AB39)+SUM(AC32:AC40)))</f>
        <v>0</v>
      </c>
      <c r="AD78" s="172">
        <f>IF(AD5&gt;$D$7,0,Leadsheet!$E$53*(AD31-SUM(AC31:AC39)+SUM(AD32:AD40)))</f>
        <v>0</v>
      </c>
      <c r="AE78" s="172">
        <f>IF(AE5&gt;$D$7,0,Leadsheet!$E$53*(AE31-SUM(AD31:AD39)+SUM(AE32:AE40)))</f>
        <v>0</v>
      </c>
      <c r="AF78" s="172">
        <f>IF(AF5&gt;$D$7,0,Leadsheet!$E$53*(AF31-SUM(AE31:AE39)+SUM(AF32:AF40)))</f>
        <v>0</v>
      </c>
      <c r="AG78" s="172">
        <f>IF(AG5&gt;$D$7,0,Leadsheet!$E$53*(AG31-SUM(AF31:AF39)+SUM(AG32:AG40)))</f>
        <v>0</v>
      </c>
      <c r="AH78" s="172">
        <f>IF(AH5&gt;$D$7,0,Leadsheet!$E$53*(AH31-SUM(AG31:AG39)+SUM(AH32:AH40)))</f>
        <v>0</v>
      </c>
      <c r="AI78" s="172">
        <f>IF(AI5&gt;$D$7,0,Leadsheet!$E$53*(AI31-SUM(AH31:AH39)+SUM(AI32:AI40)))</f>
        <v>0</v>
      </c>
      <c r="AJ78" s="172">
        <f>IF(AJ5&gt;$D$7,0,Leadsheet!$E$53*(AJ31-SUM(AI31:AI39)+SUM(AJ32:AJ40)))</f>
        <v>0</v>
      </c>
      <c r="AK78" s="172">
        <f>IF(AK5&gt;$D$7,0,Leadsheet!$E$53*(AK31-SUM(AJ31:AJ39)+SUM(AK32:AK40)))</f>
        <v>0</v>
      </c>
      <c r="AL78" s="172">
        <f>IF(AL5&gt;$D$7,0,Leadsheet!$E$53*(AL31-SUM(AK31:AK39)+SUM(AL32:AL40)))</f>
        <v>0</v>
      </c>
      <c r="AM78" s="172">
        <f>IF(AM5&gt;$D$7,0,Leadsheet!$E$53*(AM31-SUM(AL31:AL39)+SUM(AM32:AM40)))</f>
        <v>0</v>
      </c>
      <c r="AN78" s="172">
        <f>IF(AN5&gt;$D$7,0,Leadsheet!$E$53*(AN31-SUM(AM31:AM39)+SUM(AN32:AN40)))</f>
        <v>0</v>
      </c>
      <c r="AO78" s="172">
        <f>IF(AO5&gt;$D$7,0,Leadsheet!$E$53*(AO31-SUM(AN31:AN39)+SUM(AO32:AO40)))</f>
        <v>0</v>
      </c>
      <c r="AP78" s="172">
        <f>IF(AP5&gt;$D$7,0,Leadsheet!$E$53*(AP31-SUM(AO31:AO39)+SUM(AP32:AP40)))</f>
        <v>0</v>
      </c>
      <c r="AQ78" s="172">
        <f>IF(AQ5&gt;$D$7,0,Leadsheet!$E$53*(AQ31-SUM(AP31:AP39)+SUM(AQ32:AQ40)))</f>
        <v>0</v>
      </c>
      <c r="AR78" s="172">
        <f>IF(AR5&gt;$D$7,0,Leadsheet!$E$53*(AR31-SUM(AQ31:AQ39)+SUM(AR32:AR40)))</f>
        <v>0</v>
      </c>
      <c r="AS78" s="172">
        <f>IF(AS5&gt;$D$7,0,Leadsheet!$E$53*(AS31-SUM(AR31:AR39)+SUM(AS32:AS40)))</f>
        <v>0</v>
      </c>
      <c r="AT78" s="172">
        <f>IF(AT5&gt;$D$7,0,Leadsheet!$E$53*(AT31-SUM(AS31:AS39)+SUM(AT32:AT40)))</f>
        <v>0</v>
      </c>
      <c r="AU78" s="172">
        <f>IF(AU5&gt;$D$7,0,Leadsheet!$E$53*(AU31-SUM(AT31:AT39)+SUM(AU32:AU40)))</f>
        <v>0</v>
      </c>
      <c r="AV78" s="172">
        <f>IF(AV5&gt;$D$7,0,Leadsheet!$E$53*(AV31-SUM(AU31:AU39)+SUM(AV32:AV40)))</f>
        <v>0</v>
      </c>
      <c r="AW78" s="172">
        <f>IF(AW5&gt;$D$7,0,Leadsheet!$E$53*(AW31-SUM(AV31:AV39)+SUM(AW32:AW40)))</f>
        <v>0</v>
      </c>
      <c r="AX78" s="172">
        <f>IF(AX5&gt;$D$7,0,Leadsheet!$E$53*(AX31-SUM(AW31:AW39)+SUM(AX32:AX40)))</f>
        <v>0</v>
      </c>
      <c r="AY78" s="172">
        <f>IF(AY5&gt;$D$7,0,Leadsheet!$E$53*(AY31-SUM(AX31:AX39)+SUM(AY32:AY40)))</f>
        <v>0</v>
      </c>
      <c r="AZ78" s="172">
        <f>IF(AZ5&gt;$D$7,0,Leadsheet!$E$53*(AZ31-SUM(AY31:AY39)+SUM(AZ32:AZ40)))</f>
        <v>0</v>
      </c>
      <c r="BA78" s="172">
        <f>IF(BA5&gt;$D$7,0,Leadsheet!$E$53*(BA31-SUM(AZ31:AZ39)+SUM(BA32:BA40)))</f>
        <v>0</v>
      </c>
      <c r="BB78" s="172">
        <f>IF(BB5&gt;$D$7,0,Leadsheet!$E$53*(BB31-SUM(BA31:BA39)+SUM(BB32:BB40)))</f>
        <v>0</v>
      </c>
      <c r="BC78" s="172">
        <f>IF(BC5&gt;$D$7,0,Leadsheet!$E$53*(BC31-SUM(BB31:BB39)+SUM(BC32:BC40)))</f>
        <v>0</v>
      </c>
      <c r="BD78" s="172">
        <f>IF(BD5&gt;$D$7,0,Leadsheet!$E$53*(BD31-SUM(BC31:BC39)+SUM(BD32:BD40)))</f>
        <v>0</v>
      </c>
      <c r="BE78" s="172">
        <f>IF(BE5&gt;$D$7,0,Leadsheet!$E$53*(BE31-SUM(BD31:BD39)+SUM(BE32:BE40)))</f>
        <v>0</v>
      </c>
      <c r="BF78" s="172">
        <f>IF(BF5&gt;$D$7,0,Leadsheet!$E$53*(BF31-SUM(BE31:BE39)+SUM(BF32:BF40)))</f>
        <v>0</v>
      </c>
      <c r="BG78" s="172">
        <f>IF(BG5&gt;$D$7,0,Leadsheet!$E$53*(BG31-SUM(BF31:BF39)+SUM(BG32:BG40)))</f>
        <v>0</v>
      </c>
      <c r="BH78" s="172">
        <f>IF(BH5&gt;$D$7,0,Leadsheet!$E$53*(BH31-SUM(BG31:BG39)+SUM(BH32:BH40)))</f>
        <v>0</v>
      </c>
      <c r="BI78" s="172">
        <f>IF(BI5&gt;$D$7,0,Leadsheet!$E$53*(BI31-SUM(BH31:BH39)+SUM(BI32:BI40)))</f>
        <v>0</v>
      </c>
      <c r="BJ78" s="172">
        <f>IF(BJ5&gt;$D$7,0,Leadsheet!$E$53*(BJ31-SUM(BI31:BI39)+SUM(BJ32:BJ40)))</f>
        <v>0</v>
      </c>
      <c r="BK78" s="172">
        <f>IF(BK5&gt;$D$7,0,Leadsheet!$E$53*(BK31-SUM(BJ31:BJ39)+SUM(BK32:BK40)))</f>
        <v>0</v>
      </c>
      <c r="BL78" s="172">
        <f>IF(BL5&gt;$D$7,0,Leadsheet!$E$53*(BL31-SUM(BK31:BK39)+SUM(BL32:BL40)))</f>
        <v>0</v>
      </c>
    </row>
    <row r="79" spans="2:64" x14ac:dyDescent="0.15">
      <c r="C79" s="194" t="s">
        <v>148</v>
      </c>
      <c r="E79" s="172">
        <f>IF(E5&gt;$D$7,0,Leadsheet!$E$54*(E34-SUM(D34:D39)+SUM(E35:E40)))</f>
        <v>0</v>
      </c>
      <c r="F79" s="172">
        <f>IF(F5&gt;$D$7,0,Leadsheet!$E$54*(F34-SUM(E34:E39)+SUM(F35:F40)))</f>
        <v>0</v>
      </c>
      <c r="G79" s="172">
        <f>IF(G5&gt;$D$7,0,Leadsheet!$E$54*(G34-SUM(F34:F39)+SUM(G35:G40)))</f>
        <v>0</v>
      </c>
      <c r="H79" s="172">
        <f>IF(H5&gt;$D$7,0,Leadsheet!$E$54*(H34-SUM(G34:G39)+SUM(H35:H40)))</f>
        <v>0</v>
      </c>
      <c r="I79" s="172">
        <f>IF(I5&gt;$D$7,0,Leadsheet!$E$54*(I34-SUM(H34:H39)+SUM(I35:I40)))</f>
        <v>0</v>
      </c>
      <c r="J79" s="172">
        <f>IF(J5&gt;$D$7,0,Leadsheet!$E$54*(J34-SUM(I34:I39)+SUM(J35:J40)))</f>
        <v>0</v>
      </c>
      <c r="K79" s="172">
        <f>IF(K5&gt;$D$7,0,Leadsheet!$E$54*(K34-SUM(J34:J39)+SUM(K35:K40)))</f>
        <v>0</v>
      </c>
      <c r="L79" s="172">
        <f>IF(L5&gt;$D$7,0,Leadsheet!$E$54*(L34-SUM(K34:K39)+SUM(L35:L40)))</f>
        <v>0</v>
      </c>
      <c r="M79" s="172">
        <f>IF(M5&gt;$D$7,0,Leadsheet!$E$54*(M34-SUM(L34:L39)+SUM(M35:M40)))</f>
        <v>0</v>
      </c>
      <c r="N79" s="172">
        <f>IF(N5&gt;$D$7,0,Leadsheet!$E$54*(N34-SUM(M34:M39)+SUM(N35:N40)))</f>
        <v>0</v>
      </c>
      <c r="O79" s="172">
        <f>IF(O5&gt;$D$7,0,Leadsheet!$E$54*(O34-SUM(N34:N39)+SUM(O35:O40)))</f>
        <v>0</v>
      </c>
      <c r="P79" s="172">
        <f>IF(P5&gt;$D$7,0,Leadsheet!$E$54*(P34-SUM(O34:O39)+SUM(P35:P40)))</f>
        <v>0</v>
      </c>
      <c r="Q79" s="172">
        <f>IF(Q5&gt;$D$7,0,Leadsheet!$E$54*(Q34-SUM(P34:P39)+SUM(Q35:Q40)))</f>
        <v>0</v>
      </c>
      <c r="R79" s="172">
        <f>IF(R5&gt;$D$7,0,Leadsheet!$E$54*(R34-SUM(Q34:Q39)+SUM(R35:R40)))</f>
        <v>0</v>
      </c>
      <c r="S79" s="172">
        <f>IF(S5&gt;$D$7,0,Leadsheet!$E$54*(S34-SUM(R34:R39)+SUM(S35:S40)))</f>
        <v>0</v>
      </c>
      <c r="T79" s="172">
        <f>IF(T5&gt;$D$7,0,Leadsheet!$E$54*(T34-SUM(S34:S39)+SUM(T35:T40)))</f>
        <v>0</v>
      </c>
      <c r="U79" s="172">
        <f>IF(U5&gt;$D$7,0,Leadsheet!$E$54*(U34-SUM(T34:T39)+SUM(U35:U40)))</f>
        <v>0</v>
      </c>
      <c r="V79" s="172">
        <f>IF(V5&gt;$D$7,0,Leadsheet!$E$54*(V34-SUM(U34:U39)+SUM(V35:V40)))</f>
        <v>0</v>
      </c>
      <c r="W79" s="172">
        <f>IF(W5&gt;$D$7,0,Leadsheet!$E$54*(W34-SUM(V34:V39)+SUM(W35:W40)))</f>
        <v>0</v>
      </c>
      <c r="X79" s="172">
        <f>IF(X5&gt;$D$7,0,Leadsheet!$E$54*(X34-SUM(W34:W39)+SUM(X35:X40)))</f>
        <v>0</v>
      </c>
      <c r="Y79" s="172">
        <f>IF(Y5&gt;$D$7,0,Leadsheet!$E$54*(Y34-SUM(X34:X39)+SUM(Y35:Y40)))</f>
        <v>0</v>
      </c>
      <c r="Z79" s="172">
        <f>IF(Z5&gt;$D$7,0,Leadsheet!$E$54*(Z34-SUM(Y34:Y39)+SUM(Z35:Z40)))</f>
        <v>0</v>
      </c>
      <c r="AA79" s="172">
        <f>IF(AA5&gt;$D$7,0,Leadsheet!$E$54*(AA34-SUM(Z34:Z39)+SUM(AA35:AA40)))</f>
        <v>0</v>
      </c>
      <c r="AB79" s="172">
        <f>IF(AB5&gt;$D$7,0,Leadsheet!$E$54*(AB34-SUM(AA34:AA39)+SUM(AB35:AB40)))</f>
        <v>0</v>
      </c>
      <c r="AC79" s="172">
        <f>IF(AC5&gt;$D$7,0,Leadsheet!$E$54*(AC34-SUM(AB34:AB39)+SUM(AC35:AC40)))</f>
        <v>0</v>
      </c>
      <c r="AD79" s="172">
        <f>IF(AD5&gt;$D$7,0,Leadsheet!$E$54*(AD34-SUM(AC34:AC39)+SUM(AD35:AD40)))</f>
        <v>0</v>
      </c>
      <c r="AE79" s="172">
        <f>IF(AE5&gt;$D$7,0,Leadsheet!$E$54*(AE34-SUM(AD34:AD39)+SUM(AE35:AE40)))</f>
        <v>0</v>
      </c>
      <c r="AF79" s="172">
        <f>IF(AF5&gt;$D$7,0,Leadsheet!$E$54*(AF34-SUM(AE34:AE39)+SUM(AF35:AF40)))</f>
        <v>0</v>
      </c>
      <c r="AG79" s="172">
        <f>IF(AG5&gt;$D$7,0,Leadsheet!$E$54*(AG34-SUM(AF34:AF39)+SUM(AG35:AG40)))</f>
        <v>0</v>
      </c>
      <c r="AH79" s="172">
        <f>IF(AH5&gt;$D$7,0,Leadsheet!$E$54*(AH34-SUM(AG34:AG39)+SUM(AH35:AH40)))</f>
        <v>0</v>
      </c>
      <c r="AI79" s="172">
        <f>IF(AI5&gt;$D$7,0,Leadsheet!$E$54*(AI34-SUM(AH34:AH39)+SUM(AI35:AI40)))</f>
        <v>0</v>
      </c>
      <c r="AJ79" s="172">
        <f>IF(AJ5&gt;$D$7,0,Leadsheet!$E$54*(AJ34-SUM(AI34:AI39)+SUM(AJ35:AJ40)))</f>
        <v>0</v>
      </c>
      <c r="AK79" s="172">
        <f>IF(AK5&gt;$D$7,0,Leadsheet!$E$54*(AK34-SUM(AJ34:AJ39)+SUM(AK35:AK40)))</f>
        <v>0</v>
      </c>
      <c r="AL79" s="172">
        <f>IF(AL5&gt;$D$7,0,Leadsheet!$E$54*(AL34-SUM(AK34:AK39)+SUM(AL35:AL40)))</f>
        <v>0</v>
      </c>
      <c r="AM79" s="172">
        <f>IF(AM5&gt;$D$7,0,Leadsheet!$E$54*(AM34-SUM(AL34:AL39)+SUM(AM35:AM40)))</f>
        <v>0</v>
      </c>
      <c r="AN79" s="172">
        <f>IF(AN5&gt;$D$7,0,Leadsheet!$E$54*(AN34-SUM(AM34:AM39)+SUM(AN35:AN40)))</f>
        <v>0</v>
      </c>
      <c r="AO79" s="172">
        <f>IF(AO5&gt;$D$7,0,Leadsheet!$E$54*(AO34-SUM(AN34:AN39)+SUM(AO35:AO40)))</f>
        <v>0</v>
      </c>
      <c r="AP79" s="172">
        <f>IF(AP5&gt;$D$7,0,Leadsheet!$E$54*(AP34-SUM(AO34:AO39)+SUM(AP35:AP40)))</f>
        <v>0</v>
      </c>
      <c r="AQ79" s="172">
        <f>IF(AQ5&gt;$D$7,0,Leadsheet!$E$54*(AQ34-SUM(AP34:AP39)+SUM(AQ35:AQ40)))</f>
        <v>0</v>
      </c>
      <c r="AR79" s="172">
        <f>IF(AR5&gt;$D$7,0,Leadsheet!$E$54*(AR34-SUM(AQ34:AQ39)+SUM(AR35:AR40)))</f>
        <v>0</v>
      </c>
      <c r="AS79" s="172">
        <f>IF(AS5&gt;$D$7,0,Leadsheet!$E$54*(AS34-SUM(AR34:AR39)+SUM(AS35:AS40)))</f>
        <v>0</v>
      </c>
      <c r="AT79" s="172">
        <f>IF(AT5&gt;$D$7,0,Leadsheet!$E$54*(AT34-SUM(AS34:AS39)+SUM(AT35:AT40)))</f>
        <v>0</v>
      </c>
      <c r="AU79" s="172">
        <f>IF(AU5&gt;$D$7,0,Leadsheet!$E$54*(AU34-SUM(AT34:AT39)+SUM(AU35:AU40)))</f>
        <v>0</v>
      </c>
      <c r="AV79" s="172">
        <f>IF(AV5&gt;$D$7,0,Leadsheet!$E$54*(AV34-SUM(AU34:AU39)+SUM(AV35:AV40)))</f>
        <v>0</v>
      </c>
      <c r="AW79" s="172">
        <f>IF(AW5&gt;$D$7,0,Leadsheet!$E$54*(AW34-SUM(AV34:AV39)+SUM(AW35:AW40)))</f>
        <v>0</v>
      </c>
      <c r="AX79" s="172">
        <f>IF(AX5&gt;$D$7,0,Leadsheet!$E$54*(AX34-SUM(AW34:AW39)+SUM(AX35:AX40)))</f>
        <v>0</v>
      </c>
      <c r="AY79" s="172">
        <f>IF(AY5&gt;$D$7,0,Leadsheet!$E$54*(AY34-SUM(AX34:AX39)+SUM(AY35:AY40)))</f>
        <v>0</v>
      </c>
      <c r="AZ79" s="172">
        <f>IF(AZ5&gt;$D$7,0,Leadsheet!$E$54*(AZ34-SUM(AY34:AY39)+SUM(AZ35:AZ40)))</f>
        <v>0</v>
      </c>
      <c r="BA79" s="172">
        <f>IF(BA5&gt;$D$7,0,Leadsheet!$E$54*(BA34-SUM(AZ34:AZ39)+SUM(BA35:BA40)))</f>
        <v>0</v>
      </c>
      <c r="BB79" s="172">
        <f>IF(BB5&gt;$D$7,0,Leadsheet!$E$54*(BB34-SUM(BA34:BA39)+SUM(BB35:BB40)))</f>
        <v>0</v>
      </c>
      <c r="BC79" s="172">
        <f>IF(BC5&gt;$D$7,0,Leadsheet!$E$54*(BC34-SUM(BB34:BB39)+SUM(BC35:BC40)))</f>
        <v>0</v>
      </c>
      <c r="BD79" s="172">
        <f>IF(BD5&gt;$D$7,0,Leadsheet!$E$54*(BD34-SUM(BC34:BC39)+SUM(BD35:BD40)))</f>
        <v>0</v>
      </c>
      <c r="BE79" s="172">
        <f>IF(BE5&gt;$D$7,0,Leadsheet!$E$54*(BE34-SUM(BD34:BD39)+SUM(BE35:BE40)))</f>
        <v>0</v>
      </c>
      <c r="BF79" s="172">
        <f>IF(BF5&gt;$D$7,0,Leadsheet!$E$54*(BF34-SUM(BE34:BE39)+SUM(BF35:BF40)))</f>
        <v>0</v>
      </c>
      <c r="BG79" s="172">
        <f>IF(BG5&gt;$D$7,0,Leadsheet!$E$54*(BG34-SUM(BF34:BF39)+SUM(BG35:BG40)))</f>
        <v>0</v>
      </c>
      <c r="BH79" s="172">
        <f>IF(BH5&gt;$D$7,0,Leadsheet!$E$54*(BH34-SUM(BG34:BG39)+SUM(BH35:BH40)))</f>
        <v>0</v>
      </c>
      <c r="BI79" s="172">
        <f>IF(BI5&gt;$D$7,0,Leadsheet!$E$54*(BI34-SUM(BH34:BH39)+SUM(BI35:BI40)))</f>
        <v>0</v>
      </c>
      <c r="BJ79" s="172">
        <f>IF(BJ5&gt;$D$7,0,Leadsheet!$E$54*(BJ34-SUM(BI34:BI39)+SUM(BJ35:BJ40)))</f>
        <v>0</v>
      </c>
      <c r="BK79" s="172">
        <f>IF(BK5&gt;$D$7,0,Leadsheet!$E$54*(BK34-SUM(BJ34:BJ39)+SUM(BK35:BK40)))</f>
        <v>0</v>
      </c>
      <c r="BL79" s="172">
        <f>IF(BL5&gt;$D$7,0,Leadsheet!$E$54*(BL34-SUM(BK34:BK39)+SUM(BL35:BL40)))</f>
        <v>0</v>
      </c>
    </row>
    <row r="80" spans="2:64" x14ac:dyDescent="0.15">
      <c r="C80" s="194" t="s">
        <v>430</v>
      </c>
      <c r="E80" s="172"/>
      <c r="F80" s="172"/>
      <c r="G80" s="172">
        <f>IF(SUM(SAP_Speadsheet!E78:BL79)&gt;(SAP_Speadsheet!E84*Leadsheet!E53+SAP_Speadsheet!E84*Leadsheet!E54),-Leadsheet!E10*Leadsheet!E55,-SUM(SAP_Speadsheet!E78:BL79))</f>
        <v>0</v>
      </c>
      <c r="H80" s="172"/>
      <c r="I80" s="172"/>
      <c r="J80" s="172"/>
      <c r="K80" s="172"/>
      <c r="L80" s="172"/>
      <c r="M80" s="172"/>
      <c r="N80" s="172"/>
      <c r="O80" s="172"/>
      <c r="P80" s="172"/>
      <c r="Q80" s="172"/>
      <c r="R80" s="172"/>
      <c r="S80" s="172"/>
      <c r="T80" s="172"/>
      <c r="U80" s="172"/>
      <c r="V80" s="172"/>
      <c r="W80" s="172"/>
      <c r="X80" s="172"/>
      <c r="Y80" s="172"/>
      <c r="Z80" s="172"/>
      <c r="AA80" s="172"/>
      <c r="AB80" s="172"/>
      <c r="AC80" s="172"/>
      <c r="AD80" s="172"/>
      <c r="AE80" s="172"/>
      <c r="AF80" s="172"/>
      <c r="AG80" s="172"/>
      <c r="AH80" s="172"/>
      <c r="AI80" s="172"/>
      <c r="AJ80" s="172"/>
      <c r="AK80" s="172"/>
      <c r="AL80" s="172"/>
      <c r="AM80" s="172"/>
      <c r="AN80" s="172"/>
      <c r="AO80" s="172"/>
      <c r="AP80" s="172"/>
      <c r="AQ80" s="172"/>
      <c r="AR80" s="172"/>
      <c r="AS80" s="172"/>
      <c r="AT80" s="172"/>
      <c r="AU80" s="172"/>
      <c r="AV80" s="172"/>
      <c r="AW80" s="172"/>
      <c r="AX80" s="172"/>
      <c r="AY80" s="172"/>
      <c r="AZ80" s="172"/>
      <c r="BA80" s="172"/>
      <c r="BB80" s="172"/>
      <c r="BC80" s="172"/>
      <c r="BD80" s="172"/>
      <c r="BE80" s="172"/>
      <c r="BF80" s="172"/>
      <c r="BG80" s="172"/>
      <c r="BH80" s="172"/>
      <c r="BI80" s="172"/>
      <c r="BJ80" s="172"/>
      <c r="BK80" s="172"/>
      <c r="BL80" s="172"/>
    </row>
    <row r="81" spans="2:64" x14ac:dyDescent="0.15">
      <c r="C81" s="332" t="s">
        <v>431</v>
      </c>
      <c r="E81" s="172">
        <f>IF(E5&gt;$D$7,0,Leadsheet!$E$47*(-(E57+E61)+E31-SUM(D31:D39)+SUM(E32:E40)))</f>
        <v>-0.32273233542957652</v>
      </c>
      <c r="F81" s="172">
        <f>IF(F5&gt;$D$7,0,Leadsheet!$E$47*(-(F57+F61)+F31-SUM(E31:E39)+SUM(F32:F40)))</f>
        <v>-0.11109541198526855</v>
      </c>
      <c r="G81" s="172">
        <f>IF(G5&gt;$D$7,0,Leadsheet!$E$47*(-(G57+G61)+G31-SUM(F31:F39)+SUM(G32:G40)))</f>
        <v>-9.5324618121317886E-2</v>
      </c>
      <c r="H81" s="172">
        <f>IF(H5&gt;$D$7,0,Leadsheet!$E$47*(-(H57+H61)+H31-SUM(G31:G39)+SUM(H32:H40)))</f>
        <v>4.1507411757759488E-2</v>
      </c>
      <c r="I81" s="172">
        <f>IF(I5&gt;$D$7,0,Leadsheet!$E$47*(-(I57+I61)+I31-SUM(H31:H39)+SUM(I32:I40)))</f>
        <v>2.2961487955865029E-2</v>
      </c>
      <c r="J81" s="172">
        <f>IF(J5&gt;$D$7,0,Leadsheet!$E$47*(-(J57+J61)+J31-SUM(I31:I39)+SUM(J32:J40)))</f>
        <v>2.0104703151390613E-2</v>
      </c>
      <c r="K81" s="172">
        <f>IF(K5&gt;$D$7,0,Leadsheet!$E$47*(-(K57+K61)+K31-SUM(J31:J39)+SUM(K32:K40)))</f>
        <v>1.4232422332413893E-2</v>
      </c>
      <c r="L81" s="172">
        <f>IF(L5&gt;$D$7,0,Leadsheet!$E$47*(-(L57+L61)+L31-SUM(K31:K39)+SUM(L32:L40)))</f>
        <v>1.2260036095833041E-2</v>
      </c>
      <c r="M81" s="172">
        <f>IF(M5&gt;$D$7,0,Leadsheet!$E$47*(-(M57+M61)+M31-SUM(L31:L39)+SUM(M32:M40)))</f>
        <v>1.2250917156364841E-2</v>
      </c>
      <c r="N81" s="172">
        <f>IF(N5&gt;$D$7,0,Leadsheet!$E$47*(-(N57+N61)+N31-SUM(M31:M39)+SUM(N32:N40)))</f>
        <v>1.2062059120786239E-2</v>
      </c>
      <c r="O81" s="172">
        <f>IF(O5&gt;$D$7,0,Leadsheet!$E$47*(-(O57+O61)+O31-SUM(N31:N39)+SUM(O32:O40)))</f>
        <v>1.1936171580811403E-2</v>
      </c>
      <c r="P81" s="172">
        <f>IF(P5&gt;$D$7,0,Leadsheet!$E$47*(-(P57+P61)+P31-SUM(O31:O39)+SUM(P32:P40)))</f>
        <v>1.1813192857029709E-2</v>
      </c>
      <c r="Q81" s="172">
        <f>IF(Q5&gt;$D$7,0,Leadsheet!$E$47*(-(Q57+Q61)+Q31-SUM(P31:P39)+SUM(Q32:Q40)))</f>
        <v>1.1658782139616379E-2</v>
      </c>
      <c r="R81" s="172">
        <f>IF(R5&gt;$D$7,0,Leadsheet!$E$47*(-(R57+R61)+R31-SUM(Q31:Q39)+SUM(R32:R40)))</f>
        <v>1.1759501904343092E-2</v>
      </c>
      <c r="S81" s="172">
        <f>IF(S5&gt;$D$7,0,Leadsheet!$E$47*(-(S57+S61)+S31-SUM(R31:R39)+SUM(S32:S40)))</f>
        <v>1.182215987453126E-2</v>
      </c>
      <c r="T81" s="172">
        <f>IF(T5&gt;$D$7,0,Leadsheet!$E$47*(-(T57+T61)+T31-SUM(S31:S39)+SUM(T32:T40)))</f>
        <v>7.409059258949394E-3</v>
      </c>
      <c r="U81" s="172">
        <f>IF(U5&gt;$D$7,0,Leadsheet!$E$47*(-(U57+U61)+U31-SUM(T31:T39)+SUM(U32:U40)))</f>
        <v>3.268412331366456E-3</v>
      </c>
      <c r="V81" s="172">
        <f>IF(V5&gt;$D$7,0,Leadsheet!$E$47*(-(V57+V61)+V31-SUM(U31:U39)+SUM(V32:V40)))</f>
        <v>-6.5353107547411486E-4</v>
      </c>
      <c r="W81" s="172">
        <f>IF(W5&gt;$D$7,0,Leadsheet!$E$47*(-(W57+W61)+W31-SUM(V31:V39)+SUM(W32:W40)))</f>
        <v>-3.942784265852732E-4</v>
      </c>
      <c r="X81" s="172">
        <f>IF(X5&gt;$D$7,0,Leadsheet!$E$47*(-(X57+X61)+X31-SUM(W31:W39)+SUM(X32:X40)))</f>
        <v>-2.4854454092630918E-4</v>
      </c>
      <c r="Y81" s="172">
        <f>IF(Y5&gt;$D$7,0,Leadsheet!$E$47*(-(Y57+Y61)+Y31-SUM(X31:X39)+SUM(Y32:Y40)))</f>
        <v>0</v>
      </c>
      <c r="Z81" s="172">
        <f>IF(Z5&gt;$D$7,0,Leadsheet!$E$47*(-(Z57+Z61)+Z31-SUM(Y31:Y39)+SUM(Z32:Z40)))</f>
        <v>0</v>
      </c>
      <c r="AA81" s="172">
        <f>IF(AA5&gt;$D$7,0,Leadsheet!$E$47*(-(AA57+AA61)+AA31-SUM(Z31:Z39)+SUM(AA32:AA40)))</f>
        <v>0</v>
      </c>
      <c r="AB81" s="172">
        <f>IF(AB5&gt;$D$7,0,Leadsheet!$E$47*(-(AB57+AB61)+AB31-SUM(AA31:AA39)+SUM(AB32:AB40)))</f>
        <v>0</v>
      </c>
      <c r="AC81" s="172">
        <f>IF(AC5&gt;$D$7,0,Leadsheet!$E$47*(-(AC57+AC61)+AC31-SUM(AB31:AB39)+SUM(AC32:AC40)))</f>
        <v>0</v>
      </c>
      <c r="AD81" s="172">
        <f>IF(AD5&gt;$D$7,0,Leadsheet!$E$47*(-(AD57+AD61)+AD31-SUM(AC31:AC39)+SUM(AD32:AD40)))</f>
        <v>0</v>
      </c>
      <c r="AE81" s="172">
        <f>IF(AE5&gt;$D$7,0,Leadsheet!$E$47*(-(AE57+AE61)+AE31-SUM(AD31:AD39)+SUM(AE32:AE40)))</f>
        <v>0</v>
      </c>
      <c r="AF81" s="172">
        <f>IF(AF5&gt;$D$7,0,Leadsheet!$E$47*(-(AF57+AF61)+AF31-SUM(AE31:AE39)+SUM(AF32:AF40)))</f>
        <v>0</v>
      </c>
      <c r="AG81" s="172">
        <f>IF(AG5&gt;$D$7,0,Leadsheet!$E$47*(-(AG57+AG61)+AG31-SUM(AF31:AF39)+SUM(AG32:AG40)))</f>
        <v>0</v>
      </c>
      <c r="AH81" s="172">
        <f>IF(AH5&gt;$D$7,0,Leadsheet!$E$47*(-(AH57+AH61)+AH31-SUM(AG31:AG39)+SUM(AH32:AH40)))</f>
        <v>0</v>
      </c>
      <c r="AI81" s="172">
        <f>IF(AI5&gt;$D$7,0,Leadsheet!$E$47*(-(AI57+AI61)+AI31-SUM(AH31:AH39)+SUM(AI32:AI40)))</f>
        <v>0</v>
      </c>
      <c r="AJ81" s="172">
        <f>IF(AJ5&gt;$D$7,0,Leadsheet!$E$47*(-(AJ57+AJ61)+AJ31-SUM(AI31:AI39)+SUM(AJ32:AJ40)))</f>
        <v>0</v>
      </c>
      <c r="AK81" s="172">
        <f>IF(AK5&gt;$D$7,0,Leadsheet!$E$47*(-(AK57+AK61)+AK31-SUM(AJ31:AJ39)+SUM(AK32:AK40)))</f>
        <v>0</v>
      </c>
      <c r="AL81" s="172">
        <f>IF(AL5&gt;$D$7,0,Leadsheet!$E$47*(-(AL57+AL61)+AL31-SUM(AK31:AK39)+SUM(AL32:AL40)))</f>
        <v>0</v>
      </c>
      <c r="AM81" s="172">
        <f>IF(AM5&gt;$D$7,0,Leadsheet!$E$47*(-(AM57+AM61)+AM31-SUM(AL31:AL39)+SUM(AM32:AM40)))</f>
        <v>0</v>
      </c>
      <c r="AN81" s="172">
        <f>IF(AN5&gt;$D$7,0,Leadsheet!$E$47*(-(AN57+AN61)+AN31-SUM(AM31:AM39)+SUM(AN32:AN40)))</f>
        <v>0</v>
      </c>
      <c r="AO81" s="172">
        <f>IF(AO5&gt;$D$7,0,Leadsheet!$E$47*(-(AO57+AO61)+AO31-SUM(AN31:AN39)+SUM(AO32:AO40)))</f>
        <v>0</v>
      </c>
      <c r="AP81" s="172">
        <f>IF(AP5&gt;$D$7,0,Leadsheet!$E$47*(-(AP57+AP61)+AP31-SUM(AO31:AO39)+SUM(AP32:AP40)))</f>
        <v>0</v>
      </c>
      <c r="AQ81" s="172">
        <f>IF(AQ5&gt;$D$7,0,Leadsheet!$E$47*(-(AQ57+AQ61)+AQ31-SUM(AP31:AP39)+SUM(AQ32:AQ40)))</f>
        <v>0</v>
      </c>
      <c r="AR81" s="172">
        <f>IF(AR5&gt;$D$7,0,Leadsheet!$E$47*(-(AR57+AR61)+AR31-SUM(AQ31:AQ39)+SUM(AR32:AR40)))</f>
        <v>0</v>
      </c>
      <c r="AS81" s="172">
        <f>IF(AS5&gt;$D$7,0,Leadsheet!$E$47*(-(AS57+AS61)+AS31-SUM(AR31:AR39)+SUM(AS32:AS40)))</f>
        <v>0</v>
      </c>
      <c r="AT81" s="172">
        <f>IF(AT5&gt;$D$7,0,Leadsheet!$E$47*(-(AT57+AT61)+AT31-SUM(AS31:AS39)+SUM(AT32:AT40)))</f>
        <v>0</v>
      </c>
      <c r="AU81" s="172">
        <f>IF(AU5&gt;$D$7,0,Leadsheet!$E$47*(-(AU57+AU61)+AU31-SUM(AT31:AT39)+SUM(AU32:AU40)))</f>
        <v>0</v>
      </c>
      <c r="AV81" s="172">
        <f>IF(AV5&gt;$D$7,0,Leadsheet!$E$47*(-(AV57+AV61)+AV31-SUM(AU31:AU39)+SUM(AV32:AV40)))</f>
        <v>0</v>
      </c>
      <c r="AW81" s="172">
        <f>IF(AW5&gt;$D$7,0,Leadsheet!$E$47*(-(AW57+AW61)+AW31-SUM(AV31:AV39)+SUM(AW32:AW40)))</f>
        <v>0</v>
      </c>
      <c r="AX81" s="172">
        <f>IF(AX5&gt;$D$7,0,Leadsheet!$E$47*(-(AX57+AX61)+AX31-SUM(AW31:AW39)+SUM(AX32:AX40)))</f>
        <v>0</v>
      </c>
      <c r="AY81" s="172">
        <f>IF(AY5&gt;$D$7,0,Leadsheet!$E$47*(-(AY57+AY61)+AY31-SUM(AX31:AX39)+SUM(AY32:AY40)))</f>
        <v>0</v>
      </c>
      <c r="AZ81" s="172">
        <f>IF(AZ5&gt;$D$7,0,Leadsheet!$E$47*(-(AZ57+AZ61)+AZ31-SUM(AY31:AY39)+SUM(AZ32:AZ40)))</f>
        <v>0</v>
      </c>
      <c r="BA81" s="172">
        <f>IF(BA5&gt;$D$7,0,Leadsheet!$E$47*(-(BA57+BA61)+BA31-SUM(AZ31:AZ39)+SUM(BA32:BA40)))</f>
        <v>0</v>
      </c>
      <c r="BB81" s="172">
        <f>IF(BB5&gt;$D$7,0,Leadsheet!$E$47*(-(BB57+BB61)+BB31-SUM(BA31:BA39)+SUM(BB32:BB40)))</f>
        <v>0</v>
      </c>
      <c r="BC81" s="172">
        <f>IF(BC5&gt;$D$7,0,Leadsheet!$E$47*(-(BC57+BC61)+BC31-SUM(BB31:BB39)+SUM(BC32:BC40)))</f>
        <v>0</v>
      </c>
      <c r="BD81" s="172">
        <f>IF(BD5&gt;$D$7,0,Leadsheet!$E$47*(-(BD57+BD61)+BD31-SUM(BC31:BC39)+SUM(BD32:BD40)))</f>
        <v>0</v>
      </c>
      <c r="BE81" s="172">
        <f>IF(BE5&gt;$D$7,0,Leadsheet!$E$47*(-(BE57+BE61)+BE31-SUM(BD31:BD39)+SUM(BE32:BE40)))</f>
        <v>0</v>
      </c>
      <c r="BF81" s="172">
        <f>IF(BF5&gt;$D$7,0,Leadsheet!$E$47*(-(BF57+BF61)+BF31-SUM(BE31:BE39)+SUM(BF32:BF40)))</f>
        <v>0</v>
      </c>
      <c r="BG81" s="172">
        <f>IF(BG5&gt;$D$7,0,Leadsheet!$E$47*(-(BG57+BG61)+BG31-SUM(BF31:BF39)+SUM(BG32:BG40)))</f>
        <v>0</v>
      </c>
      <c r="BH81" s="172">
        <f>IF(BH5&gt;$D$7,0,Leadsheet!$E$47*(-(BH57+BH61)+BH31-SUM(BG31:BG39)+SUM(BH32:BH40)))</f>
        <v>0</v>
      </c>
      <c r="BI81" s="172">
        <f>IF(BI5&gt;$D$7,0,Leadsheet!$E$47*(-(BI57+BI61)+BI31-SUM(BH31:BH39)+SUM(BI32:BI40)))</f>
        <v>0</v>
      </c>
      <c r="BJ81" s="172">
        <f>IF(BJ5&gt;$D$7,0,Leadsheet!$E$47*(-(BJ57+BJ61)+BJ31-SUM(BI31:BI39)+SUM(BJ32:BJ40)))</f>
        <v>0</v>
      </c>
      <c r="BK81" s="172">
        <f>IF(BK5&gt;$D$7,0,Leadsheet!$E$47*(-(BK57+BK61)+BK31-SUM(BJ31:BJ39)+SUM(BK32:BK40)))</f>
        <v>0</v>
      </c>
      <c r="BL81" s="172">
        <f>IF(BL5&gt;$D$7,0,Leadsheet!$E$47*(-(BL57+BL61)+BL31-SUM(BK31:BK39)+SUM(BL32:BL40)))</f>
        <v>0</v>
      </c>
    </row>
    <row r="82" spans="2:64" x14ac:dyDescent="0.15">
      <c r="C82" s="332" t="s">
        <v>432</v>
      </c>
      <c r="E82" s="172">
        <f>IF(E5&gt;$D$7,0,Leadsheet!$E$48*(-(E57+E61)+E34-SUM(D34:D39)+SUM(E35:E40)))</f>
        <v>0</v>
      </c>
      <c r="F82" s="172">
        <f>IF(F5&gt;$D$7,0,Leadsheet!$E$48*(-(F57+F61)+F34-SUM(E34:E39)+SUM(F35:F40)))</f>
        <v>0</v>
      </c>
      <c r="G82" s="172">
        <f>IF(G5&gt;$D$7,0,Leadsheet!$E$48*(-(G57+G61)+G34-SUM(F34:F39)+SUM(G35:G40)))</f>
        <v>0</v>
      </c>
      <c r="H82" s="172">
        <f>IF(H5&gt;$D$7,0,Leadsheet!$E$48*(-(H57+H61)+H34-SUM(G34:G39)+SUM(H35:H40)))</f>
        <v>0</v>
      </c>
      <c r="I82" s="172">
        <f>IF(I5&gt;$D$7,0,Leadsheet!$E$48*(-(I57+I61)+I34-SUM(H34:H39)+SUM(I35:I40)))</f>
        <v>0</v>
      </c>
      <c r="J82" s="172">
        <f>IF(J5&gt;$D$7,0,Leadsheet!$E$48*(-(J57+J61)+J34-SUM(I34:I39)+SUM(J35:J40)))</f>
        <v>0</v>
      </c>
      <c r="K82" s="172">
        <f>IF(K5&gt;$D$7,0,Leadsheet!$E$48*(-(K57+K61)+K34-SUM(J34:J39)+SUM(K35:K40)))</f>
        <v>0</v>
      </c>
      <c r="L82" s="172">
        <f>IF(L5&gt;$D$7,0,Leadsheet!$E$48*(-(L57+L61)+L34-SUM(K34:K39)+SUM(L35:L40)))</f>
        <v>0</v>
      </c>
      <c r="M82" s="172">
        <f>IF(M5&gt;$D$7,0,Leadsheet!$E$48*(-(M57+M61)+M34-SUM(L34:L39)+SUM(M35:M40)))</f>
        <v>0</v>
      </c>
      <c r="N82" s="172">
        <f>IF(N5&gt;$D$7,0,Leadsheet!$E$48*(-(N57+N61)+N34-SUM(M34:M39)+SUM(N35:N40)))</f>
        <v>0</v>
      </c>
      <c r="O82" s="172">
        <f>IF(O5&gt;$D$7,0,Leadsheet!$E$48*(-(O57+O61)+O34-SUM(N34:N39)+SUM(O35:O40)))</f>
        <v>0</v>
      </c>
      <c r="P82" s="172">
        <f>IF(P5&gt;$D$7,0,Leadsheet!$E$48*(-(P57+P61)+P34-SUM(O34:O39)+SUM(P35:P40)))</f>
        <v>0</v>
      </c>
      <c r="Q82" s="172">
        <f>IF(Q5&gt;$D$7,0,Leadsheet!$E$48*(-(Q57+Q61)+Q34-SUM(P34:P39)+SUM(Q35:Q40)))</f>
        <v>0</v>
      </c>
      <c r="R82" s="172">
        <f>IF(R5&gt;$D$7,0,Leadsheet!$E$48*(-(R57+R61)+R34-SUM(Q34:Q39)+SUM(R35:R40)))</f>
        <v>0</v>
      </c>
      <c r="S82" s="172">
        <f>IF(S5&gt;$D$7,0,Leadsheet!$E$48*(-(S57+S61)+S34-SUM(R34:R39)+SUM(S35:S40)))</f>
        <v>0</v>
      </c>
      <c r="T82" s="172">
        <f>IF(T5&gt;$D$7,0,Leadsheet!$E$48*(-(T57+T61)+T34-SUM(S34:S39)+SUM(T35:T40)))</f>
        <v>0</v>
      </c>
      <c r="U82" s="172">
        <f>IF(U5&gt;$D$7,0,Leadsheet!$E$48*(-(U57+U61)+U34-SUM(T34:T39)+SUM(U35:U40)))</f>
        <v>0</v>
      </c>
      <c r="V82" s="172">
        <f>IF(V5&gt;$D$7,0,Leadsheet!$E$48*(-(V57+V61)+V34-SUM(U34:U39)+SUM(V35:V40)))</f>
        <v>0</v>
      </c>
      <c r="W82" s="172">
        <f>IF(W5&gt;$D$7,0,Leadsheet!$E$48*(-(W57+W61)+W34-SUM(V34:V39)+SUM(W35:W40)))</f>
        <v>0</v>
      </c>
      <c r="X82" s="172">
        <f>IF(X5&gt;$D$7,0,Leadsheet!$E$48*(-(X57+X61)+X34-SUM(W34:W39)+SUM(X35:X40)))</f>
        <v>0</v>
      </c>
      <c r="Y82" s="172">
        <f>IF(Y5&gt;$D$7,0,Leadsheet!$E$48*(-(Y57+Y61)+Y34-SUM(X34:X39)+SUM(Y35:Y40)))</f>
        <v>0</v>
      </c>
      <c r="Z82" s="172">
        <f>IF(Z5&gt;$D$7,0,Leadsheet!$E$48*(-(Z57+Z61)+Z34-SUM(Y34:Y39)+SUM(Z35:Z40)))</f>
        <v>0</v>
      </c>
      <c r="AA82" s="172">
        <f>IF(AA5&gt;$D$7,0,Leadsheet!$E$48*(-(AA57+AA61)+AA34-SUM(Z34:Z39)+SUM(AA35:AA40)))</f>
        <v>0</v>
      </c>
      <c r="AB82" s="172">
        <f>IF(AB5&gt;$D$7,0,Leadsheet!$E$48*(-(AB57+AB61)+AB34-SUM(AA34:AA39)+SUM(AB35:AB40)))</f>
        <v>0</v>
      </c>
      <c r="AC82" s="172">
        <f>IF(AC5&gt;$D$7,0,Leadsheet!$E$48*(-(AC57+AC61)+AC34-SUM(AB34:AB39)+SUM(AC35:AC40)))</f>
        <v>0</v>
      </c>
      <c r="AD82" s="172">
        <f>IF(AD5&gt;$D$7,0,Leadsheet!$E$48*(-(AD57+AD61)+AD34-SUM(AC34:AC39)+SUM(AD35:AD40)))</f>
        <v>0</v>
      </c>
      <c r="AE82" s="172">
        <f>IF(AE5&gt;$D$7,0,Leadsheet!$E$48*(-(AE57+AE61)+AE34-SUM(AD34:AD39)+SUM(AE35:AE40)))</f>
        <v>0</v>
      </c>
      <c r="AF82" s="172">
        <f>IF(AF5&gt;$D$7,0,Leadsheet!$E$48*(-(AF57+AF61)+AF34-SUM(AE34:AE39)+SUM(AF35:AF40)))</f>
        <v>0</v>
      </c>
      <c r="AG82" s="172">
        <f>IF(AG5&gt;$D$7,0,Leadsheet!$E$48*(-(AG57+AG61)+AG34-SUM(AF34:AF39)+SUM(AG35:AG40)))</f>
        <v>0</v>
      </c>
      <c r="AH82" s="172">
        <f>IF(AH5&gt;$D$7,0,Leadsheet!$E$48*(-(AH57+AH61)+AH34-SUM(AG34:AG39)+SUM(AH35:AH40)))</f>
        <v>0</v>
      </c>
      <c r="AI82" s="172">
        <f>IF(AI5&gt;$D$7,0,Leadsheet!$E$48*(-(AI57+AI61)+AI34-SUM(AH34:AH39)+SUM(AI35:AI40)))</f>
        <v>0</v>
      </c>
      <c r="AJ82" s="172">
        <f>IF(AJ5&gt;$D$7,0,Leadsheet!$E$48*(-(AJ57+AJ61)+AJ34-SUM(AI34:AI39)+SUM(AJ35:AJ40)))</f>
        <v>0</v>
      </c>
      <c r="AK82" s="172">
        <f>IF(AK5&gt;$D$7,0,Leadsheet!$E$48*(-(AK57+AK61)+AK34-SUM(AJ34:AJ39)+SUM(AK35:AK40)))</f>
        <v>0</v>
      </c>
      <c r="AL82" s="172">
        <f>IF(AL5&gt;$D$7,0,Leadsheet!$E$48*(-(AL57+AL61)+AL34-SUM(AK34:AK39)+SUM(AL35:AL40)))</f>
        <v>0</v>
      </c>
      <c r="AM82" s="172">
        <f>IF(AM5&gt;$D$7,0,Leadsheet!$E$48*(-(AM57+AM61)+AM34-SUM(AL34:AL39)+SUM(AM35:AM40)))</f>
        <v>0</v>
      </c>
      <c r="AN82" s="172">
        <f>IF(AN5&gt;$D$7,0,Leadsheet!$E$48*(-(AN57+AN61)+AN34-SUM(AM34:AM39)+SUM(AN35:AN40)))</f>
        <v>0</v>
      </c>
      <c r="AO82" s="172">
        <f>IF(AO5&gt;$D$7,0,Leadsheet!$E$48*(-(AO57+AO61)+AO34-SUM(AN34:AN39)+SUM(AO35:AO40)))</f>
        <v>0</v>
      </c>
      <c r="AP82" s="172">
        <f>IF(AP5&gt;$D$7,0,Leadsheet!$E$48*(-(AP57+AP61)+AP34-SUM(AO34:AO39)+SUM(AP35:AP40)))</f>
        <v>0</v>
      </c>
      <c r="AQ82" s="172">
        <f>IF(AQ5&gt;$D$7,0,Leadsheet!$E$48*(-(AQ57+AQ61)+AQ34-SUM(AP34:AP39)+SUM(AQ35:AQ40)))</f>
        <v>0</v>
      </c>
      <c r="AR82" s="172">
        <f>IF(AR5&gt;$D$7,0,Leadsheet!$E$48*(-(AR57+AR61)+AR34-SUM(AQ34:AQ39)+SUM(AR35:AR40)))</f>
        <v>0</v>
      </c>
      <c r="AS82" s="172">
        <f>IF(AS5&gt;$D$7,0,Leadsheet!$E$48*(-(AS57+AS61)+AS34-SUM(AR34:AR39)+SUM(AS35:AS40)))</f>
        <v>0</v>
      </c>
      <c r="AT82" s="172">
        <f>IF(AT5&gt;$D$7,0,Leadsheet!$E$48*(-(AT57+AT61)+AT34-SUM(AS34:AS39)+SUM(AT35:AT40)))</f>
        <v>0</v>
      </c>
      <c r="AU82" s="172">
        <f>IF(AU5&gt;$D$7,0,Leadsheet!$E$48*(-(AU57+AU61)+AU34-SUM(AT34:AT39)+SUM(AU35:AU40)))</f>
        <v>0</v>
      </c>
      <c r="AV82" s="172">
        <f>IF(AV5&gt;$D$7,0,Leadsheet!$E$48*(-(AV57+AV61)+AV34-SUM(AU34:AU39)+SUM(AV35:AV40)))</f>
        <v>0</v>
      </c>
      <c r="AW82" s="172">
        <f>IF(AW5&gt;$D$7,0,Leadsheet!$E$48*(-(AW57+AW61)+AW34-SUM(AV34:AV39)+SUM(AW35:AW40)))</f>
        <v>0</v>
      </c>
      <c r="AX82" s="172">
        <f>IF(AX5&gt;$D$7,0,Leadsheet!$E$48*(-(AX57+AX61)+AX34-SUM(AW34:AW39)+SUM(AX35:AX40)))</f>
        <v>0</v>
      </c>
      <c r="AY82" s="172">
        <f>IF(AY5&gt;$D$7,0,Leadsheet!$E$48*(-(AY57+AY61)+AY34-SUM(AX34:AX39)+SUM(AY35:AY40)))</f>
        <v>0</v>
      </c>
      <c r="AZ82" s="172">
        <f>IF(AZ5&gt;$D$7,0,Leadsheet!$E$48*(-(AZ57+AZ61)+AZ34-SUM(AY34:AY39)+SUM(AZ35:AZ40)))</f>
        <v>0</v>
      </c>
      <c r="BA82" s="172">
        <f>IF(BA5&gt;$D$7,0,Leadsheet!$E$48*(-(BA57+BA61)+BA34-SUM(AZ34:AZ39)+SUM(BA35:BA40)))</f>
        <v>0</v>
      </c>
      <c r="BB82" s="172">
        <f>IF(BB5&gt;$D$7,0,Leadsheet!$E$48*(-(BB57+BB61)+BB34-SUM(BA34:BA39)+SUM(BB35:BB40)))</f>
        <v>0</v>
      </c>
      <c r="BC82" s="172">
        <f>IF(BC5&gt;$D$7,0,Leadsheet!$E$48*(-(BC57+BC61)+BC34-SUM(BB34:BB39)+SUM(BC35:BC40)))</f>
        <v>0</v>
      </c>
      <c r="BD82" s="172">
        <f>IF(BD5&gt;$D$7,0,Leadsheet!$E$48*(-(BD57+BD61)+BD34-SUM(BC34:BC39)+SUM(BD35:BD40)))</f>
        <v>0</v>
      </c>
      <c r="BE82" s="172">
        <f>IF(BE5&gt;$D$7,0,Leadsheet!$E$48*(-(BE57+BE61)+BE34-SUM(BD34:BD39)+SUM(BE35:BE40)))</f>
        <v>0</v>
      </c>
      <c r="BF82" s="172">
        <f>IF(BF5&gt;$D$7,0,Leadsheet!$E$48*(-(BF57+BF61)+BF34-SUM(BE34:BE39)+SUM(BF35:BF40)))</f>
        <v>0</v>
      </c>
      <c r="BG82" s="172">
        <f>IF(BG5&gt;$D$7,0,Leadsheet!$E$48*(-(BG57+BG61)+BG34-SUM(BF34:BF39)+SUM(BG35:BG40)))</f>
        <v>0</v>
      </c>
      <c r="BH82" s="172">
        <f>IF(BH5&gt;$D$7,0,Leadsheet!$E$48*(-(BH57+BH61)+BH34-SUM(BG34:BG39)+SUM(BH35:BH40)))</f>
        <v>0</v>
      </c>
      <c r="BI82" s="172">
        <f>IF(BI5&gt;$D$7,0,Leadsheet!$E$48*(-(BI57+BI61)+BI34-SUM(BH34:BH39)+SUM(BI35:BI40)))</f>
        <v>0</v>
      </c>
      <c r="BJ82" s="172">
        <f>IF(BJ5&gt;$D$7,0,Leadsheet!$E$48*(-(BJ57+BJ61)+BJ34-SUM(BI34:BI39)+SUM(BJ35:BJ40)))</f>
        <v>0</v>
      </c>
      <c r="BK82" s="172">
        <f>IF(BK5&gt;$D$7,0,Leadsheet!$E$48*(-(BK57+BK61)+BK34-SUM(BJ34:BJ39)+SUM(BK35:BK40)))</f>
        <v>0</v>
      </c>
      <c r="BL82" s="172">
        <f>IF(BL5&gt;$D$7,0,Leadsheet!$E$48*(-(BL57+BL61)+BL34-SUM(BK34:BK39)+SUM(BL35:BL40)))</f>
        <v>0</v>
      </c>
    </row>
    <row r="83" spans="2:64" x14ac:dyDescent="0.15">
      <c r="C83" s="332"/>
      <c r="E83" s="172"/>
      <c r="F83" s="172"/>
      <c r="G83" s="172"/>
      <c r="H83" s="172"/>
      <c r="I83" s="172"/>
      <c r="J83" s="172"/>
      <c r="K83" s="172"/>
      <c r="L83" s="172"/>
      <c r="M83" s="172"/>
      <c r="N83" s="172"/>
      <c r="O83" s="172"/>
      <c r="P83" s="172"/>
      <c r="Q83" s="172"/>
      <c r="R83" s="172"/>
      <c r="S83" s="172"/>
      <c r="T83" s="172"/>
      <c r="U83" s="172"/>
      <c r="V83" s="172"/>
      <c r="W83" s="172"/>
      <c r="X83" s="172"/>
      <c r="Y83" s="172"/>
      <c r="Z83" s="172"/>
      <c r="AA83" s="172"/>
      <c r="AB83" s="172"/>
      <c r="AC83" s="172"/>
      <c r="AD83" s="172"/>
      <c r="AE83" s="172"/>
      <c r="AF83" s="172"/>
      <c r="AG83" s="172"/>
      <c r="AH83" s="172"/>
      <c r="AI83" s="172"/>
      <c r="AJ83" s="172"/>
      <c r="AK83" s="172"/>
      <c r="AL83" s="172"/>
      <c r="AM83" s="172"/>
      <c r="AN83" s="172"/>
      <c r="AO83" s="172"/>
      <c r="AP83" s="172"/>
      <c r="AQ83" s="172"/>
      <c r="AR83" s="172"/>
      <c r="AS83" s="172"/>
      <c r="AT83" s="172"/>
      <c r="AU83" s="172"/>
      <c r="AV83" s="172"/>
      <c r="AW83" s="172"/>
      <c r="AX83" s="172"/>
      <c r="AY83" s="172"/>
      <c r="AZ83" s="172"/>
      <c r="BA83" s="172"/>
      <c r="BB83" s="172"/>
      <c r="BC83" s="172"/>
      <c r="BD83" s="172"/>
      <c r="BE83" s="172"/>
      <c r="BF83" s="172"/>
      <c r="BG83" s="172"/>
      <c r="BH83" s="172"/>
      <c r="BI83" s="172"/>
      <c r="BJ83" s="172"/>
      <c r="BK83" s="172"/>
      <c r="BL83" s="172"/>
    </row>
    <row r="84" spans="2:64" x14ac:dyDescent="0.15">
      <c r="C84" s="332"/>
      <c r="E84" s="172"/>
      <c r="F84" s="172"/>
      <c r="G84" s="172"/>
      <c r="H84" s="172"/>
      <c r="I84" s="172"/>
      <c r="J84" s="172"/>
      <c r="K84" s="172"/>
      <c r="L84" s="172"/>
      <c r="M84" s="172"/>
      <c r="N84" s="172"/>
      <c r="O84" s="172"/>
      <c r="P84" s="172"/>
      <c r="Q84" s="172"/>
      <c r="R84" s="172"/>
      <c r="S84" s="172"/>
      <c r="T84" s="172"/>
      <c r="U84" s="172"/>
      <c r="V84" s="172"/>
      <c r="W84" s="172"/>
      <c r="X84" s="172"/>
      <c r="Y84" s="172"/>
      <c r="Z84" s="172"/>
      <c r="AA84" s="172"/>
      <c r="AB84" s="172"/>
      <c r="AC84" s="172"/>
      <c r="AD84" s="172"/>
      <c r="AE84" s="172"/>
      <c r="AF84" s="172"/>
      <c r="AG84" s="172"/>
      <c r="AH84" s="172"/>
      <c r="AI84" s="172"/>
      <c r="AJ84" s="172"/>
      <c r="AK84" s="172"/>
      <c r="AL84" s="172"/>
      <c r="AM84" s="172"/>
      <c r="AN84" s="172"/>
      <c r="AO84" s="172"/>
      <c r="AP84" s="172"/>
      <c r="AQ84" s="172"/>
      <c r="AR84" s="172"/>
      <c r="AS84" s="172"/>
      <c r="AT84" s="172"/>
      <c r="AU84" s="172"/>
      <c r="AV84" s="172"/>
      <c r="AW84" s="172"/>
      <c r="AX84" s="172"/>
      <c r="AY84" s="172"/>
      <c r="AZ84" s="172"/>
      <c r="BA84" s="172"/>
      <c r="BB84" s="172"/>
      <c r="BC84" s="172"/>
      <c r="BD84" s="172"/>
      <c r="BE84" s="172"/>
      <c r="BF84" s="172"/>
      <c r="BG84" s="172"/>
      <c r="BH84" s="172"/>
      <c r="BI84" s="172"/>
      <c r="BJ84" s="172"/>
      <c r="BK84" s="172"/>
      <c r="BL84" s="172"/>
    </row>
    <row r="85" spans="2:64" x14ac:dyDescent="0.15">
      <c r="B85" s="188" t="s">
        <v>258</v>
      </c>
      <c r="C85" s="332"/>
      <c r="E85" s="309">
        <f>E86+E67</f>
        <v>-6.433323350281922E-2</v>
      </c>
      <c r="F85" s="172"/>
      <c r="G85" s="172"/>
      <c r="H85" s="172"/>
      <c r="I85" s="172"/>
      <c r="J85" s="172"/>
      <c r="K85" s="172"/>
      <c r="L85" s="172"/>
      <c r="M85" s="172"/>
      <c r="N85" s="172"/>
      <c r="O85" s="172"/>
      <c r="P85" s="172"/>
      <c r="Q85" s="172"/>
      <c r="R85" s="172"/>
      <c r="S85" s="172"/>
      <c r="T85" s="172"/>
      <c r="U85" s="172"/>
      <c r="V85" s="172"/>
      <c r="W85" s="172"/>
      <c r="X85" s="172"/>
      <c r="Y85" s="172"/>
      <c r="Z85" s="172"/>
      <c r="AA85" s="172"/>
      <c r="AB85" s="172"/>
      <c r="AC85" s="172"/>
      <c r="AD85" s="172"/>
      <c r="AE85" s="172"/>
      <c r="AF85" s="172"/>
      <c r="AG85" s="172"/>
      <c r="AH85" s="172"/>
      <c r="AI85" s="172"/>
      <c r="AJ85" s="172"/>
      <c r="AK85" s="172"/>
      <c r="AL85" s="172"/>
      <c r="AM85" s="172"/>
      <c r="AN85" s="172"/>
      <c r="AO85" s="172"/>
      <c r="AP85" s="172"/>
      <c r="AQ85" s="172"/>
      <c r="AR85" s="172"/>
      <c r="AS85" s="172"/>
      <c r="AT85" s="172"/>
      <c r="AU85" s="172"/>
      <c r="AV85" s="172"/>
      <c r="AW85" s="172"/>
      <c r="AX85" s="172"/>
      <c r="AY85" s="172"/>
      <c r="AZ85" s="172"/>
      <c r="BA85" s="172"/>
      <c r="BB85" s="172"/>
      <c r="BC85" s="172"/>
      <c r="BD85" s="172"/>
      <c r="BE85" s="172"/>
      <c r="BF85" s="172"/>
      <c r="BG85" s="172"/>
      <c r="BH85" s="172"/>
      <c r="BI85" s="172"/>
      <c r="BJ85" s="172"/>
      <c r="BK85" s="172"/>
      <c r="BL85" s="172"/>
    </row>
    <row r="86" spans="2:64" x14ac:dyDescent="0.15">
      <c r="C86" s="116" t="s">
        <v>433</v>
      </c>
      <c r="E86" s="172">
        <f>-Leadsheet!E61</f>
        <v>-6.433323350281922E-2</v>
      </c>
    </row>
    <row r="88" spans="2:64" x14ac:dyDescent="0.15">
      <c r="B88" s="203" t="s">
        <v>237</v>
      </c>
      <c r="C88" s="188"/>
      <c r="D88" s="188"/>
      <c r="E88" s="309">
        <f>E89+E90+E91</f>
        <v>-6.6756456569251957E-2</v>
      </c>
      <c r="F88" s="333"/>
      <c r="G88" s="333"/>
      <c r="H88" s="333"/>
      <c r="I88" s="333"/>
      <c r="J88" s="333"/>
      <c r="K88" s="333"/>
      <c r="L88" s="333"/>
      <c r="M88" s="333"/>
      <c r="N88" s="333"/>
      <c r="O88" s="333"/>
      <c r="P88" s="333"/>
      <c r="Q88" s="333"/>
      <c r="R88" s="333"/>
      <c r="S88" s="333"/>
      <c r="T88" s="333"/>
      <c r="U88" s="333"/>
      <c r="V88" s="333"/>
      <c r="W88" s="333"/>
      <c r="X88" s="333"/>
      <c r="Y88" s="333"/>
      <c r="Z88" s="333"/>
      <c r="AA88" s="333"/>
      <c r="AB88" s="333"/>
      <c r="AC88" s="333"/>
      <c r="AD88" s="333"/>
      <c r="AE88" s="333"/>
      <c r="AF88" s="333"/>
      <c r="AG88" s="333"/>
      <c r="AH88" s="333"/>
      <c r="AI88" s="333"/>
      <c r="AJ88" s="333"/>
      <c r="AK88" s="333"/>
      <c r="AL88" s="333"/>
      <c r="AM88" s="333"/>
      <c r="AN88" s="333"/>
      <c r="AO88" s="333"/>
      <c r="AP88" s="333"/>
      <c r="AQ88" s="333"/>
      <c r="AR88" s="333"/>
      <c r="AS88" s="333"/>
      <c r="AT88" s="333"/>
      <c r="AU88" s="333"/>
      <c r="AV88" s="333"/>
      <c r="AW88" s="333"/>
      <c r="AX88" s="333"/>
      <c r="AY88" s="333"/>
      <c r="AZ88" s="333"/>
      <c r="BA88" s="333"/>
      <c r="BB88" s="333"/>
      <c r="BC88" s="333"/>
    </row>
    <row r="89" spans="2:64" x14ac:dyDescent="0.15">
      <c r="C89" s="116" t="s">
        <v>434</v>
      </c>
      <c r="E89" s="172">
        <f>-Leadsheet!E63/Leadsheet!E66/Leadsheet!E67-Leadsheet!E64</f>
        <v>-6.2756456569251953E-2</v>
      </c>
    </row>
    <row r="90" spans="2:64" x14ac:dyDescent="0.15">
      <c r="C90" s="116" t="s">
        <v>162</v>
      </c>
      <c r="E90" s="172">
        <f>-Leadsheet!E65</f>
        <v>-4.0000000000000001E-3</v>
      </c>
    </row>
    <row r="91" spans="2:64" x14ac:dyDescent="0.15">
      <c r="C91" s="116" t="s">
        <v>160</v>
      </c>
      <c r="E91" s="172">
        <f>-Leadsheet!E64</f>
        <v>0</v>
      </c>
      <c r="F91" s="172"/>
      <c r="G91" s="172"/>
      <c r="H91" s="172"/>
      <c r="I91" s="172"/>
      <c r="J91" s="172"/>
      <c r="K91" s="172"/>
      <c r="L91" s="172"/>
      <c r="M91" s="172"/>
      <c r="N91" s="172"/>
      <c r="O91" s="172"/>
      <c r="P91" s="172"/>
      <c r="Q91" s="172"/>
      <c r="R91" s="172"/>
      <c r="S91" s="172"/>
      <c r="T91" s="172"/>
      <c r="U91" s="172"/>
      <c r="V91" s="172"/>
      <c r="W91" s="172"/>
      <c r="X91" s="172"/>
      <c r="Y91" s="172"/>
      <c r="Z91" s="172"/>
      <c r="AA91" s="172"/>
      <c r="AB91" s="172"/>
      <c r="AC91" s="172"/>
      <c r="AD91" s="172"/>
      <c r="AE91" s="172"/>
      <c r="AF91" s="172"/>
      <c r="AG91" s="172"/>
      <c r="AH91" s="172"/>
      <c r="AI91" s="172"/>
      <c r="AJ91" s="172"/>
      <c r="AK91" s="172"/>
      <c r="AL91" s="172"/>
      <c r="AM91" s="172"/>
      <c r="AN91" s="172"/>
      <c r="AO91" s="172"/>
      <c r="AP91" s="172"/>
      <c r="AQ91" s="172"/>
      <c r="AR91" s="172"/>
      <c r="AS91" s="172"/>
      <c r="AT91" s="172"/>
      <c r="AU91" s="172"/>
      <c r="AV91" s="172"/>
      <c r="AW91" s="172"/>
      <c r="AX91" s="172"/>
      <c r="AY91" s="172"/>
      <c r="AZ91" s="172"/>
      <c r="BA91" s="172"/>
      <c r="BB91" s="172"/>
      <c r="BC91" s="172"/>
    </row>
    <row r="92" spans="2:64" x14ac:dyDescent="0.15">
      <c r="F92" s="172"/>
      <c r="G92" s="172"/>
      <c r="H92" s="172"/>
      <c r="I92" s="172"/>
      <c r="J92" s="172"/>
      <c r="K92" s="172"/>
      <c r="L92" s="172"/>
      <c r="M92" s="172"/>
      <c r="N92" s="172"/>
      <c r="O92" s="172"/>
      <c r="P92" s="172"/>
      <c r="Q92" s="172"/>
      <c r="R92" s="172"/>
      <c r="S92" s="172"/>
      <c r="T92" s="172"/>
      <c r="U92" s="172"/>
      <c r="V92" s="172"/>
      <c r="W92" s="172"/>
      <c r="X92" s="172"/>
      <c r="Y92" s="172"/>
      <c r="Z92" s="172"/>
      <c r="AA92" s="172"/>
      <c r="AB92" s="172"/>
      <c r="AC92" s="172"/>
      <c r="AD92" s="172"/>
      <c r="AE92" s="172"/>
      <c r="AF92" s="172"/>
      <c r="AG92" s="172"/>
      <c r="AH92" s="172"/>
      <c r="AI92" s="172"/>
      <c r="AJ92" s="172"/>
      <c r="AK92" s="172"/>
      <c r="AL92" s="172"/>
      <c r="AM92" s="172"/>
      <c r="AN92" s="172"/>
      <c r="AO92" s="172"/>
      <c r="AP92" s="172"/>
      <c r="AQ92" s="172"/>
      <c r="AR92" s="172"/>
      <c r="AS92" s="172"/>
      <c r="AT92" s="172"/>
      <c r="AU92" s="172"/>
      <c r="AV92" s="172"/>
      <c r="AW92" s="172"/>
      <c r="AX92" s="172"/>
      <c r="AY92" s="172"/>
      <c r="AZ92" s="172"/>
      <c r="BA92" s="172"/>
      <c r="BB92" s="172"/>
      <c r="BC92" s="172"/>
    </row>
    <row r="93" spans="2:64" x14ac:dyDescent="0.15">
      <c r="C93" s="334" t="s">
        <v>435</v>
      </c>
      <c r="D93" s="334"/>
      <c r="E93" s="335">
        <v>1</v>
      </c>
      <c r="F93" s="335">
        <f>IF(F$5&gt;$D$7,0,IF(F$5&lt;12,1,(1+Leadsheet!$E$43)^(ROUNDDOWN(F$5/12,0))))</f>
        <v>1</v>
      </c>
      <c r="G93" s="335">
        <f>IF(G$5&gt;$D$7,0,IF(G$5&lt;12,1,(1+Leadsheet!$E$43)^(ROUNDDOWN(G$5/12,0))))</f>
        <v>1</v>
      </c>
      <c r="H93" s="335">
        <f>IF(H$5&gt;$D$7,0,IF(H$5&lt;12,1,(1+Leadsheet!$E$43)^(ROUNDDOWN(H$5/12,0))))</f>
        <v>1</v>
      </c>
      <c r="I93" s="335">
        <f>IF(I$5&gt;$D$7,0,IF(I$5&lt;12,1,(1+Leadsheet!$E$43)^(ROUNDDOWN(I$5/12,0))))</f>
        <v>1</v>
      </c>
      <c r="J93" s="335">
        <f>IF(J$5&gt;$D$7,0,IF(J$5&lt;12,1,(1+Leadsheet!$E$43)^(ROUNDDOWN(J$5/12,0))))</f>
        <v>1</v>
      </c>
      <c r="K93" s="335">
        <f>IF(K$5&gt;$D$7,0,IF(K$5&lt;12,1,(1+Leadsheet!$E$43)^(ROUNDDOWN(K$5/12,0))))</f>
        <v>1</v>
      </c>
      <c r="L93" s="335">
        <f>IF(L$5&gt;$D$7,0,IF(L$5&lt;12,1,(1+Leadsheet!$E$43)^(ROUNDDOWN(L$5/12,0))))</f>
        <v>1</v>
      </c>
      <c r="M93" s="335">
        <f>IF(M$5&gt;$D$7,0,IF(M$5&lt;12,1,(1+Leadsheet!$E$43)^(ROUNDDOWN(M$5/12,0))))</f>
        <v>1</v>
      </c>
      <c r="N93" s="335">
        <f>IF(N$5&gt;$D$7,0,IF(N$5&lt;12,1,(1+Leadsheet!$E$43)^(ROUNDDOWN(N$5/12,0))))</f>
        <v>1</v>
      </c>
      <c r="O93" s="335">
        <f>IF(O$5&gt;$D$7,0,IF(O$5&lt;12,1,(1+Leadsheet!$E$43)^(ROUNDDOWN(O$5/12,0))))</f>
        <v>1</v>
      </c>
      <c r="P93" s="335">
        <f>IF(P$5&gt;$D$7,0,IF(P$5&lt;12,1,(1+Leadsheet!$E$43)^(ROUNDDOWN(P$5/12,0))))</f>
        <v>1.0349999999999999</v>
      </c>
      <c r="Q93" s="335">
        <f>IF(Q$5&gt;$D$7,0,IF(Q$5&lt;12,1,(1+Leadsheet!$E$43)^(ROUNDDOWN(Q$5/12,0))))</f>
        <v>1.0349999999999999</v>
      </c>
      <c r="R93" s="335">
        <f>IF(R$5&gt;$D$7,0,IF(R$5&lt;12,1,(1+Leadsheet!$E$43)^(ROUNDDOWN(R$5/12,0))))</f>
        <v>1.0349999999999999</v>
      </c>
      <c r="S93" s="335">
        <f>IF(S$5&gt;$D$7,0,IF(S$5&lt;12,1,(1+Leadsheet!$E$43)^(ROUNDDOWN(S$5/12,0))))</f>
        <v>1.0349999999999999</v>
      </c>
      <c r="T93" s="335">
        <f>IF(T$5&gt;$D$7,0,IF(T$5&lt;12,1,(1+Leadsheet!$E$43)^(ROUNDDOWN(T$5/12,0))))</f>
        <v>1.0349999999999999</v>
      </c>
      <c r="U93" s="335">
        <f>IF(U$5&gt;$D$7,0,IF(U$5&lt;12,1,(1+Leadsheet!$E$43)^(ROUNDDOWN(U$5/12,0))))</f>
        <v>1.0349999999999999</v>
      </c>
      <c r="V93" s="335">
        <f>IF(V$5&gt;$D$7,0,IF(V$5&lt;12,1,(1+Leadsheet!$E$43)^(ROUNDDOWN(V$5/12,0))))</f>
        <v>1.0349999999999999</v>
      </c>
      <c r="W93" s="335">
        <f>IF(W$5&gt;$D$7,0,IF(W$5&lt;12,1,(1+Leadsheet!$E$43)^(ROUNDDOWN(W$5/12,0))))</f>
        <v>1.0349999999999999</v>
      </c>
      <c r="X93" s="335">
        <f>IF(X$5&gt;$D$7,0,IF(X$5&lt;12,1,(1+Leadsheet!$E$43)^(ROUNDDOWN(X$5/12,0))))</f>
        <v>1.0349999999999999</v>
      </c>
      <c r="Y93" s="335">
        <f>IF(Y$5&gt;$D$7,0,IF(Y$5&lt;12,1,(1+Leadsheet!$E$43)^(ROUNDDOWN(Y$5/12,0))))</f>
        <v>0</v>
      </c>
      <c r="Z93" s="335">
        <f>IF(Z$5&gt;$D$7,0,IF(Z$5&lt;12,1,(1+Leadsheet!$E$43)^(ROUNDDOWN(Z$5/12,0))))</f>
        <v>0</v>
      </c>
      <c r="AA93" s="335">
        <f>IF(AA$5&gt;$D$7,0,IF(AA$5&lt;12,1,(1+Leadsheet!$E$43)^(ROUNDDOWN(AA$5/12,0))))</f>
        <v>0</v>
      </c>
      <c r="AB93" s="335">
        <f>IF(AB$5&gt;$D$7,0,IF(AB$5&lt;12,1,(1+Leadsheet!$E$43)^(ROUNDDOWN(AB$5/12,0))))</f>
        <v>0</v>
      </c>
      <c r="AC93" s="335">
        <f>IF(AC$5&gt;$D$7,0,IF(AC$5&lt;12,1,(1+Leadsheet!$E$43)^(ROUNDDOWN(AC$5/12,0))))</f>
        <v>0</v>
      </c>
      <c r="AD93" s="335">
        <f>IF(AD$5&gt;$D$7,0,IF(AD$5&lt;12,1,(1+Leadsheet!$E$43)^(ROUNDDOWN(AD$5/12,0))))</f>
        <v>0</v>
      </c>
      <c r="AE93" s="335">
        <f>IF(AE$5&gt;$D$7,0,IF(AE$5&lt;12,1,(1+Leadsheet!$E$43)^(ROUNDDOWN(AE$5/12,0))))</f>
        <v>0</v>
      </c>
      <c r="AF93" s="335">
        <f>IF(AF$5&gt;$D$7,0,IF(AF$5&lt;12,1,(1+Leadsheet!$E$43)^(ROUNDDOWN(AF$5/12,0))))</f>
        <v>0</v>
      </c>
      <c r="AG93" s="335">
        <f>IF(AG$5&gt;$D$7,0,IF(AG$5&lt;12,1,(1+Leadsheet!$E$43)^(ROUNDDOWN(AG$5/12,0))))</f>
        <v>0</v>
      </c>
      <c r="AH93" s="335">
        <f>IF(AH$5&gt;$D$7,0,IF(AH$5&lt;12,1,(1+Leadsheet!$E$43)^(ROUNDDOWN(AH$5/12,0))))</f>
        <v>0</v>
      </c>
      <c r="AI93" s="335">
        <f>IF(AI$5&gt;$D$7,0,IF(AI$5&lt;12,1,(1+Leadsheet!$E$43)^(ROUNDDOWN(AI$5/12,0))))</f>
        <v>0</v>
      </c>
      <c r="AJ93" s="335">
        <f>IF(AJ$5&gt;$D$7,0,IF(AJ$5&lt;12,1,(1+Leadsheet!$E$43)^(ROUNDDOWN(AJ$5/12,0))))</f>
        <v>0</v>
      </c>
      <c r="AK93" s="335">
        <f>IF(AK$5&gt;$D$7,0,IF(AK$5&lt;12,1,(1+Leadsheet!$E$43)^(ROUNDDOWN(AK$5/12,0))))</f>
        <v>0</v>
      </c>
      <c r="AL93" s="335">
        <f>IF(AL$5&gt;$D$7,0,IF(AL$5&lt;12,1,(1+Leadsheet!$E$43)^(ROUNDDOWN(AL$5/12,0))))</f>
        <v>0</v>
      </c>
      <c r="AM93" s="335">
        <f>IF(AM$5&gt;$D$7,0,IF(AM$5&lt;12,1,(1+Leadsheet!$E$43)^(ROUNDDOWN(AM$5/12,0))))</f>
        <v>0</v>
      </c>
      <c r="AN93" s="335">
        <f>IF(AN$5&gt;$D$7,0,IF(AN$5&lt;12,1,(1+Leadsheet!$E$43)^(ROUNDDOWN(AN$5/12,0))))</f>
        <v>0</v>
      </c>
      <c r="AO93" s="335">
        <f>IF(AO$5&gt;$D$7,0,IF(AO$5&lt;12,1,(1+Leadsheet!$E$43)^(ROUNDDOWN(AO$5/12,0))))</f>
        <v>0</v>
      </c>
      <c r="AP93" s="335">
        <f>IF(AP$5&gt;$D$7,0,IF(AP$5&lt;12,1,(1+Leadsheet!$E$43)^(ROUNDDOWN(AP$5/12,0))))</f>
        <v>0</v>
      </c>
      <c r="AQ93" s="335">
        <f>IF(AQ$5&gt;$D$7,0,IF(AQ$5&lt;12,1,(1+Leadsheet!$E$43)^(ROUNDDOWN(AQ$5/12,0))))</f>
        <v>0</v>
      </c>
      <c r="AR93" s="335">
        <f>IF(AR$5&gt;$D$7,0,IF(AR$5&lt;12,1,(1+Leadsheet!$E$43)^(ROUNDDOWN(AR$5/12,0))))</f>
        <v>0</v>
      </c>
      <c r="AS93" s="335">
        <f>IF(AS$5&gt;$D$7,0,IF(AS$5&lt;12,1,(1+Leadsheet!$E$43)^(ROUNDDOWN(AS$5/12,0))))</f>
        <v>0</v>
      </c>
      <c r="AT93" s="335">
        <f>IF(AT$5&gt;$D$7,0,IF(AT$5&lt;12,1,(1+Leadsheet!$E$43)^(ROUNDDOWN(AT$5/12,0))))</f>
        <v>0</v>
      </c>
      <c r="AU93" s="335">
        <f>IF(AU$5&gt;$D$7,0,IF(AU$5&lt;12,1,(1+Leadsheet!$E$43)^(ROUNDDOWN(AU$5/12,0))))</f>
        <v>0</v>
      </c>
      <c r="AV93" s="335">
        <f>IF(AV$5&gt;$D$7,0,IF(AV$5&lt;12,1,(1+Leadsheet!$E$43)^(ROUNDDOWN(AV$5/12,0))))</f>
        <v>0</v>
      </c>
      <c r="AW93" s="335">
        <f>IF(AW$5&gt;$D$7,0,IF(AW$5&lt;12,1,(1+Leadsheet!$E$43)^(ROUNDDOWN(AW$5/12,0))))</f>
        <v>0</v>
      </c>
      <c r="AX93" s="335">
        <f>IF(AX$5&gt;$D$7,0,IF(AX$5&lt;12,1,(1+Leadsheet!$E$43)^(ROUNDDOWN(AX$5/12,0))))</f>
        <v>0</v>
      </c>
      <c r="AY93" s="335">
        <f>IF(AY$5&gt;$D$7,0,IF(AY$5&lt;12,1,(1+Leadsheet!$E$43)^(ROUNDDOWN(AY$5/12,0))))</f>
        <v>0</v>
      </c>
      <c r="AZ93" s="335">
        <f>IF(AZ$5&gt;$D$7,0,IF(AZ$5&lt;12,1,(1+Leadsheet!$E$43)^(ROUNDDOWN(AZ$5/12,0))))</f>
        <v>0</v>
      </c>
      <c r="BA93" s="335">
        <f>IF(BA$5&gt;$D$7,0,IF(BA$5&lt;12,1,(1+Leadsheet!$E$43)^(ROUNDDOWN(BA$5/12,0))))</f>
        <v>0</v>
      </c>
      <c r="BB93" s="335">
        <f>IF(BB$5&gt;$D$7,0,IF(BB$5&lt;12,1,(1+Leadsheet!$E$43)^(ROUNDDOWN(BB$5/12,0))))</f>
        <v>0</v>
      </c>
      <c r="BC93" s="335">
        <f>IF(BC$5&gt;$D$7,0,IF(BC$5&lt;12,1,(1+Leadsheet!$E$43)^(ROUNDDOWN(BC$5/12,0))))</f>
        <v>0</v>
      </c>
      <c r="BD93" s="335">
        <f>IF(BD$5&gt;$D$7,0,IF(BD$5&lt;12,1,(1+Leadsheet!$E$43)^(ROUNDDOWN(BD$5/12,0))))</f>
        <v>0</v>
      </c>
      <c r="BE93" s="335">
        <f>IF(BE$5&gt;$D$7,0,IF(BE$5&lt;12,1,(1+Leadsheet!$E$43)^(ROUNDDOWN(BE$5/12,0))))</f>
        <v>0</v>
      </c>
      <c r="BF93" s="335">
        <f>IF(BF$5&gt;$D$7,0,IF(BF$5&lt;12,1,(1+Leadsheet!$E$43)^(ROUNDDOWN(BF$5/12,0))))</f>
        <v>0</v>
      </c>
      <c r="BG93" s="335">
        <f>IF(BG$5&gt;$D$7,0,IF(BG$5&lt;12,1,(1+Leadsheet!$E$43)^(ROUNDDOWN(BG$5/12,0))))</f>
        <v>0</v>
      </c>
      <c r="BH93" s="335">
        <f>IF(BH$5&gt;$D$7,0,IF(BH$5&lt;12,1,(1+Leadsheet!$E$43)^(ROUNDDOWN(BH$5/12,0))))</f>
        <v>0</v>
      </c>
      <c r="BI93" s="335">
        <f>IF(BI$5&gt;$D$7,0,IF(BI$5&lt;12,1,(1+Leadsheet!$E$43)^(ROUNDDOWN(BI$5/12,0))))</f>
        <v>0</v>
      </c>
      <c r="BJ93" s="335">
        <f>IF(BJ$5&gt;$D$7,0,IF(BJ$5&lt;12,1,(1+Leadsheet!$E$43)^(ROUNDDOWN(BJ$5/12,0))))</f>
        <v>0</v>
      </c>
      <c r="BK93" s="335">
        <f>IF(BK$5&gt;$D$7,0,IF(BK$5&lt;12,1,(1+Leadsheet!$E$43)^(ROUNDDOWN(BK$5/12,0))))</f>
        <v>0</v>
      </c>
      <c r="BL93" s="335">
        <f>IF(BL$5&gt;$D$7,0,IF(BL$5&lt;12,1,(1+Leadsheet!$E$43)^(ROUNDDOWN(BL$5/12,0))))</f>
        <v>0</v>
      </c>
    </row>
    <row r="95" spans="2:64" s="188" customFormat="1" x14ac:dyDescent="0.15">
      <c r="B95" s="188" t="s">
        <v>170</v>
      </c>
      <c r="E95" s="327">
        <f>SUM(E96:E97)</f>
        <v>-8.0000000000000002E-3</v>
      </c>
      <c r="F95" s="327">
        <f t="shared" ref="F95:BL95" si="21">SUM(F96:F97)</f>
        <v>-7.0732014882526149E-3</v>
      </c>
      <c r="G95" s="327">
        <f t="shared" si="21"/>
        <v>-6.6917227723825778E-3</v>
      </c>
      <c r="H95" s="327">
        <f t="shared" si="21"/>
        <v>-6.3102440565125416E-3</v>
      </c>
      <c r="I95" s="327">
        <f t="shared" si="21"/>
        <v>-6.123517161866863E-3</v>
      </c>
      <c r="J95" s="327">
        <f t="shared" si="21"/>
        <v>-5.9367902672211844E-3</v>
      </c>
      <c r="K95" s="327">
        <f t="shared" si="21"/>
        <v>-5.7500633725755057E-3</v>
      </c>
      <c r="L95" s="327">
        <f t="shared" si="21"/>
        <v>-5.5633364779298271E-3</v>
      </c>
      <c r="M95" s="327">
        <f t="shared" si="21"/>
        <v>-5.3766095832841485E-3</v>
      </c>
      <c r="N95" s="327">
        <f t="shared" si="21"/>
        <v>-5.1898826886384699E-3</v>
      </c>
      <c r="O95" s="327">
        <f t="shared" si="21"/>
        <v>-5.0031557939927912E-3</v>
      </c>
      <c r="P95" s="327">
        <f t="shared" si="21"/>
        <v>-4.9850039108242606E-3</v>
      </c>
      <c r="Q95" s="327">
        <f t="shared" si="21"/>
        <v>-4.7917415748659833E-3</v>
      </c>
      <c r="R95" s="327">
        <f t="shared" si="21"/>
        <v>-4.5984792389077061E-3</v>
      </c>
      <c r="S95" s="327">
        <f t="shared" si="21"/>
        <v>-1.3152476786297939E-3</v>
      </c>
      <c r="T95" s="327">
        <f t="shared" si="21"/>
        <v>-1.3106880654536169E-3</v>
      </c>
      <c r="U95" s="327">
        <f t="shared" si="21"/>
        <v>-1.3079588248644809E-3</v>
      </c>
      <c r="V95" s="327">
        <f t="shared" si="21"/>
        <v>-1.3060787032951524E-3</v>
      </c>
      <c r="W95" s="327">
        <f t="shared" si="21"/>
        <v>-1.3049686234417306E-3</v>
      </c>
      <c r="X95" s="327">
        <f t="shared" si="21"/>
        <v>-1.3043405021453001E-3</v>
      </c>
      <c r="Y95" s="327">
        <f t="shared" si="21"/>
        <v>0</v>
      </c>
      <c r="Z95" s="327">
        <f t="shared" si="21"/>
        <v>0</v>
      </c>
      <c r="AA95" s="327">
        <f t="shared" si="21"/>
        <v>0</v>
      </c>
      <c r="AB95" s="327">
        <f t="shared" si="21"/>
        <v>0</v>
      </c>
      <c r="AC95" s="327">
        <f t="shared" si="21"/>
        <v>0</v>
      </c>
      <c r="AD95" s="327">
        <f t="shared" si="21"/>
        <v>0</v>
      </c>
      <c r="AE95" s="327">
        <f t="shared" si="21"/>
        <v>0</v>
      </c>
      <c r="AF95" s="327">
        <f t="shared" si="21"/>
        <v>0</v>
      </c>
      <c r="AG95" s="327">
        <f t="shared" si="21"/>
        <v>0</v>
      </c>
      <c r="AH95" s="327">
        <f t="shared" si="21"/>
        <v>0</v>
      </c>
      <c r="AI95" s="327">
        <f t="shared" si="21"/>
        <v>0</v>
      </c>
      <c r="AJ95" s="327">
        <f t="shared" si="21"/>
        <v>0</v>
      </c>
      <c r="AK95" s="327">
        <f t="shared" si="21"/>
        <v>0</v>
      </c>
      <c r="AL95" s="327">
        <f t="shared" si="21"/>
        <v>0</v>
      </c>
      <c r="AM95" s="327">
        <f t="shared" si="21"/>
        <v>0</v>
      </c>
      <c r="AN95" s="327">
        <f t="shared" si="21"/>
        <v>0</v>
      </c>
      <c r="AO95" s="327">
        <f t="shared" si="21"/>
        <v>0</v>
      </c>
      <c r="AP95" s="327">
        <f t="shared" si="21"/>
        <v>0</v>
      </c>
      <c r="AQ95" s="327">
        <f t="shared" si="21"/>
        <v>0</v>
      </c>
      <c r="AR95" s="327">
        <f t="shared" si="21"/>
        <v>0</v>
      </c>
      <c r="AS95" s="327">
        <f t="shared" si="21"/>
        <v>0</v>
      </c>
      <c r="AT95" s="327">
        <f t="shared" si="21"/>
        <v>0</v>
      </c>
      <c r="AU95" s="327">
        <f t="shared" si="21"/>
        <v>0</v>
      </c>
      <c r="AV95" s="327">
        <f t="shared" si="21"/>
        <v>0</v>
      </c>
      <c r="AW95" s="327">
        <f t="shared" si="21"/>
        <v>0</v>
      </c>
      <c r="AX95" s="327">
        <f t="shared" si="21"/>
        <v>0</v>
      </c>
      <c r="AY95" s="327">
        <f t="shared" si="21"/>
        <v>0</v>
      </c>
      <c r="AZ95" s="327">
        <f t="shared" si="21"/>
        <v>0</v>
      </c>
      <c r="BA95" s="327">
        <f t="shared" si="21"/>
        <v>0</v>
      </c>
      <c r="BB95" s="327">
        <f t="shared" si="21"/>
        <v>0</v>
      </c>
      <c r="BC95" s="327">
        <f t="shared" si="21"/>
        <v>0</v>
      </c>
      <c r="BD95" s="327">
        <f t="shared" si="21"/>
        <v>0</v>
      </c>
      <c r="BE95" s="327">
        <f t="shared" si="21"/>
        <v>0</v>
      </c>
      <c r="BF95" s="327">
        <f t="shared" si="21"/>
        <v>0</v>
      </c>
      <c r="BG95" s="327">
        <f t="shared" si="21"/>
        <v>0</v>
      </c>
      <c r="BH95" s="327">
        <f t="shared" si="21"/>
        <v>0</v>
      </c>
      <c r="BI95" s="327">
        <f t="shared" si="21"/>
        <v>0</v>
      </c>
      <c r="BJ95" s="327">
        <f t="shared" si="21"/>
        <v>0</v>
      </c>
      <c r="BK95" s="327">
        <f t="shared" si="21"/>
        <v>0</v>
      </c>
      <c r="BL95" s="327">
        <f t="shared" si="21"/>
        <v>0</v>
      </c>
    </row>
    <row r="96" spans="2:64" s="336" customFormat="1" x14ac:dyDescent="0.15">
      <c r="C96" s="337" t="s">
        <v>265</v>
      </c>
      <c r="E96" s="336">
        <f>-IF(E5&gt;Leadsheet!$E$12,Leadsheet!$E$71*E$93*E44/$D$44,Leadsheet!$E$71*E$93*D16)</f>
        <v>-8.0000000000000002E-3</v>
      </c>
      <c r="F96" s="336">
        <f>-IF(F5&gt;Leadsheet!$E$12,Leadsheet!$E$71*F$93*F44/$D$44,Leadsheet!$E$71*F$93*E16)</f>
        <v>-7.0732014882526149E-3</v>
      </c>
      <c r="G96" s="336">
        <f>-IF(G5&gt;Leadsheet!$E$12,Leadsheet!$E$71*G$93*G44/$D$44,Leadsheet!$E$71*G$93*F16)</f>
        <v>-6.6917227723825778E-3</v>
      </c>
      <c r="H96" s="336">
        <f>-IF(H5&gt;Leadsheet!$E$12,Leadsheet!$E$71*H$93*H44/$D$44,Leadsheet!$E$71*H$93*G16)</f>
        <v>-6.3102440565125416E-3</v>
      </c>
      <c r="I96" s="336">
        <f>-IF(I5&gt;Leadsheet!$E$12,Leadsheet!$E$71*I$93*I44/$D$44,Leadsheet!$E$71*I$93*H16)</f>
        <v>-6.123517161866863E-3</v>
      </c>
      <c r="J96" s="336">
        <f>-IF(J5&gt;Leadsheet!$E$12,Leadsheet!$E$71*J$93*J44/$D$44,Leadsheet!$E$71*J$93*I16)</f>
        <v>-5.9367902672211844E-3</v>
      </c>
      <c r="K96" s="336">
        <f>-IF(K5&gt;Leadsheet!$E$12,Leadsheet!$E$71*K$93*K44/$D$44,Leadsheet!$E$71*K$93*J16)</f>
        <v>-5.7500633725755057E-3</v>
      </c>
      <c r="L96" s="336">
        <f>-IF(L5&gt;Leadsheet!$E$12,Leadsheet!$E$71*L$93*L44/$D$44,Leadsheet!$E$71*L$93*K16)</f>
        <v>-5.5633364779298271E-3</v>
      </c>
      <c r="M96" s="336">
        <f>-IF(M5&gt;Leadsheet!$E$12,Leadsheet!$E$71*M$93*M44/$D$44,Leadsheet!$E$71*M$93*L16)</f>
        <v>-5.3766095832841485E-3</v>
      </c>
      <c r="N96" s="336">
        <f>-IF(N5&gt;Leadsheet!$E$12,Leadsheet!$E$71*N$93*N44/$D$44,Leadsheet!$E$71*N$93*M16)</f>
        <v>-5.1898826886384699E-3</v>
      </c>
      <c r="O96" s="336">
        <f>-IF(O5&gt;Leadsheet!$E$12,Leadsheet!$E$71*O$93*O44/$D$44,Leadsheet!$E$71*O$93*N16)</f>
        <v>-5.0031557939927912E-3</v>
      </c>
      <c r="P96" s="336">
        <f>-IF(P5&gt;Leadsheet!$E$12,Leadsheet!$E$71*P$93*P44/$D$44,Leadsheet!$E$71*P$93*O16)</f>
        <v>-4.9850039108242606E-3</v>
      </c>
      <c r="Q96" s="336">
        <f>-IF(Q5&gt;Leadsheet!$E$12,Leadsheet!$E$71*Q$93*Q44/$D$44,Leadsheet!$E$71*Q$93*P16)</f>
        <v>-4.7917415748659833E-3</v>
      </c>
      <c r="R96" s="336">
        <f>-IF(R5&gt;Leadsheet!$E$12,Leadsheet!$E$71*R$93*R44/$D$44,Leadsheet!$E$71*R$93*Q16)</f>
        <v>-4.5984792389077061E-3</v>
      </c>
      <c r="S96" s="336">
        <f>-IF(S5&gt;Leadsheet!$E$12,Leadsheet!$E$71*S$93*S44/$D$44,Leadsheet!$E$71*S$93*R16)</f>
        <v>-1.3152476786297939E-3</v>
      </c>
      <c r="T96" s="336">
        <f>-IF(T5&gt;Leadsheet!$E$12,Leadsheet!$E$71*T$93*T44/$D$44,Leadsheet!$E$71*T$93*S16)</f>
        <v>-1.3106880654536169E-3</v>
      </c>
      <c r="U96" s="336">
        <f>-IF(U5&gt;Leadsheet!$E$12,Leadsheet!$E$71*U$93*U44/$D$44,Leadsheet!$E$71*U$93*T16)</f>
        <v>-1.3079588248644809E-3</v>
      </c>
      <c r="V96" s="336">
        <f>-IF(V5&gt;Leadsheet!$E$12,Leadsheet!$E$71*V$93*V44/$D$44,Leadsheet!$E$71*V$93*U16)</f>
        <v>-1.3060787032951524E-3</v>
      </c>
      <c r="W96" s="336">
        <f>-IF(W5&gt;Leadsheet!$E$12,Leadsheet!$E$71*W$93*W44/$D$44,Leadsheet!$E$71*W$93*V16)</f>
        <v>-1.3049686234417306E-3</v>
      </c>
      <c r="X96" s="336">
        <f>-IF(X5&gt;Leadsheet!$E$12,Leadsheet!$E$71*X$93*X44/$D$44,Leadsheet!$E$71*X$93*W16)</f>
        <v>-1.3043405021453001E-3</v>
      </c>
      <c r="Y96" s="336">
        <f>-IF(Y5&gt;Leadsheet!$E$12,Leadsheet!$E$71*Y$93*Y44/$D$44,Leadsheet!$E$71*Y$93*X16)</f>
        <v>0</v>
      </c>
      <c r="Z96" s="336">
        <f>-IF(Z5&gt;Leadsheet!$E$12,Leadsheet!$E$71*Z$93*Z44/$D$44,Leadsheet!$E$71*Z$93*Y16)</f>
        <v>0</v>
      </c>
      <c r="AA96" s="336">
        <f>-IF(AA5&gt;Leadsheet!$E$12,Leadsheet!$E$71*AA$93*AA44/$D$44,Leadsheet!$E$71*AA$93*Z16)</f>
        <v>0</v>
      </c>
      <c r="AB96" s="336">
        <f>-IF(AB5&gt;Leadsheet!$E$12,Leadsheet!$E$71*AB$93*AB44/$D$44,Leadsheet!$E$71*AB$93*AA16)</f>
        <v>0</v>
      </c>
      <c r="AC96" s="336">
        <f>-IF(AC5&gt;Leadsheet!$E$12,Leadsheet!$E$71*AC$93*AC44/$D$44,Leadsheet!$E$71*AC$93*AB16)</f>
        <v>0</v>
      </c>
      <c r="AD96" s="336">
        <f>-IF(AD5&gt;Leadsheet!$E$12,Leadsheet!$E$71*AD$93*AD44/$D$44,Leadsheet!$E$71*AD$93*AC16)</f>
        <v>0</v>
      </c>
      <c r="AE96" s="336">
        <f>-IF(AE5&gt;Leadsheet!$E$12,Leadsheet!$E$71*AE$93*AE44/$D$44,Leadsheet!$E$71*AE$93*AD16)</f>
        <v>0</v>
      </c>
      <c r="AF96" s="336">
        <f>-IF(AF5&gt;Leadsheet!$E$12,Leadsheet!$E$71*AF$93*AF44/$D$44,Leadsheet!$E$71*AF$93*AE16)</f>
        <v>0</v>
      </c>
      <c r="AG96" s="336">
        <f>-IF(AG5&gt;Leadsheet!$E$12,Leadsheet!$E$71*AG$93*AG44/$D$44,Leadsheet!$E$71*AG$93*AF16)</f>
        <v>0</v>
      </c>
      <c r="AH96" s="336">
        <f>-IF(AH5&gt;Leadsheet!$E$12,Leadsheet!$E$71*AH$93*AH44/$D$44,Leadsheet!$E$71*AH$93*AG16)</f>
        <v>0</v>
      </c>
      <c r="AI96" s="336">
        <f>-IF(AI5&gt;Leadsheet!$E$12,Leadsheet!$E$71*AI$93*AI44/$D$44,Leadsheet!$E$71*AI$93*AH16)</f>
        <v>0</v>
      </c>
      <c r="AJ96" s="336">
        <f>-IF(AJ5&gt;Leadsheet!$E$12,Leadsheet!$E$71*AJ$93*AJ44/$D$44,Leadsheet!$E$71*AJ$93*AI16)</f>
        <v>0</v>
      </c>
      <c r="AK96" s="336">
        <f>-IF(AK5&gt;Leadsheet!$E$12,Leadsheet!$E$71*AK$93*AK44/$D$44,Leadsheet!$E$71*AK$93*AJ16)</f>
        <v>0</v>
      </c>
      <c r="AL96" s="336">
        <f>-IF(AL5&gt;Leadsheet!$E$12,Leadsheet!$E$71*AL$93*AL44/$D$44,Leadsheet!$E$71*AL$93*AK16)</f>
        <v>0</v>
      </c>
      <c r="AM96" s="336">
        <f>-IF(AM5&gt;Leadsheet!$E$12,Leadsheet!$E$71*AM$93*AM44/$D$44,Leadsheet!$E$71*AM$93*AL16)</f>
        <v>0</v>
      </c>
      <c r="AN96" s="336">
        <f>-IF(AN5&gt;Leadsheet!$E$12,Leadsheet!$E$71*AN$93*AN44/$D$44,Leadsheet!$E$71*AN$93*AM16)</f>
        <v>0</v>
      </c>
      <c r="AO96" s="336">
        <f>-IF(AO5&gt;Leadsheet!$E$12,Leadsheet!$E$71*AO$93*AO44/$D$44,Leadsheet!$E$71*AO$93*AN16)</f>
        <v>0</v>
      </c>
      <c r="AP96" s="336">
        <f>-IF(AP5&gt;Leadsheet!$E$12,Leadsheet!$E$71*AP$93*AP44/$D$44,Leadsheet!$E$71*AP$93*AO16)</f>
        <v>0</v>
      </c>
      <c r="AQ96" s="336">
        <f>-IF(AQ5&gt;Leadsheet!$E$12,Leadsheet!$E$71*AQ$93*AQ44/$D$44,Leadsheet!$E$71*AQ$93*AP16)</f>
        <v>0</v>
      </c>
      <c r="AR96" s="336">
        <f>-IF(AR5&gt;Leadsheet!$E$12,Leadsheet!$E$71*AR$93*AR44/$D$44,Leadsheet!$E$71*AR$93*AQ16)</f>
        <v>0</v>
      </c>
      <c r="AS96" s="336">
        <f>-IF(AS5&gt;Leadsheet!$E$12,Leadsheet!$E$71*AS$93*AS44/$D$44,Leadsheet!$E$71*AS$93*AR16)</f>
        <v>0</v>
      </c>
      <c r="AT96" s="336">
        <f>-IF(AT5&gt;Leadsheet!$E$12,Leadsheet!$E$71*AT$93*AT44/$D$44,Leadsheet!$E$71*AT$93*AS16)</f>
        <v>0</v>
      </c>
      <c r="AU96" s="336">
        <f>-IF(AU5&gt;Leadsheet!$E$12,Leadsheet!$E$71*AU$93*AU44/$D$44,Leadsheet!$E$71*AU$93*AT16)</f>
        <v>0</v>
      </c>
      <c r="AV96" s="336">
        <f>-IF(AV5&gt;Leadsheet!$E$12,Leadsheet!$E$71*AV$93*AV44/$D$44,Leadsheet!$E$71*AV$93*AU16)</f>
        <v>0</v>
      </c>
      <c r="AW96" s="336">
        <f>-IF(AW5&gt;Leadsheet!$E$12,Leadsheet!$E$71*AW$93*AW44/$D$44,Leadsheet!$E$71*AW$93*AV16)</f>
        <v>0</v>
      </c>
      <c r="AX96" s="336">
        <f>-IF(AX5&gt;Leadsheet!$E$12,Leadsheet!$E$71*AX$93*AX44/$D$44,Leadsheet!$E$71*AX$93*AW16)</f>
        <v>0</v>
      </c>
      <c r="AY96" s="336">
        <f>-IF(AY5&gt;Leadsheet!$E$12,Leadsheet!$E$71*AY$93*AY44/$D$44,Leadsheet!$E$71*AY$93*AX16)</f>
        <v>0</v>
      </c>
      <c r="AZ96" s="336">
        <f>-IF(AZ5&gt;Leadsheet!$E$12,Leadsheet!$E$71*AZ$93*AZ44/$D$44,Leadsheet!$E$71*AZ$93*AY16)</f>
        <v>0</v>
      </c>
      <c r="BA96" s="336">
        <f>-IF(BA5&gt;Leadsheet!$E$12,Leadsheet!$E$71*BA$93*BA44/$D$44,Leadsheet!$E$71*BA$93*AZ16)</f>
        <v>0</v>
      </c>
      <c r="BB96" s="336">
        <f>-IF(BB5&gt;Leadsheet!$E$12,Leadsheet!$E$71*BB$93*BB44/$D$44,Leadsheet!$E$71*BB$93*BA16)</f>
        <v>0</v>
      </c>
      <c r="BC96" s="336">
        <f>-IF(BC5&gt;Leadsheet!$E$12,Leadsheet!$E$71*BC$93*BC44/$D$44,Leadsheet!$E$71*BC$93*BB16)</f>
        <v>0</v>
      </c>
      <c r="BD96" s="336">
        <f>-IF(BD5&gt;Leadsheet!$E$12,Leadsheet!$E$71*BD$93*BD44/$D$44,Leadsheet!$E$71*BD$93*BC16)</f>
        <v>0</v>
      </c>
      <c r="BE96" s="336">
        <f>-IF(BE5&gt;Leadsheet!$E$12,Leadsheet!$E$71*BE$93*BE44/$D$44,Leadsheet!$E$71*BE$93*BD16)</f>
        <v>0</v>
      </c>
      <c r="BF96" s="336">
        <f>-IF(BF5&gt;Leadsheet!$E$12,Leadsheet!$E$71*BF$93*BF44/$D$44,Leadsheet!$E$71*BF$93*BE16)</f>
        <v>0</v>
      </c>
      <c r="BG96" s="336">
        <f>-IF(BG5&gt;Leadsheet!$E$12,Leadsheet!$E$71*BG$93*BG44/$D$44,Leadsheet!$E$71*BG$93*BF16)</f>
        <v>0</v>
      </c>
      <c r="BH96" s="336">
        <f>-IF(BH5&gt;Leadsheet!$E$12,Leadsheet!$E$71*BH$93*BH44/$D$44,Leadsheet!$E$71*BH$93*BG16)</f>
        <v>0</v>
      </c>
      <c r="BI96" s="336">
        <f>-IF(BI5&gt;Leadsheet!$E$12,Leadsheet!$E$71*BI$93*BI44/$D$44,Leadsheet!$E$71*BI$93*BH16)</f>
        <v>0</v>
      </c>
      <c r="BJ96" s="336">
        <f>-IF(BJ5&gt;Leadsheet!$E$12,Leadsheet!$E$71*BJ$93*BJ44/$D$44,Leadsheet!$E$71*BJ$93*BI16)</f>
        <v>0</v>
      </c>
      <c r="BK96" s="336">
        <f>-IF(BK5&gt;Leadsheet!$E$12,Leadsheet!$E$71*BK$93*BK44/$D$44,Leadsheet!$E$71*BK$93*BJ16)</f>
        <v>0</v>
      </c>
      <c r="BL96" s="336">
        <f>-IF(BL5&gt;Leadsheet!$E$12,Leadsheet!$E$71*BL$93*BL44/$D$44,Leadsheet!$E$71*BL$93*BK16)</f>
        <v>0</v>
      </c>
    </row>
    <row r="97" spans="1:64" x14ac:dyDescent="0.15">
      <c r="C97" s="214" t="s">
        <v>266</v>
      </c>
      <c r="E97" s="172"/>
      <c r="F97" s="172"/>
      <c r="G97" s="172"/>
      <c r="H97" s="172"/>
      <c r="I97" s="172"/>
      <c r="J97" s="172"/>
      <c r="K97" s="172"/>
      <c r="L97" s="172"/>
      <c r="M97" s="172"/>
      <c r="N97" s="172"/>
      <c r="O97" s="172"/>
      <c r="P97" s="172"/>
      <c r="Q97" s="172"/>
      <c r="R97" s="172"/>
      <c r="S97" s="172"/>
      <c r="T97" s="172"/>
      <c r="U97" s="172"/>
      <c r="V97" s="172"/>
      <c r="W97" s="172"/>
      <c r="X97" s="172"/>
      <c r="Y97" s="172"/>
      <c r="Z97" s="172"/>
      <c r="AA97" s="172"/>
      <c r="AB97" s="172"/>
      <c r="AC97" s="172"/>
      <c r="AD97" s="172"/>
      <c r="AE97" s="172"/>
      <c r="AF97" s="172"/>
      <c r="AG97" s="172"/>
      <c r="AH97" s="172"/>
      <c r="AI97" s="172"/>
      <c r="AJ97" s="172"/>
      <c r="AK97" s="172"/>
      <c r="AL97" s="172"/>
      <c r="AM97" s="172"/>
      <c r="AN97" s="172"/>
      <c r="AO97" s="172"/>
      <c r="AP97" s="172"/>
      <c r="AQ97" s="172"/>
      <c r="AR97" s="172"/>
      <c r="AS97" s="172"/>
      <c r="AT97" s="172"/>
      <c r="AU97" s="172"/>
      <c r="AV97" s="172"/>
      <c r="AW97" s="172"/>
      <c r="AX97" s="172"/>
      <c r="AY97" s="172"/>
      <c r="AZ97" s="172"/>
      <c r="BA97" s="172"/>
      <c r="BB97" s="172"/>
      <c r="BC97" s="172"/>
      <c r="BD97" s="172"/>
      <c r="BE97" s="172"/>
      <c r="BF97" s="172"/>
      <c r="BG97" s="172"/>
      <c r="BH97" s="172"/>
      <c r="BI97" s="172"/>
      <c r="BJ97" s="172"/>
      <c r="BK97" s="172"/>
      <c r="BL97" s="172"/>
    </row>
    <row r="98" spans="1:64" x14ac:dyDescent="0.15">
      <c r="E98" s="172"/>
      <c r="F98" s="172"/>
      <c r="G98" s="172"/>
      <c r="H98" s="172"/>
      <c r="I98" s="172"/>
      <c r="J98" s="172"/>
      <c r="K98" s="172"/>
      <c r="L98" s="172"/>
      <c r="M98" s="172"/>
      <c r="N98" s="172"/>
      <c r="O98" s="172"/>
      <c r="P98" s="172"/>
      <c r="Q98" s="172"/>
      <c r="R98" s="172"/>
      <c r="S98" s="172"/>
      <c r="T98" s="172"/>
      <c r="U98" s="172"/>
      <c r="V98" s="172"/>
      <c r="W98" s="172"/>
      <c r="X98" s="172"/>
      <c r="Y98" s="172"/>
      <c r="Z98" s="172"/>
      <c r="AA98" s="172"/>
      <c r="AB98" s="172"/>
      <c r="AC98" s="172"/>
      <c r="AD98" s="172"/>
      <c r="AE98" s="172"/>
      <c r="AF98" s="172"/>
      <c r="AG98" s="172"/>
      <c r="AH98" s="172"/>
      <c r="AI98" s="172"/>
      <c r="AJ98" s="172"/>
      <c r="AK98" s="172"/>
      <c r="AL98" s="172"/>
      <c r="AM98" s="172"/>
      <c r="AN98" s="172"/>
      <c r="AO98" s="172"/>
      <c r="AP98" s="172"/>
      <c r="AQ98" s="172"/>
      <c r="AR98" s="172"/>
      <c r="AS98" s="172"/>
      <c r="AT98" s="172"/>
      <c r="AU98" s="172"/>
      <c r="AV98" s="172"/>
      <c r="AW98" s="172"/>
      <c r="AX98" s="172"/>
      <c r="AY98" s="172"/>
      <c r="AZ98" s="172"/>
      <c r="BA98" s="172"/>
      <c r="BB98" s="172"/>
      <c r="BC98" s="172"/>
      <c r="BD98" s="172"/>
      <c r="BE98" s="172"/>
      <c r="BF98" s="172"/>
      <c r="BG98" s="172"/>
      <c r="BH98" s="172"/>
      <c r="BI98" s="172"/>
      <c r="BJ98" s="172"/>
      <c r="BK98" s="172"/>
      <c r="BL98" s="172"/>
    </row>
    <row r="99" spans="1:64" x14ac:dyDescent="0.15">
      <c r="B99" s="188" t="s">
        <v>436</v>
      </c>
      <c r="E99" s="309">
        <f>SUM(E100:E101)</f>
        <v>-8.8415018603157686E-4</v>
      </c>
      <c r="F99" s="309">
        <f t="shared" ref="F99:BL99" si="22">SUM(F100:F101)</f>
        <v>-8.3646534654782223E-4</v>
      </c>
      <c r="G99" s="309">
        <f t="shared" si="22"/>
        <v>-7.887805070640677E-4</v>
      </c>
      <c r="H99" s="309">
        <f t="shared" si="22"/>
        <v>-7.6543964523335787E-4</v>
      </c>
      <c r="I99" s="309">
        <f t="shared" si="22"/>
        <v>-7.4209878340264805E-4</v>
      </c>
      <c r="J99" s="309">
        <f t="shared" si="22"/>
        <v>-7.1875792157193822E-4</v>
      </c>
      <c r="K99" s="309">
        <f t="shared" si="22"/>
        <v>-6.9541705974122839E-4</v>
      </c>
      <c r="L99" s="309">
        <f t="shared" si="22"/>
        <v>-6.7207619791051856E-4</v>
      </c>
      <c r="M99" s="309">
        <f t="shared" si="22"/>
        <v>-6.4873533607980873E-4</v>
      </c>
      <c r="N99" s="309">
        <f t="shared" si="22"/>
        <v>-6.253944742490989E-4</v>
      </c>
      <c r="O99" s="309">
        <f t="shared" si="22"/>
        <v>-6.0205361241838908E-4</v>
      </c>
      <c r="P99" s="309">
        <f t="shared" si="22"/>
        <v>-5.7871275058767925E-4</v>
      </c>
      <c r="Q99" s="309">
        <f t="shared" si="22"/>
        <v>-5.5537188875696942E-4</v>
      </c>
      <c r="R99" s="309">
        <f t="shared" si="22"/>
        <v>-5.5537188875696942E-4</v>
      </c>
      <c r="S99" s="309">
        <f t="shared" si="22"/>
        <v>0</v>
      </c>
      <c r="T99" s="309">
        <f t="shared" si="22"/>
        <v>0</v>
      </c>
      <c r="U99" s="309">
        <f t="shared" si="22"/>
        <v>0</v>
      </c>
      <c r="V99" s="309">
        <f t="shared" si="22"/>
        <v>0</v>
      </c>
      <c r="W99" s="309">
        <f t="shared" si="22"/>
        <v>0</v>
      </c>
      <c r="X99" s="309">
        <f t="shared" si="22"/>
        <v>0</v>
      </c>
      <c r="Y99" s="309">
        <f t="shared" si="22"/>
        <v>0</v>
      </c>
      <c r="Z99" s="309">
        <f t="shared" si="22"/>
        <v>0</v>
      </c>
      <c r="AA99" s="309">
        <f t="shared" si="22"/>
        <v>0</v>
      </c>
      <c r="AB99" s="309">
        <f t="shared" si="22"/>
        <v>0</v>
      </c>
      <c r="AC99" s="309">
        <f t="shared" si="22"/>
        <v>0</v>
      </c>
      <c r="AD99" s="309">
        <f t="shared" si="22"/>
        <v>0</v>
      </c>
      <c r="AE99" s="309">
        <f t="shared" si="22"/>
        <v>0</v>
      </c>
      <c r="AF99" s="309">
        <f t="shared" si="22"/>
        <v>0</v>
      </c>
      <c r="AG99" s="309">
        <f t="shared" si="22"/>
        <v>0</v>
      </c>
      <c r="AH99" s="309">
        <f t="shared" si="22"/>
        <v>0</v>
      </c>
      <c r="AI99" s="309">
        <f t="shared" si="22"/>
        <v>0</v>
      </c>
      <c r="AJ99" s="309">
        <f t="shared" si="22"/>
        <v>0</v>
      </c>
      <c r="AK99" s="309">
        <f t="shared" si="22"/>
        <v>0</v>
      </c>
      <c r="AL99" s="309">
        <f t="shared" si="22"/>
        <v>0</v>
      </c>
      <c r="AM99" s="309">
        <f t="shared" si="22"/>
        <v>0</v>
      </c>
      <c r="AN99" s="309">
        <f t="shared" si="22"/>
        <v>0</v>
      </c>
      <c r="AO99" s="309">
        <f t="shared" si="22"/>
        <v>0</v>
      </c>
      <c r="AP99" s="309">
        <f t="shared" si="22"/>
        <v>0</v>
      </c>
      <c r="AQ99" s="309">
        <f t="shared" si="22"/>
        <v>0</v>
      </c>
      <c r="AR99" s="309">
        <f t="shared" si="22"/>
        <v>0</v>
      </c>
      <c r="AS99" s="309">
        <f t="shared" si="22"/>
        <v>0</v>
      </c>
      <c r="AT99" s="309">
        <f t="shared" si="22"/>
        <v>0</v>
      </c>
      <c r="AU99" s="309">
        <f t="shared" si="22"/>
        <v>0</v>
      </c>
      <c r="AV99" s="309">
        <f t="shared" si="22"/>
        <v>0</v>
      </c>
      <c r="AW99" s="309">
        <f t="shared" si="22"/>
        <v>0</v>
      </c>
      <c r="AX99" s="309">
        <f t="shared" si="22"/>
        <v>0</v>
      </c>
      <c r="AY99" s="309">
        <f t="shared" si="22"/>
        <v>0</v>
      </c>
      <c r="AZ99" s="309">
        <f t="shared" si="22"/>
        <v>0</v>
      </c>
      <c r="BA99" s="309">
        <f t="shared" si="22"/>
        <v>0</v>
      </c>
      <c r="BB99" s="309">
        <f t="shared" si="22"/>
        <v>0</v>
      </c>
      <c r="BC99" s="309">
        <f t="shared" si="22"/>
        <v>0</v>
      </c>
      <c r="BD99" s="309">
        <f t="shared" si="22"/>
        <v>0</v>
      </c>
      <c r="BE99" s="309">
        <f t="shared" si="22"/>
        <v>0</v>
      </c>
      <c r="BF99" s="309">
        <f t="shared" si="22"/>
        <v>0</v>
      </c>
      <c r="BG99" s="309">
        <f t="shared" si="22"/>
        <v>0</v>
      </c>
      <c r="BH99" s="309">
        <f t="shared" si="22"/>
        <v>0</v>
      </c>
      <c r="BI99" s="309">
        <f t="shared" si="22"/>
        <v>0</v>
      </c>
      <c r="BJ99" s="309">
        <f t="shared" si="22"/>
        <v>0</v>
      </c>
      <c r="BK99" s="309">
        <f t="shared" si="22"/>
        <v>0</v>
      </c>
      <c r="BL99" s="309">
        <f t="shared" si="22"/>
        <v>0</v>
      </c>
    </row>
    <row r="100" spans="1:64" x14ac:dyDescent="0.15">
      <c r="B100" s="188"/>
      <c r="C100" s="116" t="s">
        <v>437</v>
      </c>
      <c r="E100" s="172">
        <f>IF(E5&gt;Leadsheet!$E$12,0,-E16*Leadsheet!$E$78)</f>
        <v>-8.8415018603157686E-4</v>
      </c>
      <c r="F100" s="172">
        <f>IF(F5&gt;Leadsheet!$E$12,0,-F16*Leadsheet!$E$78)</f>
        <v>-8.3646534654782223E-4</v>
      </c>
      <c r="G100" s="172">
        <f>IF(G5&gt;Leadsheet!$E$12,0,-G16*Leadsheet!$E$78)</f>
        <v>-7.887805070640677E-4</v>
      </c>
      <c r="H100" s="172">
        <f>IF(H5&gt;Leadsheet!$E$12,0,-H16*Leadsheet!$E$78)</f>
        <v>-7.6543964523335787E-4</v>
      </c>
      <c r="I100" s="172">
        <f>IF(I5&gt;Leadsheet!$E$12,0,-I16*Leadsheet!$E$78)</f>
        <v>-7.4209878340264805E-4</v>
      </c>
      <c r="J100" s="172">
        <f>IF(J5&gt;Leadsheet!$E$12,0,-J16*Leadsheet!$E$78)</f>
        <v>-7.1875792157193822E-4</v>
      </c>
      <c r="K100" s="172">
        <f>IF(K5&gt;Leadsheet!$E$12,0,-K16*Leadsheet!$E$78)</f>
        <v>-6.9541705974122839E-4</v>
      </c>
      <c r="L100" s="172">
        <f>IF(L5&gt;Leadsheet!$E$12,0,-L16*Leadsheet!$E$78)</f>
        <v>-6.7207619791051856E-4</v>
      </c>
      <c r="M100" s="172">
        <f>IF(M5&gt;Leadsheet!$E$12,0,-M16*Leadsheet!$E$78)</f>
        <v>-6.4873533607980873E-4</v>
      </c>
      <c r="N100" s="172">
        <f>IF(N5&gt;Leadsheet!$E$12,0,-N16*Leadsheet!$E$78)</f>
        <v>-6.253944742490989E-4</v>
      </c>
      <c r="O100" s="172">
        <f>IF(O5&gt;Leadsheet!$E$12,0,-O16*Leadsheet!$E$78)</f>
        <v>-6.0205361241838908E-4</v>
      </c>
      <c r="P100" s="172">
        <f>IF(P5&gt;Leadsheet!$E$12,0,-P16*Leadsheet!$E$78)</f>
        <v>-5.7871275058767925E-4</v>
      </c>
      <c r="Q100" s="172">
        <f>IF(Q5&gt;Leadsheet!$E$12,0,-Q16*Leadsheet!$E$78)</f>
        <v>-5.5537188875696942E-4</v>
      </c>
      <c r="R100" s="172">
        <f>IF(R5&gt;Leadsheet!$E$12,0,-R16*Leadsheet!$E$78)</f>
        <v>-5.5537188875696942E-4</v>
      </c>
      <c r="S100" s="172">
        <f>IF(S5&gt;Leadsheet!$E$12,0,-S16*Leadsheet!$E$78)</f>
        <v>0</v>
      </c>
      <c r="T100" s="172">
        <f>IF(T5&gt;Leadsheet!$E$12,0,-T16*Leadsheet!$E$78)</f>
        <v>0</v>
      </c>
      <c r="U100" s="172">
        <f>IF(U5&gt;Leadsheet!$E$12,0,-U16*Leadsheet!$E$78)</f>
        <v>0</v>
      </c>
      <c r="V100" s="172">
        <f>IF(V5&gt;Leadsheet!$E$12,0,-V16*Leadsheet!$E$78)</f>
        <v>0</v>
      </c>
      <c r="W100" s="172">
        <f>IF(W5&gt;Leadsheet!$E$12,0,-W16*Leadsheet!$E$78)</f>
        <v>0</v>
      </c>
      <c r="X100" s="172">
        <f>IF(X5&gt;Leadsheet!$E$12,0,-X16*Leadsheet!$E$78)</f>
        <v>0</v>
      </c>
      <c r="Y100" s="172">
        <f>IF(Y5&gt;Leadsheet!$E$12,0,-Y16*Leadsheet!$E$78)</f>
        <v>0</v>
      </c>
      <c r="Z100" s="172">
        <f>IF(Z5&gt;Leadsheet!$E$12,0,-Z16*Leadsheet!$E$78)</f>
        <v>0</v>
      </c>
      <c r="AA100" s="172">
        <f>IF(AA5&gt;Leadsheet!$E$12,0,-AA16*Leadsheet!$E$78)</f>
        <v>0</v>
      </c>
      <c r="AB100" s="172">
        <f>IF(AB5&gt;Leadsheet!$E$12,0,-AB16*Leadsheet!$E$78)</f>
        <v>0</v>
      </c>
      <c r="AC100" s="172">
        <f>IF(AC5&gt;Leadsheet!$E$12,0,-AC16*Leadsheet!$E$78)</f>
        <v>0</v>
      </c>
      <c r="AD100" s="172">
        <f>IF(AD5&gt;Leadsheet!$E$12,0,-AD16*Leadsheet!$E$78)</f>
        <v>0</v>
      </c>
      <c r="AE100" s="172">
        <f>IF(AE5&gt;Leadsheet!$E$12,0,-AE16*Leadsheet!$E$78)</f>
        <v>0</v>
      </c>
      <c r="AF100" s="172">
        <f>IF(AF5&gt;Leadsheet!$E$12,0,-AF16*Leadsheet!$E$78)</f>
        <v>0</v>
      </c>
      <c r="AG100" s="172">
        <f>IF(AG5&gt;Leadsheet!$E$12,0,-AG16*Leadsheet!$E$78)</f>
        <v>0</v>
      </c>
      <c r="AH100" s="172">
        <f>IF(AH5&gt;Leadsheet!$E$12,0,-AH16*Leadsheet!$E$78)</f>
        <v>0</v>
      </c>
      <c r="AI100" s="172">
        <f>IF(AI5&gt;Leadsheet!$E$12,0,-AI16*Leadsheet!$E$78)</f>
        <v>0</v>
      </c>
      <c r="AJ100" s="172">
        <f>IF(AJ5&gt;Leadsheet!$E$12,0,-AJ16*Leadsheet!$E$78)</f>
        <v>0</v>
      </c>
      <c r="AK100" s="172">
        <f>IF(AK5&gt;Leadsheet!$E$12,0,-AK16*Leadsheet!$E$78)</f>
        <v>0</v>
      </c>
      <c r="AL100" s="172">
        <f>IF(AL5&gt;Leadsheet!$E$12,0,-AL16*Leadsheet!$E$78)</f>
        <v>0</v>
      </c>
      <c r="AM100" s="172">
        <f>IF(AM5&gt;Leadsheet!$E$12,0,-AM16*Leadsheet!$E$78)</f>
        <v>0</v>
      </c>
      <c r="AN100" s="172">
        <f>IF(AN5&gt;Leadsheet!$E$12,0,-AN16*Leadsheet!$E$78)</f>
        <v>0</v>
      </c>
      <c r="AO100" s="172">
        <f>IF(AO5&gt;Leadsheet!$E$12,0,-AO16*Leadsheet!$E$78)</f>
        <v>0</v>
      </c>
      <c r="AP100" s="172">
        <f>IF(AP5&gt;Leadsheet!$E$12,0,-AP16*Leadsheet!$E$78)</f>
        <v>0</v>
      </c>
      <c r="AQ100" s="172">
        <f>IF(AQ5&gt;Leadsheet!$E$12,0,-AQ16*Leadsheet!$E$78)</f>
        <v>0</v>
      </c>
      <c r="AR100" s="172">
        <f>IF(AR5&gt;Leadsheet!$E$12,0,-AR16*Leadsheet!$E$78)</f>
        <v>0</v>
      </c>
      <c r="AS100" s="172">
        <f>IF(AS5&gt;Leadsheet!$E$12,0,-AS16*Leadsheet!$E$78)</f>
        <v>0</v>
      </c>
      <c r="AT100" s="172">
        <f>IF(AT5&gt;Leadsheet!$E$12,0,-AT16*Leadsheet!$E$78)</f>
        <v>0</v>
      </c>
      <c r="AU100" s="172">
        <f>IF(AU5&gt;Leadsheet!$E$12,0,-AU16*Leadsheet!$E$78)</f>
        <v>0</v>
      </c>
      <c r="AV100" s="172">
        <f>IF(AV5&gt;Leadsheet!$E$12,0,-AV16*Leadsheet!$E$78)</f>
        <v>0</v>
      </c>
      <c r="AW100" s="172">
        <f>IF(AW5&gt;Leadsheet!$E$12,0,-AW16*Leadsheet!$E$78)</f>
        <v>0</v>
      </c>
      <c r="AX100" s="172">
        <f>IF(AX5&gt;Leadsheet!$E$12,0,-AX16*Leadsheet!$E$78)</f>
        <v>0</v>
      </c>
      <c r="AY100" s="172">
        <f>IF(AY5&gt;Leadsheet!$E$12,0,-AY16*Leadsheet!$E$78)</f>
        <v>0</v>
      </c>
      <c r="AZ100" s="172">
        <f>IF(AZ5&gt;Leadsheet!$E$12,0,-AZ16*Leadsheet!$E$78)</f>
        <v>0</v>
      </c>
      <c r="BA100" s="172">
        <f>IF(BA5&gt;Leadsheet!$E$12,0,-BA16*Leadsheet!$E$78)</f>
        <v>0</v>
      </c>
      <c r="BB100" s="172">
        <f>IF(BB5&gt;Leadsheet!$E$12,0,-BB16*Leadsheet!$E$78)</f>
        <v>0</v>
      </c>
      <c r="BC100" s="172">
        <f>IF(BC5&gt;Leadsheet!$E$12,0,-BC16*Leadsheet!$E$78)</f>
        <v>0</v>
      </c>
      <c r="BD100" s="172">
        <f>IF(BD5&gt;Leadsheet!$E$12,0,-BD16*Leadsheet!$E$78)</f>
        <v>0</v>
      </c>
      <c r="BE100" s="172">
        <f>IF(BE5&gt;Leadsheet!$E$12,0,-BE16*Leadsheet!$E$78)</f>
        <v>0</v>
      </c>
      <c r="BF100" s="172">
        <f>IF(BF5&gt;Leadsheet!$E$12,0,-BF16*Leadsheet!$E$78)</f>
        <v>0</v>
      </c>
      <c r="BG100" s="172">
        <f>IF(BG5&gt;Leadsheet!$E$12,0,-BG16*Leadsheet!$E$78)</f>
        <v>0</v>
      </c>
      <c r="BH100" s="172">
        <f>IF(BH5&gt;Leadsheet!$E$12,0,-BH16*Leadsheet!$E$78)</f>
        <v>0</v>
      </c>
      <c r="BI100" s="172">
        <f>IF(BI5&gt;Leadsheet!$E$12,0,-BI16*Leadsheet!$E$78)</f>
        <v>0</v>
      </c>
      <c r="BJ100" s="172">
        <f>IF(BJ5&gt;Leadsheet!$E$12,0,-BJ16*Leadsheet!$E$78)</f>
        <v>0</v>
      </c>
      <c r="BK100" s="172">
        <f>IF(BK5&gt;Leadsheet!$E$12,0,-BK16*Leadsheet!$E$78)</f>
        <v>0</v>
      </c>
      <c r="BL100" s="172">
        <f>IF(BL5&gt;Leadsheet!$E$12,0,-BL16*Leadsheet!$E$78)</f>
        <v>0</v>
      </c>
    </row>
    <row r="101" spans="1:64" x14ac:dyDescent="0.15">
      <c r="E101" s="180"/>
      <c r="F101" s="180"/>
      <c r="G101" s="180"/>
      <c r="H101" s="180"/>
      <c r="I101" s="180"/>
      <c r="J101" s="180"/>
      <c r="K101" s="180"/>
      <c r="L101" s="180"/>
      <c r="M101" s="180"/>
      <c r="N101" s="180"/>
      <c r="O101" s="180"/>
      <c r="P101" s="180"/>
      <c r="Q101" s="180"/>
      <c r="R101" s="180"/>
      <c r="S101" s="180"/>
      <c r="T101" s="180"/>
      <c r="U101" s="180"/>
      <c r="V101" s="180"/>
      <c r="W101" s="180"/>
      <c r="X101" s="180"/>
      <c r="Y101" s="180"/>
      <c r="Z101" s="180"/>
      <c r="AA101" s="180"/>
      <c r="AB101" s="180"/>
      <c r="AC101" s="180"/>
      <c r="AD101" s="180"/>
      <c r="AE101" s="180"/>
      <c r="AF101" s="180"/>
      <c r="AG101" s="180"/>
      <c r="AH101" s="180"/>
      <c r="AI101" s="180"/>
      <c r="AJ101" s="180"/>
      <c r="AK101" s="180"/>
      <c r="AL101" s="180"/>
      <c r="AM101" s="180"/>
      <c r="AN101" s="180"/>
      <c r="AO101" s="180"/>
      <c r="AP101" s="180"/>
      <c r="AQ101" s="180"/>
      <c r="AR101" s="180"/>
      <c r="AS101" s="180"/>
      <c r="AT101" s="180"/>
      <c r="AU101" s="180"/>
      <c r="AV101" s="180"/>
      <c r="AW101" s="180"/>
      <c r="AX101" s="180"/>
      <c r="AY101" s="180"/>
      <c r="AZ101" s="180"/>
      <c r="BA101" s="180"/>
      <c r="BB101" s="180"/>
      <c r="BC101" s="180"/>
      <c r="BD101" s="180"/>
      <c r="BE101" s="180"/>
      <c r="BF101" s="180"/>
      <c r="BG101" s="180"/>
      <c r="BH101" s="180"/>
      <c r="BI101" s="180"/>
      <c r="BJ101" s="180"/>
      <c r="BK101" s="180"/>
      <c r="BL101" s="180"/>
    </row>
    <row r="102" spans="1:64" x14ac:dyDescent="0.15">
      <c r="E102" s="180"/>
      <c r="F102" s="180"/>
      <c r="G102" s="180"/>
      <c r="H102" s="180"/>
      <c r="I102" s="180"/>
      <c r="J102" s="180"/>
      <c r="K102" s="180"/>
      <c r="L102" s="180"/>
      <c r="M102" s="180"/>
      <c r="N102" s="180"/>
      <c r="O102" s="180"/>
      <c r="P102" s="180"/>
      <c r="Q102" s="180"/>
      <c r="R102" s="180"/>
      <c r="S102" s="180"/>
      <c r="T102" s="180"/>
      <c r="U102" s="180"/>
      <c r="V102" s="180"/>
      <c r="W102" s="180"/>
      <c r="X102" s="180"/>
      <c r="Y102" s="180"/>
      <c r="Z102" s="180"/>
      <c r="AA102" s="180"/>
      <c r="AB102" s="180"/>
      <c r="AC102" s="180"/>
      <c r="AD102" s="180"/>
      <c r="AE102" s="180"/>
      <c r="AF102" s="180"/>
      <c r="AG102" s="180"/>
      <c r="AH102" s="180"/>
      <c r="AI102" s="180"/>
      <c r="AJ102" s="180"/>
      <c r="AK102" s="180"/>
      <c r="AL102" s="180"/>
      <c r="AM102" s="180"/>
      <c r="AN102" s="180"/>
      <c r="AO102" s="180"/>
      <c r="AP102" s="180"/>
      <c r="AQ102" s="180"/>
      <c r="AR102" s="180"/>
      <c r="AS102" s="180"/>
      <c r="AT102" s="180"/>
      <c r="AU102" s="180"/>
      <c r="AV102" s="180"/>
      <c r="AW102" s="180"/>
      <c r="AX102" s="180"/>
      <c r="AY102" s="180"/>
      <c r="AZ102" s="180"/>
      <c r="BA102" s="180"/>
      <c r="BB102" s="180"/>
      <c r="BC102" s="180"/>
      <c r="BD102" s="180"/>
      <c r="BE102" s="180"/>
      <c r="BF102" s="180"/>
      <c r="BG102" s="180"/>
      <c r="BH102" s="180"/>
      <c r="BI102" s="180"/>
      <c r="BJ102" s="180"/>
      <c r="BK102" s="180"/>
      <c r="BL102" s="180"/>
    </row>
    <row r="103" spans="1:64" s="188" customFormat="1" x14ac:dyDescent="0.15">
      <c r="B103" s="188" t="s">
        <v>438</v>
      </c>
      <c r="E103" s="309">
        <f>SUM(E104:E107)</f>
        <v>-4.8800211223216212E-2</v>
      </c>
      <c r="F103" s="309">
        <f t="shared" ref="F103:BL103" si="23">SUM(F104:F107)</f>
        <v>-4.3146715831386864E-2</v>
      </c>
      <c r="G103" s="309">
        <f t="shared" si="23"/>
        <v>-4.0819685592434471E-2</v>
      </c>
      <c r="H103" s="309">
        <f t="shared" si="23"/>
        <v>-3.8492655353482091E-2</v>
      </c>
      <c r="I103" s="309">
        <f t="shared" si="23"/>
        <v>-3.7353616366011547E-2</v>
      </c>
      <c r="J103" s="309">
        <f t="shared" si="23"/>
        <v>-3.6214577378541002E-2</v>
      </c>
      <c r="K103" s="309">
        <f t="shared" si="23"/>
        <v>-3.5075538391070457E-2</v>
      </c>
      <c r="L103" s="309">
        <f t="shared" si="23"/>
        <v>-3.3936499403599912E-2</v>
      </c>
      <c r="M103" s="309">
        <f t="shared" si="23"/>
        <v>-3.2797460416129368E-2</v>
      </c>
      <c r="N103" s="309">
        <f t="shared" si="23"/>
        <v>-3.165842142865883E-2</v>
      </c>
      <c r="O103" s="309">
        <f t="shared" si="23"/>
        <v>-3.0519382441188282E-2</v>
      </c>
      <c r="P103" s="309">
        <f t="shared" si="23"/>
        <v>-3.0408655474597854E-2</v>
      </c>
      <c r="Q103" s="309">
        <f t="shared" si="23"/>
        <v>-2.9229750122565838E-2</v>
      </c>
      <c r="R103" s="309">
        <f t="shared" si="23"/>
        <v>-2.8050844770533826E-2</v>
      </c>
      <c r="S103" s="309">
        <f t="shared" si="23"/>
        <v>0</v>
      </c>
      <c r="T103" s="309">
        <f t="shared" si="23"/>
        <v>0</v>
      </c>
      <c r="U103" s="309">
        <f t="shared" si="23"/>
        <v>0</v>
      </c>
      <c r="V103" s="309">
        <f t="shared" si="23"/>
        <v>0</v>
      </c>
      <c r="W103" s="309">
        <f t="shared" si="23"/>
        <v>0</v>
      </c>
      <c r="X103" s="309">
        <f t="shared" si="23"/>
        <v>0</v>
      </c>
      <c r="Y103" s="309">
        <f t="shared" si="23"/>
        <v>0</v>
      </c>
      <c r="Z103" s="309">
        <f t="shared" si="23"/>
        <v>0</v>
      </c>
      <c r="AA103" s="309">
        <f t="shared" si="23"/>
        <v>0</v>
      </c>
      <c r="AB103" s="309">
        <f t="shared" si="23"/>
        <v>0</v>
      </c>
      <c r="AC103" s="309">
        <f t="shared" si="23"/>
        <v>0</v>
      </c>
      <c r="AD103" s="309">
        <f t="shared" si="23"/>
        <v>0</v>
      </c>
      <c r="AE103" s="309">
        <f t="shared" si="23"/>
        <v>0</v>
      </c>
      <c r="AF103" s="309">
        <f t="shared" si="23"/>
        <v>0</v>
      </c>
      <c r="AG103" s="309">
        <f t="shared" si="23"/>
        <v>0</v>
      </c>
      <c r="AH103" s="309">
        <f t="shared" si="23"/>
        <v>0</v>
      </c>
      <c r="AI103" s="309">
        <f t="shared" si="23"/>
        <v>0</v>
      </c>
      <c r="AJ103" s="309">
        <f t="shared" si="23"/>
        <v>0</v>
      </c>
      <c r="AK103" s="309">
        <f t="shared" si="23"/>
        <v>0</v>
      </c>
      <c r="AL103" s="309">
        <f t="shared" si="23"/>
        <v>0</v>
      </c>
      <c r="AM103" s="309">
        <f t="shared" si="23"/>
        <v>0</v>
      </c>
      <c r="AN103" s="309">
        <f t="shared" si="23"/>
        <v>0</v>
      </c>
      <c r="AO103" s="309">
        <f t="shared" si="23"/>
        <v>0</v>
      </c>
      <c r="AP103" s="309">
        <f t="shared" si="23"/>
        <v>0</v>
      </c>
      <c r="AQ103" s="309">
        <f t="shared" si="23"/>
        <v>0</v>
      </c>
      <c r="AR103" s="309">
        <f t="shared" si="23"/>
        <v>0</v>
      </c>
      <c r="AS103" s="309">
        <f t="shared" si="23"/>
        <v>0</v>
      </c>
      <c r="AT103" s="309">
        <f t="shared" si="23"/>
        <v>0</v>
      </c>
      <c r="AU103" s="309">
        <f t="shared" si="23"/>
        <v>0</v>
      </c>
      <c r="AV103" s="309">
        <f t="shared" si="23"/>
        <v>0</v>
      </c>
      <c r="AW103" s="309">
        <f t="shared" si="23"/>
        <v>0</v>
      </c>
      <c r="AX103" s="309">
        <f t="shared" si="23"/>
        <v>0</v>
      </c>
      <c r="AY103" s="309">
        <f t="shared" si="23"/>
        <v>0</v>
      </c>
      <c r="AZ103" s="309">
        <f t="shared" si="23"/>
        <v>0</v>
      </c>
      <c r="BA103" s="309">
        <f t="shared" si="23"/>
        <v>0</v>
      </c>
      <c r="BB103" s="309">
        <f t="shared" si="23"/>
        <v>0</v>
      </c>
      <c r="BC103" s="309">
        <f t="shared" si="23"/>
        <v>0</v>
      </c>
      <c r="BD103" s="309">
        <f t="shared" si="23"/>
        <v>0</v>
      </c>
      <c r="BE103" s="309">
        <f t="shared" si="23"/>
        <v>0</v>
      </c>
      <c r="BF103" s="309">
        <f t="shared" si="23"/>
        <v>0</v>
      </c>
      <c r="BG103" s="309">
        <f t="shared" si="23"/>
        <v>0</v>
      </c>
      <c r="BH103" s="309">
        <f t="shared" si="23"/>
        <v>0</v>
      </c>
      <c r="BI103" s="309">
        <f t="shared" si="23"/>
        <v>0</v>
      </c>
      <c r="BJ103" s="309">
        <f t="shared" si="23"/>
        <v>0</v>
      </c>
      <c r="BK103" s="309">
        <f t="shared" si="23"/>
        <v>0</v>
      </c>
      <c r="BL103" s="309">
        <f t="shared" si="23"/>
        <v>0</v>
      </c>
    </row>
    <row r="104" spans="1:64" x14ac:dyDescent="0.15">
      <c r="C104" s="116" t="s">
        <v>178</v>
      </c>
      <c r="E104" s="172">
        <f>-IF(E$5&gt;Leadsheet!$E$12,0,Leadsheet!$E81*SAP_Speadsheet!E$93*D$16)</f>
        <v>-9.4474944824391397E-3</v>
      </c>
      <c r="F104" s="172">
        <f>-IF(F$5&gt;Leadsheet!$E$12,0,Leadsheet!$E81*SAP_Speadsheet!F$93*E$16)</f>
        <v>-8.3530040041808612E-3</v>
      </c>
      <c r="G104" s="172">
        <f>-IF(G$5&gt;Leadsheet!$E$12,0,Leadsheet!$E81*SAP_Speadsheet!G$93*F$16)</f>
        <v>-7.9025017462620931E-3</v>
      </c>
      <c r="H104" s="172">
        <f>-IF(H$5&gt;Leadsheet!$E$12,0,Leadsheet!$E81*SAP_Speadsheet!H$93*G$16)</f>
        <v>-7.4519994883433258E-3</v>
      </c>
      <c r="I104" s="172">
        <f>-IF(I$5&gt;Leadsheet!$E$12,0,Leadsheet!$E81*SAP_Speadsheet!I$93*H$16)</f>
        <v>-7.2314868249823208E-3</v>
      </c>
      <c r="J104" s="172">
        <f>-IF(J$5&gt;Leadsheet!$E$12,0,Leadsheet!$E81*SAP_Speadsheet!J$93*I$16)</f>
        <v>-7.010974161621315E-3</v>
      </c>
      <c r="K104" s="172">
        <f>-IF(K$5&gt;Leadsheet!$E$12,0,Leadsheet!$E81*SAP_Speadsheet!K$93*J$16)</f>
        <v>-6.79046149826031E-3</v>
      </c>
      <c r="L104" s="172">
        <f>-IF(L$5&gt;Leadsheet!$E$12,0,Leadsheet!$E81*SAP_Speadsheet!L$93*K$16)</f>
        <v>-6.5699488348993041E-3</v>
      </c>
      <c r="M104" s="172">
        <f>-IF(M$5&gt;Leadsheet!$E$12,0,Leadsheet!$E81*SAP_Speadsheet!M$93*L$16)</f>
        <v>-6.3494361715382992E-3</v>
      </c>
      <c r="N104" s="172">
        <f>-IF(N$5&gt;Leadsheet!$E$12,0,Leadsheet!$E81*SAP_Speadsheet!N$93*M$16)</f>
        <v>-6.1289235081772942E-3</v>
      </c>
      <c r="O104" s="172">
        <f>-IF(O$5&gt;Leadsheet!$E$12,0,Leadsheet!$E81*SAP_Speadsheet!O$93*N$16)</f>
        <v>-5.9084108448162883E-3</v>
      </c>
      <c r="P104" s="172">
        <f>-IF(P$5&gt;Leadsheet!$E$12,0,Leadsheet!$E81*SAP_Speadsheet!P$93*O$16)</f>
        <v>-5.8869746178062173E-3</v>
      </c>
      <c r="Q104" s="172">
        <f>-IF(Q$5&gt;Leadsheet!$E$12,0,Leadsheet!$E81*SAP_Speadsheet!Q$93*P$16)</f>
        <v>-5.6587440112275764E-3</v>
      </c>
      <c r="R104" s="172">
        <f>-IF(R$5&gt;Leadsheet!$E$12,0,Leadsheet!$E81*SAP_Speadsheet!R$93*Q$16)</f>
        <v>-5.4305134046489355E-3</v>
      </c>
      <c r="S104" s="172">
        <f>-IF(S$5&gt;Leadsheet!$E$12,0,Leadsheet!$E81*SAP_Speadsheet!S$93*R$16)</f>
        <v>0</v>
      </c>
      <c r="T104" s="172">
        <f>-IF(T$5&gt;Leadsheet!$E$12,0,Leadsheet!$E81*SAP_Speadsheet!T$93*S$16)</f>
        <v>0</v>
      </c>
      <c r="U104" s="172">
        <f>-IF(U$5&gt;Leadsheet!$E$12,0,Leadsheet!$E81*SAP_Speadsheet!U$93*T$16)</f>
        <v>0</v>
      </c>
      <c r="V104" s="172">
        <f>-IF(V$5&gt;Leadsheet!$E$12,0,Leadsheet!$E81*SAP_Speadsheet!V$93*U$16)</f>
        <v>0</v>
      </c>
      <c r="W104" s="172">
        <f>-IF(W$5&gt;Leadsheet!$E$12,0,Leadsheet!$E81*SAP_Speadsheet!W$93*V$16)</f>
        <v>0</v>
      </c>
      <c r="X104" s="172">
        <f>-IF(X$5&gt;Leadsheet!$E$12,0,Leadsheet!$E81*SAP_Speadsheet!X$93*W$16)</f>
        <v>0</v>
      </c>
      <c r="Y104" s="172">
        <f>-IF(Y$5&gt;Leadsheet!$E$12,0,Leadsheet!$E81*SAP_Speadsheet!Y$93*X$16)</f>
        <v>0</v>
      </c>
      <c r="Z104" s="172">
        <f>-IF(Z$5&gt;Leadsheet!$E$12,0,Leadsheet!$E81*SAP_Speadsheet!Z$93*Y$16)</f>
        <v>0</v>
      </c>
      <c r="AA104" s="172">
        <f>-IF(AA$5&gt;Leadsheet!$E$12,0,Leadsheet!$E81*SAP_Speadsheet!AA$93*Z$16)</f>
        <v>0</v>
      </c>
      <c r="AB104" s="172">
        <f>-IF(AB$5&gt;Leadsheet!$E$12,0,Leadsheet!$E81*SAP_Speadsheet!AB$93*AA$16)</f>
        <v>0</v>
      </c>
      <c r="AC104" s="172">
        <f>-IF(AC$5&gt;Leadsheet!$E$12,0,Leadsheet!$E81*SAP_Speadsheet!AC$93*AB$16)</f>
        <v>0</v>
      </c>
      <c r="AD104" s="172">
        <f>-IF(AD$5&gt;Leadsheet!$E$12,0,Leadsheet!$E81*SAP_Speadsheet!AD$93*AC$16)</f>
        <v>0</v>
      </c>
      <c r="AE104" s="172">
        <f>-IF(AE$5&gt;Leadsheet!$E$12,0,Leadsheet!$E81*SAP_Speadsheet!AE$93*AD$16)</f>
        <v>0</v>
      </c>
      <c r="AF104" s="172">
        <f>-IF(AF$5&gt;Leadsheet!$E$12,0,Leadsheet!$E81*SAP_Speadsheet!AF$93*AE$16)</f>
        <v>0</v>
      </c>
      <c r="AG104" s="172">
        <f>-IF(AG$5&gt;Leadsheet!$E$12,0,Leadsheet!$E81*SAP_Speadsheet!AG$93*AF$16)</f>
        <v>0</v>
      </c>
      <c r="AH104" s="172">
        <f>-IF(AH$5&gt;Leadsheet!$E$12,0,Leadsheet!$E81*SAP_Speadsheet!AH$93*AG$16)</f>
        <v>0</v>
      </c>
      <c r="AI104" s="172">
        <f>-IF(AI$5&gt;Leadsheet!$E$12,0,Leadsheet!$E81*SAP_Speadsheet!AI$93*AH$16)</f>
        <v>0</v>
      </c>
      <c r="AJ104" s="172">
        <f>-IF(AJ$5&gt;Leadsheet!$E$12,0,Leadsheet!$E81*SAP_Speadsheet!AJ$93*AI$16)</f>
        <v>0</v>
      </c>
      <c r="AK104" s="172">
        <f>-IF(AK$5&gt;Leadsheet!$E$12,0,Leadsheet!$E81*SAP_Speadsheet!AK$93*AJ$16)</f>
        <v>0</v>
      </c>
      <c r="AL104" s="172">
        <f>-IF(AL$5&gt;Leadsheet!$E$12,0,Leadsheet!$E81*SAP_Speadsheet!AL$93*AK$16)</f>
        <v>0</v>
      </c>
      <c r="AM104" s="172">
        <f>-IF(AM$5&gt;Leadsheet!$E$12,0,Leadsheet!$E81*SAP_Speadsheet!AM$93*AL$16)</f>
        <v>0</v>
      </c>
      <c r="AN104" s="172">
        <f>-IF(AN$5&gt;Leadsheet!$E$12,0,Leadsheet!$E81*SAP_Speadsheet!AN$93*AM$16)</f>
        <v>0</v>
      </c>
      <c r="AO104" s="172">
        <f>-IF(AO$5&gt;Leadsheet!$E$12,0,Leadsheet!$E81*SAP_Speadsheet!AO$93*AN$16)</f>
        <v>0</v>
      </c>
      <c r="AP104" s="172">
        <f>-IF(AP$5&gt;Leadsheet!$E$12,0,Leadsheet!$E81*SAP_Speadsheet!AP$93*AO$16)</f>
        <v>0</v>
      </c>
      <c r="AQ104" s="172">
        <f>-IF(AQ$5&gt;Leadsheet!$E$12,0,Leadsheet!$E81*SAP_Speadsheet!AQ$93*AP$16)</f>
        <v>0</v>
      </c>
      <c r="AR104" s="172">
        <f>-IF(AR$5&gt;Leadsheet!$E$12,0,Leadsheet!$E81*SAP_Speadsheet!AR$93*AQ$16)</f>
        <v>0</v>
      </c>
      <c r="AS104" s="172">
        <f>-IF(AS$5&gt;Leadsheet!$E$12,0,Leadsheet!$E81*SAP_Speadsheet!AS$93*AR$16)</f>
        <v>0</v>
      </c>
      <c r="AT104" s="172">
        <f>-IF(AT$5&gt;Leadsheet!$E$12,0,Leadsheet!$E81*SAP_Speadsheet!AT$93*AS$16)</f>
        <v>0</v>
      </c>
      <c r="AU104" s="172">
        <f>-IF(AU$5&gt;Leadsheet!$E$12,0,Leadsheet!$E81*SAP_Speadsheet!AU$93*AT$16)</f>
        <v>0</v>
      </c>
      <c r="AV104" s="172">
        <f>-IF(AV$5&gt;Leadsheet!$E$12,0,Leadsheet!$E81*SAP_Speadsheet!AV$93*AU$16)</f>
        <v>0</v>
      </c>
      <c r="AW104" s="172">
        <f>-IF(AW$5&gt;Leadsheet!$E$12,0,Leadsheet!$E81*SAP_Speadsheet!AW$93*AV$16)</f>
        <v>0</v>
      </c>
      <c r="AX104" s="172">
        <f>-IF(AX$5&gt;Leadsheet!$E$12,0,Leadsheet!$E81*SAP_Speadsheet!AX$93*AW$16)</f>
        <v>0</v>
      </c>
      <c r="AY104" s="172">
        <f>-IF(AY$5&gt;Leadsheet!$E$12,0,Leadsheet!$E81*SAP_Speadsheet!AY$93*AX$16)</f>
        <v>0</v>
      </c>
      <c r="AZ104" s="172">
        <f>-IF(AZ$5&gt;Leadsheet!$E$12,0,Leadsheet!$E81*SAP_Speadsheet!AZ$93*AY$16)</f>
        <v>0</v>
      </c>
      <c r="BA104" s="172">
        <f>-IF(BA$5&gt;Leadsheet!$E$12,0,Leadsheet!$E81*SAP_Speadsheet!BA$93*AZ$16)</f>
        <v>0</v>
      </c>
      <c r="BB104" s="172">
        <f>-IF(BB$5&gt;Leadsheet!$E$12,0,Leadsheet!$E81*SAP_Speadsheet!BB$93*BA$16)</f>
        <v>0</v>
      </c>
      <c r="BC104" s="172">
        <f>-IF(BC$5&gt;Leadsheet!$E$12,0,Leadsheet!$E81*SAP_Speadsheet!BC$93*BB$16)</f>
        <v>0</v>
      </c>
      <c r="BD104" s="172">
        <f>-IF(BD$5&gt;Leadsheet!$E$12,0,Leadsheet!$E81*SAP_Speadsheet!BD$93*BC$16)</f>
        <v>0</v>
      </c>
      <c r="BE104" s="172">
        <f>-IF(BE$5&gt;Leadsheet!$E$12,0,Leadsheet!$E81*SAP_Speadsheet!BE$93*BD$16)</f>
        <v>0</v>
      </c>
      <c r="BF104" s="172">
        <f>-IF(BF$5&gt;Leadsheet!$E$12,0,Leadsheet!$E81*SAP_Speadsheet!BF$93*BE$16)</f>
        <v>0</v>
      </c>
      <c r="BG104" s="172">
        <f>-IF(BG$5&gt;Leadsheet!$E$12,0,Leadsheet!$E81*SAP_Speadsheet!BG$93*BF$16)</f>
        <v>0</v>
      </c>
      <c r="BH104" s="172">
        <f>-IF(BH$5&gt;Leadsheet!$E$12,0,Leadsheet!$E81*SAP_Speadsheet!BH$93*BG$16)</f>
        <v>0</v>
      </c>
      <c r="BI104" s="172">
        <f>-IF(BI$5&gt;Leadsheet!$E$12,0,Leadsheet!$E81*SAP_Speadsheet!BI$93*BH$16)</f>
        <v>0</v>
      </c>
      <c r="BJ104" s="172">
        <f>-IF(BJ$5&gt;Leadsheet!$E$12,0,Leadsheet!$E81*SAP_Speadsheet!BJ$93*BI$16)</f>
        <v>0</v>
      </c>
      <c r="BK104" s="172">
        <f>-IF(BK$5&gt;Leadsheet!$E$12,0,Leadsheet!$E81*SAP_Speadsheet!BK$93*BJ$16)</f>
        <v>0</v>
      </c>
      <c r="BL104" s="172">
        <f>-IF(BL$5&gt;Leadsheet!$E$12,0,Leadsheet!$E81*SAP_Speadsheet!BL$93*BK$16)</f>
        <v>0</v>
      </c>
    </row>
    <row r="105" spans="1:64" x14ac:dyDescent="0.15">
      <c r="C105" s="116" t="s">
        <v>180</v>
      </c>
      <c r="E105" s="172">
        <f>-IF(E$5&gt;Leadsheet!$E$12,0,Leadsheet!$E82*SAP_Speadsheet!E$93*D$16)</f>
        <v>-1.5343085903927139E-2</v>
      </c>
      <c r="F105" s="172">
        <f>-IF(F$5&gt;Leadsheet!$E$12,0,Leadsheet!$E82*SAP_Speadsheet!F$93*E$16)</f>
        <v>-1.3565592256255643E-2</v>
      </c>
      <c r="G105" s="172">
        <f>-IF(G$5&gt;Leadsheet!$E$12,0,Leadsheet!$E82*SAP_Speadsheet!G$93*F$16)</f>
        <v>-1.283395966774142E-2</v>
      </c>
      <c r="H105" s="172">
        <f>-IF(H$5&gt;Leadsheet!$E$12,0,Leadsheet!$E82*SAP_Speadsheet!H$93*G$16)</f>
        <v>-1.2102327079227197E-2</v>
      </c>
      <c r="I105" s="172">
        <f>-IF(I$5&gt;Leadsheet!$E$12,0,Leadsheet!$E82*SAP_Speadsheet!I$93*H$16)</f>
        <v>-1.1744206231086922E-2</v>
      </c>
      <c r="J105" s="172">
        <f>-IF(J$5&gt;Leadsheet!$E$12,0,Leadsheet!$E82*SAP_Speadsheet!J$93*I$16)</f>
        <v>-1.1386085382946647E-2</v>
      </c>
      <c r="K105" s="172">
        <f>-IF(K$5&gt;Leadsheet!$E$12,0,Leadsheet!$E82*SAP_Speadsheet!K$93*J$16)</f>
        <v>-1.1027964534806372E-2</v>
      </c>
      <c r="L105" s="172">
        <f>-IF(L$5&gt;Leadsheet!$E$12,0,Leadsheet!$E82*SAP_Speadsheet!L$93*K$16)</f>
        <v>-1.0669843686666097E-2</v>
      </c>
      <c r="M105" s="172">
        <f>-IF(M$5&gt;Leadsheet!$E$12,0,Leadsheet!$E82*SAP_Speadsheet!M$93*L$16)</f>
        <v>-1.0311722838525822E-2</v>
      </c>
      <c r="N105" s="172">
        <f>-IF(N$5&gt;Leadsheet!$E$12,0,Leadsheet!$E82*SAP_Speadsheet!N$93*M$16)</f>
        <v>-9.953601990385549E-3</v>
      </c>
      <c r="O105" s="172">
        <f>-IF(O$5&gt;Leadsheet!$E$12,0,Leadsheet!$E82*SAP_Speadsheet!O$93*N$16)</f>
        <v>-9.595481142245274E-3</v>
      </c>
      <c r="P105" s="172">
        <f>-IF(P$5&gt;Leadsheet!$E$12,0,Leadsheet!$E82*SAP_Speadsheet!P$93*O$16)</f>
        <v>-9.5606679043986724E-3</v>
      </c>
      <c r="Q105" s="172">
        <f>-IF(Q$5&gt;Leadsheet!$E$12,0,Leadsheet!$E82*SAP_Speadsheet!Q$93*P$16)</f>
        <v>-9.1900128265734876E-3</v>
      </c>
      <c r="R105" s="172">
        <f>-IF(R$5&gt;Leadsheet!$E$12,0,Leadsheet!$E82*SAP_Speadsheet!R$93*Q$16)</f>
        <v>-8.8193577487483028E-3</v>
      </c>
      <c r="S105" s="172">
        <f>-IF(S$5&gt;Leadsheet!$E$12,0,Leadsheet!$E82*SAP_Speadsheet!S$93*R$16)</f>
        <v>0</v>
      </c>
      <c r="T105" s="172">
        <f>-IF(T$5&gt;Leadsheet!$E$12,0,Leadsheet!$E82*SAP_Speadsheet!T$93*S$16)</f>
        <v>0</v>
      </c>
      <c r="U105" s="172">
        <f>-IF(U$5&gt;Leadsheet!$E$12,0,Leadsheet!$E82*SAP_Speadsheet!U$93*T$16)</f>
        <v>0</v>
      </c>
      <c r="V105" s="172">
        <f>-IF(V$5&gt;Leadsheet!$E$12,0,Leadsheet!$E82*SAP_Speadsheet!V$93*U$16)</f>
        <v>0</v>
      </c>
      <c r="W105" s="172">
        <f>-IF(W$5&gt;Leadsheet!$E$12,0,Leadsheet!$E82*SAP_Speadsheet!W$93*V$16)</f>
        <v>0</v>
      </c>
      <c r="X105" s="172">
        <f>-IF(X$5&gt;Leadsheet!$E$12,0,Leadsheet!$E82*SAP_Speadsheet!X$93*W$16)</f>
        <v>0</v>
      </c>
      <c r="Y105" s="172">
        <f>-IF(Y$5&gt;Leadsheet!$E$12,0,Leadsheet!$E82*SAP_Speadsheet!Y$93*X$16)</f>
        <v>0</v>
      </c>
      <c r="Z105" s="172">
        <f>-IF(Z$5&gt;Leadsheet!$E$12,0,Leadsheet!$E82*SAP_Speadsheet!Z$93*Y$16)</f>
        <v>0</v>
      </c>
      <c r="AA105" s="172">
        <f>-IF(AA$5&gt;Leadsheet!$E$12,0,Leadsheet!$E82*SAP_Speadsheet!AA$93*Z$16)</f>
        <v>0</v>
      </c>
      <c r="AB105" s="172">
        <f>-IF(AB$5&gt;Leadsheet!$E$12,0,Leadsheet!$E82*SAP_Speadsheet!AB$93*AA$16)</f>
        <v>0</v>
      </c>
      <c r="AC105" s="172">
        <f>-IF(AC$5&gt;Leadsheet!$E$12,0,Leadsheet!$E82*SAP_Speadsheet!AC$93*AB$16)</f>
        <v>0</v>
      </c>
      <c r="AD105" s="172">
        <f>-IF(AD$5&gt;Leadsheet!$E$12,0,Leadsheet!$E82*SAP_Speadsheet!AD$93*AC$16)</f>
        <v>0</v>
      </c>
      <c r="AE105" s="172">
        <f>-IF(AE$5&gt;Leadsheet!$E$12,0,Leadsheet!$E82*SAP_Speadsheet!AE$93*AD$16)</f>
        <v>0</v>
      </c>
      <c r="AF105" s="172">
        <f>-IF(AF$5&gt;Leadsheet!$E$12,0,Leadsheet!$E82*SAP_Speadsheet!AF$93*AE$16)</f>
        <v>0</v>
      </c>
      <c r="AG105" s="172">
        <f>-IF(AG$5&gt;Leadsheet!$E$12,0,Leadsheet!$E82*SAP_Speadsheet!AG$93*AF$16)</f>
        <v>0</v>
      </c>
      <c r="AH105" s="172">
        <f>-IF(AH$5&gt;Leadsheet!$E$12,0,Leadsheet!$E82*SAP_Speadsheet!AH$93*AG$16)</f>
        <v>0</v>
      </c>
      <c r="AI105" s="172">
        <f>-IF(AI$5&gt;Leadsheet!$E$12,0,Leadsheet!$E82*SAP_Speadsheet!AI$93*AH$16)</f>
        <v>0</v>
      </c>
      <c r="AJ105" s="172">
        <f>-IF(AJ$5&gt;Leadsheet!$E$12,0,Leadsheet!$E82*SAP_Speadsheet!AJ$93*AI$16)</f>
        <v>0</v>
      </c>
      <c r="AK105" s="172">
        <f>-IF(AK$5&gt;Leadsheet!$E$12,0,Leadsheet!$E82*SAP_Speadsheet!AK$93*AJ$16)</f>
        <v>0</v>
      </c>
      <c r="AL105" s="172">
        <f>-IF(AL$5&gt;Leadsheet!$E$12,0,Leadsheet!$E82*SAP_Speadsheet!AL$93*AK$16)</f>
        <v>0</v>
      </c>
      <c r="AM105" s="172">
        <f>-IF(AM$5&gt;Leadsheet!$E$12,0,Leadsheet!$E82*SAP_Speadsheet!AM$93*AL$16)</f>
        <v>0</v>
      </c>
      <c r="AN105" s="172">
        <f>-IF(AN$5&gt;Leadsheet!$E$12,0,Leadsheet!$E82*SAP_Speadsheet!AN$93*AM$16)</f>
        <v>0</v>
      </c>
      <c r="AO105" s="172">
        <f>-IF(AO$5&gt;Leadsheet!$E$12,0,Leadsheet!$E82*SAP_Speadsheet!AO$93*AN$16)</f>
        <v>0</v>
      </c>
      <c r="AP105" s="172">
        <f>-IF(AP$5&gt;Leadsheet!$E$12,0,Leadsheet!$E82*SAP_Speadsheet!AP$93*AO$16)</f>
        <v>0</v>
      </c>
      <c r="AQ105" s="172">
        <f>-IF(AQ$5&gt;Leadsheet!$E$12,0,Leadsheet!$E82*SAP_Speadsheet!AQ$93*AP$16)</f>
        <v>0</v>
      </c>
      <c r="AR105" s="172">
        <f>-IF(AR$5&gt;Leadsheet!$E$12,0,Leadsheet!$E82*SAP_Speadsheet!AR$93*AQ$16)</f>
        <v>0</v>
      </c>
      <c r="AS105" s="172">
        <f>-IF(AS$5&gt;Leadsheet!$E$12,0,Leadsheet!$E82*SAP_Speadsheet!AS$93*AR$16)</f>
        <v>0</v>
      </c>
      <c r="AT105" s="172">
        <f>-IF(AT$5&gt;Leadsheet!$E$12,0,Leadsheet!$E82*SAP_Speadsheet!AT$93*AS$16)</f>
        <v>0</v>
      </c>
      <c r="AU105" s="172">
        <f>-IF(AU$5&gt;Leadsheet!$E$12,0,Leadsheet!$E82*SAP_Speadsheet!AU$93*AT$16)</f>
        <v>0</v>
      </c>
      <c r="AV105" s="172">
        <f>-IF(AV$5&gt;Leadsheet!$E$12,0,Leadsheet!$E82*SAP_Speadsheet!AV$93*AU$16)</f>
        <v>0</v>
      </c>
      <c r="AW105" s="172">
        <f>-IF(AW$5&gt;Leadsheet!$E$12,0,Leadsheet!$E82*SAP_Speadsheet!AW$93*AV$16)</f>
        <v>0</v>
      </c>
      <c r="AX105" s="172">
        <f>-IF(AX$5&gt;Leadsheet!$E$12,0,Leadsheet!$E82*SAP_Speadsheet!AX$93*AW$16)</f>
        <v>0</v>
      </c>
      <c r="AY105" s="172">
        <f>-IF(AY$5&gt;Leadsheet!$E$12,0,Leadsheet!$E82*SAP_Speadsheet!AY$93*AX$16)</f>
        <v>0</v>
      </c>
      <c r="AZ105" s="172">
        <f>-IF(AZ$5&gt;Leadsheet!$E$12,0,Leadsheet!$E82*SAP_Speadsheet!AZ$93*AY$16)</f>
        <v>0</v>
      </c>
      <c r="BA105" s="172">
        <f>-IF(BA$5&gt;Leadsheet!$E$12,0,Leadsheet!$E82*SAP_Speadsheet!BA$93*AZ$16)</f>
        <v>0</v>
      </c>
      <c r="BB105" s="172">
        <f>-IF(BB$5&gt;Leadsheet!$E$12,0,Leadsheet!$E82*SAP_Speadsheet!BB$93*BA$16)</f>
        <v>0</v>
      </c>
      <c r="BC105" s="172">
        <f>-IF(BC$5&gt;Leadsheet!$E$12,0,Leadsheet!$E82*SAP_Speadsheet!BC$93*BB$16)</f>
        <v>0</v>
      </c>
      <c r="BD105" s="172">
        <f>-IF(BD$5&gt;Leadsheet!$E$12,0,Leadsheet!$E82*SAP_Speadsheet!BD$93*BC$16)</f>
        <v>0</v>
      </c>
      <c r="BE105" s="172">
        <f>-IF(BE$5&gt;Leadsheet!$E$12,0,Leadsheet!$E82*SAP_Speadsheet!BE$93*BD$16)</f>
        <v>0</v>
      </c>
      <c r="BF105" s="172">
        <f>-IF(BF$5&gt;Leadsheet!$E$12,0,Leadsheet!$E82*SAP_Speadsheet!BF$93*BE$16)</f>
        <v>0</v>
      </c>
      <c r="BG105" s="172">
        <f>-IF(BG$5&gt;Leadsheet!$E$12,0,Leadsheet!$E82*SAP_Speadsheet!BG$93*BF$16)</f>
        <v>0</v>
      </c>
      <c r="BH105" s="172">
        <f>-IF(BH$5&gt;Leadsheet!$E$12,0,Leadsheet!$E82*SAP_Speadsheet!BH$93*BG$16)</f>
        <v>0</v>
      </c>
      <c r="BI105" s="172">
        <f>-IF(BI$5&gt;Leadsheet!$E$12,0,Leadsheet!$E82*SAP_Speadsheet!BI$93*BH$16)</f>
        <v>0</v>
      </c>
      <c r="BJ105" s="172">
        <f>-IF(BJ$5&gt;Leadsheet!$E$12,0,Leadsheet!$E82*SAP_Speadsheet!BJ$93*BI$16)</f>
        <v>0</v>
      </c>
      <c r="BK105" s="172">
        <f>-IF(BK$5&gt;Leadsheet!$E$12,0,Leadsheet!$E82*SAP_Speadsheet!BK$93*BJ$16)</f>
        <v>0</v>
      </c>
      <c r="BL105" s="172">
        <f>-IF(BL$5&gt;Leadsheet!$E$12,0,Leadsheet!$E82*SAP_Speadsheet!BL$93*BK$16)</f>
        <v>0</v>
      </c>
    </row>
    <row r="106" spans="1:64" x14ac:dyDescent="0.15">
      <c r="C106" s="116" t="s">
        <v>182</v>
      </c>
      <c r="E106" s="172">
        <f>-IF(E$5&gt;Leadsheet!$E$12,0,Leadsheet!$E83*SAP_Speadsheet!E$93*D$16)</f>
        <v>-1.1893836336864827E-2</v>
      </c>
      <c r="F106" s="172">
        <f>-IF(F$5&gt;Leadsheet!$E$12,0,Leadsheet!$E83*SAP_Speadsheet!F$93*E$16)</f>
        <v>-1.0515937609868166E-2</v>
      </c>
      <c r="G106" s="172">
        <f>-IF(G$5&gt;Leadsheet!$E$12,0,Leadsheet!$E83*SAP_Speadsheet!G$93*F$16)</f>
        <v>-9.9487819332987181E-3</v>
      </c>
      <c r="H106" s="172">
        <f>-IF(H$5&gt;Leadsheet!$E$12,0,Leadsheet!$E83*SAP_Speadsheet!H$93*G$16)</f>
        <v>-9.3816262567292721E-3</v>
      </c>
      <c r="I106" s="172">
        <f>-IF(I$5&gt;Leadsheet!$E$12,0,Leadsheet!$E83*SAP_Speadsheet!I$93*H$16)</f>
        <v>-9.104013866153433E-3</v>
      </c>
      <c r="J106" s="172">
        <f>-IF(J$5&gt;Leadsheet!$E$12,0,Leadsheet!$E83*SAP_Speadsheet!J$93*I$16)</f>
        <v>-8.8264014755775957E-3</v>
      </c>
      <c r="K106" s="172">
        <f>-IF(K$5&gt;Leadsheet!$E$12,0,Leadsheet!$E83*SAP_Speadsheet!K$93*J$16)</f>
        <v>-8.5487890850017585E-3</v>
      </c>
      <c r="L106" s="172">
        <f>-IF(L$5&gt;Leadsheet!$E$12,0,Leadsheet!$E83*SAP_Speadsheet!L$93*K$16)</f>
        <v>-8.2711766944259212E-3</v>
      </c>
      <c r="M106" s="172">
        <f>-IF(M$5&gt;Leadsheet!$E$12,0,Leadsheet!$E83*SAP_Speadsheet!M$93*L$16)</f>
        <v>-7.9935643038500821E-3</v>
      </c>
      <c r="N106" s="172">
        <f>-IF(N$5&gt;Leadsheet!$E$12,0,Leadsheet!$E83*SAP_Speadsheet!N$93*M$16)</f>
        <v>-7.7159519132742448E-3</v>
      </c>
      <c r="O106" s="172">
        <f>-IF(O$5&gt;Leadsheet!$E$12,0,Leadsheet!$E83*SAP_Speadsheet!O$93*N$16)</f>
        <v>-7.4383395226984067E-3</v>
      </c>
      <c r="P106" s="172">
        <f>-IF(P$5&gt;Leadsheet!$E$12,0,Leadsheet!$E83*SAP_Speadsheet!P$93*O$16)</f>
        <v>-7.4113525817468585E-3</v>
      </c>
      <c r="Q106" s="172">
        <f>-IF(Q$5&gt;Leadsheet!$E$12,0,Leadsheet!$E83*SAP_Speadsheet!Q$93*P$16)</f>
        <v>-7.1240237575008669E-3</v>
      </c>
      <c r="R106" s="172">
        <f>-IF(R$5&gt;Leadsheet!$E$12,0,Leadsheet!$E83*SAP_Speadsheet!R$93*Q$16)</f>
        <v>-6.8366949332548744E-3</v>
      </c>
      <c r="S106" s="172">
        <f>-IF(S$5&gt;Leadsheet!$E$12,0,Leadsheet!$E83*SAP_Speadsheet!S$93*R$16)</f>
        <v>0</v>
      </c>
      <c r="T106" s="172">
        <f>-IF(T$5&gt;Leadsheet!$E$12,0,Leadsheet!$E83*SAP_Speadsheet!T$93*S$16)</f>
        <v>0</v>
      </c>
      <c r="U106" s="172">
        <f>-IF(U$5&gt;Leadsheet!$E$12,0,Leadsheet!$E83*SAP_Speadsheet!U$93*T$16)</f>
        <v>0</v>
      </c>
      <c r="V106" s="172">
        <f>-IF(V$5&gt;Leadsheet!$E$12,0,Leadsheet!$E83*SAP_Speadsheet!V$93*U$16)</f>
        <v>0</v>
      </c>
      <c r="W106" s="172">
        <f>-IF(W$5&gt;Leadsheet!$E$12,0,Leadsheet!$E83*SAP_Speadsheet!W$93*V$16)</f>
        <v>0</v>
      </c>
      <c r="X106" s="172">
        <f>-IF(X$5&gt;Leadsheet!$E$12,0,Leadsheet!$E83*SAP_Speadsheet!X$93*W$16)</f>
        <v>0</v>
      </c>
      <c r="Y106" s="172">
        <f>-IF(Y$5&gt;Leadsheet!$E$12,0,Leadsheet!$E83*SAP_Speadsheet!Y$93*X$16)</f>
        <v>0</v>
      </c>
      <c r="Z106" s="172">
        <f>-IF(Z$5&gt;Leadsheet!$E$12,0,Leadsheet!$E83*SAP_Speadsheet!Z$93*Y$16)</f>
        <v>0</v>
      </c>
      <c r="AA106" s="172">
        <f>-IF(AA$5&gt;Leadsheet!$E$12,0,Leadsheet!$E83*SAP_Speadsheet!AA$93*Z$16)</f>
        <v>0</v>
      </c>
      <c r="AB106" s="172">
        <f>-IF(AB$5&gt;Leadsheet!$E$12,0,Leadsheet!$E83*SAP_Speadsheet!AB$93*AA$16)</f>
        <v>0</v>
      </c>
      <c r="AC106" s="172">
        <f>-IF(AC$5&gt;Leadsheet!$E$12,0,Leadsheet!$E83*SAP_Speadsheet!AC$93*AB$16)</f>
        <v>0</v>
      </c>
      <c r="AD106" s="172">
        <f>-IF(AD$5&gt;Leadsheet!$E$12,0,Leadsheet!$E83*SAP_Speadsheet!AD$93*AC$16)</f>
        <v>0</v>
      </c>
      <c r="AE106" s="172">
        <f>-IF(AE$5&gt;Leadsheet!$E$12,0,Leadsheet!$E83*SAP_Speadsheet!AE$93*AD$16)</f>
        <v>0</v>
      </c>
      <c r="AF106" s="172">
        <f>-IF(AF$5&gt;Leadsheet!$E$12,0,Leadsheet!$E83*SAP_Speadsheet!AF$93*AE$16)</f>
        <v>0</v>
      </c>
      <c r="AG106" s="172">
        <f>-IF(AG$5&gt;Leadsheet!$E$12,0,Leadsheet!$E83*SAP_Speadsheet!AG$93*AF$16)</f>
        <v>0</v>
      </c>
      <c r="AH106" s="172">
        <f>-IF(AH$5&gt;Leadsheet!$E$12,0,Leadsheet!$E83*SAP_Speadsheet!AH$93*AG$16)</f>
        <v>0</v>
      </c>
      <c r="AI106" s="172">
        <f>-IF(AI$5&gt;Leadsheet!$E$12,0,Leadsheet!$E83*SAP_Speadsheet!AI$93*AH$16)</f>
        <v>0</v>
      </c>
      <c r="AJ106" s="172">
        <f>-IF(AJ$5&gt;Leadsheet!$E$12,0,Leadsheet!$E83*SAP_Speadsheet!AJ$93*AI$16)</f>
        <v>0</v>
      </c>
      <c r="AK106" s="172">
        <f>-IF(AK$5&gt;Leadsheet!$E$12,0,Leadsheet!$E83*SAP_Speadsheet!AK$93*AJ$16)</f>
        <v>0</v>
      </c>
      <c r="AL106" s="172">
        <f>-IF(AL$5&gt;Leadsheet!$E$12,0,Leadsheet!$E83*SAP_Speadsheet!AL$93*AK$16)</f>
        <v>0</v>
      </c>
      <c r="AM106" s="172">
        <f>-IF(AM$5&gt;Leadsheet!$E$12,0,Leadsheet!$E83*SAP_Speadsheet!AM$93*AL$16)</f>
        <v>0</v>
      </c>
      <c r="AN106" s="172">
        <f>-IF(AN$5&gt;Leadsheet!$E$12,0,Leadsheet!$E83*SAP_Speadsheet!AN$93*AM$16)</f>
        <v>0</v>
      </c>
      <c r="AO106" s="172">
        <f>-IF(AO$5&gt;Leadsheet!$E$12,0,Leadsheet!$E83*SAP_Speadsheet!AO$93*AN$16)</f>
        <v>0</v>
      </c>
      <c r="AP106" s="172">
        <f>-IF(AP$5&gt;Leadsheet!$E$12,0,Leadsheet!$E83*SAP_Speadsheet!AP$93*AO$16)</f>
        <v>0</v>
      </c>
      <c r="AQ106" s="172">
        <f>-IF(AQ$5&gt;Leadsheet!$E$12,0,Leadsheet!$E83*SAP_Speadsheet!AQ$93*AP$16)</f>
        <v>0</v>
      </c>
      <c r="AR106" s="172">
        <f>-IF(AR$5&gt;Leadsheet!$E$12,0,Leadsheet!$E83*SAP_Speadsheet!AR$93*AQ$16)</f>
        <v>0</v>
      </c>
      <c r="AS106" s="172">
        <f>-IF(AS$5&gt;Leadsheet!$E$12,0,Leadsheet!$E83*SAP_Speadsheet!AS$93*AR$16)</f>
        <v>0</v>
      </c>
      <c r="AT106" s="172">
        <f>-IF(AT$5&gt;Leadsheet!$E$12,0,Leadsheet!$E83*SAP_Speadsheet!AT$93*AS$16)</f>
        <v>0</v>
      </c>
      <c r="AU106" s="172">
        <f>-IF(AU$5&gt;Leadsheet!$E$12,0,Leadsheet!$E83*SAP_Speadsheet!AU$93*AT$16)</f>
        <v>0</v>
      </c>
      <c r="AV106" s="172">
        <f>-IF(AV$5&gt;Leadsheet!$E$12,0,Leadsheet!$E83*SAP_Speadsheet!AV$93*AU$16)</f>
        <v>0</v>
      </c>
      <c r="AW106" s="172">
        <f>-IF(AW$5&gt;Leadsheet!$E$12,0,Leadsheet!$E83*SAP_Speadsheet!AW$93*AV$16)</f>
        <v>0</v>
      </c>
      <c r="AX106" s="172">
        <f>-IF(AX$5&gt;Leadsheet!$E$12,0,Leadsheet!$E83*SAP_Speadsheet!AX$93*AW$16)</f>
        <v>0</v>
      </c>
      <c r="AY106" s="172">
        <f>-IF(AY$5&gt;Leadsheet!$E$12,0,Leadsheet!$E83*SAP_Speadsheet!AY$93*AX$16)</f>
        <v>0</v>
      </c>
      <c r="AZ106" s="172">
        <f>-IF(AZ$5&gt;Leadsheet!$E$12,0,Leadsheet!$E83*SAP_Speadsheet!AZ$93*AY$16)</f>
        <v>0</v>
      </c>
      <c r="BA106" s="172">
        <f>-IF(BA$5&gt;Leadsheet!$E$12,0,Leadsheet!$E83*SAP_Speadsheet!BA$93*AZ$16)</f>
        <v>0</v>
      </c>
      <c r="BB106" s="172">
        <f>-IF(BB$5&gt;Leadsheet!$E$12,0,Leadsheet!$E83*SAP_Speadsheet!BB$93*BA$16)</f>
        <v>0</v>
      </c>
      <c r="BC106" s="172">
        <f>-IF(BC$5&gt;Leadsheet!$E$12,0,Leadsheet!$E83*SAP_Speadsheet!BC$93*BB$16)</f>
        <v>0</v>
      </c>
      <c r="BD106" s="172">
        <f>-IF(BD$5&gt;Leadsheet!$E$12,0,Leadsheet!$E83*SAP_Speadsheet!BD$93*BC$16)</f>
        <v>0</v>
      </c>
      <c r="BE106" s="172">
        <f>-IF(BE$5&gt;Leadsheet!$E$12,0,Leadsheet!$E83*SAP_Speadsheet!BE$93*BD$16)</f>
        <v>0</v>
      </c>
      <c r="BF106" s="172">
        <f>-IF(BF$5&gt;Leadsheet!$E$12,0,Leadsheet!$E83*SAP_Speadsheet!BF$93*BE$16)</f>
        <v>0</v>
      </c>
      <c r="BG106" s="172">
        <f>-IF(BG$5&gt;Leadsheet!$E$12,0,Leadsheet!$E83*SAP_Speadsheet!BG$93*BF$16)</f>
        <v>0</v>
      </c>
      <c r="BH106" s="172">
        <f>-IF(BH$5&gt;Leadsheet!$E$12,0,Leadsheet!$E83*SAP_Speadsheet!BH$93*BG$16)</f>
        <v>0</v>
      </c>
      <c r="BI106" s="172">
        <f>-IF(BI$5&gt;Leadsheet!$E$12,0,Leadsheet!$E83*SAP_Speadsheet!BI$93*BH$16)</f>
        <v>0</v>
      </c>
      <c r="BJ106" s="172">
        <f>-IF(BJ$5&gt;Leadsheet!$E$12,0,Leadsheet!$E83*SAP_Speadsheet!BJ$93*BI$16)</f>
        <v>0</v>
      </c>
      <c r="BK106" s="172">
        <f>-IF(BK$5&gt;Leadsheet!$E$12,0,Leadsheet!$E83*SAP_Speadsheet!BK$93*BJ$16)</f>
        <v>0</v>
      </c>
      <c r="BL106" s="172">
        <f>-IF(BL$5&gt;Leadsheet!$E$12,0,Leadsheet!$E83*SAP_Speadsheet!BL$93*BK$16)</f>
        <v>0</v>
      </c>
    </row>
    <row r="107" spans="1:64" x14ac:dyDescent="0.15">
      <c r="C107" s="116" t="s">
        <v>272</v>
      </c>
      <c r="E107" s="172">
        <f>-IF(E$5&gt;Leadsheet!$E$12,0,Leadsheet!$E84*SAP_Speadsheet!E$93*D$16)</f>
        <v>-1.211579449998511E-2</v>
      </c>
      <c r="F107" s="172">
        <f>-IF(F$5&gt;Leadsheet!$E$12,0,Leadsheet!$E84*SAP_Speadsheet!F$93*E$16)</f>
        <v>-1.0712181961082191E-2</v>
      </c>
      <c r="G107" s="172">
        <f>-IF(G$5&gt;Leadsheet!$E$12,0,Leadsheet!$E84*SAP_Speadsheet!G$93*F$16)</f>
        <v>-1.0134442245132243E-2</v>
      </c>
      <c r="H107" s="172">
        <f>-IF(H$5&gt;Leadsheet!$E$12,0,Leadsheet!$E84*SAP_Speadsheet!H$93*G$16)</f>
        <v>-9.5567025291822972E-3</v>
      </c>
      <c r="I107" s="172">
        <f>-IF(I$5&gt;Leadsheet!$E$12,0,Leadsheet!$E84*SAP_Speadsheet!I$93*H$16)</f>
        <v>-9.2739094437888706E-3</v>
      </c>
      <c r="J107" s="172">
        <f>-IF(J$5&gt;Leadsheet!$E$12,0,Leadsheet!$E84*SAP_Speadsheet!J$93*I$16)</f>
        <v>-8.9911163583954439E-3</v>
      </c>
      <c r="K107" s="172">
        <f>-IF(K$5&gt;Leadsheet!$E$12,0,Leadsheet!$E84*SAP_Speadsheet!K$93*J$16)</f>
        <v>-8.7083232730020173E-3</v>
      </c>
      <c r="L107" s="172">
        <f>-IF(L$5&gt;Leadsheet!$E$12,0,Leadsheet!$E84*SAP_Speadsheet!L$93*K$16)</f>
        <v>-8.4255301876085906E-3</v>
      </c>
      <c r="M107" s="172">
        <f>-IF(M$5&gt;Leadsheet!$E$12,0,Leadsheet!$E84*SAP_Speadsheet!M$93*L$16)</f>
        <v>-8.142737102215164E-3</v>
      </c>
      <c r="N107" s="172">
        <f>-IF(N$5&gt;Leadsheet!$E$12,0,Leadsheet!$E84*SAP_Speadsheet!N$93*M$16)</f>
        <v>-7.8599440168217374E-3</v>
      </c>
      <c r="O107" s="172">
        <f>-IF(O$5&gt;Leadsheet!$E$12,0,Leadsheet!$E84*SAP_Speadsheet!O$93*N$16)</f>
        <v>-7.5771509314283116E-3</v>
      </c>
      <c r="P107" s="172">
        <f>-IF(P$5&gt;Leadsheet!$E$12,0,Leadsheet!$E84*SAP_Speadsheet!P$93*O$16)</f>
        <v>-7.5496603706461055E-3</v>
      </c>
      <c r="Q107" s="172">
        <f>-IF(Q$5&gt;Leadsheet!$E$12,0,Leadsheet!$E84*SAP_Speadsheet!Q$93*P$16)</f>
        <v>-7.256969527263909E-3</v>
      </c>
      <c r="R107" s="172">
        <f>-IF(R$5&gt;Leadsheet!$E$12,0,Leadsheet!$E84*SAP_Speadsheet!R$93*Q$16)</f>
        <v>-6.9642786838817134E-3</v>
      </c>
      <c r="S107" s="172">
        <f>-IF(S$5&gt;Leadsheet!$E$12,0,Leadsheet!$E84*SAP_Speadsheet!S$93*R$16)</f>
        <v>0</v>
      </c>
      <c r="T107" s="172">
        <f>-IF(T$5&gt;Leadsheet!$E$12,0,Leadsheet!$E84*SAP_Speadsheet!T$93*S$16)</f>
        <v>0</v>
      </c>
      <c r="U107" s="172">
        <f>-IF(U$5&gt;Leadsheet!$E$12,0,Leadsheet!$E84*SAP_Speadsheet!U$93*T$16)</f>
        <v>0</v>
      </c>
      <c r="V107" s="172">
        <f>-IF(V$5&gt;Leadsheet!$E$12,0,Leadsheet!$E84*SAP_Speadsheet!V$93*U$16)</f>
        <v>0</v>
      </c>
      <c r="W107" s="172">
        <f>-IF(W$5&gt;Leadsheet!$E$12,0,Leadsheet!$E84*SAP_Speadsheet!W$93*V$16)</f>
        <v>0</v>
      </c>
      <c r="X107" s="172">
        <f>-IF(X$5&gt;Leadsheet!$E$12,0,Leadsheet!$E84*SAP_Speadsheet!X$93*W$16)</f>
        <v>0</v>
      </c>
      <c r="Y107" s="172">
        <f>-IF(Y$5&gt;Leadsheet!$E$12,0,Leadsheet!$E84*SAP_Speadsheet!Y$93*X$16)</f>
        <v>0</v>
      </c>
      <c r="Z107" s="172">
        <f>-IF(Z$5&gt;Leadsheet!$E$12,0,Leadsheet!$E84*SAP_Speadsheet!Z$93*Y$16)</f>
        <v>0</v>
      </c>
      <c r="AA107" s="172">
        <f>-IF(AA$5&gt;Leadsheet!$E$12,0,Leadsheet!$E84*SAP_Speadsheet!AA$93*Z$16)</f>
        <v>0</v>
      </c>
      <c r="AB107" s="172">
        <f>-IF(AB$5&gt;Leadsheet!$E$12,0,Leadsheet!$E84*SAP_Speadsheet!AB$93*AA$16)</f>
        <v>0</v>
      </c>
      <c r="AC107" s="172">
        <f>-IF(AC$5&gt;Leadsheet!$E$12,0,Leadsheet!$E84*SAP_Speadsheet!AC$93*AB$16)</f>
        <v>0</v>
      </c>
      <c r="AD107" s="172">
        <f>-IF(AD$5&gt;Leadsheet!$E$12,0,Leadsheet!$E84*SAP_Speadsheet!AD$93*AC$16)</f>
        <v>0</v>
      </c>
      <c r="AE107" s="172">
        <f>-IF(AE$5&gt;Leadsheet!$E$12,0,Leadsheet!$E84*SAP_Speadsheet!AE$93*AD$16)</f>
        <v>0</v>
      </c>
      <c r="AF107" s="172">
        <f>-IF(AF$5&gt;Leadsheet!$E$12,0,Leadsheet!$E84*SAP_Speadsheet!AF$93*AE$16)</f>
        <v>0</v>
      </c>
      <c r="AG107" s="172">
        <f>-IF(AG$5&gt;Leadsheet!$E$12,0,Leadsheet!$E84*SAP_Speadsheet!AG$93*AF$16)</f>
        <v>0</v>
      </c>
      <c r="AH107" s="172">
        <f>-IF(AH$5&gt;Leadsheet!$E$12,0,Leadsheet!$E84*SAP_Speadsheet!AH$93*AG$16)</f>
        <v>0</v>
      </c>
      <c r="AI107" s="172">
        <f>-IF(AI$5&gt;Leadsheet!$E$12,0,Leadsheet!$E84*SAP_Speadsheet!AI$93*AH$16)</f>
        <v>0</v>
      </c>
      <c r="AJ107" s="172">
        <f>-IF(AJ$5&gt;Leadsheet!$E$12,0,Leadsheet!$E84*SAP_Speadsheet!AJ$93*AI$16)</f>
        <v>0</v>
      </c>
      <c r="AK107" s="172">
        <f>-IF(AK$5&gt;Leadsheet!$E$12,0,Leadsheet!$E84*SAP_Speadsheet!AK$93*AJ$16)</f>
        <v>0</v>
      </c>
      <c r="AL107" s="172">
        <f>-IF(AL$5&gt;Leadsheet!$E$12,0,Leadsheet!$E84*SAP_Speadsheet!AL$93*AK$16)</f>
        <v>0</v>
      </c>
      <c r="AM107" s="172">
        <f>-IF(AM$5&gt;Leadsheet!$E$12,0,Leadsheet!$E84*SAP_Speadsheet!AM$93*AL$16)</f>
        <v>0</v>
      </c>
      <c r="AN107" s="172">
        <f>-IF(AN$5&gt;Leadsheet!$E$12,0,Leadsheet!$E84*SAP_Speadsheet!AN$93*AM$16)</f>
        <v>0</v>
      </c>
      <c r="AO107" s="172">
        <f>-IF(AO$5&gt;Leadsheet!$E$12,0,Leadsheet!$E84*SAP_Speadsheet!AO$93*AN$16)</f>
        <v>0</v>
      </c>
      <c r="AP107" s="172">
        <f>-IF(AP$5&gt;Leadsheet!$E$12,0,Leadsheet!$E84*SAP_Speadsheet!AP$93*AO$16)</f>
        <v>0</v>
      </c>
      <c r="AQ107" s="172">
        <f>-IF(AQ$5&gt;Leadsheet!$E$12,0,Leadsheet!$E84*SAP_Speadsheet!AQ$93*AP$16)</f>
        <v>0</v>
      </c>
      <c r="AR107" s="172">
        <f>-IF(AR$5&gt;Leadsheet!$E$12,0,Leadsheet!$E84*SAP_Speadsheet!AR$93*AQ$16)</f>
        <v>0</v>
      </c>
      <c r="AS107" s="172">
        <f>-IF(AS$5&gt;Leadsheet!$E$12,0,Leadsheet!$E84*SAP_Speadsheet!AS$93*AR$16)</f>
        <v>0</v>
      </c>
      <c r="AT107" s="172">
        <f>-IF(AT$5&gt;Leadsheet!$E$12,0,Leadsheet!$E84*SAP_Speadsheet!AT$93*AS$16)</f>
        <v>0</v>
      </c>
      <c r="AU107" s="172">
        <f>-IF(AU$5&gt;Leadsheet!$E$12,0,Leadsheet!$E84*SAP_Speadsheet!AU$93*AT$16)</f>
        <v>0</v>
      </c>
      <c r="AV107" s="172">
        <f>-IF(AV$5&gt;Leadsheet!$E$12,0,Leadsheet!$E84*SAP_Speadsheet!AV$93*AU$16)</f>
        <v>0</v>
      </c>
      <c r="AW107" s="172">
        <f>-IF(AW$5&gt;Leadsheet!$E$12,0,Leadsheet!$E84*SAP_Speadsheet!AW$93*AV$16)</f>
        <v>0</v>
      </c>
      <c r="AX107" s="172">
        <f>-IF(AX$5&gt;Leadsheet!$E$12,0,Leadsheet!$E84*SAP_Speadsheet!AX$93*AW$16)</f>
        <v>0</v>
      </c>
      <c r="AY107" s="172">
        <f>-IF(AY$5&gt;Leadsheet!$E$12,0,Leadsheet!$E84*SAP_Speadsheet!AY$93*AX$16)</f>
        <v>0</v>
      </c>
      <c r="AZ107" s="172">
        <f>-IF(AZ$5&gt;Leadsheet!$E$12,0,Leadsheet!$E84*SAP_Speadsheet!AZ$93*AY$16)</f>
        <v>0</v>
      </c>
      <c r="BA107" s="172">
        <f>-IF(BA$5&gt;Leadsheet!$E$12,0,Leadsheet!$E84*SAP_Speadsheet!BA$93*AZ$16)</f>
        <v>0</v>
      </c>
      <c r="BB107" s="172">
        <f>-IF(BB$5&gt;Leadsheet!$E$12,0,Leadsheet!$E84*SAP_Speadsheet!BB$93*BA$16)</f>
        <v>0</v>
      </c>
      <c r="BC107" s="172">
        <f>-IF(BC$5&gt;Leadsheet!$E$12,0,Leadsheet!$E84*SAP_Speadsheet!BC$93*BB$16)</f>
        <v>0</v>
      </c>
      <c r="BD107" s="172">
        <f>-IF(BD$5&gt;Leadsheet!$E$12,0,Leadsheet!$E84*SAP_Speadsheet!BD$93*BC$16)</f>
        <v>0</v>
      </c>
      <c r="BE107" s="172">
        <f>-IF(BE$5&gt;Leadsheet!$E$12,0,Leadsheet!$E84*SAP_Speadsheet!BE$93*BD$16)</f>
        <v>0</v>
      </c>
      <c r="BF107" s="172">
        <f>-IF(BF$5&gt;Leadsheet!$E$12,0,Leadsheet!$E84*SAP_Speadsheet!BF$93*BE$16)</f>
        <v>0</v>
      </c>
      <c r="BG107" s="172">
        <f>-IF(BG$5&gt;Leadsheet!$E$12,0,Leadsheet!$E84*SAP_Speadsheet!BG$93*BF$16)</f>
        <v>0</v>
      </c>
      <c r="BH107" s="172">
        <f>-IF(BH$5&gt;Leadsheet!$E$12,0,Leadsheet!$E84*SAP_Speadsheet!BH$93*BG$16)</f>
        <v>0</v>
      </c>
      <c r="BI107" s="172">
        <f>-IF(BI$5&gt;Leadsheet!$E$12,0,Leadsheet!$E84*SAP_Speadsheet!BI$93*BH$16)</f>
        <v>0</v>
      </c>
      <c r="BJ107" s="172">
        <f>-IF(BJ$5&gt;Leadsheet!$E$12,0,Leadsheet!$E84*SAP_Speadsheet!BJ$93*BI$16)</f>
        <v>0</v>
      </c>
      <c r="BK107" s="172">
        <f>-IF(BK$5&gt;Leadsheet!$E$12,0,Leadsheet!$E84*SAP_Speadsheet!BK$93*BJ$16)</f>
        <v>0</v>
      </c>
      <c r="BL107" s="172">
        <f>-IF(BL$5&gt;Leadsheet!$E$12,0,Leadsheet!$E84*SAP_Speadsheet!BL$93*BK$16)</f>
        <v>0</v>
      </c>
    </row>
    <row r="108" spans="1:64" s="297" customFormat="1" x14ac:dyDescent="0.15">
      <c r="C108" s="196"/>
      <c r="D108" s="188"/>
      <c r="E108" s="338"/>
      <c r="F108" s="338"/>
      <c r="G108" s="338"/>
      <c r="H108" s="338"/>
      <c r="I108" s="338"/>
      <c r="J108" s="338"/>
      <c r="K108" s="338"/>
      <c r="L108" s="338"/>
      <c r="M108" s="338"/>
      <c r="N108" s="338"/>
      <c r="O108" s="338"/>
      <c r="P108" s="338"/>
      <c r="Q108" s="338"/>
      <c r="R108" s="338"/>
      <c r="S108" s="338"/>
      <c r="T108" s="338"/>
      <c r="U108" s="338"/>
      <c r="V108" s="338"/>
      <c r="W108" s="338"/>
      <c r="X108" s="338"/>
      <c r="Y108" s="338"/>
      <c r="Z108" s="338"/>
      <c r="AA108" s="338"/>
      <c r="AB108" s="338"/>
      <c r="AC108" s="338"/>
      <c r="AD108" s="338"/>
      <c r="AE108" s="338"/>
      <c r="AF108" s="338"/>
      <c r="AG108" s="338"/>
      <c r="AH108" s="338"/>
      <c r="AI108" s="338"/>
      <c r="AJ108" s="338"/>
      <c r="AK108" s="338"/>
      <c r="AL108" s="338"/>
      <c r="AM108" s="338"/>
      <c r="AN108" s="338"/>
      <c r="AO108" s="338"/>
      <c r="AP108" s="338"/>
      <c r="AQ108" s="338"/>
      <c r="AR108" s="338"/>
      <c r="AS108" s="338"/>
      <c r="AT108" s="338"/>
      <c r="AU108" s="338"/>
      <c r="AV108" s="338"/>
      <c r="AW108" s="338"/>
      <c r="AX108" s="338"/>
      <c r="AY108" s="338"/>
      <c r="AZ108" s="338"/>
      <c r="BA108" s="338"/>
      <c r="BB108" s="338"/>
      <c r="BC108" s="338"/>
      <c r="BD108" s="338"/>
      <c r="BE108" s="338"/>
      <c r="BF108" s="338"/>
      <c r="BG108" s="338"/>
      <c r="BH108" s="338"/>
      <c r="BI108" s="338"/>
      <c r="BJ108" s="338"/>
      <c r="BK108" s="338"/>
      <c r="BL108" s="338"/>
    </row>
    <row r="109" spans="1:64" x14ac:dyDescent="0.15">
      <c r="F109" s="172"/>
      <c r="G109" s="172"/>
      <c r="H109" s="172"/>
      <c r="I109" s="172"/>
      <c r="J109" s="172"/>
      <c r="K109" s="172"/>
      <c r="L109" s="172"/>
      <c r="M109" s="172"/>
      <c r="N109" s="172"/>
      <c r="O109" s="172"/>
      <c r="P109" s="172"/>
      <c r="Q109" s="172"/>
      <c r="R109" s="172"/>
      <c r="S109" s="172"/>
      <c r="T109" s="172"/>
      <c r="U109" s="172"/>
      <c r="V109" s="172"/>
      <c r="W109" s="172"/>
      <c r="X109" s="172"/>
      <c r="Y109" s="172"/>
      <c r="Z109" s="172"/>
      <c r="AA109" s="172"/>
      <c r="AB109" s="172"/>
      <c r="AC109" s="172"/>
      <c r="AD109" s="172"/>
      <c r="AE109" s="172"/>
      <c r="AF109" s="172"/>
      <c r="AG109" s="172"/>
      <c r="AH109" s="172"/>
      <c r="AI109" s="172"/>
      <c r="AJ109" s="172"/>
      <c r="AK109" s="172"/>
      <c r="AL109" s="172"/>
      <c r="AM109" s="172"/>
      <c r="AN109" s="172"/>
      <c r="AO109" s="172"/>
      <c r="AP109" s="172"/>
      <c r="AQ109" s="172"/>
      <c r="AR109" s="172"/>
      <c r="AS109" s="172"/>
      <c r="AT109" s="172"/>
      <c r="AU109" s="172"/>
      <c r="AV109" s="172"/>
      <c r="AW109" s="172"/>
      <c r="AX109" s="172"/>
      <c r="AY109" s="172"/>
      <c r="AZ109" s="172"/>
      <c r="BA109" s="172"/>
      <c r="BB109" s="172"/>
      <c r="BC109" s="172"/>
    </row>
    <row r="110" spans="1:64" ht="13" thickBot="1" x14ac:dyDescent="0.2">
      <c r="A110" s="188"/>
      <c r="B110" s="302" t="s">
        <v>439</v>
      </c>
      <c r="C110" s="303"/>
      <c r="D110" s="304"/>
      <c r="E110" s="305"/>
      <c r="F110" s="304"/>
      <c r="G110" s="304"/>
      <c r="H110" s="304"/>
      <c r="I110" s="304"/>
      <c r="J110" s="304"/>
      <c r="K110" s="304"/>
      <c r="L110" s="304"/>
      <c r="M110" s="304"/>
      <c r="N110" s="304"/>
      <c r="O110" s="304"/>
      <c r="P110" s="304"/>
      <c r="Q110" s="304"/>
      <c r="R110" s="304"/>
      <c r="S110" s="304"/>
      <c r="T110" s="304"/>
      <c r="U110" s="304"/>
      <c r="V110" s="304"/>
      <c r="W110" s="304"/>
      <c r="X110" s="304"/>
      <c r="Y110" s="304"/>
      <c r="Z110" s="304"/>
      <c r="AA110" s="304"/>
      <c r="AB110" s="304"/>
      <c r="AC110" s="304"/>
      <c r="AD110" s="304"/>
      <c r="AE110" s="304"/>
      <c r="AF110" s="304"/>
      <c r="AG110" s="304"/>
      <c r="AH110" s="304"/>
      <c r="AI110" s="304"/>
      <c r="AJ110" s="304"/>
      <c r="AK110" s="304"/>
      <c r="AL110" s="304"/>
      <c r="AM110" s="304"/>
      <c r="AN110" s="304"/>
      <c r="AO110" s="304"/>
      <c r="AP110" s="304"/>
      <c r="AQ110" s="304"/>
      <c r="AR110" s="304"/>
      <c r="AS110" s="304"/>
      <c r="AT110" s="304"/>
      <c r="AU110" s="304"/>
      <c r="AV110" s="304"/>
      <c r="AW110" s="304"/>
      <c r="AX110" s="304"/>
      <c r="AY110" s="304"/>
      <c r="AZ110" s="304"/>
      <c r="BA110" s="304"/>
      <c r="BB110" s="304"/>
      <c r="BC110" s="304"/>
      <c r="BD110" s="304"/>
      <c r="BE110" s="304"/>
      <c r="BF110" s="304"/>
      <c r="BG110" s="304"/>
      <c r="BH110" s="304"/>
      <c r="BI110" s="304"/>
      <c r="BJ110" s="304"/>
      <c r="BK110" s="304"/>
      <c r="BL110" s="304"/>
    </row>
    <row r="111" spans="1:64" ht="12" thickTop="1" x14ac:dyDescent="0.15">
      <c r="C111" s="329" t="s">
        <v>440</v>
      </c>
      <c r="E111" s="116" t="s">
        <v>200</v>
      </c>
      <c r="F111" s="116" t="s">
        <v>441</v>
      </c>
      <c r="G111" s="116" t="s">
        <v>442</v>
      </c>
    </row>
    <row r="112" spans="1:64" x14ac:dyDescent="0.15">
      <c r="C112" s="116" t="s">
        <v>398</v>
      </c>
      <c r="E112" s="306">
        <f>Leadsheet!F91</f>
        <v>2.7009919886024445E-2</v>
      </c>
      <c r="F112" s="306">
        <v>7.4999999999999997E-3</v>
      </c>
      <c r="G112" s="339">
        <v>7.4999999999999997E-3</v>
      </c>
    </row>
    <row r="113" spans="2:7" x14ac:dyDescent="0.15">
      <c r="C113" s="116" t="s">
        <v>400</v>
      </c>
      <c r="E113" s="306">
        <f>Leadsheet!F92</f>
        <v>0.52960627227498924</v>
      </c>
      <c r="F113" s="306">
        <v>5.7500000000000002E-2</v>
      </c>
      <c r="G113" s="339">
        <v>5.7500000000000002E-2</v>
      </c>
    </row>
    <row r="114" spans="2:7" x14ac:dyDescent="0.15">
      <c r="C114" s="116" t="s">
        <v>401</v>
      </c>
      <c r="E114" s="306">
        <f>Leadsheet!F93</f>
        <v>0.79003378837475535</v>
      </c>
      <c r="F114" s="306">
        <v>5.7500000000000002E-2</v>
      </c>
      <c r="G114" s="339">
        <v>5.7500000000000002E-2</v>
      </c>
    </row>
    <row r="115" spans="2:7" x14ac:dyDescent="0.15">
      <c r="C115" s="116" t="s">
        <v>402</v>
      </c>
      <c r="E115" s="306">
        <f>Leadsheet!F94</f>
        <v>0.86816899821401661</v>
      </c>
      <c r="F115" s="306">
        <v>5.7500000000000002E-2</v>
      </c>
      <c r="G115" s="339">
        <v>5.7500000000000002E-2</v>
      </c>
    </row>
    <row r="116" spans="2:7" x14ac:dyDescent="0.15">
      <c r="C116" s="116" t="s">
        <v>404</v>
      </c>
      <c r="E116" s="306">
        <f>Leadsheet!F95</f>
        <v>0.87061910690607602</v>
      </c>
      <c r="F116" s="306">
        <v>0.20749999999999999</v>
      </c>
      <c r="G116" s="339">
        <v>0.20749999999999999</v>
      </c>
    </row>
    <row r="117" spans="2:7" x14ac:dyDescent="0.15">
      <c r="C117" s="116" t="s">
        <v>405</v>
      </c>
      <c r="E117" s="306">
        <f>Leadsheet!F96</f>
        <v>0.89478841082399996</v>
      </c>
      <c r="F117" s="306">
        <v>0.20749999999999999</v>
      </c>
      <c r="G117" s="339">
        <v>0.20749999999999999</v>
      </c>
    </row>
    <row r="118" spans="2:7" x14ac:dyDescent="0.15">
      <c r="C118" s="116" t="s">
        <v>406</v>
      </c>
      <c r="E118" s="306">
        <f>Leadsheet!F97</f>
        <v>0.89478841082399996</v>
      </c>
      <c r="F118" s="306">
        <v>0.20749999999999999</v>
      </c>
      <c r="G118" s="339">
        <v>0.20749999999999999</v>
      </c>
    </row>
    <row r="119" spans="2:7" x14ac:dyDescent="0.15">
      <c r="C119" s="116" t="s">
        <v>408</v>
      </c>
      <c r="E119" s="306">
        <f>Leadsheet!F98</f>
        <v>0.9224622791999999</v>
      </c>
      <c r="F119" s="306">
        <v>0.50749999999999995</v>
      </c>
      <c r="G119" s="339">
        <v>0.50749999999999995</v>
      </c>
    </row>
    <row r="120" spans="2:7" x14ac:dyDescent="0.15">
      <c r="C120" s="116" t="s">
        <v>409</v>
      </c>
      <c r="E120" s="306">
        <f>Leadsheet!F99</f>
        <v>0.96049799999999996</v>
      </c>
      <c r="F120" s="306">
        <v>0.50749999999999995</v>
      </c>
      <c r="G120" s="339">
        <v>1</v>
      </c>
    </row>
    <row r="121" spans="2:7" x14ac:dyDescent="0.15">
      <c r="C121" s="116" t="s">
        <v>410</v>
      </c>
      <c r="E121" s="306">
        <f>Leadsheet!F100</f>
        <v>0.96049799999999996</v>
      </c>
      <c r="F121" s="306">
        <v>0.50749999999999995</v>
      </c>
    </row>
    <row r="122" spans="2:7" x14ac:dyDescent="0.15">
      <c r="C122" s="116" t="s">
        <v>411</v>
      </c>
      <c r="E122" s="306">
        <f>Leadsheet!F101</f>
        <v>0.96049799999999996</v>
      </c>
      <c r="F122" s="306">
        <v>0.50749999999999995</v>
      </c>
    </row>
    <row r="123" spans="2:7" x14ac:dyDescent="0.15">
      <c r="C123" s="116" t="s">
        <v>412</v>
      </c>
      <c r="E123" s="306">
        <f>Leadsheet!F102</f>
        <v>0.96049799999999996</v>
      </c>
      <c r="F123" s="306">
        <v>0.50749999999999995</v>
      </c>
    </row>
    <row r="124" spans="2:7" x14ac:dyDescent="0.15">
      <c r="C124" s="116" t="s">
        <v>413</v>
      </c>
      <c r="E124" s="306">
        <f>Leadsheet!F103</f>
        <v>0.96049799999999996</v>
      </c>
      <c r="F124" s="306">
        <v>0.50749999999999995</v>
      </c>
    </row>
    <row r="125" spans="2:7" x14ac:dyDescent="0.15">
      <c r="C125" s="116" t="s">
        <v>415</v>
      </c>
      <c r="E125" s="306">
        <f>Leadsheet!F104</f>
        <v>0.96049799999999996</v>
      </c>
      <c r="F125" s="306">
        <v>1</v>
      </c>
    </row>
    <row r="126" spans="2:7" x14ac:dyDescent="0.15">
      <c r="C126" s="116" t="s">
        <v>417</v>
      </c>
      <c r="E126" s="306">
        <f>Leadsheet!F105</f>
        <v>0.98009999999999997</v>
      </c>
      <c r="F126" s="306">
        <v>1</v>
      </c>
    </row>
    <row r="128" spans="2:7" x14ac:dyDescent="0.15">
      <c r="B128" s="188" t="s">
        <v>200</v>
      </c>
    </row>
    <row r="129" spans="3:64" s="188" customFormat="1" x14ac:dyDescent="0.15">
      <c r="C129" s="188" t="s">
        <v>443</v>
      </c>
    </row>
    <row r="130" spans="3:64" s="188" customFormat="1" x14ac:dyDescent="0.15">
      <c r="C130" s="116" t="s">
        <v>398</v>
      </c>
      <c r="E130" s="180">
        <f t="shared" ref="E130:BL134" si="24">IF(E$5&gt;$D$7,0,E27*$E112)</f>
        <v>0.34156443046418339</v>
      </c>
      <c r="F130" s="180">
        <f t="shared" si="24"/>
        <v>0.29369399009722641</v>
      </c>
      <c r="G130" s="180">
        <f t="shared" si="24"/>
        <v>0.25061423869594551</v>
      </c>
      <c r="H130" s="180">
        <f t="shared" si="24"/>
        <v>0.21889768397788686</v>
      </c>
      <c r="I130" s="180">
        <f t="shared" si="24"/>
        <v>0.18934784089453099</v>
      </c>
      <c r="J130" s="180">
        <f t="shared" si="24"/>
        <v>0.16158700493182496</v>
      </c>
      <c r="K130" s="180">
        <f t="shared" si="24"/>
        <v>0.13603478674293795</v>
      </c>
      <c r="L130" s="180">
        <f t="shared" si="24"/>
        <v>0.11232817901808009</v>
      </c>
      <c r="M130" s="180">
        <f t="shared" si="24"/>
        <v>9.0116772506571963E-2</v>
      </c>
      <c r="N130" s="180">
        <f t="shared" si="24"/>
        <v>6.9398578580004228E-2</v>
      </c>
      <c r="O130" s="180">
        <f t="shared" si="24"/>
        <v>5.0135459469612856E-2</v>
      </c>
      <c r="P130" s="180">
        <f t="shared" si="24"/>
        <v>3.2275296332600831E-2</v>
      </c>
      <c r="Q130" s="180">
        <f t="shared" si="24"/>
        <v>1.5735988212468792E-2</v>
      </c>
      <c r="R130" s="180">
        <f t="shared" si="24"/>
        <v>0</v>
      </c>
      <c r="S130" s="180">
        <f t="shared" si="24"/>
        <v>0</v>
      </c>
      <c r="T130" s="180">
        <f t="shared" si="24"/>
        <v>0</v>
      </c>
      <c r="U130" s="180">
        <f t="shared" si="24"/>
        <v>0</v>
      </c>
      <c r="V130" s="180">
        <f t="shared" si="24"/>
        <v>0</v>
      </c>
      <c r="W130" s="180">
        <f t="shared" si="24"/>
        <v>0</v>
      </c>
      <c r="X130" s="180">
        <f t="shared" si="24"/>
        <v>0</v>
      </c>
      <c r="Y130" s="180">
        <f t="shared" si="24"/>
        <v>0</v>
      </c>
      <c r="Z130" s="180">
        <f t="shared" si="24"/>
        <v>0</v>
      </c>
      <c r="AA130" s="180">
        <f t="shared" si="24"/>
        <v>0</v>
      </c>
      <c r="AB130" s="180">
        <f t="shared" si="24"/>
        <v>0</v>
      </c>
      <c r="AC130" s="180">
        <f t="shared" si="24"/>
        <v>0</v>
      </c>
      <c r="AD130" s="180">
        <f t="shared" si="24"/>
        <v>0</v>
      </c>
      <c r="AE130" s="180">
        <f t="shared" si="24"/>
        <v>0</v>
      </c>
      <c r="AF130" s="180">
        <f t="shared" si="24"/>
        <v>0</v>
      </c>
      <c r="AG130" s="180">
        <f t="shared" si="24"/>
        <v>0</v>
      </c>
      <c r="AH130" s="180">
        <f t="shared" si="24"/>
        <v>0</v>
      </c>
      <c r="AI130" s="180">
        <f t="shared" si="24"/>
        <v>0</v>
      </c>
      <c r="AJ130" s="180">
        <f t="shared" si="24"/>
        <v>0</v>
      </c>
      <c r="AK130" s="180">
        <f t="shared" si="24"/>
        <v>0</v>
      </c>
      <c r="AL130" s="180">
        <f t="shared" si="24"/>
        <v>0</v>
      </c>
      <c r="AM130" s="180">
        <f t="shared" si="24"/>
        <v>0</v>
      </c>
      <c r="AN130" s="180">
        <f t="shared" si="24"/>
        <v>0</v>
      </c>
      <c r="AO130" s="180">
        <f t="shared" si="24"/>
        <v>0</v>
      </c>
      <c r="AP130" s="180">
        <f t="shared" si="24"/>
        <v>0</v>
      </c>
      <c r="AQ130" s="180">
        <f t="shared" si="24"/>
        <v>0</v>
      </c>
      <c r="AR130" s="180">
        <f t="shared" si="24"/>
        <v>0</v>
      </c>
      <c r="AS130" s="180">
        <f t="shared" si="24"/>
        <v>0</v>
      </c>
      <c r="AT130" s="180">
        <f t="shared" si="24"/>
        <v>0</v>
      </c>
      <c r="AU130" s="180">
        <f t="shared" si="24"/>
        <v>0</v>
      </c>
      <c r="AV130" s="180">
        <f t="shared" si="24"/>
        <v>0</v>
      </c>
      <c r="AW130" s="180">
        <f t="shared" si="24"/>
        <v>0</v>
      </c>
      <c r="AX130" s="180">
        <f t="shared" si="24"/>
        <v>0</v>
      </c>
      <c r="AY130" s="180">
        <f t="shared" si="24"/>
        <v>0</v>
      </c>
      <c r="AZ130" s="180">
        <f t="shared" si="24"/>
        <v>0</v>
      </c>
      <c r="BA130" s="180">
        <f t="shared" si="24"/>
        <v>0</v>
      </c>
      <c r="BB130" s="180">
        <f t="shared" si="24"/>
        <v>0</v>
      </c>
      <c r="BC130" s="180">
        <f t="shared" si="24"/>
        <v>0</v>
      </c>
      <c r="BD130" s="180">
        <f t="shared" si="24"/>
        <v>0</v>
      </c>
      <c r="BE130" s="180">
        <f t="shared" si="24"/>
        <v>0</v>
      </c>
      <c r="BF130" s="180">
        <f t="shared" si="24"/>
        <v>0</v>
      </c>
      <c r="BG130" s="180">
        <f t="shared" si="24"/>
        <v>0</v>
      </c>
      <c r="BH130" s="180">
        <f t="shared" si="24"/>
        <v>0</v>
      </c>
      <c r="BI130" s="180">
        <f t="shared" si="24"/>
        <v>0</v>
      </c>
      <c r="BJ130" s="180">
        <f t="shared" si="24"/>
        <v>0</v>
      </c>
      <c r="BK130" s="180">
        <f t="shared" si="24"/>
        <v>0</v>
      </c>
      <c r="BL130" s="180">
        <f t="shared" si="24"/>
        <v>0</v>
      </c>
    </row>
    <row r="131" spans="3:64" s="188" customFormat="1" x14ac:dyDescent="0.15">
      <c r="C131" s="116" t="s">
        <v>400</v>
      </c>
      <c r="E131" s="180">
        <f t="shared" si="24"/>
        <v>0.43699781821173989</v>
      </c>
      <c r="F131" s="180">
        <f t="shared" si="24"/>
        <v>0.34156443046418344</v>
      </c>
      <c r="G131" s="180">
        <f t="shared" si="24"/>
        <v>0.29369399009722646</v>
      </c>
      <c r="H131" s="180">
        <f t="shared" si="24"/>
        <v>0.25061423869594551</v>
      </c>
      <c r="I131" s="180">
        <f t="shared" si="24"/>
        <v>0.21889768397788692</v>
      </c>
      <c r="J131" s="180">
        <f t="shared" si="24"/>
        <v>0.18934784089453099</v>
      </c>
      <c r="K131" s="180">
        <f t="shared" si="24"/>
        <v>0.16158700493182496</v>
      </c>
      <c r="L131" s="180">
        <f t="shared" si="24"/>
        <v>0.13603478674293795</v>
      </c>
      <c r="M131" s="180">
        <f t="shared" si="24"/>
        <v>0.11232817901808012</v>
      </c>
      <c r="N131" s="180">
        <f t="shared" si="24"/>
        <v>9.0116772506571977E-2</v>
      </c>
      <c r="O131" s="180">
        <f t="shared" si="24"/>
        <v>6.9398578580004228E-2</v>
      </c>
      <c r="P131" s="180">
        <f t="shared" si="24"/>
        <v>5.0135459469612863E-2</v>
      </c>
      <c r="Q131" s="180">
        <f t="shared" si="24"/>
        <v>3.2275296332600838E-2</v>
      </c>
      <c r="R131" s="180">
        <f t="shared" si="24"/>
        <v>1.5735988212468792E-2</v>
      </c>
      <c r="S131" s="180">
        <f t="shared" si="24"/>
        <v>0</v>
      </c>
      <c r="T131" s="180">
        <f t="shared" si="24"/>
        <v>0</v>
      </c>
      <c r="U131" s="180">
        <f t="shared" si="24"/>
        <v>0</v>
      </c>
      <c r="V131" s="180">
        <f t="shared" si="24"/>
        <v>0</v>
      </c>
      <c r="W131" s="180">
        <f t="shared" si="24"/>
        <v>0</v>
      </c>
      <c r="X131" s="180">
        <f t="shared" si="24"/>
        <v>0</v>
      </c>
      <c r="Y131" s="180">
        <f t="shared" si="24"/>
        <v>0</v>
      </c>
      <c r="Z131" s="180">
        <f t="shared" si="24"/>
        <v>0</v>
      </c>
      <c r="AA131" s="180">
        <f t="shared" si="24"/>
        <v>0</v>
      </c>
      <c r="AB131" s="180">
        <f t="shared" si="24"/>
        <v>0</v>
      </c>
      <c r="AC131" s="180">
        <f t="shared" si="24"/>
        <v>0</v>
      </c>
      <c r="AD131" s="180">
        <f t="shared" si="24"/>
        <v>0</v>
      </c>
      <c r="AE131" s="180">
        <f t="shared" si="24"/>
        <v>0</v>
      </c>
      <c r="AF131" s="180">
        <f t="shared" si="24"/>
        <v>0</v>
      </c>
      <c r="AG131" s="180">
        <f t="shared" si="24"/>
        <v>0</v>
      </c>
      <c r="AH131" s="180">
        <f t="shared" si="24"/>
        <v>0</v>
      </c>
      <c r="AI131" s="180">
        <f t="shared" si="24"/>
        <v>0</v>
      </c>
      <c r="AJ131" s="180">
        <f t="shared" si="24"/>
        <v>0</v>
      </c>
      <c r="AK131" s="180">
        <f t="shared" si="24"/>
        <v>0</v>
      </c>
      <c r="AL131" s="180">
        <f t="shared" si="24"/>
        <v>0</v>
      </c>
      <c r="AM131" s="180">
        <f t="shared" si="24"/>
        <v>0</v>
      </c>
      <c r="AN131" s="180">
        <f t="shared" si="24"/>
        <v>0</v>
      </c>
      <c r="AO131" s="180">
        <f t="shared" si="24"/>
        <v>0</v>
      </c>
      <c r="AP131" s="180">
        <f t="shared" si="24"/>
        <v>0</v>
      </c>
      <c r="AQ131" s="180">
        <f t="shared" si="24"/>
        <v>0</v>
      </c>
      <c r="AR131" s="180">
        <f t="shared" si="24"/>
        <v>0</v>
      </c>
      <c r="AS131" s="180">
        <f t="shared" si="24"/>
        <v>0</v>
      </c>
      <c r="AT131" s="180">
        <f t="shared" si="24"/>
        <v>0</v>
      </c>
      <c r="AU131" s="180">
        <f t="shared" si="24"/>
        <v>0</v>
      </c>
      <c r="AV131" s="180">
        <f t="shared" si="24"/>
        <v>0</v>
      </c>
      <c r="AW131" s="180">
        <f t="shared" si="24"/>
        <v>0</v>
      </c>
      <c r="AX131" s="180">
        <f t="shared" si="24"/>
        <v>0</v>
      </c>
      <c r="AY131" s="180">
        <f t="shared" si="24"/>
        <v>0</v>
      </c>
      <c r="AZ131" s="180">
        <f t="shared" si="24"/>
        <v>0</v>
      </c>
      <c r="BA131" s="180">
        <f t="shared" si="24"/>
        <v>0</v>
      </c>
      <c r="BB131" s="180">
        <f t="shared" si="24"/>
        <v>0</v>
      </c>
      <c r="BC131" s="180">
        <f t="shared" si="24"/>
        <v>0</v>
      </c>
      <c r="BD131" s="180">
        <f t="shared" si="24"/>
        <v>0</v>
      </c>
      <c r="BE131" s="180">
        <f t="shared" si="24"/>
        <v>0</v>
      </c>
      <c r="BF131" s="180">
        <f t="shared" si="24"/>
        <v>0</v>
      </c>
      <c r="BG131" s="180">
        <f t="shared" si="24"/>
        <v>0</v>
      </c>
      <c r="BH131" s="180">
        <f t="shared" si="24"/>
        <v>0</v>
      </c>
      <c r="BI131" s="180">
        <f t="shared" si="24"/>
        <v>0</v>
      </c>
      <c r="BJ131" s="180">
        <f t="shared" si="24"/>
        <v>0</v>
      </c>
      <c r="BK131" s="180">
        <f t="shared" si="24"/>
        <v>0</v>
      </c>
      <c r="BL131" s="180">
        <f t="shared" si="24"/>
        <v>0</v>
      </c>
    </row>
    <row r="132" spans="3:64" s="188" customFormat="1" x14ac:dyDescent="0.15">
      <c r="C132" s="116" t="s">
        <v>401</v>
      </c>
      <c r="E132" s="180">
        <f t="shared" si="24"/>
        <v>0</v>
      </c>
      <c r="F132" s="180">
        <f t="shared" si="24"/>
        <v>0.43699781821173994</v>
      </c>
      <c r="G132" s="180">
        <f t="shared" si="24"/>
        <v>0.3415644304641835</v>
      </c>
      <c r="H132" s="180">
        <f t="shared" si="24"/>
        <v>0.29369399009722652</v>
      </c>
      <c r="I132" s="180">
        <f t="shared" si="24"/>
        <v>0.25061423869594562</v>
      </c>
      <c r="J132" s="180">
        <f t="shared" si="24"/>
        <v>0.21889768397788695</v>
      </c>
      <c r="K132" s="180">
        <f t="shared" si="24"/>
        <v>0.18934784089453105</v>
      </c>
      <c r="L132" s="180">
        <f t="shared" si="24"/>
        <v>0.16158700493182498</v>
      </c>
      <c r="M132" s="180">
        <f t="shared" si="24"/>
        <v>0.13603478674293798</v>
      </c>
      <c r="N132" s="180">
        <f t="shared" si="24"/>
        <v>0.11232817901808015</v>
      </c>
      <c r="O132" s="180">
        <f t="shared" si="24"/>
        <v>9.011677250657199E-2</v>
      </c>
      <c r="P132" s="180">
        <f t="shared" si="24"/>
        <v>6.9398578580004242E-2</v>
      </c>
      <c r="Q132" s="180">
        <f t="shared" si="24"/>
        <v>5.013545946961287E-2</v>
      </c>
      <c r="R132" s="180">
        <f t="shared" si="24"/>
        <v>3.2275296332600845E-2</v>
      </c>
      <c r="S132" s="180">
        <f t="shared" si="24"/>
        <v>1.5735988212468795E-2</v>
      </c>
      <c r="T132" s="180">
        <f t="shared" si="24"/>
        <v>0</v>
      </c>
      <c r="U132" s="180">
        <f t="shared" si="24"/>
        <v>0</v>
      </c>
      <c r="V132" s="180">
        <f t="shared" si="24"/>
        <v>0</v>
      </c>
      <c r="W132" s="180">
        <f t="shared" si="24"/>
        <v>0</v>
      </c>
      <c r="X132" s="180">
        <f t="shared" si="24"/>
        <v>0</v>
      </c>
      <c r="Y132" s="180">
        <f t="shared" si="24"/>
        <v>0</v>
      </c>
      <c r="Z132" s="180">
        <f t="shared" si="24"/>
        <v>0</v>
      </c>
      <c r="AA132" s="180">
        <f t="shared" si="24"/>
        <v>0</v>
      </c>
      <c r="AB132" s="180">
        <f t="shared" si="24"/>
        <v>0</v>
      </c>
      <c r="AC132" s="180">
        <f t="shared" si="24"/>
        <v>0</v>
      </c>
      <c r="AD132" s="180">
        <f t="shared" si="24"/>
        <v>0</v>
      </c>
      <c r="AE132" s="180">
        <f t="shared" si="24"/>
        <v>0</v>
      </c>
      <c r="AF132" s="180">
        <f t="shared" si="24"/>
        <v>0</v>
      </c>
      <c r="AG132" s="180">
        <f t="shared" si="24"/>
        <v>0</v>
      </c>
      <c r="AH132" s="180">
        <f t="shared" si="24"/>
        <v>0</v>
      </c>
      <c r="AI132" s="180">
        <f t="shared" si="24"/>
        <v>0</v>
      </c>
      <c r="AJ132" s="180">
        <f t="shared" si="24"/>
        <v>0</v>
      </c>
      <c r="AK132" s="180">
        <f t="shared" si="24"/>
        <v>0</v>
      </c>
      <c r="AL132" s="180">
        <f t="shared" si="24"/>
        <v>0</v>
      </c>
      <c r="AM132" s="180">
        <f t="shared" si="24"/>
        <v>0</v>
      </c>
      <c r="AN132" s="180">
        <f t="shared" si="24"/>
        <v>0</v>
      </c>
      <c r="AO132" s="180">
        <f t="shared" si="24"/>
        <v>0</v>
      </c>
      <c r="AP132" s="180">
        <f t="shared" si="24"/>
        <v>0</v>
      </c>
      <c r="AQ132" s="180">
        <f t="shared" si="24"/>
        <v>0</v>
      </c>
      <c r="AR132" s="180">
        <f t="shared" si="24"/>
        <v>0</v>
      </c>
      <c r="AS132" s="180">
        <f t="shared" si="24"/>
        <v>0</v>
      </c>
      <c r="AT132" s="180">
        <f t="shared" si="24"/>
        <v>0</v>
      </c>
      <c r="AU132" s="180">
        <f t="shared" si="24"/>
        <v>0</v>
      </c>
      <c r="AV132" s="180">
        <f t="shared" si="24"/>
        <v>0</v>
      </c>
      <c r="AW132" s="180">
        <f t="shared" si="24"/>
        <v>0</v>
      </c>
      <c r="AX132" s="180">
        <f t="shared" si="24"/>
        <v>0</v>
      </c>
      <c r="AY132" s="180">
        <f t="shared" si="24"/>
        <v>0</v>
      </c>
      <c r="AZ132" s="180">
        <f t="shared" si="24"/>
        <v>0</v>
      </c>
      <c r="BA132" s="180">
        <f t="shared" si="24"/>
        <v>0</v>
      </c>
      <c r="BB132" s="180">
        <f t="shared" si="24"/>
        <v>0</v>
      </c>
      <c r="BC132" s="180">
        <f t="shared" si="24"/>
        <v>0</v>
      </c>
      <c r="BD132" s="180">
        <f t="shared" si="24"/>
        <v>0</v>
      </c>
      <c r="BE132" s="180">
        <f t="shared" si="24"/>
        <v>0</v>
      </c>
      <c r="BF132" s="180">
        <f t="shared" si="24"/>
        <v>0</v>
      </c>
      <c r="BG132" s="180">
        <f t="shared" si="24"/>
        <v>0</v>
      </c>
      <c r="BH132" s="180">
        <f t="shared" si="24"/>
        <v>0</v>
      </c>
      <c r="BI132" s="180">
        <f t="shared" si="24"/>
        <v>0</v>
      </c>
      <c r="BJ132" s="180">
        <f t="shared" si="24"/>
        <v>0</v>
      </c>
      <c r="BK132" s="180">
        <f t="shared" si="24"/>
        <v>0</v>
      </c>
      <c r="BL132" s="180">
        <f t="shared" si="24"/>
        <v>0</v>
      </c>
    </row>
    <row r="133" spans="3:64" s="188" customFormat="1" x14ac:dyDescent="0.15">
      <c r="C133" s="116" t="s">
        <v>402</v>
      </c>
      <c r="E133" s="180">
        <f t="shared" si="24"/>
        <v>0</v>
      </c>
      <c r="F133" s="180">
        <f t="shared" si="24"/>
        <v>0</v>
      </c>
      <c r="G133" s="180">
        <f t="shared" si="24"/>
        <v>0.43699781821173983</v>
      </c>
      <c r="H133" s="180">
        <f t="shared" si="24"/>
        <v>0.34156443046418344</v>
      </c>
      <c r="I133" s="180">
        <f t="shared" si="24"/>
        <v>0.29369399009722646</v>
      </c>
      <c r="J133" s="180">
        <f t="shared" si="24"/>
        <v>0.25061423869594551</v>
      </c>
      <c r="K133" s="180">
        <f t="shared" si="24"/>
        <v>0.21889768397788686</v>
      </c>
      <c r="L133" s="180">
        <f t="shared" si="24"/>
        <v>0.18934784089453099</v>
      </c>
      <c r="M133" s="180">
        <f t="shared" si="24"/>
        <v>0.16158700493182493</v>
      </c>
      <c r="N133" s="180">
        <f t="shared" si="24"/>
        <v>0.13603478674293795</v>
      </c>
      <c r="O133" s="180">
        <f t="shared" si="24"/>
        <v>0.11232817901808012</v>
      </c>
      <c r="P133" s="180">
        <f t="shared" si="24"/>
        <v>9.0116772506571963E-2</v>
      </c>
      <c r="Q133" s="180">
        <f t="shared" si="24"/>
        <v>6.9398578580004228E-2</v>
      </c>
      <c r="R133" s="180">
        <f t="shared" si="24"/>
        <v>5.0135459469612849E-2</v>
      </c>
      <c r="S133" s="180">
        <f t="shared" si="24"/>
        <v>3.2275296332600838E-2</v>
      </c>
      <c r="T133" s="180">
        <f t="shared" si="24"/>
        <v>1.5735988212468792E-2</v>
      </c>
      <c r="U133" s="180">
        <f t="shared" si="24"/>
        <v>0</v>
      </c>
      <c r="V133" s="180">
        <f t="shared" si="24"/>
        <v>0</v>
      </c>
      <c r="W133" s="180">
        <f t="shared" si="24"/>
        <v>0</v>
      </c>
      <c r="X133" s="180">
        <f t="shared" si="24"/>
        <v>0</v>
      </c>
      <c r="Y133" s="180">
        <f t="shared" si="24"/>
        <v>0</v>
      </c>
      <c r="Z133" s="180">
        <f t="shared" si="24"/>
        <v>0</v>
      </c>
      <c r="AA133" s="180">
        <f t="shared" si="24"/>
        <v>0</v>
      </c>
      <c r="AB133" s="180">
        <f t="shared" si="24"/>
        <v>0</v>
      </c>
      <c r="AC133" s="180">
        <f t="shared" si="24"/>
        <v>0</v>
      </c>
      <c r="AD133" s="180">
        <f t="shared" si="24"/>
        <v>0</v>
      </c>
      <c r="AE133" s="180">
        <f t="shared" si="24"/>
        <v>0</v>
      </c>
      <c r="AF133" s="180">
        <f t="shared" si="24"/>
        <v>0</v>
      </c>
      <c r="AG133" s="180">
        <f t="shared" si="24"/>
        <v>0</v>
      </c>
      <c r="AH133" s="180">
        <f t="shared" si="24"/>
        <v>0</v>
      </c>
      <c r="AI133" s="180">
        <f t="shared" si="24"/>
        <v>0</v>
      </c>
      <c r="AJ133" s="180">
        <f t="shared" si="24"/>
        <v>0</v>
      </c>
      <c r="AK133" s="180">
        <f t="shared" si="24"/>
        <v>0</v>
      </c>
      <c r="AL133" s="180">
        <f t="shared" si="24"/>
        <v>0</v>
      </c>
      <c r="AM133" s="180">
        <f t="shared" si="24"/>
        <v>0</v>
      </c>
      <c r="AN133" s="180">
        <f t="shared" si="24"/>
        <v>0</v>
      </c>
      <c r="AO133" s="180">
        <f t="shared" si="24"/>
        <v>0</v>
      </c>
      <c r="AP133" s="180">
        <f t="shared" si="24"/>
        <v>0</v>
      </c>
      <c r="AQ133" s="180">
        <f t="shared" si="24"/>
        <v>0</v>
      </c>
      <c r="AR133" s="180">
        <f t="shared" si="24"/>
        <v>0</v>
      </c>
      <c r="AS133" s="180">
        <f t="shared" si="24"/>
        <v>0</v>
      </c>
      <c r="AT133" s="180">
        <f t="shared" si="24"/>
        <v>0</v>
      </c>
      <c r="AU133" s="180">
        <f t="shared" si="24"/>
        <v>0</v>
      </c>
      <c r="AV133" s="180">
        <f t="shared" si="24"/>
        <v>0</v>
      </c>
      <c r="AW133" s="180">
        <f t="shared" si="24"/>
        <v>0</v>
      </c>
      <c r="AX133" s="180">
        <f t="shared" si="24"/>
        <v>0</v>
      </c>
      <c r="AY133" s="180">
        <f t="shared" si="24"/>
        <v>0</v>
      </c>
      <c r="AZ133" s="180">
        <f t="shared" si="24"/>
        <v>0</v>
      </c>
      <c r="BA133" s="180">
        <f t="shared" si="24"/>
        <v>0</v>
      </c>
      <c r="BB133" s="180">
        <f t="shared" si="24"/>
        <v>0</v>
      </c>
      <c r="BC133" s="180">
        <f t="shared" si="24"/>
        <v>0</v>
      </c>
      <c r="BD133" s="180">
        <f t="shared" si="24"/>
        <v>0</v>
      </c>
      <c r="BE133" s="180">
        <f t="shared" si="24"/>
        <v>0</v>
      </c>
      <c r="BF133" s="180">
        <f t="shared" si="24"/>
        <v>0</v>
      </c>
      <c r="BG133" s="180">
        <f t="shared" si="24"/>
        <v>0</v>
      </c>
      <c r="BH133" s="180">
        <f t="shared" si="24"/>
        <v>0</v>
      </c>
      <c r="BI133" s="180">
        <f t="shared" si="24"/>
        <v>0</v>
      </c>
      <c r="BJ133" s="180">
        <f t="shared" si="24"/>
        <v>0</v>
      </c>
      <c r="BK133" s="180">
        <f t="shared" si="24"/>
        <v>0</v>
      </c>
      <c r="BL133" s="180">
        <f t="shared" si="24"/>
        <v>0</v>
      </c>
    </row>
    <row r="134" spans="3:64" s="188" customFormat="1" x14ac:dyDescent="0.15">
      <c r="C134" s="116" t="s">
        <v>404</v>
      </c>
      <c r="E134" s="180">
        <f t="shared" si="24"/>
        <v>0</v>
      </c>
      <c r="F134" s="180">
        <f t="shared" si="24"/>
        <v>0</v>
      </c>
      <c r="G134" s="180">
        <f t="shared" si="24"/>
        <v>0</v>
      </c>
      <c r="H134" s="180">
        <f t="shared" si="24"/>
        <v>0.43699781821173989</v>
      </c>
      <c r="I134" s="180">
        <f t="shared" si="24"/>
        <v>0.34156443046418344</v>
      </c>
      <c r="J134" s="180">
        <f t="shared" si="24"/>
        <v>0.29369399009722646</v>
      </c>
      <c r="K134" s="180">
        <f t="shared" si="24"/>
        <v>0.25061423869594557</v>
      </c>
      <c r="L134" s="180">
        <f t="shared" si="24"/>
        <v>0.21889768397788692</v>
      </c>
      <c r="M134" s="180">
        <f t="shared" si="24"/>
        <v>0.18934784089453102</v>
      </c>
      <c r="N134" s="180">
        <f t="shared" si="24"/>
        <v>0.16158700493182496</v>
      </c>
      <c r="O134" s="180">
        <f t="shared" si="24"/>
        <v>0.13603478674293798</v>
      </c>
      <c r="P134" s="180">
        <f t="shared" si="24"/>
        <v>0.11232817901808013</v>
      </c>
      <c r="Q134" s="180">
        <f t="shared" si="24"/>
        <v>9.0116772506571977E-2</v>
      </c>
      <c r="R134" s="180">
        <f t="shared" si="24"/>
        <v>6.9398578580004228E-2</v>
      </c>
      <c r="S134" s="180">
        <f t="shared" si="24"/>
        <v>5.0135459469612856E-2</v>
      </c>
      <c r="T134" s="180">
        <f t="shared" ref="T134:BL142" si="25">IF(T$5&gt;$D$7,0,T31*$E116)</f>
        <v>3.2275296332600838E-2</v>
      </c>
      <c r="U134" s="180">
        <f t="shared" si="25"/>
        <v>1.5735988212468792E-2</v>
      </c>
      <c r="V134" s="180">
        <f t="shared" si="25"/>
        <v>0</v>
      </c>
      <c r="W134" s="180">
        <f t="shared" si="25"/>
        <v>0</v>
      </c>
      <c r="X134" s="180">
        <f t="shared" si="25"/>
        <v>0</v>
      </c>
      <c r="Y134" s="180">
        <f t="shared" si="25"/>
        <v>0</v>
      </c>
      <c r="Z134" s="180">
        <f t="shared" si="25"/>
        <v>0</v>
      </c>
      <c r="AA134" s="180">
        <f t="shared" si="25"/>
        <v>0</v>
      </c>
      <c r="AB134" s="180">
        <f t="shared" si="25"/>
        <v>0</v>
      </c>
      <c r="AC134" s="180">
        <f t="shared" si="25"/>
        <v>0</v>
      </c>
      <c r="AD134" s="180">
        <f t="shared" si="25"/>
        <v>0</v>
      </c>
      <c r="AE134" s="180">
        <f t="shared" si="25"/>
        <v>0</v>
      </c>
      <c r="AF134" s="180">
        <f t="shared" si="25"/>
        <v>0</v>
      </c>
      <c r="AG134" s="180">
        <f t="shared" si="25"/>
        <v>0</v>
      </c>
      <c r="AH134" s="180">
        <f t="shared" si="25"/>
        <v>0</v>
      </c>
      <c r="AI134" s="180">
        <f t="shared" si="25"/>
        <v>0</v>
      </c>
      <c r="AJ134" s="180">
        <f t="shared" si="25"/>
        <v>0</v>
      </c>
      <c r="AK134" s="180">
        <f t="shared" si="25"/>
        <v>0</v>
      </c>
      <c r="AL134" s="180">
        <f t="shared" si="25"/>
        <v>0</v>
      </c>
      <c r="AM134" s="180">
        <f t="shared" si="25"/>
        <v>0</v>
      </c>
      <c r="AN134" s="180">
        <f t="shared" si="25"/>
        <v>0</v>
      </c>
      <c r="AO134" s="180">
        <f t="shared" si="25"/>
        <v>0</v>
      </c>
      <c r="AP134" s="180">
        <f t="shared" si="25"/>
        <v>0</v>
      </c>
      <c r="AQ134" s="180">
        <f t="shared" si="25"/>
        <v>0</v>
      </c>
      <c r="AR134" s="180">
        <f t="shared" si="25"/>
        <v>0</v>
      </c>
      <c r="AS134" s="180">
        <f t="shared" si="25"/>
        <v>0</v>
      </c>
      <c r="AT134" s="180">
        <f t="shared" si="25"/>
        <v>0</v>
      </c>
      <c r="AU134" s="180">
        <f t="shared" si="25"/>
        <v>0</v>
      </c>
      <c r="AV134" s="180">
        <f t="shared" si="25"/>
        <v>0</v>
      </c>
      <c r="AW134" s="180">
        <f t="shared" si="25"/>
        <v>0</v>
      </c>
      <c r="AX134" s="180">
        <f t="shared" si="25"/>
        <v>0</v>
      </c>
      <c r="AY134" s="180">
        <f t="shared" si="25"/>
        <v>0</v>
      </c>
      <c r="AZ134" s="180">
        <f t="shared" si="25"/>
        <v>0</v>
      </c>
      <c r="BA134" s="180">
        <f t="shared" si="25"/>
        <v>0</v>
      </c>
      <c r="BB134" s="180">
        <f t="shared" si="25"/>
        <v>0</v>
      </c>
      <c r="BC134" s="180">
        <f t="shared" si="25"/>
        <v>0</v>
      </c>
      <c r="BD134" s="180">
        <f t="shared" si="25"/>
        <v>0</v>
      </c>
      <c r="BE134" s="180">
        <f t="shared" si="25"/>
        <v>0</v>
      </c>
      <c r="BF134" s="180">
        <f t="shared" si="25"/>
        <v>0</v>
      </c>
      <c r="BG134" s="180">
        <f t="shared" si="25"/>
        <v>0</v>
      </c>
      <c r="BH134" s="180">
        <f t="shared" si="25"/>
        <v>0</v>
      </c>
      <c r="BI134" s="180">
        <f t="shared" si="25"/>
        <v>0</v>
      </c>
      <c r="BJ134" s="180">
        <f t="shared" si="25"/>
        <v>0</v>
      </c>
      <c r="BK134" s="180">
        <f t="shared" si="25"/>
        <v>0</v>
      </c>
      <c r="BL134" s="180">
        <f t="shared" si="25"/>
        <v>0</v>
      </c>
    </row>
    <row r="135" spans="3:64" s="188" customFormat="1" x14ac:dyDescent="0.15">
      <c r="C135" s="116" t="s">
        <v>405</v>
      </c>
      <c r="E135" s="180">
        <f t="shared" ref="E135:AJ142" si="26">IF(E$5&gt;$D$7,0,E32*$E117)</f>
        <v>0</v>
      </c>
      <c r="F135" s="180">
        <f t="shared" si="26"/>
        <v>0</v>
      </c>
      <c r="G135" s="180">
        <f t="shared" si="26"/>
        <v>0</v>
      </c>
      <c r="H135" s="180">
        <f t="shared" si="26"/>
        <v>0</v>
      </c>
      <c r="I135" s="180">
        <f t="shared" si="26"/>
        <v>0.43699781821173989</v>
      </c>
      <c r="J135" s="180">
        <f t="shared" si="26"/>
        <v>0.3415644304641835</v>
      </c>
      <c r="K135" s="180">
        <f t="shared" si="26"/>
        <v>0.29369399009722646</v>
      </c>
      <c r="L135" s="180">
        <f t="shared" si="26"/>
        <v>0.25061423869594557</v>
      </c>
      <c r="M135" s="180">
        <f t="shared" si="26"/>
        <v>0.21889768397788692</v>
      </c>
      <c r="N135" s="180">
        <f t="shared" si="26"/>
        <v>0.18934784089453102</v>
      </c>
      <c r="O135" s="180">
        <f t="shared" si="26"/>
        <v>0.16158700493182496</v>
      </c>
      <c r="P135" s="180">
        <f t="shared" si="26"/>
        <v>0.13603478674293798</v>
      </c>
      <c r="Q135" s="180">
        <f t="shared" si="26"/>
        <v>0.11232817901808012</v>
      </c>
      <c r="R135" s="180">
        <f t="shared" si="26"/>
        <v>9.0116772506571977E-2</v>
      </c>
      <c r="S135" s="180">
        <f t="shared" si="26"/>
        <v>6.9398578580004242E-2</v>
      </c>
      <c r="T135" s="180">
        <f t="shared" si="26"/>
        <v>5.0135459469612856E-2</v>
      </c>
      <c r="U135" s="180">
        <f t="shared" si="26"/>
        <v>3.2275296332600838E-2</v>
      </c>
      <c r="V135" s="180">
        <f t="shared" si="26"/>
        <v>1.5735988212468792E-2</v>
      </c>
      <c r="W135" s="180">
        <f t="shared" si="26"/>
        <v>0</v>
      </c>
      <c r="X135" s="180">
        <f t="shared" si="26"/>
        <v>0</v>
      </c>
      <c r="Y135" s="180">
        <f t="shared" si="26"/>
        <v>0</v>
      </c>
      <c r="Z135" s="180">
        <f t="shared" si="26"/>
        <v>0</v>
      </c>
      <c r="AA135" s="180">
        <f t="shared" si="26"/>
        <v>0</v>
      </c>
      <c r="AB135" s="180">
        <f t="shared" si="26"/>
        <v>0</v>
      </c>
      <c r="AC135" s="180">
        <f t="shared" si="26"/>
        <v>0</v>
      </c>
      <c r="AD135" s="180">
        <f t="shared" si="26"/>
        <v>0</v>
      </c>
      <c r="AE135" s="180">
        <f t="shared" si="26"/>
        <v>0</v>
      </c>
      <c r="AF135" s="180">
        <f t="shared" si="26"/>
        <v>0</v>
      </c>
      <c r="AG135" s="180">
        <f t="shared" si="26"/>
        <v>0</v>
      </c>
      <c r="AH135" s="180">
        <f t="shared" si="26"/>
        <v>0</v>
      </c>
      <c r="AI135" s="180">
        <f t="shared" si="26"/>
        <v>0</v>
      </c>
      <c r="AJ135" s="180">
        <f t="shared" si="26"/>
        <v>0</v>
      </c>
      <c r="AK135" s="180">
        <f t="shared" si="25"/>
        <v>0</v>
      </c>
      <c r="AL135" s="180">
        <f t="shared" si="25"/>
        <v>0</v>
      </c>
      <c r="AM135" s="180">
        <f t="shared" si="25"/>
        <v>0</v>
      </c>
      <c r="AN135" s="180">
        <f t="shared" si="25"/>
        <v>0</v>
      </c>
      <c r="AO135" s="180">
        <f t="shared" si="25"/>
        <v>0</v>
      </c>
      <c r="AP135" s="180">
        <f t="shared" si="25"/>
        <v>0</v>
      </c>
      <c r="AQ135" s="180">
        <f t="shared" si="25"/>
        <v>0</v>
      </c>
      <c r="AR135" s="180">
        <f t="shared" si="25"/>
        <v>0</v>
      </c>
      <c r="AS135" s="180">
        <f t="shared" si="25"/>
        <v>0</v>
      </c>
      <c r="AT135" s="180">
        <f t="shared" si="25"/>
        <v>0</v>
      </c>
      <c r="AU135" s="180">
        <f t="shared" si="25"/>
        <v>0</v>
      </c>
      <c r="AV135" s="180">
        <f t="shared" si="25"/>
        <v>0</v>
      </c>
      <c r="AW135" s="180">
        <f t="shared" si="25"/>
        <v>0</v>
      </c>
      <c r="AX135" s="180">
        <f t="shared" si="25"/>
        <v>0</v>
      </c>
      <c r="AY135" s="180">
        <f t="shared" si="25"/>
        <v>0</v>
      </c>
      <c r="AZ135" s="180">
        <f t="shared" si="25"/>
        <v>0</v>
      </c>
      <c r="BA135" s="180">
        <f t="shared" si="25"/>
        <v>0</v>
      </c>
      <c r="BB135" s="180">
        <f t="shared" si="25"/>
        <v>0</v>
      </c>
      <c r="BC135" s="180">
        <f t="shared" si="25"/>
        <v>0</v>
      </c>
      <c r="BD135" s="180">
        <f t="shared" si="25"/>
        <v>0</v>
      </c>
      <c r="BE135" s="180">
        <f t="shared" si="25"/>
        <v>0</v>
      </c>
      <c r="BF135" s="180">
        <f t="shared" si="25"/>
        <v>0</v>
      </c>
      <c r="BG135" s="180">
        <f t="shared" si="25"/>
        <v>0</v>
      </c>
      <c r="BH135" s="180">
        <f t="shared" si="25"/>
        <v>0</v>
      </c>
      <c r="BI135" s="180">
        <f t="shared" si="25"/>
        <v>0</v>
      </c>
      <c r="BJ135" s="180">
        <f t="shared" si="25"/>
        <v>0</v>
      </c>
      <c r="BK135" s="180">
        <f t="shared" si="25"/>
        <v>0</v>
      </c>
      <c r="BL135" s="180">
        <f t="shared" si="25"/>
        <v>0</v>
      </c>
    </row>
    <row r="136" spans="3:64" s="188" customFormat="1" x14ac:dyDescent="0.15">
      <c r="C136" s="116" t="s">
        <v>406</v>
      </c>
      <c r="E136" s="180">
        <f t="shared" si="26"/>
        <v>0</v>
      </c>
      <c r="F136" s="180">
        <f t="shared" si="26"/>
        <v>0</v>
      </c>
      <c r="G136" s="180">
        <f t="shared" si="26"/>
        <v>0</v>
      </c>
      <c r="H136" s="180">
        <f t="shared" si="26"/>
        <v>0</v>
      </c>
      <c r="I136" s="180">
        <f t="shared" si="26"/>
        <v>0</v>
      </c>
      <c r="J136" s="180">
        <f t="shared" si="26"/>
        <v>0.43699781821173989</v>
      </c>
      <c r="K136" s="180">
        <f t="shared" si="26"/>
        <v>0.3415644304641835</v>
      </c>
      <c r="L136" s="180">
        <f t="shared" si="26"/>
        <v>0.29369399009722646</v>
      </c>
      <c r="M136" s="180">
        <f t="shared" si="26"/>
        <v>0.25061423869594557</v>
      </c>
      <c r="N136" s="180">
        <f t="shared" si="26"/>
        <v>0.21889768397788692</v>
      </c>
      <c r="O136" s="180">
        <f t="shared" si="26"/>
        <v>0.18934784089453102</v>
      </c>
      <c r="P136" s="180">
        <f t="shared" si="26"/>
        <v>0.16158700493182496</v>
      </c>
      <c r="Q136" s="180">
        <f t="shared" si="26"/>
        <v>0.13603478674293798</v>
      </c>
      <c r="R136" s="180">
        <f t="shared" si="26"/>
        <v>0.11232817901808012</v>
      </c>
      <c r="S136" s="180">
        <f t="shared" si="26"/>
        <v>9.0116772506571977E-2</v>
      </c>
      <c r="T136" s="180">
        <f t="shared" si="26"/>
        <v>6.9398578580004242E-2</v>
      </c>
      <c r="U136" s="180">
        <f t="shared" si="26"/>
        <v>5.0135459469612856E-2</v>
      </c>
      <c r="V136" s="180">
        <f t="shared" si="26"/>
        <v>3.2275296332600838E-2</v>
      </c>
      <c r="W136" s="180">
        <f t="shared" si="26"/>
        <v>1.5735988212468792E-2</v>
      </c>
      <c r="X136" s="180">
        <f t="shared" si="26"/>
        <v>0</v>
      </c>
      <c r="Y136" s="180">
        <f t="shared" si="26"/>
        <v>0</v>
      </c>
      <c r="Z136" s="180">
        <f t="shared" si="26"/>
        <v>0</v>
      </c>
      <c r="AA136" s="180">
        <f t="shared" si="26"/>
        <v>0</v>
      </c>
      <c r="AB136" s="180">
        <f t="shared" si="26"/>
        <v>0</v>
      </c>
      <c r="AC136" s="180">
        <f t="shared" si="26"/>
        <v>0</v>
      </c>
      <c r="AD136" s="180">
        <f t="shared" si="26"/>
        <v>0</v>
      </c>
      <c r="AE136" s="180">
        <f t="shared" si="26"/>
        <v>0</v>
      </c>
      <c r="AF136" s="180">
        <f t="shared" si="26"/>
        <v>0</v>
      </c>
      <c r="AG136" s="180">
        <f t="shared" si="26"/>
        <v>0</v>
      </c>
      <c r="AH136" s="180">
        <f t="shared" si="26"/>
        <v>0</v>
      </c>
      <c r="AI136" s="180">
        <f t="shared" si="26"/>
        <v>0</v>
      </c>
      <c r="AJ136" s="180">
        <f t="shared" si="26"/>
        <v>0</v>
      </c>
      <c r="AK136" s="180">
        <f t="shared" si="25"/>
        <v>0</v>
      </c>
      <c r="AL136" s="180">
        <f t="shared" si="25"/>
        <v>0</v>
      </c>
      <c r="AM136" s="180">
        <f t="shared" si="25"/>
        <v>0</v>
      </c>
      <c r="AN136" s="180">
        <f t="shared" si="25"/>
        <v>0</v>
      </c>
      <c r="AO136" s="180">
        <f t="shared" si="25"/>
        <v>0</v>
      </c>
      <c r="AP136" s="180">
        <f t="shared" si="25"/>
        <v>0</v>
      </c>
      <c r="AQ136" s="180">
        <f t="shared" si="25"/>
        <v>0</v>
      </c>
      <c r="AR136" s="180">
        <f t="shared" si="25"/>
        <v>0</v>
      </c>
      <c r="AS136" s="180">
        <f t="shared" si="25"/>
        <v>0</v>
      </c>
      <c r="AT136" s="180">
        <f t="shared" si="25"/>
        <v>0</v>
      </c>
      <c r="AU136" s="180">
        <f t="shared" si="25"/>
        <v>0</v>
      </c>
      <c r="AV136" s="180">
        <f t="shared" si="25"/>
        <v>0</v>
      </c>
      <c r="AW136" s="180">
        <f t="shared" si="25"/>
        <v>0</v>
      </c>
      <c r="AX136" s="180">
        <f t="shared" si="25"/>
        <v>0</v>
      </c>
      <c r="AY136" s="180">
        <f t="shared" si="25"/>
        <v>0</v>
      </c>
      <c r="AZ136" s="180">
        <f t="shared" si="25"/>
        <v>0</v>
      </c>
      <c r="BA136" s="180">
        <f t="shared" si="25"/>
        <v>0</v>
      </c>
      <c r="BB136" s="180">
        <f t="shared" si="25"/>
        <v>0</v>
      </c>
      <c r="BC136" s="180">
        <f t="shared" si="25"/>
        <v>0</v>
      </c>
      <c r="BD136" s="180">
        <f t="shared" si="25"/>
        <v>0</v>
      </c>
      <c r="BE136" s="180">
        <f t="shared" si="25"/>
        <v>0</v>
      </c>
      <c r="BF136" s="180">
        <f t="shared" si="25"/>
        <v>0</v>
      </c>
      <c r="BG136" s="180">
        <f t="shared" si="25"/>
        <v>0</v>
      </c>
      <c r="BH136" s="180">
        <f t="shared" si="25"/>
        <v>0</v>
      </c>
      <c r="BI136" s="180">
        <f t="shared" si="25"/>
        <v>0</v>
      </c>
      <c r="BJ136" s="180">
        <f t="shared" si="25"/>
        <v>0</v>
      </c>
      <c r="BK136" s="180">
        <f t="shared" si="25"/>
        <v>0</v>
      </c>
      <c r="BL136" s="180">
        <f t="shared" si="25"/>
        <v>0</v>
      </c>
    </row>
    <row r="137" spans="3:64" s="188" customFormat="1" x14ac:dyDescent="0.15">
      <c r="C137" s="116" t="s">
        <v>408</v>
      </c>
      <c r="E137" s="180">
        <f t="shared" si="26"/>
        <v>0</v>
      </c>
      <c r="F137" s="180">
        <f t="shared" si="26"/>
        <v>0</v>
      </c>
      <c r="G137" s="180">
        <f t="shared" si="26"/>
        <v>0</v>
      </c>
      <c r="H137" s="180">
        <f t="shared" si="26"/>
        <v>0</v>
      </c>
      <c r="I137" s="180">
        <f t="shared" si="26"/>
        <v>0</v>
      </c>
      <c r="J137" s="180">
        <f t="shared" si="26"/>
        <v>0</v>
      </c>
      <c r="K137" s="180">
        <f t="shared" si="26"/>
        <v>0.43699781821173989</v>
      </c>
      <c r="L137" s="180">
        <f t="shared" si="26"/>
        <v>0.34156443046418344</v>
      </c>
      <c r="M137" s="180">
        <f t="shared" si="26"/>
        <v>0.29369399009722646</v>
      </c>
      <c r="N137" s="180">
        <f t="shared" si="26"/>
        <v>0.25061423869594557</v>
      </c>
      <c r="O137" s="180">
        <f t="shared" si="26"/>
        <v>0.21889768397788689</v>
      </c>
      <c r="P137" s="180">
        <f t="shared" si="26"/>
        <v>0.18934784089453099</v>
      </c>
      <c r="Q137" s="180">
        <f t="shared" si="26"/>
        <v>0.16158700493182496</v>
      </c>
      <c r="R137" s="180">
        <f t="shared" si="26"/>
        <v>0.13603478674293795</v>
      </c>
      <c r="S137" s="180">
        <f t="shared" si="26"/>
        <v>0.11232817901808012</v>
      </c>
      <c r="T137" s="180">
        <f t="shared" si="26"/>
        <v>9.0116772506571963E-2</v>
      </c>
      <c r="U137" s="180">
        <f t="shared" si="26"/>
        <v>6.9398578580004228E-2</v>
      </c>
      <c r="V137" s="180">
        <f t="shared" si="26"/>
        <v>5.0135459469612849E-2</v>
      </c>
      <c r="W137" s="180">
        <f t="shared" si="26"/>
        <v>3.2275296332600838E-2</v>
      </c>
      <c r="X137" s="180">
        <f t="shared" si="26"/>
        <v>1.5735988212468792E-2</v>
      </c>
      <c r="Y137" s="180">
        <f t="shared" si="26"/>
        <v>0</v>
      </c>
      <c r="Z137" s="180">
        <f t="shared" si="26"/>
        <v>0</v>
      </c>
      <c r="AA137" s="180">
        <f t="shared" si="26"/>
        <v>0</v>
      </c>
      <c r="AB137" s="180">
        <f t="shared" si="26"/>
        <v>0</v>
      </c>
      <c r="AC137" s="180">
        <f t="shared" si="26"/>
        <v>0</v>
      </c>
      <c r="AD137" s="180">
        <f t="shared" si="26"/>
        <v>0</v>
      </c>
      <c r="AE137" s="180">
        <f t="shared" si="26"/>
        <v>0</v>
      </c>
      <c r="AF137" s="180">
        <f t="shared" si="26"/>
        <v>0</v>
      </c>
      <c r="AG137" s="180">
        <f t="shared" si="26"/>
        <v>0</v>
      </c>
      <c r="AH137" s="180">
        <f t="shared" si="26"/>
        <v>0</v>
      </c>
      <c r="AI137" s="180">
        <f t="shared" si="26"/>
        <v>0</v>
      </c>
      <c r="AJ137" s="180">
        <f t="shared" si="26"/>
        <v>0</v>
      </c>
      <c r="AK137" s="180">
        <f t="shared" si="25"/>
        <v>0</v>
      </c>
      <c r="AL137" s="180">
        <f t="shared" si="25"/>
        <v>0</v>
      </c>
      <c r="AM137" s="180">
        <f t="shared" si="25"/>
        <v>0</v>
      </c>
      <c r="AN137" s="180">
        <f t="shared" si="25"/>
        <v>0</v>
      </c>
      <c r="AO137" s="180">
        <f t="shared" si="25"/>
        <v>0</v>
      </c>
      <c r="AP137" s="180">
        <f t="shared" si="25"/>
        <v>0</v>
      </c>
      <c r="AQ137" s="180">
        <f t="shared" si="25"/>
        <v>0</v>
      </c>
      <c r="AR137" s="180">
        <f t="shared" si="25"/>
        <v>0</v>
      </c>
      <c r="AS137" s="180">
        <f t="shared" si="25"/>
        <v>0</v>
      </c>
      <c r="AT137" s="180">
        <f t="shared" si="25"/>
        <v>0</v>
      </c>
      <c r="AU137" s="180">
        <f t="shared" si="25"/>
        <v>0</v>
      </c>
      <c r="AV137" s="180">
        <f t="shared" si="25"/>
        <v>0</v>
      </c>
      <c r="AW137" s="180">
        <f t="shared" si="25"/>
        <v>0</v>
      </c>
      <c r="AX137" s="180">
        <f t="shared" si="25"/>
        <v>0</v>
      </c>
      <c r="AY137" s="180">
        <f t="shared" si="25"/>
        <v>0</v>
      </c>
      <c r="AZ137" s="180">
        <f t="shared" si="25"/>
        <v>0</v>
      </c>
      <c r="BA137" s="180">
        <f t="shared" si="25"/>
        <v>0</v>
      </c>
      <c r="BB137" s="180">
        <f t="shared" si="25"/>
        <v>0</v>
      </c>
      <c r="BC137" s="180">
        <f t="shared" si="25"/>
        <v>0</v>
      </c>
      <c r="BD137" s="180">
        <f t="shared" si="25"/>
        <v>0</v>
      </c>
      <c r="BE137" s="180">
        <f t="shared" si="25"/>
        <v>0</v>
      </c>
      <c r="BF137" s="180">
        <f t="shared" si="25"/>
        <v>0</v>
      </c>
      <c r="BG137" s="180">
        <f t="shared" si="25"/>
        <v>0</v>
      </c>
      <c r="BH137" s="180">
        <f t="shared" si="25"/>
        <v>0</v>
      </c>
      <c r="BI137" s="180">
        <f t="shared" si="25"/>
        <v>0</v>
      </c>
      <c r="BJ137" s="180">
        <f t="shared" si="25"/>
        <v>0</v>
      </c>
      <c r="BK137" s="180">
        <f t="shared" si="25"/>
        <v>0</v>
      </c>
      <c r="BL137" s="180">
        <f t="shared" si="25"/>
        <v>0</v>
      </c>
    </row>
    <row r="138" spans="3:64" s="188" customFormat="1" x14ac:dyDescent="0.15">
      <c r="C138" s="116" t="s">
        <v>409</v>
      </c>
      <c r="E138" s="180">
        <f t="shared" si="26"/>
        <v>0</v>
      </c>
      <c r="F138" s="180">
        <f t="shared" si="26"/>
        <v>0</v>
      </c>
      <c r="G138" s="180">
        <f t="shared" si="26"/>
        <v>0</v>
      </c>
      <c r="H138" s="180">
        <f t="shared" si="26"/>
        <v>0</v>
      </c>
      <c r="I138" s="180">
        <f t="shared" si="26"/>
        <v>0</v>
      </c>
      <c r="J138" s="180">
        <f t="shared" si="26"/>
        <v>0</v>
      </c>
      <c r="K138" s="180">
        <f t="shared" si="26"/>
        <v>0</v>
      </c>
      <c r="L138" s="180">
        <f t="shared" si="26"/>
        <v>0.44591614103238764</v>
      </c>
      <c r="M138" s="180">
        <f t="shared" si="26"/>
        <v>0.3485351331267178</v>
      </c>
      <c r="N138" s="180">
        <f t="shared" si="26"/>
        <v>0.29968774499716982</v>
      </c>
      <c r="O138" s="180">
        <f t="shared" si="26"/>
        <v>0.25572881499586286</v>
      </c>
      <c r="P138" s="180">
        <f t="shared" si="26"/>
        <v>0.22336498365090501</v>
      </c>
      <c r="Q138" s="180">
        <f t="shared" si="26"/>
        <v>0.19321208254543981</v>
      </c>
      <c r="R138" s="180">
        <f t="shared" si="26"/>
        <v>0.16488469891002547</v>
      </c>
      <c r="S138" s="180">
        <f t="shared" si="26"/>
        <v>0.13881100688054893</v>
      </c>
      <c r="T138" s="180">
        <f t="shared" si="26"/>
        <v>0.11462059083477563</v>
      </c>
      <c r="U138" s="180">
        <f t="shared" si="26"/>
        <v>9.1955890312828539E-2</v>
      </c>
      <c r="V138" s="180">
        <f t="shared" si="26"/>
        <v>7.0814876102045135E-2</v>
      </c>
      <c r="W138" s="180">
        <f t="shared" si="26"/>
        <v>5.1158632111849851E-2</v>
      </c>
      <c r="X138" s="180">
        <f t="shared" si="26"/>
        <v>3.2933975849592692E-2</v>
      </c>
      <c r="Y138" s="180">
        <f t="shared" si="26"/>
        <v>0</v>
      </c>
      <c r="Z138" s="180">
        <f t="shared" si="26"/>
        <v>0</v>
      </c>
      <c r="AA138" s="180">
        <f t="shared" si="26"/>
        <v>0</v>
      </c>
      <c r="AB138" s="180">
        <f t="shared" si="26"/>
        <v>0</v>
      </c>
      <c r="AC138" s="180">
        <f t="shared" si="26"/>
        <v>0</v>
      </c>
      <c r="AD138" s="180">
        <f t="shared" si="26"/>
        <v>0</v>
      </c>
      <c r="AE138" s="180">
        <f t="shared" si="26"/>
        <v>0</v>
      </c>
      <c r="AF138" s="180">
        <f t="shared" si="26"/>
        <v>0</v>
      </c>
      <c r="AG138" s="180">
        <f t="shared" si="26"/>
        <v>0</v>
      </c>
      <c r="AH138" s="180">
        <f t="shared" si="26"/>
        <v>0</v>
      </c>
      <c r="AI138" s="180">
        <f t="shared" si="26"/>
        <v>0</v>
      </c>
      <c r="AJ138" s="180">
        <f t="shared" si="26"/>
        <v>0</v>
      </c>
      <c r="AK138" s="180">
        <f t="shared" si="25"/>
        <v>0</v>
      </c>
      <c r="AL138" s="180">
        <f t="shared" si="25"/>
        <v>0</v>
      </c>
      <c r="AM138" s="180">
        <f t="shared" si="25"/>
        <v>0</v>
      </c>
      <c r="AN138" s="180">
        <f t="shared" si="25"/>
        <v>0</v>
      </c>
      <c r="AO138" s="180">
        <f t="shared" si="25"/>
        <v>0</v>
      </c>
      <c r="AP138" s="180">
        <f t="shared" si="25"/>
        <v>0</v>
      </c>
      <c r="AQ138" s="180">
        <f t="shared" si="25"/>
        <v>0</v>
      </c>
      <c r="AR138" s="180">
        <f t="shared" si="25"/>
        <v>0</v>
      </c>
      <c r="AS138" s="180">
        <f t="shared" si="25"/>
        <v>0</v>
      </c>
      <c r="AT138" s="180">
        <f t="shared" si="25"/>
        <v>0</v>
      </c>
      <c r="AU138" s="180">
        <f t="shared" si="25"/>
        <v>0</v>
      </c>
      <c r="AV138" s="180">
        <f t="shared" si="25"/>
        <v>0</v>
      </c>
      <c r="AW138" s="180">
        <f t="shared" si="25"/>
        <v>0</v>
      </c>
      <c r="AX138" s="180">
        <f t="shared" si="25"/>
        <v>0</v>
      </c>
      <c r="AY138" s="180">
        <f t="shared" si="25"/>
        <v>0</v>
      </c>
      <c r="AZ138" s="180">
        <f t="shared" si="25"/>
        <v>0</v>
      </c>
      <c r="BA138" s="180">
        <f t="shared" si="25"/>
        <v>0</v>
      </c>
      <c r="BB138" s="180">
        <f t="shared" si="25"/>
        <v>0</v>
      </c>
      <c r="BC138" s="180">
        <f t="shared" si="25"/>
        <v>0</v>
      </c>
      <c r="BD138" s="180">
        <f t="shared" si="25"/>
        <v>0</v>
      </c>
      <c r="BE138" s="180">
        <f t="shared" si="25"/>
        <v>0</v>
      </c>
      <c r="BF138" s="180">
        <f t="shared" si="25"/>
        <v>0</v>
      </c>
      <c r="BG138" s="180">
        <f t="shared" si="25"/>
        <v>0</v>
      </c>
      <c r="BH138" s="180">
        <f t="shared" si="25"/>
        <v>0</v>
      </c>
      <c r="BI138" s="180">
        <f t="shared" si="25"/>
        <v>0</v>
      </c>
      <c r="BJ138" s="180">
        <f t="shared" si="25"/>
        <v>0</v>
      </c>
      <c r="BK138" s="180">
        <f t="shared" si="25"/>
        <v>0</v>
      </c>
      <c r="BL138" s="180">
        <f t="shared" si="25"/>
        <v>0</v>
      </c>
    </row>
    <row r="139" spans="3:64" s="188" customFormat="1" x14ac:dyDescent="0.15">
      <c r="C139" s="116" t="s">
        <v>410</v>
      </c>
      <c r="E139" s="180">
        <f t="shared" si="26"/>
        <v>0</v>
      </c>
      <c r="F139" s="180">
        <f t="shared" si="26"/>
        <v>0</v>
      </c>
      <c r="G139" s="180">
        <f t="shared" si="26"/>
        <v>0</v>
      </c>
      <c r="H139" s="180">
        <f t="shared" si="26"/>
        <v>0</v>
      </c>
      <c r="I139" s="180">
        <f t="shared" si="26"/>
        <v>0</v>
      </c>
      <c r="J139" s="180">
        <f t="shared" si="26"/>
        <v>0</v>
      </c>
      <c r="K139" s="180">
        <f t="shared" si="26"/>
        <v>0</v>
      </c>
      <c r="L139" s="180">
        <f t="shared" si="26"/>
        <v>0</v>
      </c>
      <c r="M139" s="180">
        <f t="shared" si="26"/>
        <v>0.44591614103238764</v>
      </c>
      <c r="N139" s="180">
        <f t="shared" si="26"/>
        <v>0.3485351331267178</v>
      </c>
      <c r="O139" s="180">
        <f t="shared" si="26"/>
        <v>0.29968774499716982</v>
      </c>
      <c r="P139" s="180">
        <f t="shared" si="26"/>
        <v>0.25572881499586286</v>
      </c>
      <c r="Q139" s="180">
        <f t="shared" si="26"/>
        <v>0.22336498365090501</v>
      </c>
      <c r="R139" s="180">
        <f t="shared" si="26"/>
        <v>0.19321208254543981</v>
      </c>
      <c r="S139" s="180">
        <f t="shared" si="26"/>
        <v>0.16488469891002547</v>
      </c>
      <c r="T139" s="180">
        <f t="shared" si="26"/>
        <v>0.13881100688054893</v>
      </c>
      <c r="U139" s="180">
        <f t="shared" si="26"/>
        <v>0.11462059083477563</v>
      </c>
      <c r="V139" s="180">
        <f t="shared" si="26"/>
        <v>9.1955890312828539E-2</v>
      </c>
      <c r="W139" s="180">
        <f t="shared" si="26"/>
        <v>7.0814876102045135E-2</v>
      </c>
      <c r="X139" s="180">
        <f t="shared" si="26"/>
        <v>5.1158632111849851E-2</v>
      </c>
      <c r="Y139" s="180">
        <f t="shared" si="26"/>
        <v>0</v>
      </c>
      <c r="Z139" s="180">
        <f t="shared" si="26"/>
        <v>0</v>
      </c>
      <c r="AA139" s="180">
        <f t="shared" si="26"/>
        <v>0</v>
      </c>
      <c r="AB139" s="180">
        <f t="shared" si="26"/>
        <v>0</v>
      </c>
      <c r="AC139" s="180">
        <f t="shared" si="26"/>
        <v>0</v>
      </c>
      <c r="AD139" s="180">
        <f t="shared" si="26"/>
        <v>0</v>
      </c>
      <c r="AE139" s="180">
        <f t="shared" si="26"/>
        <v>0</v>
      </c>
      <c r="AF139" s="180">
        <f t="shared" si="26"/>
        <v>0</v>
      </c>
      <c r="AG139" s="180">
        <f t="shared" si="26"/>
        <v>0</v>
      </c>
      <c r="AH139" s="180">
        <f t="shared" si="26"/>
        <v>0</v>
      </c>
      <c r="AI139" s="180">
        <f t="shared" si="26"/>
        <v>0</v>
      </c>
      <c r="AJ139" s="180">
        <f t="shared" si="26"/>
        <v>0</v>
      </c>
      <c r="AK139" s="180">
        <f t="shared" si="25"/>
        <v>0</v>
      </c>
      <c r="AL139" s="180">
        <f t="shared" si="25"/>
        <v>0</v>
      </c>
      <c r="AM139" s="180">
        <f t="shared" si="25"/>
        <v>0</v>
      </c>
      <c r="AN139" s="180">
        <f t="shared" si="25"/>
        <v>0</v>
      </c>
      <c r="AO139" s="180">
        <f t="shared" si="25"/>
        <v>0</v>
      </c>
      <c r="AP139" s="180">
        <f t="shared" si="25"/>
        <v>0</v>
      </c>
      <c r="AQ139" s="180">
        <f t="shared" si="25"/>
        <v>0</v>
      </c>
      <c r="AR139" s="180">
        <f t="shared" si="25"/>
        <v>0</v>
      </c>
      <c r="AS139" s="180">
        <f t="shared" si="25"/>
        <v>0</v>
      </c>
      <c r="AT139" s="180">
        <f t="shared" si="25"/>
        <v>0</v>
      </c>
      <c r="AU139" s="180">
        <f t="shared" si="25"/>
        <v>0</v>
      </c>
      <c r="AV139" s="180">
        <f t="shared" si="25"/>
        <v>0</v>
      </c>
      <c r="AW139" s="180">
        <f t="shared" si="25"/>
        <v>0</v>
      </c>
      <c r="AX139" s="180">
        <f t="shared" si="25"/>
        <v>0</v>
      </c>
      <c r="AY139" s="180">
        <f t="shared" si="25"/>
        <v>0</v>
      </c>
      <c r="AZ139" s="180">
        <f t="shared" si="25"/>
        <v>0</v>
      </c>
      <c r="BA139" s="180">
        <f t="shared" si="25"/>
        <v>0</v>
      </c>
      <c r="BB139" s="180">
        <f t="shared" si="25"/>
        <v>0</v>
      </c>
      <c r="BC139" s="180">
        <f t="shared" si="25"/>
        <v>0</v>
      </c>
      <c r="BD139" s="180">
        <f t="shared" si="25"/>
        <v>0</v>
      </c>
      <c r="BE139" s="180">
        <f t="shared" si="25"/>
        <v>0</v>
      </c>
      <c r="BF139" s="180">
        <f t="shared" si="25"/>
        <v>0</v>
      </c>
      <c r="BG139" s="180">
        <f t="shared" si="25"/>
        <v>0</v>
      </c>
      <c r="BH139" s="180">
        <f t="shared" si="25"/>
        <v>0</v>
      </c>
      <c r="BI139" s="180">
        <f t="shared" si="25"/>
        <v>0</v>
      </c>
      <c r="BJ139" s="180">
        <f t="shared" si="25"/>
        <v>0</v>
      </c>
      <c r="BK139" s="180">
        <f t="shared" si="25"/>
        <v>0</v>
      </c>
      <c r="BL139" s="180">
        <f t="shared" si="25"/>
        <v>0</v>
      </c>
    </row>
    <row r="140" spans="3:64" x14ac:dyDescent="0.15">
      <c r="C140" s="116" t="s">
        <v>411</v>
      </c>
      <c r="E140" s="180">
        <f t="shared" si="26"/>
        <v>0</v>
      </c>
      <c r="F140" s="180">
        <f t="shared" si="26"/>
        <v>0</v>
      </c>
      <c r="G140" s="180">
        <f t="shared" si="26"/>
        <v>0</v>
      </c>
      <c r="H140" s="180">
        <f t="shared" si="26"/>
        <v>0</v>
      </c>
      <c r="I140" s="180">
        <f t="shared" si="26"/>
        <v>0</v>
      </c>
      <c r="J140" s="180">
        <f t="shared" si="26"/>
        <v>0</v>
      </c>
      <c r="K140" s="180">
        <f t="shared" si="26"/>
        <v>0</v>
      </c>
      <c r="L140" s="180">
        <f t="shared" si="26"/>
        <v>0</v>
      </c>
      <c r="M140" s="180">
        <f t="shared" si="26"/>
        <v>0</v>
      </c>
      <c r="N140" s="180">
        <f t="shared" si="26"/>
        <v>0.44591614103238764</v>
      </c>
      <c r="O140" s="180">
        <f t="shared" si="26"/>
        <v>0.3485351331267178</v>
      </c>
      <c r="P140" s="180">
        <f t="shared" si="26"/>
        <v>0.29968774499716982</v>
      </c>
      <c r="Q140" s="180">
        <f t="shared" si="26"/>
        <v>0.25572881499586286</v>
      </c>
      <c r="R140" s="180">
        <f t="shared" si="26"/>
        <v>0.22336498365090501</v>
      </c>
      <c r="S140" s="180">
        <f t="shared" si="26"/>
        <v>0.19321208254543981</v>
      </c>
      <c r="T140" s="180">
        <f t="shared" si="26"/>
        <v>0.16488469891002547</v>
      </c>
      <c r="U140" s="180">
        <f t="shared" si="26"/>
        <v>0.13881100688054893</v>
      </c>
      <c r="V140" s="180">
        <f t="shared" si="26"/>
        <v>0.11462059083477563</v>
      </c>
      <c r="W140" s="180">
        <f t="shared" si="26"/>
        <v>9.1955890312828539E-2</v>
      </c>
      <c r="X140" s="180">
        <f t="shared" si="26"/>
        <v>7.0814876102045135E-2</v>
      </c>
      <c r="Y140" s="180">
        <f t="shared" si="26"/>
        <v>0</v>
      </c>
      <c r="Z140" s="180">
        <f t="shared" si="26"/>
        <v>0</v>
      </c>
      <c r="AA140" s="180">
        <f t="shared" si="26"/>
        <v>0</v>
      </c>
      <c r="AB140" s="180">
        <f t="shared" si="26"/>
        <v>0</v>
      </c>
      <c r="AC140" s="180">
        <f t="shared" si="26"/>
        <v>0</v>
      </c>
      <c r="AD140" s="180">
        <f t="shared" si="26"/>
        <v>0</v>
      </c>
      <c r="AE140" s="180">
        <f t="shared" si="26"/>
        <v>0</v>
      </c>
      <c r="AF140" s="180">
        <f t="shared" si="26"/>
        <v>0</v>
      </c>
      <c r="AG140" s="180">
        <f t="shared" si="26"/>
        <v>0</v>
      </c>
      <c r="AH140" s="180">
        <f t="shared" si="26"/>
        <v>0</v>
      </c>
      <c r="AI140" s="180">
        <f t="shared" si="26"/>
        <v>0</v>
      </c>
      <c r="AJ140" s="180">
        <f t="shared" si="26"/>
        <v>0</v>
      </c>
      <c r="AK140" s="180">
        <f t="shared" si="25"/>
        <v>0</v>
      </c>
      <c r="AL140" s="180">
        <f t="shared" si="25"/>
        <v>0</v>
      </c>
      <c r="AM140" s="180">
        <f t="shared" si="25"/>
        <v>0</v>
      </c>
      <c r="AN140" s="180">
        <f t="shared" si="25"/>
        <v>0</v>
      </c>
      <c r="AO140" s="180">
        <f t="shared" si="25"/>
        <v>0</v>
      </c>
      <c r="AP140" s="180">
        <f t="shared" si="25"/>
        <v>0</v>
      </c>
      <c r="AQ140" s="180">
        <f t="shared" si="25"/>
        <v>0</v>
      </c>
      <c r="AR140" s="180">
        <f t="shared" si="25"/>
        <v>0</v>
      </c>
      <c r="AS140" s="180">
        <f t="shared" si="25"/>
        <v>0</v>
      </c>
      <c r="AT140" s="180">
        <f t="shared" si="25"/>
        <v>0</v>
      </c>
      <c r="AU140" s="180">
        <f t="shared" si="25"/>
        <v>0</v>
      </c>
      <c r="AV140" s="180">
        <f t="shared" si="25"/>
        <v>0</v>
      </c>
      <c r="AW140" s="180">
        <f t="shared" si="25"/>
        <v>0</v>
      </c>
      <c r="AX140" s="180">
        <f t="shared" si="25"/>
        <v>0</v>
      </c>
      <c r="AY140" s="180">
        <f t="shared" si="25"/>
        <v>0</v>
      </c>
      <c r="AZ140" s="180">
        <f t="shared" si="25"/>
        <v>0</v>
      </c>
      <c r="BA140" s="180">
        <f t="shared" si="25"/>
        <v>0</v>
      </c>
      <c r="BB140" s="180">
        <f t="shared" si="25"/>
        <v>0</v>
      </c>
      <c r="BC140" s="180">
        <f t="shared" si="25"/>
        <v>0</v>
      </c>
      <c r="BD140" s="180">
        <f t="shared" si="25"/>
        <v>0</v>
      </c>
      <c r="BE140" s="180">
        <f t="shared" si="25"/>
        <v>0</v>
      </c>
      <c r="BF140" s="180">
        <f t="shared" si="25"/>
        <v>0</v>
      </c>
      <c r="BG140" s="180">
        <f t="shared" si="25"/>
        <v>0</v>
      </c>
      <c r="BH140" s="180">
        <f t="shared" si="25"/>
        <v>0</v>
      </c>
      <c r="BI140" s="180">
        <f t="shared" si="25"/>
        <v>0</v>
      </c>
      <c r="BJ140" s="180">
        <f t="shared" si="25"/>
        <v>0</v>
      </c>
      <c r="BK140" s="180">
        <f t="shared" si="25"/>
        <v>0</v>
      </c>
      <c r="BL140" s="180">
        <f t="shared" si="25"/>
        <v>0</v>
      </c>
    </row>
    <row r="141" spans="3:64" x14ac:dyDescent="0.15">
      <c r="C141" s="116" t="s">
        <v>412</v>
      </c>
      <c r="E141" s="180">
        <f t="shared" si="26"/>
        <v>0</v>
      </c>
      <c r="F141" s="180">
        <f t="shared" si="26"/>
        <v>0</v>
      </c>
      <c r="G141" s="180">
        <f t="shared" si="26"/>
        <v>0</v>
      </c>
      <c r="H141" s="180">
        <f t="shared" si="26"/>
        <v>0</v>
      </c>
      <c r="I141" s="180">
        <f t="shared" si="26"/>
        <v>0</v>
      </c>
      <c r="J141" s="180">
        <f t="shared" si="26"/>
        <v>0</v>
      </c>
      <c r="K141" s="180">
        <f t="shared" si="26"/>
        <v>0</v>
      </c>
      <c r="L141" s="180">
        <f t="shared" si="26"/>
        <v>0</v>
      </c>
      <c r="M141" s="180">
        <f t="shared" si="26"/>
        <v>0</v>
      </c>
      <c r="N141" s="180">
        <f t="shared" si="26"/>
        <v>0</v>
      </c>
      <c r="O141" s="180">
        <f t="shared" si="26"/>
        <v>0.44591614103238764</v>
      </c>
      <c r="P141" s="180">
        <f t="shared" si="26"/>
        <v>0.3485351331267178</v>
      </c>
      <c r="Q141" s="180">
        <f t="shared" si="26"/>
        <v>0.29968774499716982</v>
      </c>
      <c r="R141" s="180">
        <f t="shared" si="26"/>
        <v>0.25572881499586286</v>
      </c>
      <c r="S141" s="180">
        <f t="shared" si="26"/>
        <v>0.22336498365090501</v>
      </c>
      <c r="T141" s="180">
        <f t="shared" si="26"/>
        <v>0.19321208254543981</v>
      </c>
      <c r="U141" s="180">
        <f t="shared" si="26"/>
        <v>0.16488469891002547</v>
      </c>
      <c r="V141" s="180">
        <f t="shared" si="26"/>
        <v>0.13881100688054893</v>
      </c>
      <c r="W141" s="180">
        <f t="shared" si="26"/>
        <v>0.11462059083477563</v>
      </c>
      <c r="X141" s="180">
        <f t="shared" si="26"/>
        <v>9.1955890312828539E-2</v>
      </c>
      <c r="Y141" s="180">
        <f t="shared" si="26"/>
        <v>0</v>
      </c>
      <c r="Z141" s="180">
        <f t="shared" si="26"/>
        <v>0</v>
      </c>
      <c r="AA141" s="180">
        <f t="shared" si="26"/>
        <v>0</v>
      </c>
      <c r="AB141" s="180">
        <f t="shared" si="26"/>
        <v>0</v>
      </c>
      <c r="AC141" s="180">
        <f t="shared" si="26"/>
        <v>0</v>
      </c>
      <c r="AD141" s="180">
        <f t="shared" si="26"/>
        <v>0</v>
      </c>
      <c r="AE141" s="180">
        <f t="shared" si="26"/>
        <v>0</v>
      </c>
      <c r="AF141" s="180">
        <f t="shared" si="26"/>
        <v>0</v>
      </c>
      <c r="AG141" s="180">
        <f t="shared" si="26"/>
        <v>0</v>
      </c>
      <c r="AH141" s="180">
        <f t="shared" si="26"/>
        <v>0</v>
      </c>
      <c r="AI141" s="180">
        <f t="shared" si="26"/>
        <v>0</v>
      </c>
      <c r="AJ141" s="180">
        <f t="shared" si="26"/>
        <v>0</v>
      </c>
      <c r="AK141" s="180">
        <f t="shared" si="25"/>
        <v>0</v>
      </c>
      <c r="AL141" s="180">
        <f t="shared" si="25"/>
        <v>0</v>
      </c>
      <c r="AM141" s="180">
        <f t="shared" si="25"/>
        <v>0</v>
      </c>
      <c r="AN141" s="180">
        <f t="shared" si="25"/>
        <v>0</v>
      </c>
      <c r="AO141" s="180">
        <f t="shared" si="25"/>
        <v>0</v>
      </c>
      <c r="AP141" s="180">
        <f t="shared" si="25"/>
        <v>0</v>
      </c>
      <c r="AQ141" s="180">
        <f t="shared" si="25"/>
        <v>0</v>
      </c>
      <c r="AR141" s="180">
        <f t="shared" si="25"/>
        <v>0</v>
      </c>
      <c r="AS141" s="180">
        <f t="shared" si="25"/>
        <v>0</v>
      </c>
      <c r="AT141" s="180">
        <f t="shared" si="25"/>
        <v>0</v>
      </c>
      <c r="AU141" s="180">
        <f t="shared" si="25"/>
        <v>0</v>
      </c>
      <c r="AV141" s="180">
        <f t="shared" si="25"/>
        <v>0</v>
      </c>
      <c r="AW141" s="180">
        <f t="shared" si="25"/>
        <v>0</v>
      </c>
      <c r="AX141" s="180">
        <f t="shared" si="25"/>
        <v>0</v>
      </c>
      <c r="AY141" s="180">
        <f t="shared" si="25"/>
        <v>0</v>
      </c>
      <c r="AZ141" s="180">
        <f t="shared" si="25"/>
        <v>0</v>
      </c>
      <c r="BA141" s="180">
        <f t="shared" si="25"/>
        <v>0</v>
      </c>
      <c r="BB141" s="180">
        <f t="shared" si="25"/>
        <v>0</v>
      </c>
      <c r="BC141" s="180">
        <f t="shared" si="25"/>
        <v>0</v>
      </c>
      <c r="BD141" s="180">
        <f t="shared" si="25"/>
        <v>0</v>
      </c>
      <c r="BE141" s="180">
        <f t="shared" si="25"/>
        <v>0</v>
      </c>
      <c r="BF141" s="180">
        <f t="shared" si="25"/>
        <v>0</v>
      </c>
      <c r="BG141" s="180">
        <f t="shared" si="25"/>
        <v>0</v>
      </c>
      <c r="BH141" s="180">
        <f t="shared" si="25"/>
        <v>0</v>
      </c>
      <c r="BI141" s="180">
        <f t="shared" si="25"/>
        <v>0</v>
      </c>
      <c r="BJ141" s="180">
        <f t="shared" si="25"/>
        <v>0</v>
      </c>
      <c r="BK141" s="180">
        <f t="shared" si="25"/>
        <v>0</v>
      </c>
      <c r="BL141" s="180">
        <f t="shared" si="25"/>
        <v>0</v>
      </c>
    </row>
    <row r="142" spans="3:64" x14ac:dyDescent="0.15">
      <c r="C142" s="116" t="s">
        <v>413</v>
      </c>
      <c r="E142" s="180">
        <f t="shared" si="26"/>
        <v>0</v>
      </c>
      <c r="F142" s="180">
        <f t="shared" si="26"/>
        <v>0</v>
      </c>
      <c r="G142" s="180">
        <f t="shared" si="26"/>
        <v>0</v>
      </c>
      <c r="H142" s="180">
        <f t="shared" si="26"/>
        <v>0</v>
      </c>
      <c r="I142" s="180">
        <f t="shared" si="26"/>
        <v>0</v>
      </c>
      <c r="J142" s="180">
        <f t="shared" si="26"/>
        <v>0</v>
      </c>
      <c r="K142" s="180">
        <f t="shared" si="26"/>
        <v>0</v>
      </c>
      <c r="L142" s="180">
        <f t="shared" si="26"/>
        <v>0</v>
      </c>
      <c r="M142" s="180">
        <f t="shared" si="26"/>
        <v>0</v>
      </c>
      <c r="N142" s="180">
        <f t="shared" si="26"/>
        <v>0</v>
      </c>
      <c r="O142" s="180">
        <f t="shared" si="26"/>
        <v>0</v>
      </c>
      <c r="P142" s="180">
        <f t="shared" si="26"/>
        <v>0.44591614103238764</v>
      </c>
      <c r="Q142" s="180">
        <f t="shared" si="26"/>
        <v>0.3485351331267178</v>
      </c>
      <c r="R142" s="180">
        <f t="shared" si="26"/>
        <v>0.29968774499716982</v>
      </c>
      <c r="S142" s="180">
        <f t="shared" si="26"/>
        <v>0.25572881499586286</v>
      </c>
      <c r="T142" s="180">
        <f t="shared" si="26"/>
        <v>0.22336498365090501</v>
      </c>
      <c r="U142" s="180">
        <f t="shared" si="26"/>
        <v>0.19321208254543981</v>
      </c>
      <c r="V142" s="180">
        <f t="shared" si="26"/>
        <v>0.16488469891002547</v>
      </c>
      <c r="W142" s="180">
        <f t="shared" si="26"/>
        <v>0.13881100688054893</v>
      </c>
      <c r="X142" s="180">
        <f t="shared" si="26"/>
        <v>0.11462059083477563</v>
      </c>
      <c r="Y142" s="180">
        <f t="shared" si="26"/>
        <v>0</v>
      </c>
      <c r="Z142" s="180">
        <f t="shared" si="26"/>
        <v>0</v>
      </c>
      <c r="AA142" s="180">
        <f t="shared" si="26"/>
        <v>0</v>
      </c>
      <c r="AB142" s="180">
        <f t="shared" si="26"/>
        <v>0</v>
      </c>
      <c r="AC142" s="180">
        <f t="shared" si="26"/>
        <v>0</v>
      </c>
      <c r="AD142" s="180">
        <f t="shared" si="26"/>
        <v>0</v>
      </c>
      <c r="AE142" s="180">
        <f t="shared" si="26"/>
        <v>0</v>
      </c>
      <c r="AF142" s="180">
        <f t="shared" si="26"/>
        <v>0</v>
      </c>
      <c r="AG142" s="180">
        <f t="shared" si="26"/>
        <v>0</v>
      </c>
      <c r="AH142" s="180">
        <f t="shared" si="26"/>
        <v>0</v>
      </c>
      <c r="AI142" s="180">
        <f t="shared" si="26"/>
        <v>0</v>
      </c>
      <c r="AJ142" s="180">
        <f t="shared" ref="AJ142:BO142" si="27">IF(AJ$5&gt;$D$7,0,AJ39*$E124)</f>
        <v>0</v>
      </c>
      <c r="AK142" s="180">
        <f t="shared" si="25"/>
        <v>0</v>
      </c>
      <c r="AL142" s="180">
        <f t="shared" si="25"/>
        <v>0</v>
      </c>
      <c r="AM142" s="180">
        <f t="shared" si="25"/>
        <v>0</v>
      </c>
      <c r="AN142" s="180">
        <f t="shared" si="25"/>
        <v>0</v>
      </c>
      <c r="AO142" s="180">
        <f t="shared" si="25"/>
        <v>0</v>
      </c>
      <c r="AP142" s="180">
        <f t="shared" si="25"/>
        <v>0</v>
      </c>
      <c r="AQ142" s="180">
        <f t="shared" si="25"/>
        <v>0</v>
      </c>
      <c r="AR142" s="180">
        <f t="shared" si="25"/>
        <v>0</v>
      </c>
      <c r="AS142" s="180">
        <f t="shared" si="25"/>
        <v>0</v>
      </c>
      <c r="AT142" s="180">
        <f t="shared" si="25"/>
        <v>0</v>
      </c>
      <c r="AU142" s="180">
        <f t="shared" si="25"/>
        <v>0</v>
      </c>
      <c r="AV142" s="180">
        <f t="shared" si="25"/>
        <v>0</v>
      </c>
      <c r="AW142" s="180">
        <f t="shared" si="25"/>
        <v>0</v>
      </c>
      <c r="AX142" s="180">
        <f t="shared" si="25"/>
        <v>0</v>
      </c>
      <c r="AY142" s="180">
        <f t="shared" ref="AY142:BZ142" si="28">IF(AY$5&gt;$D$7,0,AY39*$E124)</f>
        <v>0</v>
      </c>
      <c r="AZ142" s="180">
        <f t="shared" si="28"/>
        <v>0</v>
      </c>
      <c r="BA142" s="180">
        <f t="shared" si="28"/>
        <v>0</v>
      </c>
      <c r="BB142" s="180">
        <f t="shared" si="28"/>
        <v>0</v>
      </c>
      <c r="BC142" s="180">
        <f t="shared" si="28"/>
        <v>0</v>
      </c>
      <c r="BD142" s="180">
        <f t="shared" si="28"/>
        <v>0</v>
      </c>
      <c r="BE142" s="180">
        <f t="shared" si="28"/>
        <v>0</v>
      </c>
      <c r="BF142" s="180">
        <f t="shared" si="28"/>
        <v>0</v>
      </c>
      <c r="BG142" s="180">
        <f t="shared" si="28"/>
        <v>0</v>
      </c>
      <c r="BH142" s="180">
        <f t="shared" si="28"/>
        <v>0</v>
      </c>
      <c r="BI142" s="180">
        <f t="shared" si="28"/>
        <v>0</v>
      </c>
      <c r="BJ142" s="180">
        <f t="shared" si="28"/>
        <v>0</v>
      </c>
      <c r="BK142" s="180">
        <f t="shared" si="28"/>
        <v>0</v>
      </c>
      <c r="BL142" s="180">
        <f t="shared" si="28"/>
        <v>0</v>
      </c>
    </row>
    <row r="143" spans="3:64" x14ac:dyDescent="0.15">
      <c r="C143" s="116" t="s">
        <v>415</v>
      </c>
      <c r="E143" s="180">
        <f t="shared" ref="E143:BL144" si="29">IF(E$5&gt;$D$7,0,E40*$E125)</f>
        <v>0</v>
      </c>
      <c r="F143" s="180">
        <f t="shared" si="29"/>
        <v>0</v>
      </c>
      <c r="G143" s="180">
        <f t="shared" si="29"/>
        <v>0</v>
      </c>
      <c r="H143" s="180">
        <f t="shared" si="29"/>
        <v>0</v>
      </c>
      <c r="I143" s="180">
        <f t="shared" si="29"/>
        <v>0</v>
      </c>
      <c r="J143" s="180">
        <f t="shared" si="29"/>
        <v>0</v>
      </c>
      <c r="K143" s="180">
        <f t="shared" si="29"/>
        <v>0</v>
      </c>
      <c r="L143" s="180">
        <f t="shared" si="29"/>
        <v>0</v>
      </c>
      <c r="M143" s="180">
        <f t="shared" si="29"/>
        <v>0</v>
      </c>
      <c r="N143" s="180">
        <f t="shared" si="29"/>
        <v>0</v>
      </c>
      <c r="O143" s="180">
        <f t="shared" si="29"/>
        <v>0</v>
      </c>
      <c r="P143" s="180">
        <f t="shared" si="29"/>
        <v>0</v>
      </c>
      <c r="Q143" s="180">
        <f t="shared" si="29"/>
        <v>0.44591614103238764</v>
      </c>
      <c r="R143" s="180">
        <f t="shared" si="29"/>
        <v>0.3485351331267178</v>
      </c>
      <c r="S143" s="180">
        <f t="shared" si="29"/>
        <v>0.29968774499716982</v>
      </c>
      <c r="T143" s="180">
        <f t="shared" si="29"/>
        <v>0.25572881499586286</v>
      </c>
      <c r="U143" s="180">
        <f t="shared" si="29"/>
        <v>0.22336498365090501</v>
      </c>
      <c r="V143" s="180">
        <f t="shared" si="29"/>
        <v>0.19321208254543981</v>
      </c>
      <c r="W143" s="180">
        <f t="shared" si="29"/>
        <v>0.16488469891002547</v>
      </c>
      <c r="X143" s="180">
        <f t="shared" si="29"/>
        <v>0.13881100688054893</v>
      </c>
      <c r="Y143" s="180">
        <f t="shared" si="29"/>
        <v>0</v>
      </c>
      <c r="Z143" s="180">
        <f t="shared" si="29"/>
        <v>0</v>
      </c>
      <c r="AA143" s="180">
        <f t="shared" si="29"/>
        <v>0</v>
      </c>
      <c r="AB143" s="180">
        <f t="shared" si="29"/>
        <v>0</v>
      </c>
      <c r="AC143" s="180">
        <f t="shared" si="29"/>
        <v>0</v>
      </c>
      <c r="AD143" s="180">
        <f t="shared" si="29"/>
        <v>0</v>
      </c>
      <c r="AE143" s="180">
        <f t="shared" si="29"/>
        <v>0</v>
      </c>
      <c r="AF143" s="180">
        <f t="shared" si="29"/>
        <v>0</v>
      </c>
      <c r="AG143" s="180">
        <f t="shared" si="29"/>
        <v>0</v>
      </c>
      <c r="AH143" s="180">
        <f t="shared" si="29"/>
        <v>0</v>
      </c>
      <c r="AI143" s="180">
        <f t="shared" si="29"/>
        <v>0</v>
      </c>
      <c r="AJ143" s="180">
        <f t="shared" si="29"/>
        <v>0</v>
      </c>
      <c r="AK143" s="180">
        <f t="shared" si="29"/>
        <v>0</v>
      </c>
      <c r="AL143" s="180">
        <f t="shared" si="29"/>
        <v>0</v>
      </c>
      <c r="AM143" s="180">
        <f t="shared" si="29"/>
        <v>0</v>
      </c>
      <c r="AN143" s="180">
        <f t="shared" si="29"/>
        <v>0</v>
      </c>
      <c r="AO143" s="180">
        <f t="shared" si="29"/>
        <v>0</v>
      </c>
      <c r="AP143" s="180">
        <f t="shared" si="29"/>
        <v>0</v>
      </c>
      <c r="AQ143" s="180">
        <f t="shared" si="29"/>
        <v>0</v>
      </c>
      <c r="AR143" s="180">
        <f t="shared" si="29"/>
        <v>0</v>
      </c>
      <c r="AS143" s="180">
        <f t="shared" si="29"/>
        <v>0</v>
      </c>
      <c r="AT143" s="180">
        <f t="shared" si="29"/>
        <v>0</v>
      </c>
      <c r="AU143" s="180">
        <f t="shared" si="29"/>
        <v>0</v>
      </c>
      <c r="AV143" s="180">
        <f t="shared" si="29"/>
        <v>0</v>
      </c>
      <c r="AW143" s="180">
        <f t="shared" si="29"/>
        <v>0</v>
      </c>
      <c r="AX143" s="180">
        <f t="shared" si="29"/>
        <v>0</v>
      </c>
      <c r="AY143" s="180">
        <f t="shared" si="29"/>
        <v>0</v>
      </c>
      <c r="AZ143" s="180">
        <f t="shared" si="29"/>
        <v>0</v>
      </c>
      <c r="BA143" s="180">
        <f t="shared" si="29"/>
        <v>0</v>
      </c>
      <c r="BB143" s="180">
        <f t="shared" si="29"/>
        <v>0</v>
      </c>
      <c r="BC143" s="180">
        <f t="shared" si="29"/>
        <v>0</v>
      </c>
      <c r="BD143" s="180">
        <f t="shared" si="29"/>
        <v>0</v>
      </c>
      <c r="BE143" s="180">
        <f t="shared" si="29"/>
        <v>0</v>
      </c>
      <c r="BF143" s="180">
        <f t="shared" si="29"/>
        <v>0</v>
      </c>
      <c r="BG143" s="180">
        <f t="shared" si="29"/>
        <v>0</v>
      </c>
      <c r="BH143" s="180">
        <f t="shared" si="29"/>
        <v>0</v>
      </c>
      <c r="BI143" s="180">
        <f t="shared" si="29"/>
        <v>0</v>
      </c>
      <c r="BJ143" s="180">
        <f t="shared" si="29"/>
        <v>0</v>
      </c>
      <c r="BK143" s="180">
        <f t="shared" si="29"/>
        <v>0</v>
      </c>
      <c r="BL143" s="180">
        <f t="shared" si="29"/>
        <v>0</v>
      </c>
    </row>
    <row r="144" spans="3:64" x14ac:dyDescent="0.15">
      <c r="C144" s="116" t="s">
        <v>417</v>
      </c>
      <c r="E144" s="180">
        <f t="shared" si="29"/>
        <v>0</v>
      </c>
      <c r="F144" s="180">
        <f t="shared" si="29"/>
        <v>0</v>
      </c>
      <c r="G144" s="180">
        <f t="shared" si="29"/>
        <v>0</v>
      </c>
      <c r="H144" s="180">
        <f t="shared" si="29"/>
        <v>0</v>
      </c>
      <c r="I144" s="180">
        <f t="shared" si="29"/>
        <v>0</v>
      </c>
      <c r="J144" s="180">
        <f t="shared" si="29"/>
        <v>0</v>
      </c>
      <c r="K144" s="180">
        <f t="shared" si="29"/>
        <v>0</v>
      </c>
      <c r="L144" s="180">
        <f t="shared" si="29"/>
        <v>0</v>
      </c>
      <c r="M144" s="180">
        <f t="shared" si="29"/>
        <v>0</v>
      </c>
      <c r="N144" s="180">
        <f t="shared" si="29"/>
        <v>0</v>
      </c>
      <c r="O144" s="180">
        <f t="shared" si="29"/>
        <v>0</v>
      </c>
      <c r="P144" s="180">
        <f t="shared" si="29"/>
        <v>0</v>
      </c>
      <c r="Q144" s="180">
        <f t="shared" si="29"/>
        <v>0</v>
      </c>
      <c r="R144" s="180">
        <f t="shared" si="29"/>
        <v>0.45501647044121191</v>
      </c>
      <c r="S144" s="180">
        <f t="shared" si="29"/>
        <v>0.81066456546847487</v>
      </c>
      <c r="T144" s="180">
        <f t="shared" si="29"/>
        <v>1.1164683868941585</v>
      </c>
      <c r="U144" s="180">
        <f t="shared" si="29"/>
        <v>1.3774161572981001</v>
      </c>
      <c r="V144" s="180">
        <f t="shared" si="29"/>
        <v>1.6053396100031052</v>
      </c>
      <c r="W144" s="180">
        <f t="shared" si="29"/>
        <v>1.8024947962739624</v>
      </c>
      <c r="X144" s="180">
        <f t="shared" si="29"/>
        <v>1.9707444890392944</v>
      </c>
      <c r="Y144" s="180">
        <f>IF(Y$5&gt;$D$7,0,Y41*$E126)</f>
        <v>0</v>
      </c>
      <c r="Z144" s="180">
        <f t="shared" si="29"/>
        <v>0</v>
      </c>
      <c r="AA144" s="180">
        <f t="shared" si="29"/>
        <v>0</v>
      </c>
      <c r="AB144" s="180">
        <f t="shared" si="29"/>
        <v>0</v>
      </c>
      <c r="AC144" s="180">
        <f t="shared" si="29"/>
        <v>0</v>
      </c>
      <c r="AD144" s="180">
        <f t="shared" si="29"/>
        <v>0</v>
      </c>
      <c r="AE144" s="180">
        <f t="shared" si="29"/>
        <v>0</v>
      </c>
      <c r="AF144" s="180">
        <f t="shared" si="29"/>
        <v>0</v>
      </c>
      <c r="AG144" s="180">
        <f t="shared" si="29"/>
        <v>0</v>
      </c>
      <c r="AH144" s="180">
        <f t="shared" si="29"/>
        <v>0</v>
      </c>
      <c r="AI144" s="180">
        <f t="shared" si="29"/>
        <v>0</v>
      </c>
      <c r="AJ144" s="180">
        <f t="shared" si="29"/>
        <v>0</v>
      </c>
      <c r="AK144" s="180">
        <f t="shared" si="29"/>
        <v>0</v>
      </c>
      <c r="AL144" s="180">
        <f t="shared" si="29"/>
        <v>0</v>
      </c>
      <c r="AM144" s="180">
        <f t="shared" si="29"/>
        <v>0</v>
      </c>
      <c r="AN144" s="180">
        <f t="shared" si="29"/>
        <v>0</v>
      </c>
      <c r="AO144" s="180">
        <f t="shared" si="29"/>
        <v>0</v>
      </c>
      <c r="AP144" s="180">
        <f t="shared" si="29"/>
        <v>0</v>
      </c>
      <c r="AQ144" s="180">
        <f t="shared" si="29"/>
        <v>0</v>
      </c>
      <c r="AR144" s="180">
        <f t="shared" si="29"/>
        <v>0</v>
      </c>
      <c r="AS144" s="180">
        <f t="shared" si="29"/>
        <v>0</v>
      </c>
      <c r="AT144" s="180">
        <f t="shared" si="29"/>
        <v>0</v>
      </c>
      <c r="AU144" s="180">
        <f t="shared" si="29"/>
        <v>0</v>
      </c>
      <c r="AV144" s="180">
        <f t="shared" si="29"/>
        <v>0</v>
      </c>
      <c r="AW144" s="180">
        <f t="shared" si="29"/>
        <v>0</v>
      </c>
      <c r="AX144" s="180">
        <f t="shared" si="29"/>
        <v>0</v>
      </c>
      <c r="AY144" s="180">
        <f t="shared" si="29"/>
        <v>0</v>
      </c>
      <c r="AZ144" s="180">
        <f t="shared" si="29"/>
        <v>0</v>
      </c>
      <c r="BA144" s="180">
        <f t="shared" si="29"/>
        <v>0</v>
      </c>
      <c r="BB144" s="180">
        <f t="shared" si="29"/>
        <v>0</v>
      </c>
      <c r="BC144" s="180">
        <f t="shared" si="29"/>
        <v>0</v>
      </c>
      <c r="BD144" s="180">
        <f t="shared" si="29"/>
        <v>0</v>
      </c>
      <c r="BE144" s="180">
        <f t="shared" si="29"/>
        <v>0</v>
      </c>
      <c r="BF144" s="180">
        <f t="shared" si="29"/>
        <v>0</v>
      </c>
      <c r="BG144" s="180">
        <f t="shared" si="29"/>
        <v>0</v>
      </c>
      <c r="BH144" s="180">
        <f t="shared" si="29"/>
        <v>0</v>
      </c>
      <c r="BI144" s="180">
        <f t="shared" si="29"/>
        <v>0</v>
      </c>
      <c r="BJ144" s="180">
        <f t="shared" si="29"/>
        <v>0</v>
      </c>
      <c r="BK144" s="180">
        <f t="shared" si="29"/>
        <v>0</v>
      </c>
      <c r="BL144" s="180">
        <f t="shared" si="29"/>
        <v>0</v>
      </c>
    </row>
    <row r="145" spans="2:64" x14ac:dyDescent="0.15">
      <c r="C145" s="116" t="s">
        <v>444</v>
      </c>
      <c r="E145" s="172">
        <f>IF(E$5&gt;$D$7,0,SUM(E130:E144))</f>
        <v>0.77856224867592327</v>
      </c>
      <c r="F145" s="172">
        <f t="shared" ref="F145:BL145" si="30">IF(F$5&gt;$D$7,0,SUM(F130:F144))</f>
        <v>1.0722562387731498</v>
      </c>
      <c r="G145" s="172">
        <f t="shared" si="30"/>
        <v>1.3228704774690954</v>
      </c>
      <c r="H145" s="172">
        <f t="shared" si="30"/>
        <v>1.5417681614469823</v>
      </c>
      <c r="I145" s="172">
        <f t="shared" si="30"/>
        <v>1.7311160023415133</v>
      </c>
      <c r="J145" s="172">
        <f t="shared" si="30"/>
        <v>1.8927030072733384</v>
      </c>
      <c r="K145" s="172">
        <f t="shared" si="30"/>
        <v>2.0287377940162763</v>
      </c>
      <c r="L145" s="172">
        <f t="shared" si="30"/>
        <v>2.1499842958550039</v>
      </c>
      <c r="M145" s="172">
        <f t="shared" si="30"/>
        <v>2.2470717710241104</v>
      </c>
      <c r="N145" s="172">
        <f t="shared" si="30"/>
        <v>2.3224641045040579</v>
      </c>
      <c r="O145" s="172">
        <f t="shared" si="30"/>
        <v>2.377714140273588</v>
      </c>
      <c r="P145" s="172">
        <f t="shared" si="30"/>
        <v>2.4144567362792069</v>
      </c>
      <c r="Q145" s="172">
        <f t="shared" si="30"/>
        <v>2.4340569661425846</v>
      </c>
      <c r="R145" s="172">
        <f t="shared" si="30"/>
        <v>2.446454989529609</v>
      </c>
      <c r="S145" s="172">
        <f t="shared" si="30"/>
        <v>2.4563441715677654</v>
      </c>
      <c r="T145" s="172">
        <f t="shared" si="30"/>
        <v>2.4647526598129748</v>
      </c>
      <c r="U145" s="172">
        <f t="shared" si="30"/>
        <v>2.4718107330273105</v>
      </c>
      <c r="V145" s="172">
        <f t="shared" si="30"/>
        <v>2.477785499603451</v>
      </c>
      <c r="W145" s="172">
        <f t="shared" si="30"/>
        <v>2.4827517759711055</v>
      </c>
      <c r="X145" s="172">
        <f t="shared" si="30"/>
        <v>2.486775449343404</v>
      </c>
      <c r="Y145" s="172">
        <f t="shared" si="30"/>
        <v>0</v>
      </c>
      <c r="Z145" s="172">
        <f t="shared" si="30"/>
        <v>0</v>
      </c>
      <c r="AA145" s="172">
        <f t="shared" si="30"/>
        <v>0</v>
      </c>
      <c r="AB145" s="172">
        <f t="shared" si="30"/>
        <v>0</v>
      </c>
      <c r="AC145" s="172">
        <f t="shared" si="30"/>
        <v>0</v>
      </c>
      <c r="AD145" s="172">
        <f t="shared" si="30"/>
        <v>0</v>
      </c>
      <c r="AE145" s="172">
        <f t="shared" si="30"/>
        <v>0</v>
      </c>
      <c r="AF145" s="172">
        <f t="shared" si="30"/>
        <v>0</v>
      </c>
      <c r="AG145" s="172">
        <f t="shared" si="30"/>
        <v>0</v>
      </c>
      <c r="AH145" s="172">
        <f t="shared" si="30"/>
        <v>0</v>
      </c>
      <c r="AI145" s="172">
        <f t="shared" si="30"/>
        <v>0</v>
      </c>
      <c r="AJ145" s="172">
        <f t="shared" si="30"/>
        <v>0</v>
      </c>
      <c r="AK145" s="172">
        <f t="shared" si="30"/>
        <v>0</v>
      </c>
      <c r="AL145" s="172">
        <f t="shared" si="30"/>
        <v>0</v>
      </c>
      <c r="AM145" s="172">
        <f t="shared" si="30"/>
        <v>0</v>
      </c>
      <c r="AN145" s="172">
        <f t="shared" si="30"/>
        <v>0</v>
      </c>
      <c r="AO145" s="172">
        <f t="shared" si="30"/>
        <v>0</v>
      </c>
      <c r="AP145" s="172">
        <f t="shared" si="30"/>
        <v>0</v>
      </c>
      <c r="AQ145" s="172">
        <f t="shared" si="30"/>
        <v>0</v>
      </c>
      <c r="AR145" s="172">
        <f t="shared" si="30"/>
        <v>0</v>
      </c>
      <c r="AS145" s="172">
        <f t="shared" si="30"/>
        <v>0</v>
      </c>
      <c r="AT145" s="172">
        <f t="shared" si="30"/>
        <v>0</v>
      </c>
      <c r="AU145" s="172">
        <f t="shared" si="30"/>
        <v>0</v>
      </c>
      <c r="AV145" s="172">
        <f t="shared" si="30"/>
        <v>0</v>
      </c>
      <c r="AW145" s="172">
        <f t="shared" si="30"/>
        <v>0</v>
      </c>
      <c r="AX145" s="172">
        <f t="shared" si="30"/>
        <v>0</v>
      </c>
      <c r="AY145" s="172">
        <f t="shared" si="30"/>
        <v>0</v>
      </c>
      <c r="AZ145" s="172">
        <f t="shared" si="30"/>
        <v>0</v>
      </c>
      <c r="BA145" s="172">
        <f t="shared" si="30"/>
        <v>0</v>
      </c>
      <c r="BB145" s="172">
        <f t="shared" si="30"/>
        <v>0</v>
      </c>
      <c r="BC145" s="172">
        <f t="shared" si="30"/>
        <v>0</v>
      </c>
      <c r="BD145" s="172">
        <f t="shared" si="30"/>
        <v>0</v>
      </c>
      <c r="BE145" s="172">
        <f t="shared" si="30"/>
        <v>0</v>
      </c>
      <c r="BF145" s="172">
        <f t="shared" si="30"/>
        <v>0</v>
      </c>
      <c r="BG145" s="172">
        <f t="shared" si="30"/>
        <v>0</v>
      </c>
      <c r="BH145" s="172">
        <f t="shared" si="30"/>
        <v>0</v>
      </c>
      <c r="BI145" s="172">
        <f t="shared" si="30"/>
        <v>0</v>
      </c>
      <c r="BJ145" s="172">
        <f t="shared" si="30"/>
        <v>0</v>
      </c>
      <c r="BK145" s="172">
        <f t="shared" si="30"/>
        <v>0</v>
      </c>
      <c r="BL145" s="172">
        <f t="shared" si="30"/>
        <v>0</v>
      </c>
    </row>
    <row r="146" spans="2:64" s="188" customFormat="1" x14ac:dyDescent="0.15">
      <c r="C146" s="188" t="s">
        <v>443</v>
      </c>
      <c r="E146" s="327">
        <f t="shared" ref="E146:BL146" si="31">-IF(E5&gt;$D$7,0,E145-D145)</f>
        <v>-0.77856224867592327</v>
      </c>
      <c r="F146" s="327">
        <f t="shared" si="31"/>
        <v>-0.29369399009722652</v>
      </c>
      <c r="G146" s="327">
        <f t="shared" si="31"/>
        <v>-0.25061423869594557</v>
      </c>
      <c r="H146" s="327">
        <f t="shared" si="31"/>
        <v>-0.21889768397788689</v>
      </c>
      <c r="I146" s="327">
        <f t="shared" si="31"/>
        <v>-0.18934784089453105</v>
      </c>
      <c r="J146" s="327">
        <f t="shared" si="31"/>
        <v>-0.1615870049318251</v>
      </c>
      <c r="K146" s="327">
        <f t="shared" si="31"/>
        <v>-0.1360347867429379</v>
      </c>
      <c r="L146" s="327">
        <f t="shared" si="31"/>
        <v>-0.12124650183872765</v>
      </c>
      <c r="M146" s="327">
        <f t="shared" si="31"/>
        <v>-9.708747516910643E-2</v>
      </c>
      <c r="N146" s="327">
        <f t="shared" si="31"/>
        <v>-7.539233347994756E-2</v>
      </c>
      <c r="O146" s="327">
        <f t="shared" si="31"/>
        <v>-5.5250035769530026E-2</v>
      </c>
      <c r="P146" s="327">
        <f t="shared" si="31"/>
        <v>-3.674259600561891E-2</v>
      </c>
      <c r="Q146" s="327">
        <f t="shared" si="31"/>
        <v>-1.9600229863377727E-2</v>
      </c>
      <c r="R146" s="327">
        <f t="shared" si="31"/>
        <v>-1.2398023387024448E-2</v>
      </c>
      <c r="S146" s="327">
        <f t="shared" si="31"/>
        <v>-9.8891820381563633E-3</v>
      </c>
      <c r="T146" s="327">
        <f t="shared" si="31"/>
        <v>-8.4084882452093446E-3</v>
      </c>
      <c r="U146" s="327">
        <f t="shared" si="31"/>
        <v>-7.0580732143357139E-3</v>
      </c>
      <c r="V146" s="327">
        <f t="shared" si="31"/>
        <v>-5.9747665761404889E-3</v>
      </c>
      <c r="W146" s="327">
        <f t="shared" si="31"/>
        <v>-4.9662763676545651E-3</v>
      </c>
      <c r="X146" s="327">
        <f t="shared" si="31"/>
        <v>-4.0236733722984752E-3</v>
      </c>
      <c r="Y146" s="327">
        <f t="shared" si="31"/>
        <v>0</v>
      </c>
      <c r="Z146" s="327">
        <f t="shared" si="31"/>
        <v>0</v>
      </c>
      <c r="AA146" s="327">
        <f t="shared" si="31"/>
        <v>0</v>
      </c>
      <c r="AB146" s="327">
        <f t="shared" si="31"/>
        <v>0</v>
      </c>
      <c r="AC146" s="327">
        <f t="shared" si="31"/>
        <v>0</v>
      </c>
      <c r="AD146" s="327">
        <f t="shared" si="31"/>
        <v>0</v>
      </c>
      <c r="AE146" s="327">
        <f t="shared" si="31"/>
        <v>0</v>
      </c>
      <c r="AF146" s="327">
        <f t="shared" si="31"/>
        <v>0</v>
      </c>
      <c r="AG146" s="327">
        <f t="shared" si="31"/>
        <v>0</v>
      </c>
      <c r="AH146" s="327">
        <f t="shared" si="31"/>
        <v>0</v>
      </c>
      <c r="AI146" s="327">
        <f t="shared" si="31"/>
        <v>0</v>
      </c>
      <c r="AJ146" s="327">
        <f t="shared" si="31"/>
        <v>0</v>
      </c>
      <c r="AK146" s="327">
        <f t="shared" si="31"/>
        <v>0</v>
      </c>
      <c r="AL146" s="327">
        <f t="shared" si="31"/>
        <v>0</v>
      </c>
      <c r="AM146" s="327">
        <f t="shared" si="31"/>
        <v>0</v>
      </c>
      <c r="AN146" s="327">
        <f t="shared" si="31"/>
        <v>0</v>
      </c>
      <c r="AO146" s="327">
        <f t="shared" si="31"/>
        <v>0</v>
      </c>
      <c r="AP146" s="327">
        <f t="shared" si="31"/>
        <v>0</v>
      </c>
      <c r="AQ146" s="327">
        <f t="shared" si="31"/>
        <v>0</v>
      </c>
      <c r="AR146" s="327">
        <f t="shared" si="31"/>
        <v>0</v>
      </c>
      <c r="AS146" s="327">
        <f t="shared" si="31"/>
        <v>0</v>
      </c>
      <c r="AT146" s="327">
        <f t="shared" si="31"/>
        <v>0</v>
      </c>
      <c r="AU146" s="327">
        <f t="shared" si="31"/>
        <v>0</v>
      </c>
      <c r="AV146" s="327">
        <f t="shared" si="31"/>
        <v>0</v>
      </c>
      <c r="AW146" s="327">
        <f t="shared" si="31"/>
        <v>0</v>
      </c>
      <c r="AX146" s="327">
        <f t="shared" si="31"/>
        <v>0</v>
      </c>
      <c r="AY146" s="327">
        <f t="shared" si="31"/>
        <v>0</v>
      </c>
      <c r="AZ146" s="327">
        <f t="shared" si="31"/>
        <v>0</v>
      </c>
      <c r="BA146" s="327">
        <f t="shared" si="31"/>
        <v>0</v>
      </c>
      <c r="BB146" s="327">
        <f t="shared" si="31"/>
        <v>0</v>
      </c>
      <c r="BC146" s="327">
        <f t="shared" si="31"/>
        <v>0</v>
      </c>
      <c r="BD146" s="327">
        <f t="shared" si="31"/>
        <v>0</v>
      </c>
      <c r="BE146" s="327">
        <f t="shared" si="31"/>
        <v>0</v>
      </c>
      <c r="BF146" s="327">
        <f t="shared" si="31"/>
        <v>0</v>
      </c>
      <c r="BG146" s="327">
        <f t="shared" si="31"/>
        <v>0</v>
      </c>
      <c r="BH146" s="327">
        <f t="shared" si="31"/>
        <v>0</v>
      </c>
      <c r="BI146" s="327">
        <f t="shared" si="31"/>
        <v>0</v>
      </c>
      <c r="BJ146" s="327">
        <f t="shared" si="31"/>
        <v>0</v>
      </c>
      <c r="BK146" s="327">
        <f t="shared" si="31"/>
        <v>0</v>
      </c>
      <c r="BL146" s="327">
        <f t="shared" si="31"/>
        <v>0</v>
      </c>
    </row>
    <row r="148" spans="2:64" x14ac:dyDescent="0.15">
      <c r="B148" s="188" t="s">
        <v>445</v>
      </c>
      <c r="Y148" s="116" t="s">
        <v>446</v>
      </c>
    </row>
    <row r="149" spans="2:64" s="188" customFormat="1" x14ac:dyDescent="0.15">
      <c r="C149" s="188" t="s">
        <v>443</v>
      </c>
    </row>
    <row r="150" spans="2:64" s="188" customFormat="1" x14ac:dyDescent="0.15">
      <c r="C150" s="116" t="s">
        <v>398</v>
      </c>
      <c r="E150" s="180">
        <f t="shared" ref="E150:BL154" si="32">IF(E$5&gt;$D$7,0,E27*$F112)</f>
        <v>9.4844162414819869E-2</v>
      </c>
      <c r="F150" s="180">
        <f t="shared" si="32"/>
        <v>8.1551701560911627E-2</v>
      </c>
      <c r="G150" s="180">
        <f t="shared" si="32"/>
        <v>6.95894989008147E-2</v>
      </c>
      <c r="H150" s="180">
        <f t="shared" si="32"/>
        <v>6.0782580502344322E-2</v>
      </c>
      <c r="I150" s="180">
        <f t="shared" si="32"/>
        <v>5.2577305401182599E-2</v>
      </c>
      <c r="J150" s="180">
        <f t="shared" si="32"/>
        <v>4.4868794209780433E-2</v>
      </c>
      <c r="K150" s="180">
        <f t="shared" si="32"/>
        <v>3.7773562634665241E-2</v>
      </c>
      <c r="L150" s="180">
        <f t="shared" si="32"/>
        <v>3.1190812345634155E-2</v>
      </c>
      <c r="M150" s="180">
        <f t="shared" si="32"/>
        <v>2.5023243188107468E-2</v>
      </c>
      <c r="N150" s="180">
        <f t="shared" si="32"/>
        <v>1.927030296818262E-2</v>
      </c>
      <c r="O150" s="180">
        <f t="shared" si="32"/>
        <v>1.3921401751978381E-2</v>
      </c>
      <c r="P150" s="180">
        <f t="shared" si="32"/>
        <v>8.9620674002723021E-3</v>
      </c>
      <c r="Q150" s="180">
        <f t="shared" si="32"/>
        <v>4.3695024676686347E-3</v>
      </c>
      <c r="R150" s="180">
        <f t="shared" si="32"/>
        <v>0</v>
      </c>
      <c r="S150" s="180">
        <f t="shared" si="32"/>
        <v>0</v>
      </c>
      <c r="T150" s="180">
        <f t="shared" si="32"/>
        <v>0</v>
      </c>
      <c r="U150" s="180">
        <f t="shared" si="32"/>
        <v>0</v>
      </c>
      <c r="V150" s="180">
        <f t="shared" si="32"/>
        <v>0</v>
      </c>
      <c r="W150" s="180">
        <f t="shared" si="32"/>
        <v>0</v>
      </c>
      <c r="X150" s="180">
        <f t="shared" si="32"/>
        <v>0</v>
      </c>
      <c r="Y150" s="180">
        <f t="shared" si="32"/>
        <v>0</v>
      </c>
      <c r="Z150" s="180">
        <f t="shared" si="32"/>
        <v>0</v>
      </c>
      <c r="AA150" s="180">
        <f t="shared" si="32"/>
        <v>0</v>
      </c>
      <c r="AB150" s="180">
        <f t="shared" si="32"/>
        <v>0</v>
      </c>
      <c r="AC150" s="180">
        <f t="shared" si="32"/>
        <v>0</v>
      </c>
      <c r="AD150" s="180">
        <f t="shared" si="32"/>
        <v>0</v>
      </c>
      <c r="AE150" s="180">
        <f t="shared" si="32"/>
        <v>0</v>
      </c>
      <c r="AF150" s="180">
        <f t="shared" si="32"/>
        <v>0</v>
      </c>
      <c r="AG150" s="180">
        <f t="shared" si="32"/>
        <v>0</v>
      </c>
      <c r="AH150" s="180">
        <f t="shared" si="32"/>
        <v>0</v>
      </c>
      <c r="AI150" s="180">
        <f t="shared" si="32"/>
        <v>0</v>
      </c>
      <c r="AJ150" s="180">
        <f t="shared" si="32"/>
        <v>0</v>
      </c>
      <c r="AK150" s="180">
        <f t="shared" si="32"/>
        <v>0</v>
      </c>
      <c r="AL150" s="180">
        <f t="shared" si="32"/>
        <v>0</v>
      </c>
      <c r="AM150" s="180">
        <f t="shared" si="32"/>
        <v>0</v>
      </c>
      <c r="AN150" s="180">
        <f t="shared" si="32"/>
        <v>0</v>
      </c>
      <c r="AO150" s="180">
        <f t="shared" si="32"/>
        <v>0</v>
      </c>
      <c r="AP150" s="180">
        <f t="shared" si="32"/>
        <v>0</v>
      </c>
      <c r="AQ150" s="180">
        <f t="shared" si="32"/>
        <v>0</v>
      </c>
      <c r="AR150" s="180">
        <f t="shared" si="32"/>
        <v>0</v>
      </c>
      <c r="AS150" s="180">
        <f t="shared" si="32"/>
        <v>0</v>
      </c>
      <c r="AT150" s="180">
        <f t="shared" si="32"/>
        <v>0</v>
      </c>
      <c r="AU150" s="180">
        <f t="shared" si="32"/>
        <v>0</v>
      </c>
      <c r="AV150" s="180">
        <f t="shared" si="32"/>
        <v>0</v>
      </c>
      <c r="AW150" s="180">
        <f t="shared" si="32"/>
        <v>0</v>
      </c>
      <c r="AX150" s="180">
        <f t="shared" si="32"/>
        <v>0</v>
      </c>
      <c r="AY150" s="180">
        <f t="shared" si="32"/>
        <v>0</v>
      </c>
      <c r="AZ150" s="180">
        <f t="shared" si="32"/>
        <v>0</v>
      </c>
      <c r="BA150" s="180">
        <f t="shared" si="32"/>
        <v>0</v>
      </c>
      <c r="BB150" s="180">
        <f t="shared" si="32"/>
        <v>0</v>
      </c>
      <c r="BC150" s="180">
        <f t="shared" si="32"/>
        <v>0</v>
      </c>
      <c r="BD150" s="180">
        <f t="shared" si="32"/>
        <v>0</v>
      </c>
      <c r="BE150" s="180">
        <f t="shared" si="32"/>
        <v>0</v>
      </c>
      <c r="BF150" s="180">
        <f t="shared" si="32"/>
        <v>0</v>
      </c>
      <c r="BG150" s="180">
        <f t="shared" si="32"/>
        <v>0</v>
      </c>
      <c r="BH150" s="180">
        <f t="shared" si="32"/>
        <v>0</v>
      </c>
      <c r="BI150" s="180">
        <f t="shared" si="32"/>
        <v>0</v>
      </c>
      <c r="BJ150" s="180">
        <f t="shared" si="32"/>
        <v>0</v>
      </c>
      <c r="BK150" s="180">
        <f t="shared" si="32"/>
        <v>0</v>
      </c>
      <c r="BL150" s="180">
        <f t="shared" si="32"/>
        <v>0</v>
      </c>
    </row>
    <row r="151" spans="2:64" s="188" customFormat="1" x14ac:dyDescent="0.15">
      <c r="C151" s="116" t="s">
        <v>400</v>
      </c>
      <c r="E151" s="180">
        <f t="shared" si="32"/>
        <v>4.7445387002758292E-2</v>
      </c>
      <c r="F151" s="180">
        <f t="shared" si="32"/>
        <v>3.7084067504194573E-2</v>
      </c>
      <c r="G151" s="180">
        <f t="shared" si="32"/>
        <v>3.1886715310316449E-2</v>
      </c>
      <c r="H151" s="180">
        <f t="shared" si="32"/>
        <v>2.7209494070218547E-2</v>
      </c>
      <c r="I151" s="180">
        <f t="shared" si="32"/>
        <v>2.376598897641663E-2</v>
      </c>
      <c r="J151" s="180">
        <f t="shared" si="32"/>
        <v>2.0557726411862397E-2</v>
      </c>
      <c r="K151" s="180">
        <f t="shared" si="32"/>
        <v>1.7543698536024149E-2</v>
      </c>
      <c r="L151" s="180">
        <f t="shared" si="32"/>
        <v>1.4769462990154109E-2</v>
      </c>
      <c r="M151" s="180">
        <f t="shared" si="32"/>
        <v>1.2195607627142955E-2</v>
      </c>
      <c r="N151" s="180">
        <f t="shared" si="32"/>
        <v>9.7840880865500204E-3</v>
      </c>
      <c r="O151" s="180">
        <f t="shared" si="32"/>
        <v>7.5346884605594043E-3</v>
      </c>
      <c r="P151" s="180">
        <f t="shared" si="32"/>
        <v>5.4432680850235466E-3</v>
      </c>
      <c r="Q151" s="180">
        <f t="shared" si="32"/>
        <v>3.50416835350647E-3</v>
      </c>
      <c r="R151" s="180">
        <f t="shared" si="32"/>
        <v>1.7084754648584359E-3</v>
      </c>
      <c r="S151" s="180">
        <f t="shared" si="32"/>
        <v>0</v>
      </c>
      <c r="T151" s="180">
        <f t="shared" si="32"/>
        <v>0</v>
      </c>
      <c r="U151" s="180">
        <f t="shared" si="32"/>
        <v>0</v>
      </c>
      <c r="V151" s="180">
        <f t="shared" si="32"/>
        <v>0</v>
      </c>
      <c r="W151" s="180">
        <f t="shared" si="32"/>
        <v>0</v>
      </c>
      <c r="X151" s="180">
        <f t="shared" si="32"/>
        <v>0</v>
      </c>
      <c r="Y151" s="180">
        <f t="shared" si="32"/>
        <v>0</v>
      </c>
      <c r="Z151" s="180">
        <f t="shared" si="32"/>
        <v>0</v>
      </c>
      <c r="AA151" s="180">
        <f t="shared" si="32"/>
        <v>0</v>
      </c>
      <c r="AB151" s="180">
        <f t="shared" si="32"/>
        <v>0</v>
      </c>
      <c r="AC151" s="180">
        <f t="shared" si="32"/>
        <v>0</v>
      </c>
      <c r="AD151" s="180">
        <f t="shared" si="32"/>
        <v>0</v>
      </c>
      <c r="AE151" s="180">
        <f t="shared" si="32"/>
        <v>0</v>
      </c>
      <c r="AF151" s="180">
        <f t="shared" si="32"/>
        <v>0</v>
      </c>
      <c r="AG151" s="180">
        <f t="shared" si="32"/>
        <v>0</v>
      </c>
      <c r="AH151" s="180">
        <f t="shared" si="32"/>
        <v>0</v>
      </c>
      <c r="AI151" s="180">
        <f t="shared" si="32"/>
        <v>0</v>
      </c>
      <c r="AJ151" s="180">
        <f t="shared" si="32"/>
        <v>0</v>
      </c>
      <c r="AK151" s="180">
        <f t="shared" si="32"/>
        <v>0</v>
      </c>
      <c r="AL151" s="180">
        <f t="shared" si="32"/>
        <v>0</v>
      </c>
      <c r="AM151" s="180">
        <f t="shared" si="32"/>
        <v>0</v>
      </c>
      <c r="AN151" s="180">
        <f t="shared" si="32"/>
        <v>0</v>
      </c>
      <c r="AO151" s="180">
        <f t="shared" si="32"/>
        <v>0</v>
      </c>
      <c r="AP151" s="180">
        <f t="shared" si="32"/>
        <v>0</v>
      </c>
      <c r="AQ151" s="180">
        <f t="shared" si="32"/>
        <v>0</v>
      </c>
      <c r="AR151" s="180">
        <f t="shared" si="32"/>
        <v>0</v>
      </c>
      <c r="AS151" s="180">
        <f t="shared" si="32"/>
        <v>0</v>
      </c>
      <c r="AT151" s="180">
        <f t="shared" si="32"/>
        <v>0</v>
      </c>
      <c r="AU151" s="180">
        <f t="shared" si="32"/>
        <v>0</v>
      </c>
      <c r="AV151" s="180">
        <f t="shared" si="32"/>
        <v>0</v>
      </c>
      <c r="AW151" s="180">
        <f t="shared" si="32"/>
        <v>0</v>
      </c>
      <c r="AX151" s="180">
        <f t="shared" si="32"/>
        <v>0</v>
      </c>
      <c r="AY151" s="180">
        <f t="shared" si="32"/>
        <v>0</v>
      </c>
      <c r="AZ151" s="180">
        <f t="shared" si="32"/>
        <v>0</v>
      </c>
      <c r="BA151" s="180">
        <f t="shared" si="32"/>
        <v>0</v>
      </c>
      <c r="BB151" s="180">
        <f t="shared" si="32"/>
        <v>0</v>
      </c>
      <c r="BC151" s="180">
        <f t="shared" si="32"/>
        <v>0</v>
      </c>
      <c r="BD151" s="180">
        <f t="shared" si="32"/>
        <v>0</v>
      </c>
      <c r="BE151" s="180">
        <f t="shared" si="32"/>
        <v>0</v>
      </c>
      <c r="BF151" s="180">
        <f t="shared" si="32"/>
        <v>0</v>
      </c>
      <c r="BG151" s="180">
        <f t="shared" si="32"/>
        <v>0</v>
      </c>
      <c r="BH151" s="180">
        <f t="shared" si="32"/>
        <v>0</v>
      </c>
      <c r="BI151" s="180">
        <f t="shared" si="32"/>
        <v>0</v>
      </c>
      <c r="BJ151" s="180">
        <f t="shared" si="32"/>
        <v>0</v>
      </c>
      <c r="BK151" s="180">
        <f t="shared" si="32"/>
        <v>0</v>
      </c>
      <c r="BL151" s="180">
        <f t="shared" si="32"/>
        <v>0</v>
      </c>
    </row>
    <row r="152" spans="2:64" s="188" customFormat="1" x14ac:dyDescent="0.15">
      <c r="C152" s="116" t="s">
        <v>401</v>
      </c>
      <c r="E152" s="180">
        <f t="shared" si="32"/>
        <v>0</v>
      </c>
      <c r="F152" s="180">
        <f t="shared" si="32"/>
        <v>3.1805442902469616E-2</v>
      </c>
      <c r="G152" s="180">
        <f t="shared" si="32"/>
        <v>2.4859638968218748E-2</v>
      </c>
      <c r="H152" s="180">
        <f t="shared" si="32"/>
        <v>2.1375547070374066E-2</v>
      </c>
      <c r="I152" s="180">
        <f t="shared" si="32"/>
        <v>1.8240129646431385E-2</v>
      </c>
      <c r="J152" s="180">
        <f t="shared" si="32"/>
        <v>1.5931744963239462E-2</v>
      </c>
      <c r="K152" s="180">
        <f t="shared" si="32"/>
        <v>1.3781057230264954E-2</v>
      </c>
      <c r="L152" s="180">
        <f t="shared" si="32"/>
        <v>1.1760576471917424E-2</v>
      </c>
      <c r="M152" s="180">
        <f t="shared" si="32"/>
        <v>9.9008426637172391E-3</v>
      </c>
      <c r="N152" s="180">
        <f t="shared" si="32"/>
        <v>8.1754355175450051E-3</v>
      </c>
      <c r="O152" s="180">
        <f t="shared" si="32"/>
        <v>6.5588516534053915E-3</v>
      </c>
      <c r="P152" s="180">
        <f t="shared" si="32"/>
        <v>5.0509463355475816E-3</v>
      </c>
      <c r="Q152" s="180">
        <f t="shared" si="32"/>
        <v>3.6489438324317325E-3</v>
      </c>
      <c r="R152" s="180">
        <f t="shared" si="32"/>
        <v>2.3490508462205534E-3</v>
      </c>
      <c r="S152" s="180">
        <f t="shared" si="32"/>
        <v>1.1452919299544584E-3</v>
      </c>
      <c r="T152" s="180">
        <f t="shared" si="32"/>
        <v>0</v>
      </c>
      <c r="U152" s="180">
        <f t="shared" si="32"/>
        <v>0</v>
      </c>
      <c r="V152" s="180">
        <f t="shared" si="32"/>
        <v>0</v>
      </c>
      <c r="W152" s="180">
        <f t="shared" si="32"/>
        <v>0</v>
      </c>
      <c r="X152" s="180">
        <f t="shared" si="32"/>
        <v>0</v>
      </c>
      <c r="Y152" s="180">
        <f t="shared" si="32"/>
        <v>0</v>
      </c>
      <c r="Z152" s="180">
        <f t="shared" si="32"/>
        <v>0</v>
      </c>
      <c r="AA152" s="180">
        <f t="shared" si="32"/>
        <v>0</v>
      </c>
      <c r="AB152" s="180">
        <f t="shared" si="32"/>
        <v>0</v>
      </c>
      <c r="AC152" s="180">
        <f t="shared" si="32"/>
        <v>0</v>
      </c>
      <c r="AD152" s="180">
        <f t="shared" si="32"/>
        <v>0</v>
      </c>
      <c r="AE152" s="180">
        <f t="shared" si="32"/>
        <v>0</v>
      </c>
      <c r="AF152" s="180">
        <f t="shared" si="32"/>
        <v>0</v>
      </c>
      <c r="AG152" s="180">
        <f t="shared" si="32"/>
        <v>0</v>
      </c>
      <c r="AH152" s="180">
        <f t="shared" si="32"/>
        <v>0</v>
      </c>
      <c r="AI152" s="180">
        <f t="shared" si="32"/>
        <v>0</v>
      </c>
      <c r="AJ152" s="180">
        <f t="shared" si="32"/>
        <v>0</v>
      </c>
      <c r="AK152" s="180">
        <f t="shared" si="32"/>
        <v>0</v>
      </c>
      <c r="AL152" s="180">
        <f t="shared" si="32"/>
        <v>0</v>
      </c>
      <c r="AM152" s="180">
        <f t="shared" si="32"/>
        <v>0</v>
      </c>
      <c r="AN152" s="180">
        <f t="shared" si="32"/>
        <v>0</v>
      </c>
      <c r="AO152" s="180">
        <f t="shared" si="32"/>
        <v>0</v>
      </c>
      <c r="AP152" s="180">
        <f t="shared" si="32"/>
        <v>0</v>
      </c>
      <c r="AQ152" s="180">
        <f t="shared" si="32"/>
        <v>0</v>
      </c>
      <c r="AR152" s="180">
        <f t="shared" si="32"/>
        <v>0</v>
      </c>
      <c r="AS152" s="180">
        <f t="shared" si="32"/>
        <v>0</v>
      </c>
      <c r="AT152" s="180">
        <f t="shared" si="32"/>
        <v>0</v>
      </c>
      <c r="AU152" s="180">
        <f t="shared" si="32"/>
        <v>0</v>
      </c>
      <c r="AV152" s="180">
        <f t="shared" si="32"/>
        <v>0</v>
      </c>
      <c r="AW152" s="180">
        <f t="shared" si="32"/>
        <v>0</v>
      </c>
      <c r="AX152" s="180">
        <f t="shared" si="32"/>
        <v>0</v>
      </c>
      <c r="AY152" s="180">
        <f t="shared" si="32"/>
        <v>0</v>
      </c>
      <c r="AZ152" s="180">
        <f t="shared" si="32"/>
        <v>0</v>
      </c>
      <c r="BA152" s="180">
        <f t="shared" si="32"/>
        <v>0</v>
      </c>
      <c r="BB152" s="180">
        <f t="shared" si="32"/>
        <v>0</v>
      </c>
      <c r="BC152" s="180">
        <f t="shared" si="32"/>
        <v>0</v>
      </c>
      <c r="BD152" s="180">
        <f t="shared" si="32"/>
        <v>0</v>
      </c>
      <c r="BE152" s="180">
        <f t="shared" si="32"/>
        <v>0</v>
      </c>
      <c r="BF152" s="180">
        <f t="shared" si="32"/>
        <v>0</v>
      </c>
      <c r="BG152" s="180">
        <f t="shared" si="32"/>
        <v>0</v>
      </c>
      <c r="BH152" s="180">
        <f t="shared" si="32"/>
        <v>0</v>
      </c>
      <c r="BI152" s="180">
        <f t="shared" si="32"/>
        <v>0</v>
      </c>
      <c r="BJ152" s="180">
        <f t="shared" si="32"/>
        <v>0</v>
      </c>
      <c r="BK152" s="180">
        <f t="shared" si="32"/>
        <v>0</v>
      </c>
      <c r="BL152" s="180">
        <f t="shared" si="32"/>
        <v>0</v>
      </c>
    </row>
    <row r="153" spans="2:64" s="188" customFormat="1" x14ac:dyDescent="0.15">
      <c r="C153" s="116" t="s">
        <v>402</v>
      </c>
      <c r="E153" s="180">
        <f t="shared" si="32"/>
        <v>0</v>
      </c>
      <c r="F153" s="180">
        <f t="shared" si="32"/>
        <v>0</v>
      </c>
      <c r="G153" s="180">
        <f t="shared" si="32"/>
        <v>2.8942953041247353E-2</v>
      </c>
      <c r="H153" s="180">
        <f t="shared" si="32"/>
        <v>2.2622271461079063E-2</v>
      </c>
      <c r="I153" s="180">
        <f t="shared" si="32"/>
        <v>1.9451747834040401E-2</v>
      </c>
      <c r="J153" s="180">
        <f t="shared" si="32"/>
        <v>1.6598517978252559E-2</v>
      </c>
      <c r="K153" s="180">
        <f t="shared" si="32"/>
        <v>1.449788791654791E-2</v>
      </c>
      <c r="L153" s="180">
        <f t="shared" si="32"/>
        <v>1.254076207954111E-2</v>
      </c>
      <c r="M153" s="180">
        <f t="shared" si="32"/>
        <v>1.0702124589444856E-2</v>
      </c>
      <c r="N153" s="180">
        <f t="shared" si="32"/>
        <v>9.0097668239826883E-3</v>
      </c>
      <c r="O153" s="180">
        <f t="shared" si="32"/>
        <v>7.4396463209659546E-3</v>
      </c>
      <c r="P153" s="180">
        <f t="shared" si="32"/>
        <v>5.9685550045989067E-3</v>
      </c>
      <c r="Q153" s="180">
        <f t="shared" si="32"/>
        <v>4.5963611653482995E-3</v>
      </c>
      <c r="R153" s="180">
        <f t="shared" si="32"/>
        <v>3.3205388875128762E-3</v>
      </c>
      <c r="S153" s="180">
        <f t="shared" si="32"/>
        <v>2.1376362700607035E-3</v>
      </c>
      <c r="T153" s="180">
        <f t="shared" si="32"/>
        <v>1.0422156562585572E-3</v>
      </c>
      <c r="U153" s="180">
        <f t="shared" si="32"/>
        <v>0</v>
      </c>
      <c r="V153" s="180">
        <f t="shared" si="32"/>
        <v>0</v>
      </c>
      <c r="W153" s="180">
        <f t="shared" si="32"/>
        <v>0</v>
      </c>
      <c r="X153" s="180">
        <f t="shared" si="32"/>
        <v>0</v>
      </c>
      <c r="Y153" s="180">
        <f t="shared" si="32"/>
        <v>0</v>
      </c>
      <c r="Z153" s="180">
        <f t="shared" si="32"/>
        <v>0</v>
      </c>
      <c r="AA153" s="180">
        <f t="shared" si="32"/>
        <v>0</v>
      </c>
      <c r="AB153" s="180">
        <f t="shared" si="32"/>
        <v>0</v>
      </c>
      <c r="AC153" s="180">
        <f t="shared" si="32"/>
        <v>0</v>
      </c>
      <c r="AD153" s="180">
        <f t="shared" si="32"/>
        <v>0</v>
      </c>
      <c r="AE153" s="180">
        <f t="shared" si="32"/>
        <v>0</v>
      </c>
      <c r="AF153" s="180">
        <f t="shared" si="32"/>
        <v>0</v>
      </c>
      <c r="AG153" s="180">
        <f t="shared" si="32"/>
        <v>0</v>
      </c>
      <c r="AH153" s="180">
        <f t="shared" si="32"/>
        <v>0</v>
      </c>
      <c r="AI153" s="180">
        <f t="shared" si="32"/>
        <v>0</v>
      </c>
      <c r="AJ153" s="180">
        <f t="shared" si="32"/>
        <v>0</v>
      </c>
      <c r="AK153" s="180">
        <f t="shared" si="32"/>
        <v>0</v>
      </c>
      <c r="AL153" s="180">
        <f t="shared" si="32"/>
        <v>0</v>
      </c>
      <c r="AM153" s="180">
        <f t="shared" si="32"/>
        <v>0</v>
      </c>
      <c r="AN153" s="180">
        <f t="shared" si="32"/>
        <v>0</v>
      </c>
      <c r="AO153" s="180">
        <f t="shared" si="32"/>
        <v>0</v>
      </c>
      <c r="AP153" s="180">
        <f t="shared" si="32"/>
        <v>0</v>
      </c>
      <c r="AQ153" s="180">
        <f t="shared" si="32"/>
        <v>0</v>
      </c>
      <c r="AR153" s="180">
        <f t="shared" si="32"/>
        <v>0</v>
      </c>
      <c r="AS153" s="180">
        <f t="shared" si="32"/>
        <v>0</v>
      </c>
      <c r="AT153" s="180">
        <f t="shared" si="32"/>
        <v>0</v>
      </c>
      <c r="AU153" s="180">
        <f t="shared" si="32"/>
        <v>0</v>
      </c>
      <c r="AV153" s="180">
        <f t="shared" si="32"/>
        <v>0</v>
      </c>
      <c r="AW153" s="180">
        <f t="shared" si="32"/>
        <v>0</v>
      </c>
      <c r="AX153" s="180">
        <f t="shared" si="32"/>
        <v>0</v>
      </c>
      <c r="AY153" s="180">
        <f t="shared" si="32"/>
        <v>0</v>
      </c>
      <c r="AZ153" s="180">
        <f t="shared" si="32"/>
        <v>0</v>
      </c>
      <c r="BA153" s="180">
        <f t="shared" si="32"/>
        <v>0</v>
      </c>
      <c r="BB153" s="180">
        <f t="shared" si="32"/>
        <v>0</v>
      </c>
      <c r="BC153" s="180">
        <f t="shared" si="32"/>
        <v>0</v>
      </c>
      <c r="BD153" s="180">
        <f t="shared" si="32"/>
        <v>0</v>
      </c>
      <c r="BE153" s="180">
        <f t="shared" si="32"/>
        <v>0</v>
      </c>
      <c r="BF153" s="180">
        <f t="shared" si="32"/>
        <v>0</v>
      </c>
      <c r="BG153" s="180">
        <f t="shared" si="32"/>
        <v>0</v>
      </c>
      <c r="BH153" s="180">
        <f t="shared" si="32"/>
        <v>0</v>
      </c>
      <c r="BI153" s="180">
        <f t="shared" si="32"/>
        <v>0</v>
      </c>
      <c r="BJ153" s="180">
        <f t="shared" si="32"/>
        <v>0</v>
      </c>
      <c r="BK153" s="180">
        <f t="shared" si="32"/>
        <v>0</v>
      </c>
      <c r="BL153" s="180">
        <f t="shared" si="32"/>
        <v>0</v>
      </c>
    </row>
    <row r="154" spans="2:64" s="188" customFormat="1" x14ac:dyDescent="0.15">
      <c r="C154" s="116" t="s">
        <v>404</v>
      </c>
      <c r="E154" s="180">
        <f t="shared" si="32"/>
        <v>0</v>
      </c>
      <c r="F154" s="180">
        <f t="shared" si="32"/>
        <v>0</v>
      </c>
      <c r="G154" s="180">
        <f t="shared" si="32"/>
        <v>0</v>
      </c>
      <c r="H154" s="180">
        <f t="shared" si="32"/>
        <v>0.10415237451102533</v>
      </c>
      <c r="I154" s="180">
        <f t="shared" si="32"/>
        <v>8.1407148957694714E-2</v>
      </c>
      <c r="J154" s="180">
        <f t="shared" si="32"/>
        <v>6.9997892834838704E-2</v>
      </c>
      <c r="K154" s="180">
        <f t="shared" si="32"/>
        <v>5.9730431042583153E-2</v>
      </c>
      <c r="L154" s="180">
        <f t="shared" si="32"/>
        <v>5.2171229720451864E-2</v>
      </c>
      <c r="M154" s="180">
        <f t="shared" si="32"/>
        <v>4.5128434092423182E-2</v>
      </c>
      <c r="N154" s="180">
        <f t="shared" si="32"/>
        <v>3.8512023521407597E-2</v>
      </c>
      <c r="O154" s="180">
        <f t="shared" si="32"/>
        <v>3.2422006392061449E-2</v>
      </c>
      <c r="P154" s="180">
        <f t="shared" si="32"/>
        <v>2.6771864942272794E-2</v>
      </c>
      <c r="Q154" s="180">
        <f t="shared" si="32"/>
        <v>2.1478083982747913E-2</v>
      </c>
      <c r="R154" s="180">
        <f t="shared" si="32"/>
        <v>1.6540189551461793E-2</v>
      </c>
      <c r="S154" s="180">
        <f t="shared" si="32"/>
        <v>1.194909203970293E-2</v>
      </c>
      <c r="T154" s="180">
        <f t="shared" ref="T154:BL162" si="33">IF(T$5&gt;$D$7,0,T31*$F116)</f>
        <v>7.6923696434991881E-3</v>
      </c>
      <c r="U154" s="180">
        <f t="shared" si="33"/>
        <v>3.7504547375383206E-3</v>
      </c>
      <c r="V154" s="180">
        <f t="shared" si="33"/>
        <v>0</v>
      </c>
      <c r="W154" s="180">
        <f t="shared" si="33"/>
        <v>0</v>
      </c>
      <c r="X154" s="180">
        <f t="shared" si="33"/>
        <v>0</v>
      </c>
      <c r="Y154" s="180">
        <f t="shared" si="33"/>
        <v>0</v>
      </c>
      <c r="Z154" s="180">
        <f t="shared" si="33"/>
        <v>0</v>
      </c>
      <c r="AA154" s="180">
        <f t="shared" si="33"/>
        <v>0</v>
      </c>
      <c r="AB154" s="180">
        <f t="shared" si="33"/>
        <v>0</v>
      </c>
      <c r="AC154" s="180">
        <f t="shared" si="33"/>
        <v>0</v>
      </c>
      <c r="AD154" s="180">
        <f t="shared" si="33"/>
        <v>0</v>
      </c>
      <c r="AE154" s="180">
        <f t="shared" si="33"/>
        <v>0</v>
      </c>
      <c r="AF154" s="180">
        <f t="shared" si="33"/>
        <v>0</v>
      </c>
      <c r="AG154" s="180">
        <f t="shared" si="33"/>
        <v>0</v>
      </c>
      <c r="AH154" s="180">
        <f t="shared" si="33"/>
        <v>0</v>
      </c>
      <c r="AI154" s="180">
        <f t="shared" si="33"/>
        <v>0</v>
      </c>
      <c r="AJ154" s="180">
        <f t="shared" si="33"/>
        <v>0</v>
      </c>
      <c r="AK154" s="180">
        <f t="shared" si="33"/>
        <v>0</v>
      </c>
      <c r="AL154" s="180">
        <f t="shared" si="33"/>
        <v>0</v>
      </c>
      <c r="AM154" s="180">
        <f t="shared" si="33"/>
        <v>0</v>
      </c>
      <c r="AN154" s="180">
        <f t="shared" si="33"/>
        <v>0</v>
      </c>
      <c r="AO154" s="180">
        <f t="shared" si="33"/>
        <v>0</v>
      </c>
      <c r="AP154" s="180">
        <f t="shared" si="33"/>
        <v>0</v>
      </c>
      <c r="AQ154" s="180">
        <f t="shared" si="33"/>
        <v>0</v>
      </c>
      <c r="AR154" s="180">
        <f t="shared" si="33"/>
        <v>0</v>
      </c>
      <c r="AS154" s="180">
        <f t="shared" si="33"/>
        <v>0</v>
      </c>
      <c r="AT154" s="180">
        <f t="shared" si="33"/>
        <v>0</v>
      </c>
      <c r="AU154" s="180">
        <f t="shared" si="33"/>
        <v>0</v>
      </c>
      <c r="AV154" s="180">
        <f t="shared" si="33"/>
        <v>0</v>
      </c>
      <c r="AW154" s="180">
        <f t="shared" si="33"/>
        <v>0</v>
      </c>
      <c r="AX154" s="180">
        <f t="shared" si="33"/>
        <v>0</v>
      </c>
      <c r="AY154" s="180">
        <f t="shared" si="33"/>
        <v>0</v>
      </c>
      <c r="AZ154" s="180">
        <f t="shared" si="33"/>
        <v>0</v>
      </c>
      <c r="BA154" s="180">
        <f t="shared" si="33"/>
        <v>0</v>
      </c>
      <c r="BB154" s="180">
        <f t="shared" si="33"/>
        <v>0</v>
      </c>
      <c r="BC154" s="180">
        <f t="shared" si="33"/>
        <v>0</v>
      </c>
      <c r="BD154" s="180">
        <f t="shared" si="33"/>
        <v>0</v>
      </c>
      <c r="BE154" s="180">
        <f t="shared" si="33"/>
        <v>0</v>
      </c>
      <c r="BF154" s="180">
        <f t="shared" si="33"/>
        <v>0</v>
      </c>
      <c r="BG154" s="180">
        <f t="shared" si="33"/>
        <v>0</v>
      </c>
      <c r="BH154" s="180">
        <f t="shared" si="33"/>
        <v>0</v>
      </c>
      <c r="BI154" s="180">
        <f t="shared" si="33"/>
        <v>0</v>
      </c>
      <c r="BJ154" s="180">
        <f t="shared" si="33"/>
        <v>0</v>
      </c>
      <c r="BK154" s="180">
        <f t="shared" si="33"/>
        <v>0</v>
      </c>
      <c r="BL154" s="180">
        <f t="shared" si="33"/>
        <v>0</v>
      </c>
    </row>
    <row r="155" spans="2:64" s="188" customFormat="1" x14ac:dyDescent="0.15">
      <c r="C155" s="116" t="s">
        <v>405</v>
      </c>
      <c r="E155" s="180">
        <f t="shared" ref="E155:AJ162" si="34">IF(E$5&gt;$D$7,0,E32*$F117)</f>
        <v>0</v>
      </c>
      <c r="F155" s="180">
        <f t="shared" si="34"/>
        <v>0</v>
      </c>
      <c r="G155" s="180">
        <f t="shared" si="34"/>
        <v>0</v>
      </c>
      <c r="H155" s="180">
        <f t="shared" si="34"/>
        <v>0</v>
      </c>
      <c r="I155" s="180">
        <f t="shared" si="34"/>
        <v>0.10133909445187451</v>
      </c>
      <c r="J155" s="180">
        <f t="shared" si="34"/>
        <v>7.9208244612880577E-2</v>
      </c>
      <c r="K155" s="180">
        <f t="shared" si="34"/>
        <v>6.8107166127748781E-2</v>
      </c>
      <c r="L155" s="180">
        <f t="shared" si="34"/>
        <v>5.811704074432554E-2</v>
      </c>
      <c r="M155" s="180">
        <f t="shared" si="34"/>
        <v>5.076202248035782E-2</v>
      </c>
      <c r="N155" s="180">
        <f t="shared" si="34"/>
        <v>4.3909461175780977E-2</v>
      </c>
      <c r="O155" s="180">
        <f t="shared" si="34"/>
        <v>3.7471767758454698E-2</v>
      </c>
      <c r="P155" s="180">
        <f t="shared" si="34"/>
        <v>3.1546249267092673E-2</v>
      </c>
      <c r="Q155" s="180">
        <f t="shared" si="34"/>
        <v>2.6048724887694375E-2</v>
      </c>
      <c r="R155" s="180">
        <f t="shared" si="34"/>
        <v>2.0897935275998699E-2</v>
      </c>
      <c r="S155" s="180">
        <f t="shared" si="34"/>
        <v>1.6093419272261138E-2</v>
      </c>
      <c r="T155" s="180">
        <f t="shared" si="34"/>
        <v>1.1626332788960208E-2</v>
      </c>
      <c r="U155" s="180">
        <f t="shared" si="34"/>
        <v>7.4845895498885286E-3</v>
      </c>
      <c r="V155" s="180">
        <f t="shared" si="34"/>
        <v>3.6491504746696199E-3</v>
      </c>
      <c r="W155" s="180">
        <f t="shared" si="34"/>
        <v>0</v>
      </c>
      <c r="X155" s="180">
        <f t="shared" si="34"/>
        <v>0</v>
      </c>
      <c r="Y155" s="180">
        <f t="shared" si="34"/>
        <v>0</v>
      </c>
      <c r="Z155" s="180">
        <f t="shared" si="34"/>
        <v>0</v>
      </c>
      <c r="AA155" s="180">
        <f t="shared" si="34"/>
        <v>0</v>
      </c>
      <c r="AB155" s="180">
        <f t="shared" si="34"/>
        <v>0</v>
      </c>
      <c r="AC155" s="180">
        <f t="shared" si="34"/>
        <v>0</v>
      </c>
      <c r="AD155" s="180">
        <f t="shared" si="34"/>
        <v>0</v>
      </c>
      <c r="AE155" s="180">
        <f t="shared" si="34"/>
        <v>0</v>
      </c>
      <c r="AF155" s="180">
        <f t="shared" si="34"/>
        <v>0</v>
      </c>
      <c r="AG155" s="180">
        <f t="shared" si="34"/>
        <v>0</v>
      </c>
      <c r="AH155" s="180">
        <f t="shared" si="34"/>
        <v>0</v>
      </c>
      <c r="AI155" s="180">
        <f t="shared" si="34"/>
        <v>0</v>
      </c>
      <c r="AJ155" s="180">
        <f t="shared" si="34"/>
        <v>0</v>
      </c>
      <c r="AK155" s="180">
        <f t="shared" si="33"/>
        <v>0</v>
      </c>
      <c r="AL155" s="180">
        <f t="shared" si="33"/>
        <v>0</v>
      </c>
      <c r="AM155" s="180">
        <f t="shared" si="33"/>
        <v>0</v>
      </c>
      <c r="AN155" s="180">
        <f t="shared" si="33"/>
        <v>0</v>
      </c>
      <c r="AO155" s="180">
        <f t="shared" si="33"/>
        <v>0</v>
      </c>
      <c r="AP155" s="180">
        <f t="shared" si="33"/>
        <v>0</v>
      </c>
      <c r="AQ155" s="180">
        <f t="shared" si="33"/>
        <v>0</v>
      </c>
      <c r="AR155" s="180">
        <f t="shared" si="33"/>
        <v>0</v>
      </c>
      <c r="AS155" s="180">
        <f t="shared" si="33"/>
        <v>0</v>
      </c>
      <c r="AT155" s="180">
        <f t="shared" si="33"/>
        <v>0</v>
      </c>
      <c r="AU155" s="180">
        <f t="shared" si="33"/>
        <v>0</v>
      </c>
      <c r="AV155" s="180">
        <f t="shared" si="33"/>
        <v>0</v>
      </c>
      <c r="AW155" s="180">
        <f t="shared" si="33"/>
        <v>0</v>
      </c>
      <c r="AX155" s="180">
        <f t="shared" si="33"/>
        <v>0</v>
      </c>
      <c r="AY155" s="180">
        <f t="shared" si="33"/>
        <v>0</v>
      </c>
      <c r="AZ155" s="180">
        <f t="shared" si="33"/>
        <v>0</v>
      </c>
      <c r="BA155" s="180">
        <f t="shared" si="33"/>
        <v>0</v>
      </c>
      <c r="BB155" s="180">
        <f t="shared" si="33"/>
        <v>0</v>
      </c>
      <c r="BC155" s="180">
        <f t="shared" si="33"/>
        <v>0</v>
      </c>
      <c r="BD155" s="180">
        <f t="shared" si="33"/>
        <v>0</v>
      </c>
      <c r="BE155" s="180">
        <f t="shared" si="33"/>
        <v>0</v>
      </c>
      <c r="BF155" s="180">
        <f t="shared" si="33"/>
        <v>0</v>
      </c>
      <c r="BG155" s="180">
        <f t="shared" si="33"/>
        <v>0</v>
      </c>
      <c r="BH155" s="180">
        <f t="shared" si="33"/>
        <v>0</v>
      </c>
      <c r="BI155" s="180">
        <f t="shared" si="33"/>
        <v>0</v>
      </c>
      <c r="BJ155" s="180">
        <f t="shared" si="33"/>
        <v>0</v>
      </c>
      <c r="BK155" s="180">
        <f t="shared" si="33"/>
        <v>0</v>
      </c>
      <c r="BL155" s="180">
        <f t="shared" si="33"/>
        <v>0</v>
      </c>
    </row>
    <row r="156" spans="2:64" s="188" customFormat="1" x14ac:dyDescent="0.15">
      <c r="C156" s="116" t="s">
        <v>406</v>
      </c>
      <c r="E156" s="180">
        <f t="shared" si="34"/>
        <v>0</v>
      </c>
      <c r="F156" s="180">
        <f t="shared" si="34"/>
        <v>0</v>
      </c>
      <c r="G156" s="180">
        <f t="shared" si="34"/>
        <v>0</v>
      </c>
      <c r="H156" s="180">
        <f t="shared" si="34"/>
        <v>0</v>
      </c>
      <c r="I156" s="180">
        <f t="shared" si="34"/>
        <v>0</v>
      </c>
      <c r="J156" s="180">
        <f t="shared" si="34"/>
        <v>0.10133909445187451</v>
      </c>
      <c r="K156" s="180">
        <f t="shared" si="34"/>
        <v>7.9208244612880577E-2</v>
      </c>
      <c r="L156" s="180">
        <f t="shared" si="34"/>
        <v>6.8107166127748781E-2</v>
      </c>
      <c r="M156" s="180">
        <f t="shared" si="34"/>
        <v>5.811704074432554E-2</v>
      </c>
      <c r="N156" s="180">
        <f t="shared" si="34"/>
        <v>5.076202248035782E-2</v>
      </c>
      <c r="O156" s="180">
        <f t="shared" si="34"/>
        <v>4.3909461175780977E-2</v>
      </c>
      <c r="P156" s="180">
        <f t="shared" si="34"/>
        <v>3.7471767758454698E-2</v>
      </c>
      <c r="Q156" s="180">
        <f t="shared" si="34"/>
        <v>3.1546249267092673E-2</v>
      </c>
      <c r="R156" s="180">
        <f t="shared" si="34"/>
        <v>2.6048724887694375E-2</v>
      </c>
      <c r="S156" s="180">
        <f t="shared" si="34"/>
        <v>2.0897935275998699E-2</v>
      </c>
      <c r="T156" s="180">
        <f t="shared" si="34"/>
        <v>1.6093419272261138E-2</v>
      </c>
      <c r="U156" s="180">
        <f t="shared" si="34"/>
        <v>1.1626332788960208E-2</v>
      </c>
      <c r="V156" s="180">
        <f t="shared" si="34"/>
        <v>7.4845895498885286E-3</v>
      </c>
      <c r="W156" s="180">
        <f t="shared" si="34"/>
        <v>3.6491504746696199E-3</v>
      </c>
      <c r="X156" s="180">
        <f t="shared" si="34"/>
        <v>0</v>
      </c>
      <c r="Y156" s="180">
        <f t="shared" si="34"/>
        <v>0</v>
      </c>
      <c r="Z156" s="180">
        <f t="shared" si="34"/>
        <v>0</v>
      </c>
      <c r="AA156" s="180">
        <f t="shared" si="34"/>
        <v>0</v>
      </c>
      <c r="AB156" s="180">
        <f t="shared" si="34"/>
        <v>0</v>
      </c>
      <c r="AC156" s="180">
        <f t="shared" si="34"/>
        <v>0</v>
      </c>
      <c r="AD156" s="180">
        <f t="shared" si="34"/>
        <v>0</v>
      </c>
      <c r="AE156" s="180">
        <f t="shared" si="34"/>
        <v>0</v>
      </c>
      <c r="AF156" s="180">
        <f t="shared" si="34"/>
        <v>0</v>
      </c>
      <c r="AG156" s="180">
        <f t="shared" si="34"/>
        <v>0</v>
      </c>
      <c r="AH156" s="180">
        <f t="shared" si="34"/>
        <v>0</v>
      </c>
      <c r="AI156" s="180">
        <f t="shared" si="34"/>
        <v>0</v>
      </c>
      <c r="AJ156" s="180">
        <f t="shared" si="34"/>
        <v>0</v>
      </c>
      <c r="AK156" s="180">
        <f t="shared" si="33"/>
        <v>0</v>
      </c>
      <c r="AL156" s="180">
        <f t="shared" si="33"/>
        <v>0</v>
      </c>
      <c r="AM156" s="180">
        <f t="shared" si="33"/>
        <v>0</v>
      </c>
      <c r="AN156" s="180">
        <f t="shared" si="33"/>
        <v>0</v>
      </c>
      <c r="AO156" s="180">
        <f t="shared" si="33"/>
        <v>0</v>
      </c>
      <c r="AP156" s="180">
        <f t="shared" si="33"/>
        <v>0</v>
      </c>
      <c r="AQ156" s="180">
        <f t="shared" si="33"/>
        <v>0</v>
      </c>
      <c r="AR156" s="180">
        <f t="shared" si="33"/>
        <v>0</v>
      </c>
      <c r="AS156" s="180">
        <f t="shared" si="33"/>
        <v>0</v>
      </c>
      <c r="AT156" s="180">
        <f t="shared" si="33"/>
        <v>0</v>
      </c>
      <c r="AU156" s="180">
        <f t="shared" si="33"/>
        <v>0</v>
      </c>
      <c r="AV156" s="180">
        <f t="shared" si="33"/>
        <v>0</v>
      </c>
      <c r="AW156" s="180">
        <f t="shared" si="33"/>
        <v>0</v>
      </c>
      <c r="AX156" s="180">
        <f t="shared" si="33"/>
        <v>0</v>
      </c>
      <c r="AY156" s="180">
        <f t="shared" si="33"/>
        <v>0</v>
      </c>
      <c r="AZ156" s="180">
        <f t="shared" si="33"/>
        <v>0</v>
      </c>
      <c r="BA156" s="180">
        <f t="shared" si="33"/>
        <v>0</v>
      </c>
      <c r="BB156" s="180">
        <f t="shared" si="33"/>
        <v>0</v>
      </c>
      <c r="BC156" s="180">
        <f t="shared" si="33"/>
        <v>0</v>
      </c>
      <c r="BD156" s="180">
        <f t="shared" si="33"/>
        <v>0</v>
      </c>
      <c r="BE156" s="180">
        <f t="shared" si="33"/>
        <v>0</v>
      </c>
      <c r="BF156" s="180">
        <f t="shared" si="33"/>
        <v>0</v>
      </c>
      <c r="BG156" s="180">
        <f t="shared" si="33"/>
        <v>0</v>
      </c>
      <c r="BH156" s="180">
        <f t="shared" si="33"/>
        <v>0</v>
      </c>
      <c r="BI156" s="180">
        <f t="shared" si="33"/>
        <v>0</v>
      </c>
      <c r="BJ156" s="180">
        <f t="shared" si="33"/>
        <v>0</v>
      </c>
      <c r="BK156" s="180">
        <f t="shared" si="33"/>
        <v>0</v>
      </c>
      <c r="BL156" s="180">
        <f t="shared" si="33"/>
        <v>0</v>
      </c>
    </row>
    <row r="157" spans="2:64" s="188" customFormat="1" x14ac:dyDescent="0.15">
      <c r="C157" s="116" t="s">
        <v>408</v>
      </c>
      <c r="E157" s="180">
        <f t="shared" si="34"/>
        <v>0</v>
      </c>
      <c r="F157" s="180">
        <f t="shared" si="34"/>
        <v>0</v>
      </c>
      <c r="G157" s="180">
        <f t="shared" si="34"/>
        <v>0</v>
      </c>
      <c r="H157" s="180">
        <f t="shared" si="34"/>
        <v>0</v>
      </c>
      <c r="I157" s="180">
        <f t="shared" si="34"/>
        <v>0</v>
      </c>
      <c r="J157" s="180">
        <f t="shared" si="34"/>
        <v>0</v>
      </c>
      <c r="K157" s="180">
        <f t="shared" si="34"/>
        <v>0.24041784443998326</v>
      </c>
      <c r="L157" s="180">
        <f t="shared" si="34"/>
        <v>0.18791440297255799</v>
      </c>
      <c r="M157" s="180">
        <f t="shared" si="34"/>
        <v>0.16157809737608447</v>
      </c>
      <c r="N157" s="180">
        <f t="shared" si="34"/>
        <v>0.13787742762608604</v>
      </c>
      <c r="O157" s="180">
        <f t="shared" si="34"/>
        <v>0.12042831140490672</v>
      </c>
      <c r="P157" s="180">
        <f t="shared" si="34"/>
        <v>0.10417122891714495</v>
      </c>
      <c r="Q157" s="180">
        <f t="shared" si="34"/>
        <v>8.8898383003823064E-2</v>
      </c>
      <c r="R157" s="180">
        <f t="shared" si="34"/>
        <v>7.4840625821484555E-2</v>
      </c>
      <c r="S157" s="180">
        <f t="shared" si="34"/>
        <v>6.1798245995613239E-2</v>
      </c>
      <c r="T157" s="180">
        <f t="shared" si="34"/>
        <v>4.9578463074661482E-2</v>
      </c>
      <c r="U157" s="180">
        <f t="shared" si="34"/>
        <v>3.8180182998806517E-2</v>
      </c>
      <c r="V157" s="180">
        <f t="shared" si="34"/>
        <v>2.7582423969568122E-2</v>
      </c>
      <c r="W157" s="180">
        <f t="shared" si="34"/>
        <v>1.775651238877771E-2</v>
      </c>
      <c r="X157" s="180">
        <f t="shared" si="34"/>
        <v>8.6572797586409005E-3</v>
      </c>
      <c r="Y157" s="180">
        <f t="shared" si="34"/>
        <v>0</v>
      </c>
      <c r="Z157" s="180">
        <f t="shared" si="34"/>
        <v>0</v>
      </c>
      <c r="AA157" s="180">
        <f t="shared" si="34"/>
        <v>0</v>
      </c>
      <c r="AB157" s="180">
        <f t="shared" si="34"/>
        <v>0</v>
      </c>
      <c r="AC157" s="180">
        <f t="shared" si="34"/>
        <v>0</v>
      </c>
      <c r="AD157" s="180">
        <f t="shared" si="34"/>
        <v>0</v>
      </c>
      <c r="AE157" s="180">
        <f t="shared" si="34"/>
        <v>0</v>
      </c>
      <c r="AF157" s="180">
        <f t="shared" si="34"/>
        <v>0</v>
      </c>
      <c r="AG157" s="180">
        <f t="shared" si="34"/>
        <v>0</v>
      </c>
      <c r="AH157" s="180">
        <f t="shared" si="34"/>
        <v>0</v>
      </c>
      <c r="AI157" s="180">
        <f t="shared" si="34"/>
        <v>0</v>
      </c>
      <c r="AJ157" s="180">
        <f t="shared" si="34"/>
        <v>0</v>
      </c>
      <c r="AK157" s="180">
        <f t="shared" si="33"/>
        <v>0</v>
      </c>
      <c r="AL157" s="180">
        <f t="shared" si="33"/>
        <v>0</v>
      </c>
      <c r="AM157" s="180">
        <f t="shared" si="33"/>
        <v>0</v>
      </c>
      <c r="AN157" s="180">
        <f t="shared" si="33"/>
        <v>0</v>
      </c>
      <c r="AO157" s="180">
        <f t="shared" si="33"/>
        <v>0</v>
      </c>
      <c r="AP157" s="180">
        <f t="shared" si="33"/>
        <v>0</v>
      </c>
      <c r="AQ157" s="180">
        <f t="shared" si="33"/>
        <v>0</v>
      </c>
      <c r="AR157" s="180">
        <f t="shared" si="33"/>
        <v>0</v>
      </c>
      <c r="AS157" s="180">
        <f t="shared" si="33"/>
        <v>0</v>
      </c>
      <c r="AT157" s="180">
        <f t="shared" si="33"/>
        <v>0</v>
      </c>
      <c r="AU157" s="180">
        <f t="shared" si="33"/>
        <v>0</v>
      </c>
      <c r="AV157" s="180">
        <f t="shared" si="33"/>
        <v>0</v>
      </c>
      <c r="AW157" s="180">
        <f t="shared" si="33"/>
        <v>0</v>
      </c>
      <c r="AX157" s="180">
        <f t="shared" si="33"/>
        <v>0</v>
      </c>
      <c r="AY157" s="180">
        <f t="shared" si="33"/>
        <v>0</v>
      </c>
      <c r="AZ157" s="180">
        <f t="shared" si="33"/>
        <v>0</v>
      </c>
      <c r="BA157" s="180">
        <f t="shared" si="33"/>
        <v>0</v>
      </c>
      <c r="BB157" s="180">
        <f t="shared" si="33"/>
        <v>0</v>
      </c>
      <c r="BC157" s="180">
        <f t="shared" si="33"/>
        <v>0</v>
      </c>
      <c r="BD157" s="180">
        <f t="shared" si="33"/>
        <v>0</v>
      </c>
      <c r="BE157" s="180">
        <f t="shared" si="33"/>
        <v>0</v>
      </c>
      <c r="BF157" s="180">
        <f t="shared" si="33"/>
        <v>0</v>
      </c>
      <c r="BG157" s="180">
        <f t="shared" si="33"/>
        <v>0</v>
      </c>
      <c r="BH157" s="180">
        <f t="shared" si="33"/>
        <v>0</v>
      </c>
      <c r="BI157" s="180">
        <f t="shared" si="33"/>
        <v>0</v>
      </c>
      <c r="BJ157" s="180">
        <f t="shared" si="33"/>
        <v>0</v>
      </c>
      <c r="BK157" s="180">
        <f t="shared" si="33"/>
        <v>0</v>
      </c>
      <c r="BL157" s="180">
        <f t="shared" si="33"/>
        <v>0</v>
      </c>
    </row>
    <row r="158" spans="2:64" s="188" customFormat="1" x14ac:dyDescent="0.15">
      <c r="C158" s="116" t="s">
        <v>409</v>
      </c>
      <c r="E158" s="180">
        <f t="shared" si="34"/>
        <v>0</v>
      </c>
      <c r="F158" s="180">
        <f t="shared" si="34"/>
        <v>0</v>
      </c>
      <c r="G158" s="180">
        <f t="shared" si="34"/>
        <v>0</v>
      </c>
      <c r="H158" s="180">
        <f t="shared" si="34"/>
        <v>0</v>
      </c>
      <c r="I158" s="180">
        <f t="shared" si="34"/>
        <v>0</v>
      </c>
      <c r="J158" s="180">
        <f t="shared" si="34"/>
        <v>0</v>
      </c>
      <c r="K158" s="180">
        <f t="shared" si="34"/>
        <v>0</v>
      </c>
      <c r="L158" s="180">
        <f t="shared" si="34"/>
        <v>0.23560948755118358</v>
      </c>
      <c r="M158" s="180">
        <f t="shared" si="34"/>
        <v>0.18415611491310682</v>
      </c>
      <c r="N158" s="180">
        <f t="shared" si="34"/>
        <v>0.15834653542856278</v>
      </c>
      <c r="O158" s="180">
        <f t="shared" si="34"/>
        <v>0.13511987907356432</v>
      </c>
      <c r="P158" s="180">
        <f t="shared" si="34"/>
        <v>0.11801974517680858</v>
      </c>
      <c r="Q158" s="180">
        <f t="shared" si="34"/>
        <v>0.10208780433880205</v>
      </c>
      <c r="R158" s="180">
        <f t="shared" si="34"/>
        <v>8.7120415343746607E-2</v>
      </c>
      <c r="S158" s="180">
        <f t="shared" si="34"/>
        <v>7.3343813305054864E-2</v>
      </c>
      <c r="T158" s="180">
        <f t="shared" si="34"/>
        <v>6.0562281075700969E-2</v>
      </c>
      <c r="U158" s="180">
        <f t="shared" si="34"/>
        <v>4.8586893813168254E-2</v>
      </c>
      <c r="V158" s="180">
        <f t="shared" si="34"/>
        <v>3.7416579338830379E-2</v>
      </c>
      <c r="W158" s="180">
        <f t="shared" si="34"/>
        <v>2.703077549017676E-2</v>
      </c>
      <c r="X158" s="180">
        <f t="shared" si="34"/>
        <v>1.7401382141002158E-2</v>
      </c>
      <c r="Y158" s="180">
        <f t="shared" si="34"/>
        <v>0</v>
      </c>
      <c r="Z158" s="180">
        <f t="shared" si="34"/>
        <v>0</v>
      </c>
      <c r="AA158" s="180">
        <f t="shared" si="34"/>
        <v>0</v>
      </c>
      <c r="AB158" s="180">
        <f t="shared" si="34"/>
        <v>0</v>
      </c>
      <c r="AC158" s="180">
        <f t="shared" si="34"/>
        <v>0</v>
      </c>
      <c r="AD158" s="180">
        <f t="shared" si="34"/>
        <v>0</v>
      </c>
      <c r="AE158" s="180">
        <f t="shared" si="34"/>
        <v>0</v>
      </c>
      <c r="AF158" s="180">
        <f t="shared" si="34"/>
        <v>0</v>
      </c>
      <c r="AG158" s="180">
        <f t="shared" si="34"/>
        <v>0</v>
      </c>
      <c r="AH158" s="180">
        <f t="shared" si="34"/>
        <v>0</v>
      </c>
      <c r="AI158" s="180">
        <f t="shared" si="34"/>
        <v>0</v>
      </c>
      <c r="AJ158" s="180">
        <f t="shared" si="34"/>
        <v>0</v>
      </c>
      <c r="AK158" s="180">
        <f t="shared" si="33"/>
        <v>0</v>
      </c>
      <c r="AL158" s="180">
        <f t="shared" si="33"/>
        <v>0</v>
      </c>
      <c r="AM158" s="180">
        <f t="shared" si="33"/>
        <v>0</v>
      </c>
      <c r="AN158" s="180">
        <f t="shared" si="33"/>
        <v>0</v>
      </c>
      <c r="AO158" s="180">
        <f t="shared" si="33"/>
        <v>0</v>
      </c>
      <c r="AP158" s="180">
        <f t="shared" si="33"/>
        <v>0</v>
      </c>
      <c r="AQ158" s="180">
        <f t="shared" si="33"/>
        <v>0</v>
      </c>
      <c r="AR158" s="180">
        <f t="shared" si="33"/>
        <v>0</v>
      </c>
      <c r="AS158" s="180">
        <f t="shared" si="33"/>
        <v>0</v>
      </c>
      <c r="AT158" s="180">
        <f t="shared" si="33"/>
        <v>0</v>
      </c>
      <c r="AU158" s="180">
        <f t="shared" si="33"/>
        <v>0</v>
      </c>
      <c r="AV158" s="180">
        <f t="shared" si="33"/>
        <v>0</v>
      </c>
      <c r="AW158" s="180">
        <f t="shared" si="33"/>
        <v>0</v>
      </c>
      <c r="AX158" s="180">
        <f t="shared" si="33"/>
        <v>0</v>
      </c>
      <c r="AY158" s="180">
        <f t="shared" si="33"/>
        <v>0</v>
      </c>
      <c r="AZ158" s="180">
        <f t="shared" si="33"/>
        <v>0</v>
      </c>
      <c r="BA158" s="180">
        <f t="shared" si="33"/>
        <v>0</v>
      </c>
      <c r="BB158" s="180">
        <f t="shared" si="33"/>
        <v>0</v>
      </c>
      <c r="BC158" s="180">
        <f t="shared" si="33"/>
        <v>0</v>
      </c>
      <c r="BD158" s="180">
        <f t="shared" si="33"/>
        <v>0</v>
      </c>
      <c r="BE158" s="180">
        <f t="shared" si="33"/>
        <v>0</v>
      </c>
      <c r="BF158" s="180">
        <f t="shared" si="33"/>
        <v>0</v>
      </c>
      <c r="BG158" s="180">
        <f t="shared" si="33"/>
        <v>0</v>
      </c>
      <c r="BH158" s="180">
        <f t="shared" si="33"/>
        <v>0</v>
      </c>
      <c r="BI158" s="180">
        <f t="shared" si="33"/>
        <v>0</v>
      </c>
      <c r="BJ158" s="180">
        <f t="shared" si="33"/>
        <v>0</v>
      </c>
      <c r="BK158" s="180">
        <f t="shared" si="33"/>
        <v>0</v>
      </c>
      <c r="BL158" s="180">
        <f t="shared" si="33"/>
        <v>0</v>
      </c>
    </row>
    <row r="159" spans="2:64" s="188" customFormat="1" x14ac:dyDescent="0.15">
      <c r="C159" s="116" t="s">
        <v>410</v>
      </c>
      <c r="E159" s="180">
        <f t="shared" si="34"/>
        <v>0</v>
      </c>
      <c r="F159" s="180">
        <f t="shared" si="34"/>
        <v>0</v>
      </c>
      <c r="G159" s="180">
        <f t="shared" si="34"/>
        <v>0</v>
      </c>
      <c r="H159" s="180">
        <f t="shared" si="34"/>
        <v>0</v>
      </c>
      <c r="I159" s="180">
        <f t="shared" si="34"/>
        <v>0</v>
      </c>
      <c r="J159" s="180">
        <f t="shared" si="34"/>
        <v>0</v>
      </c>
      <c r="K159" s="180">
        <f t="shared" si="34"/>
        <v>0</v>
      </c>
      <c r="L159" s="180">
        <f t="shared" si="34"/>
        <v>0</v>
      </c>
      <c r="M159" s="180">
        <f t="shared" si="34"/>
        <v>0.23560948755118358</v>
      </c>
      <c r="N159" s="180">
        <f t="shared" si="34"/>
        <v>0.18415611491310682</v>
      </c>
      <c r="O159" s="180">
        <f t="shared" si="34"/>
        <v>0.15834653542856278</v>
      </c>
      <c r="P159" s="180">
        <f t="shared" si="34"/>
        <v>0.13511987907356432</v>
      </c>
      <c r="Q159" s="180">
        <f t="shared" si="34"/>
        <v>0.11801974517680858</v>
      </c>
      <c r="R159" s="180">
        <f t="shared" si="34"/>
        <v>0.10208780433880205</v>
      </c>
      <c r="S159" s="180">
        <f t="shared" si="34"/>
        <v>8.7120415343746607E-2</v>
      </c>
      <c r="T159" s="180">
        <f t="shared" si="34"/>
        <v>7.3343813305054864E-2</v>
      </c>
      <c r="U159" s="180">
        <f t="shared" si="34"/>
        <v>6.0562281075700969E-2</v>
      </c>
      <c r="V159" s="180">
        <f t="shared" si="34"/>
        <v>4.8586893813168254E-2</v>
      </c>
      <c r="W159" s="180">
        <f t="shared" si="34"/>
        <v>3.7416579338830379E-2</v>
      </c>
      <c r="X159" s="180">
        <f t="shared" si="34"/>
        <v>2.703077549017676E-2</v>
      </c>
      <c r="Y159" s="180">
        <f t="shared" si="34"/>
        <v>0</v>
      </c>
      <c r="Z159" s="180">
        <f t="shared" si="34"/>
        <v>0</v>
      </c>
      <c r="AA159" s="180">
        <f t="shared" si="34"/>
        <v>0</v>
      </c>
      <c r="AB159" s="180">
        <f t="shared" si="34"/>
        <v>0</v>
      </c>
      <c r="AC159" s="180">
        <f t="shared" si="34"/>
        <v>0</v>
      </c>
      <c r="AD159" s="180">
        <f t="shared" si="34"/>
        <v>0</v>
      </c>
      <c r="AE159" s="180">
        <f t="shared" si="34"/>
        <v>0</v>
      </c>
      <c r="AF159" s="180">
        <f t="shared" si="34"/>
        <v>0</v>
      </c>
      <c r="AG159" s="180">
        <f t="shared" si="34"/>
        <v>0</v>
      </c>
      <c r="AH159" s="180">
        <f t="shared" si="34"/>
        <v>0</v>
      </c>
      <c r="AI159" s="180">
        <f t="shared" si="34"/>
        <v>0</v>
      </c>
      <c r="AJ159" s="180">
        <f t="shared" si="34"/>
        <v>0</v>
      </c>
      <c r="AK159" s="180">
        <f t="shared" si="33"/>
        <v>0</v>
      </c>
      <c r="AL159" s="180">
        <f t="shared" si="33"/>
        <v>0</v>
      </c>
      <c r="AM159" s="180">
        <f t="shared" si="33"/>
        <v>0</v>
      </c>
      <c r="AN159" s="180">
        <f t="shared" si="33"/>
        <v>0</v>
      </c>
      <c r="AO159" s="180">
        <f t="shared" si="33"/>
        <v>0</v>
      </c>
      <c r="AP159" s="180">
        <f t="shared" si="33"/>
        <v>0</v>
      </c>
      <c r="AQ159" s="180">
        <f t="shared" si="33"/>
        <v>0</v>
      </c>
      <c r="AR159" s="180">
        <f t="shared" si="33"/>
        <v>0</v>
      </c>
      <c r="AS159" s="180">
        <f t="shared" si="33"/>
        <v>0</v>
      </c>
      <c r="AT159" s="180">
        <f t="shared" si="33"/>
        <v>0</v>
      </c>
      <c r="AU159" s="180">
        <f t="shared" si="33"/>
        <v>0</v>
      </c>
      <c r="AV159" s="180">
        <f t="shared" si="33"/>
        <v>0</v>
      </c>
      <c r="AW159" s="180">
        <f t="shared" si="33"/>
        <v>0</v>
      </c>
      <c r="AX159" s="180">
        <f t="shared" si="33"/>
        <v>0</v>
      </c>
      <c r="AY159" s="180">
        <f t="shared" si="33"/>
        <v>0</v>
      </c>
      <c r="AZ159" s="180">
        <f t="shared" si="33"/>
        <v>0</v>
      </c>
      <c r="BA159" s="180">
        <f t="shared" si="33"/>
        <v>0</v>
      </c>
      <c r="BB159" s="180">
        <f t="shared" si="33"/>
        <v>0</v>
      </c>
      <c r="BC159" s="180">
        <f t="shared" si="33"/>
        <v>0</v>
      </c>
      <c r="BD159" s="180">
        <f t="shared" si="33"/>
        <v>0</v>
      </c>
      <c r="BE159" s="180">
        <f t="shared" si="33"/>
        <v>0</v>
      </c>
      <c r="BF159" s="180">
        <f t="shared" si="33"/>
        <v>0</v>
      </c>
      <c r="BG159" s="180">
        <f t="shared" si="33"/>
        <v>0</v>
      </c>
      <c r="BH159" s="180">
        <f t="shared" si="33"/>
        <v>0</v>
      </c>
      <c r="BI159" s="180">
        <f t="shared" si="33"/>
        <v>0</v>
      </c>
      <c r="BJ159" s="180">
        <f t="shared" si="33"/>
        <v>0</v>
      </c>
      <c r="BK159" s="180">
        <f t="shared" si="33"/>
        <v>0</v>
      </c>
      <c r="BL159" s="180">
        <f t="shared" si="33"/>
        <v>0</v>
      </c>
    </row>
    <row r="160" spans="2:64" x14ac:dyDescent="0.15">
      <c r="C160" s="116" t="s">
        <v>411</v>
      </c>
      <c r="E160" s="180">
        <f t="shared" si="34"/>
        <v>0</v>
      </c>
      <c r="F160" s="180">
        <f t="shared" si="34"/>
        <v>0</v>
      </c>
      <c r="G160" s="180">
        <f t="shared" si="34"/>
        <v>0</v>
      </c>
      <c r="H160" s="180">
        <f t="shared" si="34"/>
        <v>0</v>
      </c>
      <c r="I160" s="180">
        <f t="shared" si="34"/>
        <v>0</v>
      </c>
      <c r="J160" s="180">
        <f t="shared" si="34"/>
        <v>0</v>
      </c>
      <c r="K160" s="180">
        <f t="shared" si="34"/>
        <v>0</v>
      </c>
      <c r="L160" s="180">
        <f t="shared" si="34"/>
        <v>0</v>
      </c>
      <c r="M160" s="180">
        <f t="shared" si="34"/>
        <v>0</v>
      </c>
      <c r="N160" s="180">
        <f t="shared" si="34"/>
        <v>0.23560948755118358</v>
      </c>
      <c r="O160" s="180">
        <f t="shared" si="34"/>
        <v>0.18415611491310682</v>
      </c>
      <c r="P160" s="180">
        <f t="shared" si="34"/>
        <v>0.15834653542856278</v>
      </c>
      <c r="Q160" s="180">
        <f t="shared" si="34"/>
        <v>0.13511987907356432</v>
      </c>
      <c r="R160" s="180">
        <f t="shared" si="34"/>
        <v>0.11801974517680858</v>
      </c>
      <c r="S160" s="180">
        <f t="shared" si="34"/>
        <v>0.10208780433880205</v>
      </c>
      <c r="T160" s="180">
        <f t="shared" si="34"/>
        <v>8.7120415343746607E-2</v>
      </c>
      <c r="U160" s="180">
        <f t="shared" si="34"/>
        <v>7.3343813305054864E-2</v>
      </c>
      <c r="V160" s="180">
        <f t="shared" si="34"/>
        <v>6.0562281075700969E-2</v>
      </c>
      <c r="W160" s="180">
        <f t="shared" si="34"/>
        <v>4.8586893813168254E-2</v>
      </c>
      <c r="X160" s="180">
        <f t="shared" si="34"/>
        <v>3.7416579338830379E-2</v>
      </c>
      <c r="Y160" s="180">
        <f t="shared" si="34"/>
        <v>0</v>
      </c>
      <c r="Z160" s="180">
        <f t="shared" si="34"/>
        <v>0</v>
      </c>
      <c r="AA160" s="180">
        <f t="shared" si="34"/>
        <v>0</v>
      </c>
      <c r="AB160" s="180">
        <f t="shared" si="34"/>
        <v>0</v>
      </c>
      <c r="AC160" s="180">
        <f t="shared" si="34"/>
        <v>0</v>
      </c>
      <c r="AD160" s="180">
        <f t="shared" si="34"/>
        <v>0</v>
      </c>
      <c r="AE160" s="180">
        <f t="shared" si="34"/>
        <v>0</v>
      </c>
      <c r="AF160" s="180">
        <f t="shared" si="34"/>
        <v>0</v>
      </c>
      <c r="AG160" s="180">
        <f t="shared" si="34"/>
        <v>0</v>
      </c>
      <c r="AH160" s="180">
        <f t="shared" si="34"/>
        <v>0</v>
      </c>
      <c r="AI160" s="180">
        <f t="shared" si="34"/>
        <v>0</v>
      </c>
      <c r="AJ160" s="180">
        <f t="shared" si="34"/>
        <v>0</v>
      </c>
      <c r="AK160" s="180">
        <f t="shared" si="33"/>
        <v>0</v>
      </c>
      <c r="AL160" s="180">
        <f t="shared" si="33"/>
        <v>0</v>
      </c>
      <c r="AM160" s="180">
        <f t="shared" si="33"/>
        <v>0</v>
      </c>
      <c r="AN160" s="180">
        <f t="shared" si="33"/>
        <v>0</v>
      </c>
      <c r="AO160" s="180">
        <f t="shared" si="33"/>
        <v>0</v>
      </c>
      <c r="AP160" s="180">
        <f t="shared" si="33"/>
        <v>0</v>
      </c>
      <c r="AQ160" s="180">
        <f t="shared" si="33"/>
        <v>0</v>
      </c>
      <c r="AR160" s="180">
        <f t="shared" si="33"/>
        <v>0</v>
      </c>
      <c r="AS160" s="180">
        <f t="shared" si="33"/>
        <v>0</v>
      </c>
      <c r="AT160" s="180">
        <f t="shared" si="33"/>
        <v>0</v>
      </c>
      <c r="AU160" s="180">
        <f t="shared" si="33"/>
        <v>0</v>
      </c>
      <c r="AV160" s="180">
        <f t="shared" si="33"/>
        <v>0</v>
      </c>
      <c r="AW160" s="180">
        <f t="shared" si="33"/>
        <v>0</v>
      </c>
      <c r="AX160" s="180">
        <f t="shared" si="33"/>
        <v>0</v>
      </c>
      <c r="AY160" s="180">
        <f t="shared" si="33"/>
        <v>0</v>
      </c>
      <c r="AZ160" s="180">
        <f t="shared" si="33"/>
        <v>0</v>
      </c>
      <c r="BA160" s="180">
        <f t="shared" si="33"/>
        <v>0</v>
      </c>
      <c r="BB160" s="180">
        <f t="shared" si="33"/>
        <v>0</v>
      </c>
      <c r="BC160" s="180">
        <f t="shared" si="33"/>
        <v>0</v>
      </c>
      <c r="BD160" s="180">
        <f t="shared" si="33"/>
        <v>0</v>
      </c>
      <c r="BE160" s="180">
        <f t="shared" si="33"/>
        <v>0</v>
      </c>
      <c r="BF160" s="180">
        <f t="shared" si="33"/>
        <v>0</v>
      </c>
      <c r="BG160" s="180">
        <f t="shared" si="33"/>
        <v>0</v>
      </c>
      <c r="BH160" s="180">
        <f t="shared" si="33"/>
        <v>0</v>
      </c>
      <c r="BI160" s="180">
        <f t="shared" si="33"/>
        <v>0</v>
      </c>
      <c r="BJ160" s="180">
        <f t="shared" si="33"/>
        <v>0</v>
      </c>
      <c r="BK160" s="180">
        <f t="shared" si="33"/>
        <v>0</v>
      </c>
      <c r="BL160" s="180">
        <f t="shared" si="33"/>
        <v>0</v>
      </c>
    </row>
    <row r="161" spans="2:64" x14ac:dyDescent="0.15">
      <c r="C161" s="116" t="s">
        <v>412</v>
      </c>
      <c r="E161" s="180">
        <f t="shared" si="34"/>
        <v>0</v>
      </c>
      <c r="F161" s="180">
        <f t="shared" si="34"/>
        <v>0</v>
      </c>
      <c r="G161" s="180">
        <f t="shared" si="34"/>
        <v>0</v>
      </c>
      <c r="H161" s="180">
        <f t="shared" si="34"/>
        <v>0</v>
      </c>
      <c r="I161" s="180">
        <f t="shared" si="34"/>
        <v>0</v>
      </c>
      <c r="J161" s="180">
        <f t="shared" si="34"/>
        <v>0</v>
      </c>
      <c r="K161" s="180">
        <f t="shared" si="34"/>
        <v>0</v>
      </c>
      <c r="L161" s="180">
        <f t="shared" si="34"/>
        <v>0</v>
      </c>
      <c r="M161" s="180">
        <f t="shared" si="34"/>
        <v>0</v>
      </c>
      <c r="N161" s="180">
        <f t="shared" si="34"/>
        <v>0</v>
      </c>
      <c r="O161" s="180">
        <f t="shared" si="34"/>
        <v>0.23560948755118358</v>
      </c>
      <c r="P161" s="180">
        <f t="shared" si="34"/>
        <v>0.18415611491310682</v>
      </c>
      <c r="Q161" s="180">
        <f t="shared" si="34"/>
        <v>0.15834653542856278</v>
      </c>
      <c r="R161" s="180">
        <f t="shared" si="34"/>
        <v>0.13511987907356432</v>
      </c>
      <c r="S161" s="180">
        <f t="shared" si="34"/>
        <v>0.11801974517680858</v>
      </c>
      <c r="T161" s="180">
        <f t="shared" si="34"/>
        <v>0.10208780433880205</v>
      </c>
      <c r="U161" s="180">
        <f t="shared" si="34"/>
        <v>8.7120415343746607E-2</v>
      </c>
      <c r="V161" s="180">
        <f t="shared" si="34"/>
        <v>7.3343813305054864E-2</v>
      </c>
      <c r="W161" s="180">
        <f t="shared" si="34"/>
        <v>6.0562281075700969E-2</v>
      </c>
      <c r="X161" s="180">
        <f t="shared" si="34"/>
        <v>4.8586893813168254E-2</v>
      </c>
      <c r="Y161" s="180">
        <f t="shared" si="34"/>
        <v>0</v>
      </c>
      <c r="Z161" s="180">
        <f t="shared" si="34"/>
        <v>0</v>
      </c>
      <c r="AA161" s="180">
        <f t="shared" si="34"/>
        <v>0</v>
      </c>
      <c r="AB161" s="180">
        <f t="shared" si="34"/>
        <v>0</v>
      </c>
      <c r="AC161" s="180">
        <f t="shared" si="34"/>
        <v>0</v>
      </c>
      <c r="AD161" s="180">
        <f t="shared" si="34"/>
        <v>0</v>
      </c>
      <c r="AE161" s="180">
        <f t="shared" si="34"/>
        <v>0</v>
      </c>
      <c r="AF161" s="180">
        <f t="shared" si="34"/>
        <v>0</v>
      </c>
      <c r="AG161" s="180">
        <f t="shared" si="34"/>
        <v>0</v>
      </c>
      <c r="AH161" s="180">
        <f t="shared" si="34"/>
        <v>0</v>
      </c>
      <c r="AI161" s="180">
        <f t="shared" si="34"/>
        <v>0</v>
      </c>
      <c r="AJ161" s="180">
        <f t="shared" si="34"/>
        <v>0</v>
      </c>
      <c r="AK161" s="180">
        <f t="shared" si="33"/>
        <v>0</v>
      </c>
      <c r="AL161" s="180">
        <f t="shared" si="33"/>
        <v>0</v>
      </c>
      <c r="AM161" s="180">
        <f t="shared" si="33"/>
        <v>0</v>
      </c>
      <c r="AN161" s="180">
        <f t="shared" si="33"/>
        <v>0</v>
      </c>
      <c r="AO161" s="180">
        <f t="shared" si="33"/>
        <v>0</v>
      </c>
      <c r="AP161" s="180">
        <f t="shared" si="33"/>
        <v>0</v>
      </c>
      <c r="AQ161" s="180">
        <f t="shared" si="33"/>
        <v>0</v>
      </c>
      <c r="AR161" s="180">
        <f t="shared" si="33"/>
        <v>0</v>
      </c>
      <c r="AS161" s="180">
        <f t="shared" si="33"/>
        <v>0</v>
      </c>
      <c r="AT161" s="180">
        <f t="shared" si="33"/>
        <v>0</v>
      </c>
      <c r="AU161" s="180">
        <f t="shared" si="33"/>
        <v>0</v>
      </c>
      <c r="AV161" s="180">
        <f t="shared" si="33"/>
        <v>0</v>
      </c>
      <c r="AW161" s="180">
        <f t="shared" si="33"/>
        <v>0</v>
      </c>
      <c r="AX161" s="180">
        <f t="shared" si="33"/>
        <v>0</v>
      </c>
      <c r="AY161" s="180">
        <f t="shared" si="33"/>
        <v>0</v>
      </c>
      <c r="AZ161" s="180">
        <f t="shared" si="33"/>
        <v>0</v>
      </c>
      <c r="BA161" s="180">
        <f t="shared" si="33"/>
        <v>0</v>
      </c>
      <c r="BB161" s="180">
        <f t="shared" si="33"/>
        <v>0</v>
      </c>
      <c r="BC161" s="180">
        <f t="shared" si="33"/>
        <v>0</v>
      </c>
      <c r="BD161" s="180">
        <f t="shared" si="33"/>
        <v>0</v>
      </c>
      <c r="BE161" s="180">
        <f t="shared" si="33"/>
        <v>0</v>
      </c>
      <c r="BF161" s="180">
        <f t="shared" si="33"/>
        <v>0</v>
      </c>
      <c r="BG161" s="180">
        <f t="shared" si="33"/>
        <v>0</v>
      </c>
      <c r="BH161" s="180">
        <f t="shared" si="33"/>
        <v>0</v>
      </c>
      <c r="BI161" s="180">
        <f t="shared" si="33"/>
        <v>0</v>
      </c>
      <c r="BJ161" s="180">
        <f t="shared" si="33"/>
        <v>0</v>
      </c>
      <c r="BK161" s="180">
        <f t="shared" si="33"/>
        <v>0</v>
      </c>
      <c r="BL161" s="180">
        <f t="shared" si="33"/>
        <v>0</v>
      </c>
    </row>
    <row r="162" spans="2:64" x14ac:dyDescent="0.15">
      <c r="C162" s="116" t="s">
        <v>413</v>
      </c>
      <c r="E162" s="180">
        <f t="shared" si="34"/>
        <v>0</v>
      </c>
      <c r="F162" s="180">
        <f t="shared" si="34"/>
        <v>0</v>
      </c>
      <c r="G162" s="180">
        <f t="shared" si="34"/>
        <v>0</v>
      </c>
      <c r="H162" s="180">
        <f t="shared" si="34"/>
        <v>0</v>
      </c>
      <c r="I162" s="180">
        <f t="shared" si="34"/>
        <v>0</v>
      </c>
      <c r="J162" s="180">
        <f t="shared" si="34"/>
        <v>0</v>
      </c>
      <c r="K162" s="180">
        <f t="shared" si="34"/>
        <v>0</v>
      </c>
      <c r="L162" s="180">
        <f t="shared" si="34"/>
        <v>0</v>
      </c>
      <c r="M162" s="180">
        <f t="shared" si="34"/>
        <v>0</v>
      </c>
      <c r="N162" s="180">
        <f t="shared" si="34"/>
        <v>0</v>
      </c>
      <c r="O162" s="180">
        <f t="shared" si="34"/>
        <v>0</v>
      </c>
      <c r="P162" s="180">
        <f t="shared" si="34"/>
        <v>0.23560948755118358</v>
      </c>
      <c r="Q162" s="180">
        <f t="shared" si="34"/>
        <v>0.18415611491310682</v>
      </c>
      <c r="R162" s="180">
        <f t="shared" si="34"/>
        <v>0.15834653542856278</v>
      </c>
      <c r="S162" s="180">
        <f t="shared" si="34"/>
        <v>0.13511987907356432</v>
      </c>
      <c r="T162" s="180">
        <f t="shared" si="34"/>
        <v>0.11801974517680858</v>
      </c>
      <c r="U162" s="180">
        <f t="shared" si="34"/>
        <v>0.10208780433880205</v>
      </c>
      <c r="V162" s="180">
        <f t="shared" si="34"/>
        <v>8.7120415343746607E-2</v>
      </c>
      <c r="W162" s="180">
        <f t="shared" si="34"/>
        <v>7.3343813305054864E-2</v>
      </c>
      <c r="X162" s="180">
        <f t="shared" si="34"/>
        <v>6.0562281075700969E-2</v>
      </c>
      <c r="Y162" s="180">
        <f t="shared" si="34"/>
        <v>0</v>
      </c>
      <c r="Z162" s="180">
        <f t="shared" si="34"/>
        <v>0</v>
      </c>
      <c r="AA162" s="180">
        <f t="shared" si="34"/>
        <v>0</v>
      </c>
      <c r="AB162" s="180">
        <f t="shared" si="34"/>
        <v>0</v>
      </c>
      <c r="AC162" s="180">
        <f t="shared" si="34"/>
        <v>0</v>
      </c>
      <c r="AD162" s="180">
        <f t="shared" si="34"/>
        <v>0</v>
      </c>
      <c r="AE162" s="180">
        <f t="shared" si="34"/>
        <v>0</v>
      </c>
      <c r="AF162" s="180">
        <f t="shared" si="34"/>
        <v>0</v>
      </c>
      <c r="AG162" s="180">
        <f t="shared" si="34"/>
        <v>0</v>
      </c>
      <c r="AH162" s="180">
        <f t="shared" si="34"/>
        <v>0</v>
      </c>
      <c r="AI162" s="180">
        <f t="shared" si="34"/>
        <v>0</v>
      </c>
      <c r="AJ162" s="180">
        <f t="shared" ref="AJ162:BO162" si="35">IF(AJ$5&gt;$D$7,0,AJ39*$F124)</f>
        <v>0</v>
      </c>
      <c r="AK162" s="180">
        <f t="shared" si="33"/>
        <v>0</v>
      </c>
      <c r="AL162" s="180">
        <f t="shared" si="33"/>
        <v>0</v>
      </c>
      <c r="AM162" s="180">
        <f t="shared" si="33"/>
        <v>0</v>
      </c>
      <c r="AN162" s="180">
        <f t="shared" si="33"/>
        <v>0</v>
      </c>
      <c r="AO162" s="180">
        <f t="shared" si="33"/>
        <v>0</v>
      </c>
      <c r="AP162" s="180">
        <f t="shared" si="33"/>
        <v>0</v>
      </c>
      <c r="AQ162" s="180">
        <f t="shared" si="33"/>
        <v>0</v>
      </c>
      <c r="AR162" s="180">
        <f t="shared" si="33"/>
        <v>0</v>
      </c>
      <c r="AS162" s="180">
        <f t="shared" si="33"/>
        <v>0</v>
      </c>
      <c r="AT162" s="180">
        <f t="shared" si="33"/>
        <v>0</v>
      </c>
      <c r="AU162" s="180">
        <f t="shared" si="33"/>
        <v>0</v>
      </c>
      <c r="AV162" s="180">
        <f t="shared" si="33"/>
        <v>0</v>
      </c>
      <c r="AW162" s="180">
        <f t="shared" si="33"/>
        <v>0</v>
      </c>
      <c r="AX162" s="180">
        <f t="shared" si="33"/>
        <v>0</v>
      </c>
      <c r="AY162" s="180">
        <f t="shared" ref="AY162:BZ162" si="36">IF(AY$5&gt;$D$7,0,AY39*$F124)</f>
        <v>0</v>
      </c>
      <c r="AZ162" s="180">
        <f t="shared" si="36"/>
        <v>0</v>
      </c>
      <c r="BA162" s="180">
        <f t="shared" si="36"/>
        <v>0</v>
      </c>
      <c r="BB162" s="180">
        <f t="shared" si="36"/>
        <v>0</v>
      </c>
      <c r="BC162" s="180">
        <f t="shared" si="36"/>
        <v>0</v>
      </c>
      <c r="BD162" s="180">
        <f t="shared" si="36"/>
        <v>0</v>
      </c>
      <c r="BE162" s="180">
        <f t="shared" si="36"/>
        <v>0</v>
      </c>
      <c r="BF162" s="180">
        <f t="shared" si="36"/>
        <v>0</v>
      </c>
      <c r="BG162" s="180">
        <f t="shared" si="36"/>
        <v>0</v>
      </c>
      <c r="BH162" s="180">
        <f t="shared" si="36"/>
        <v>0</v>
      </c>
      <c r="BI162" s="180">
        <f t="shared" si="36"/>
        <v>0</v>
      </c>
      <c r="BJ162" s="180">
        <f t="shared" si="36"/>
        <v>0</v>
      </c>
      <c r="BK162" s="180">
        <f t="shared" si="36"/>
        <v>0</v>
      </c>
      <c r="BL162" s="180">
        <f t="shared" si="36"/>
        <v>0</v>
      </c>
    </row>
    <row r="163" spans="2:64" x14ac:dyDescent="0.15">
      <c r="C163" s="116" t="s">
        <v>415</v>
      </c>
      <c r="E163" s="180">
        <f t="shared" ref="E163:BL164" si="37">IF(E$5&gt;$D$7,0,E40*$F125)</f>
        <v>0</v>
      </c>
      <c r="F163" s="180">
        <f t="shared" si="37"/>
        <v>0</v>
      </c>
      <c r="G163" s="180">
        <f t="shared" si="37"/>
        <v>0</v>
      </c>
      <c r="H163" s="180">
        <f t="shared" si="37"/>
        <v>0</v>
      </c>
      <c r="I163" s="180">
        <f t="shared" si="37"/>
        <v>0</v>
      </c>
      <c r="J163" s="180">
        <f t="shared" si="37"/>
        <v>0</v>
      </c>
      <c r="K163" s="180">
        <f t="shared" si="37"/>
        <v>0</v>
      </c>
      <c r="L163" s="180">
        <f t="shared" si="37"/>
        <v>0</v>
      </c>
      <c r="M163" s="180">
        <f t="shared" si="37"/>
        <v>0</v>
      </c>
      <c r="N163" s="180">
        <f t="shared" si="37"/>
        <v>0</v>
      </c>
      <c r="O163" s="180">
        <f t="shared" si="37"/>
        <v>0</v>
      </c>
      <c r="P163" s="180">
        <f t="shared" si="37"/>
        <v>0</v>
      </c>
      <c r="Q163" s="180">
        <f t="shared" si="37"/>
        <v>0.4642551478841056</v>
      </c>
      <c r="R163" s="180">
        <f t="shared" si="37"/>
        <v>0.36286919194700856</v>
      </c>
      <c r="S163" s="180">
        <f t="shared" si="37"/>
        <v>0.31201287769174935</v>
      </c>
      <c r="T163" s="180">
        <f t="shared" si="37"/>
        <v>0.26624606714002824</v>
      </c>
      <c r="U163" s="180">
        <f t="shared" si="37"/>
        <v>0.23255122202326817</v>
      </c>
      <c r="V163" s="180">
        <f t="shared" si="37"/>
        <v>0.20115823515034889</v>
      </c>
      <c r="W163" s="180">
        <f t="shared" si="37"/>
        <v>0.17166584304186525</v>
      </c>
      <c r="X163" s="180">
        <f t="shared" si="37"/>
        <v>0.1445198291725219</v>
      </c>
      <c r="Y163" s="180">
        <f t="shared" si="37"/>
        <v>0</v>
      </c>
      <c r="Z163" s="180">
        <f t="shared" si="37"/>
        <v>0</v>
      </c>
      <c r="AA163" s="180">
        <f t="shared" si="37"/>
        <v>0</v>
      </c>
      <c r="AB163" s="180">
        <f t="shared" si="37"/>
        <v>0</v>
      </c>
      <c r="AC163" s="180">
        <f t="shared" si="37"/>
        <v>0</v>
      </c>
      <c r="AD163" s="180">
        <f t="shared" si="37"/>
        <v>0</v>
      </c>
      <c r="AE163" s="180">
        <f t="shared" si="37"/>
        <v>0</v>
      </c>
      <c r="AF163" s="180">
        <f t="shared" si="37"/>
        <v>0</v>
      </c>
      <c r="AG163" s="180">
        <f t="shared" si="37"/>
        <v>0</v>
      </c>
      <c r="AH163" s="180">
        <f t="shared" si="37"/>
        <v>0</v>
      </c>
      <c r="AI163" s="180">
        <f t="shared" si="37"/>
        <v>0</v>
      </c>
      <c r="AJ163" s="180">
        <f t="shared" si="37"/>
        <v>0</v>
      </c>
      <c r="AK163" s="180">
        <f t="shared" si="37"/>
        <v>0</v>
      </c>
      <c r="AL163" s="180">
        <f t="shared" si="37"/>
        <v>0</v>
      </c>
      <c r="AM163" s="180">
        <f t="shared" si="37"/>
        <v>0</v>
      </c>
      <c r="AN163" s="180">
        <f t="shared" si="37"/>
        <v>0</v>
      </c>
      <c r="AO163" s="180">
        <f t="shared" si="37"/>
        <v>0</v>
      </c>
      <c r="AP163" s="180">
        <f t="shared" si="37"/>
        <v>0</v>
      </c>
      <c r="AQ163" s="180">
        <f t="shared" si="37"/>
        <v>0</v>
      </c>
      <c r="AR163" s="180">
        <f t="shared" si="37"/>
        <v>0</v>
      </c>
      <c r="AS163" s="180">
        <f t="shared" si="37"/>
        <v>0</v>
      </c>
      <c r="AT163" s="180">
        <f t="shared" si="37"/>
        <v>0</v>
      </c>
      <c r="AU163" s="180">
        <f t="shared" si="37"/>
        <v>0</v>
      </c>
      <c r="AV163" s="180">
        <f t="shared" si="37"/>
        <v>0</v>
      </c>
      <c r="AW163" s="180">
        <f t="shared" si="37"/>
        <v>0</v>
      </c>
      <c r="AX163" s="180">
        <f t="shared" si="37"/>
        <v>0</v>
      </c>
      <c r="AY163" s="180">
        <f t="shared" si="37"/>
        <v>0</v>
      </c>
      <c r="AZ163" s="180">
        <f t="shared" si="37"/>
        <v>0</v>
      </c>
      <c r="BA163" s="180">
        <f t="shared" si="37"/>
        <v>0</v>
      </c>
      <c r="BB163" s="180">
        <f t="shared" si="37"/>
        <v>0</v>
      </c>
      <c r="BC163" s="180">
        <f t="shared" si="37"/>
        <v>0</v>
      </c>
      <c r="BD163" s="180">
        <f t="shared" si="37"/>
        <v>0</v>
      </c>
      <c r="BE163" s="180">
        <f t="shared" si="37"/>
        <v>0</v>
      </c>
      <c r="BF163" s="180">
        <f t="shared" si="37"/>
        <v>0</v>
      </c>
      <c r="BG163" s="180">
        <f t="shared" si="37"/>
        <v>0</v>
      </c>
      <c r="BH163" s="180">
        <f t="shared" si="37"/>
        <v>0</v>
      </c>
      <c r="BI163" s="180">
        <f t="shared" si="37"/>
        <v>0</v>
      </c>
      <c r="BJ163" s="180">
        <f t="shared" si="37"/>
        <v>0</v>
      </c>
      <c r="BK163" s="180">
        <f t="shared" si="37"/>
        <v>0</v>
      </c>
      <c r="BL163" s="180">
        <f t="shared" si="37"/>
        <v>0</v>
      </c>
    </row>
    <row r="164" spans="2:64" x14ac:dyDescent="0.15">
      <c r="C164" s="116" t="s">
        <v>417</v>
      </c>
      <c r="E164" s="180">
        <f t="shared" si="37"/>
        <v>0</v>
      </c>
      <c r="F164" s="180">
        <f t="shared" si="37"/>
        <v>0</v>
      </c>
      <c r="G164" s="180">
        <f t="shared" si="37"/>
        <v>0</v>
      </c>
      <c r="H164" s="180">
        <f t="shared" si="37"/>
        <v>0</v>
      </c>
      <c r="I164" s="180">
        <f t="shared" si="37"/>
        <v>0</v>
      </c>
      <c r="J164" s="180">
        <f t="shared" si="37"/>
        <v>0</v>
      </c>
      <c r="K164" s="180">
        <f t="shared" si="37"/>
        <v>0</v>
      </c>
      <c r="L164" s="180">
        <f t="shared" si="37"/>
        <v>0</v>
      </c>
      <c r="M164" s="180">
        <f t="shared" si="37"/>
        <v>0</v>
      </c>
      <c r="N164" s="180">
        <f t="shared" si="37"/>
        <v>0</v>
      </c>
      <c r="O164" s="180">
        <f t="shared" si="37"/>
        <v>0</v>
      </c>
      <c r="P164" s="180">
        <f t="shared" si="37"/>
        <v>0</v>
      </c>
      <c r="Q164" s="180">
        <f t="shared" si="37"/>
        <v>0</v>
      </c>
      <c r="R164" s="180">
        <f t="shared" si="37"/>
        <v>0.4642551478841056</v>
      </c>
      <c r="S164" s="180">
        <f t="shared" si="37"/>
        <v>0.82712433983111411</v>
      </c>
      <c r="T164" s="180">
        <f t="shared" si="37"/>
        <v>1.1391372175228636</v>
      </c>
      <c r="U164" s="180">
        <f t="shared" si="37"/>
        <v>1.4053832846628918</v>
      </c>
      <c r="V164" s="180">
        <f t="shared" si="37"/>
        <v>1.6379345066861599</v>
      </c>
      <c r="W164" s="180">
        <f t="shared" si="37"/>
        <v>1.8390927418365088</v>
      </c>
      <c r="X164" s="180">
        <f t="shared" si="37"/>
        <v>2.0107585848783742</v>
      </c>
      <c r="Y164" s="180">
        <f t="shared" si="37"/>
        <v>0</v>
      </c>
      <c r="Z164" s="180">
        <f t="shared" si="37"/>
        <v>0</v>
      </c>
      <c r="AA164" s="180">
        <f t="shared" si="37"/>
        <v>0</v>
      </c>
      <c r="AB164" s="180">
        <f t="shared" si="37"/>
        <v>0</v>
      </c>
      <c r="AC164" s="180">
        <f t="shared" si="37"/>
        <v>0</v>
      </c>
      <c r="AD164" s="180">
        <f t="shared" si="37"/>
        <v>0</v>
      </c>
      <c r="AE164" s="180">
        <f t="shared" si="37"/>
        <v>0</v>
      </c>
      <c r="AF164" s="180">
        <f t="shared" si="37"/>
        <v>0</v>
      </c>
      <c r="AG164" s="180">
        <f t="shared" si="37"/>
        <v>0</v>
      </c>
      <c r="AH164" s="180">
        <f t="shared" si="37"/>
        <v>0</v>
      </c>
      <c r="AI164" s="180">
        <f t="shared" si="37"/>
        <v>0</v>
      </c>
      <c r="AJ164" s="180">
        <f t="shared" si="37"/>
        <v>0</v>
      </c>
      <c r="AK164" s="180">
        <f t="shared" si="37"/>
        <v>0</v>
      </c>
      <c r="AL164" s="180">
        <f t="shared" si="37"/>
        <v>0</v>
      </c>
      <c r="AM164" s="180">
        <f t="shared" si="37"/>
        <v>0</v>
      </c>
      <c r="AN164" s="180">
        <f t="shared" si="37"/>
        <v>0</v>
      </c>
      <c r="AO164" s="180">
        <f t="shared" si="37"/>
        <v>0</v>
      </c>
      <c r="AP164" s="180">
        <f t="shared" si="37"/>
        <v>0</v>
      </c>
      <c r="AQ164" s="180">
        <f t="shared" si="37"/>
        <v>0</v>
      </c>
      <c r="AR164" s="180">
        <f t="shared" si="37"/>
        <v>0</v>
      </c>
      <c r="AS164" s="180">
        <f t="shared" si="37"/>
        <v>0</v>
      </c>
      <c r="AT164" s="180">
        <f t="shared" si="37"/>
        <v>0</v>
      </c>
      <c r="AU164" s="180">
        <f t="shared" si="37"/>
        <v>0</v>
      </c>
      <c r="AV164" s="180">
        <f t="shared" si="37"/>
        <v>0</v>
      </c>
      <c r="AW164" s="180">
        <f t="shared" si="37"/>
        <v>0</v>
      </c>
      <c r="AX164" s="180">
        <f t="shared" si="37"/>
        <v>0</v>
      </c>
      <c r="AY164" s="180">
        <f t="shared" si="37"/>
        <v>0</v>
      </c>
      <c r="AZ164" s="180">
        <f t="shared" si="37"/>
        <v>0</v>
      </c>
      <c r="BA164" s="180">
        <f t="shared" si="37"/>
        <v>0</v>
      </c>
      <c r="BB164" s="180">
        <f t="shared" si="37"/>
        <v>0</v>
      </c>
      <c r="BC164" s="180">
        <f t="shared" si="37"/>
        <v>0</v>
      </c>
      <c r="BD164" s="180">
        <f t="shared" si="37"/>
        <v>0</v>
      </c>
      <c r="BE164" s="180">
        <f t="shared" si="37"/>
        <v>0</v>
      </c>
      <c r="BF164" s="180">
        <f t="shared" si="37"/>
        <v>0</v>
      </c>
      <c r="BG164" s="180">
        <f t="shared" si="37"/>
        <v>0</v>
      </c>
      <c r="BH164" s="180">
        <f t="shared" si="37"/>
        <v>0</v>
      </c>
      <c r="BI164" s="180">
        <f t="shared" si="37"/>
        <v>0</v>
      </c>
      <c r="BJ164" s="180">
        <f t="shared" si="37"/>
        <v>0</v>
      </c>
      <c r="BK164" s="180">
        <f t="shared" si="37"/>
        <v>0</v>
      </c>
      <c r="BL164" s="180">
        <f t="shared" si="37"/>
        <v>0</v>
      </c>
    </row>
    <row r="165" spans="2:64" x14ac:dyDescent="0.15">
      <c r="C165" s="116" t="s">
        <v>444</v>
      </c>
      <c r="E165" s="172">
        <f t="shared" ref="E165:BL165" si="38">IF(E$5&gt;$D$7,0,IF(E$5=$D$7,E44,SUM(E150:E164)))</f>
        <v>0.14228954941757815</v>
      </c>
      <c r="F165" s="172">
        <f t="shared" si="38"/>
        <v>0.15044121196757582</v>
      </c>
      <c r="G165" s="172">
        <f t="shared" si="38"/>
        <v>0.15527880622059725</v>
      </c>
      <c r="H165" s="172">
        <f t="shared" si="38"/>
        <v>0.23614226761504131</v>
      </c>
      <c r="I165" s="172">
        <f t="shared" si="38"/>
        <v>0.29678141526764024</v>
      </c>
      <c r="J165" s="172">
        <f t="shared" si="38"/>
        <v>0.34850201546272863</v>
      </c>
      <c r="K165" s="172">
        <f t="shared" si="38"/>
        <v>0.53105989254069796</v>
      </c>
      <c r="L165" s="172">
        <f t="shared" si="38"/>
        <v>0.67218094100351455</v>
      </c>
      <c r="M165" s="172">
        <f t="shared" si="38"/>
        <v>0.79317301522589401</v>
      </c>
      <c r="N165" s="172">
        <f t="shared" si="38"/>
        <v>0.89541266609274595</v>
      </c>
      <c r="O165" s="172">
        <f t="shared" si="38"/>
        <v>0.98291815188453047</v>
      </c>
      <c r="P165" s="172">
        <f t="shared" si="38"/>
        <v>1.0566377098536335</v>
      </c>
      <c r="Q165" s="172">
        <f t="shared" si="38"/>
        <v>1.3460756437752632</v>
      </c>
      <c r="R165" s="172">
        <f t="shared" si="38"/>
        <v>1.5735242599278298</v>
      </c>
      <c r="S165" s="172">
        <f t="shared" si="38"/>
        <v>1.7688504955444309</v>
      </c>
      <c r="T165" s="172">
        <f t="shared" si="38"/>
        <v>1.9325501443386455</v>
      </c>
      <c r="U165" s="172">
        <f t="shared" si="38"/>
        <v>2.0706772746378261</v>
      </c>
      <c r="V165" s="172">
        <f t="shared" si="38"/>
        <v>2.1848388887071364</v>
      </c>
      <c r="W165" s="172">
        <f t="shared" si="38"/>
        <v>2.2791045907647525</v>
      </c>
      <c r="X165" s="172">
        <f t="shared" si="38"/>
        <v>2.5486876586174372</v>
      </c>
      <c r="Y165" s="172">
        <f t="shared" si="38"/>
        <v>0</v>
      </c>
      <c r="Z165" s="172">
        <f t="shared" si="38"/>
        <v>0</v>
      </c>
      <c r="AA165" s="172">
        <f t="shared" si="38"/>
        <v>0</v>
      </c>
      <c r="AB165" s="172">
        <f t="shared" si="38"/>
        <v>0</v>
      </c>
      <c r="AC165" s="172">
        <f t="shared" si="38"/>
        <v>0</v>
      </c>
      <c r="AD165" s="172">
        <f t="shared" si="38"/>
        <v>0</v>
      </c>
      <c r="AE165" s="172">
        <f t="shared" si="38"/>
        <v>0</v>
      </c>
      <c r="AF165" s="172">
        <f t="shared" si="38"/>
        <v>0</v>
      </c>
      <c r="AG165" s="172">
        <f t="shared" si="38"/>
        <v>0</v>
      </c>
      <c r="AH165" s="172">
        <f t="shared" si="38"/>
        <v>0</v>
      </c>
      <c r="AI165" s="172">
        <f t="shared" si="38"/>
        <v>0</v>
      </c>
      <c r="AJ165" s="172">
        <f t="shared" si="38"/>
        <v>0</v>
      </c>
      <c r="AK165" s="172">
        <f t="shared" si="38"/>
        <v>0</v>
      </c>
      <c r="AL165" s="172">
        <f t="shared" si="38"/>
        <v>0</v>
      </c>
      <c r="AM165" s="172">
        <f t="shared" si="38"/>
        <v>0</v>
      </c>
      <c r="AN165" s="172">
        <f t="shared" si="38"/>
        <v>0</v>
      </c>
      <c r="AO165" s="172">
        <f t="shared" si="38"/>
        <v>0</v>
      </c>
      <c r="AP165" s="172">
        <f t="shared" si="38"/>
        <v>0</v>
      </c>
      <c r="AQ165" s="172">
        <f t="shared" si="38"/>
        <v>0</v>
      </c>
      <c r="AR165" s="172">
        <f t="shared" si="38"/>
        <v>0</v>
      </c>
      <c r="AS165" s="172">
        <f t="shared" si="38"/>
        <v>0</v>
      </c>
      <c r="AT165" s="172">
        <f t="shared" si="38"/>
        <v>0</v>
      </c>
      <c r="AU165" s="172">
        <f t="shared" si="38"/>
        <v>0</v>
      </c>
      <c r="AV165" s="172">
        <f t="shared" si="38"/>
        <v>0</v>
      </c>
      <c r="AW165" s="172">
        <f t="shared" si="38"/>
        <v>0</v>
      </c>
      <c r="AX165" s="172">
        <f t="shared" si="38"/>
        <v>0</v>
      </c>
      <c r="AY165" s="172">
        <f t="shared" si="38"/>
        <v>0</v>
      </c>
      <c r="AZ165" s="172">
        <f t="shared" si="38"/>
        <v>0</v>
      </c>
      <c r="BA165" s="172">
        <f t="shared" si="38"/>
        <v>0</v>
      </c>
      <c r="BB165" s="172">
        <f t="shared" si="38"/>
        <v>0</v>
      </c>
      <c r="BC165" s="172">
        <f t="shared" si="38"/>
        <v>0</v>
      </c>
      <c r="BD165" s="172">
        <f t="shared" si="38"/>
        <v>0</v>
      </c>
      <c r="BE165" s="172">
        <f t="shared" si="38"/>
        <v>0</v>
      </c>
      <c r="BF165" s="172">
        <f t="shared" si="38"/>
        <v>0</v>
      </c>
      <c r="BG165" s="172">
        <f t="shared" si="38"/>
        <v>0</v>
      </c>
      <c r="BH165" s="172">
        <f t="shared" si="38"/>
        <v>0</v>
      </c>
      <c r="BI165" s="172">
        <f t="shared" si="38"/>
        <v>0</v>
      </c>
      <c r="BJ165" s="172">
        <f t="shared" si="38"/>
        <v>0</v>
      </c>
      <c r="BK165" s="172">
        <f t="shared" si="38"/>
        <v>0</v>
      </c>
      <c r="BL165" s="172">
        <f t="shared" si="38"/>
        <v>0</v>
      </c>
    </row>
    <row r="166" spans="2:64" x14ac:dyDescent="0.15">
      <c r="C166" s="188" t="s">
        <v>443</v>
      </c>
      <c r="D166" s="327"/>
      <c r="E166" s="327">
        <f t="shared" ref="E166:BL166" si="39">-IF(E$5&gt;$D$7,0,E165-D165)</f>
        <v>-0.14228954941757815</v>
      </c>
      <c r="F166" s="327">
        <f t="shared" si="39"/>
        <v>-8.1516625499976625E-3</v>
      </c>
      <c r="G166" s="327">
        <f t="shared" si="39"/>
        <v>-4.8375942530214378E-3</v>
      </c>
      <c r="H166" s="327">
        <f t="shared" si="39"/>
        <v>-8.0863461394444058E-2</v>
      </c>
      <c r="I166" s="327">
        <f t="shared" si="39"/>
        <v>-6.0639147652598924E-2</v>
      </c>
      <c r="J166" s="327">
        <f t="shared" si="39"/>
        <v>-5.1720600195088395E-2</v>
      </c>
      <c r="K166" s="327">
        <f t="shared" si="39"/>
        <v>-0.18255787707796933</v>
      </c>
      <c r="L166" s="327">
        <f t="shared" si="39"/>
        <v>-0.14112104846281659</v>
      </c>
      <c r="M166" s="327">
        <f t="shared" si="39"/>
        <v>-0.12099207422237945</v>
      </c>
      <c r="N166" s="327">
        <f t="shared" si="39"/>
        <v>-0.10223965086685194</v>
      </c>
      <c r="O166" s="327">
        <f t="shared" si="39"/>
        <v>-8.7505485791784521E-2</v>
      </c>
      <c r="P166" s="327">
        <f t="shared" si="39"/>
        <v>-7.3719557969103011E-2</v>
      </c>
      <c r="Q166" s="327">
        <f t="shared" si="39"/>
        <v>-0.28943793392162975</v>
      </c>
      <c r="R166" s="327">
        <f t="shared" si="39"/>
        <v>-0.22744861615256662</v>
      </c>
      <c r="S166" s="327">
        <f t="shared" si="39"/>
        <v>-0.19532623561660101</v>
      </c>
      <c r="T166" s="327">
        <f t="shared" si="39"/>
        <v>-0.16369964879421461</v>
      </c>
      <c r="U166" s="327">
        <f t="shared" si="39"/>
        <v>-0.13812713029918067</v>
      </c>
      <c r="V166" s="327">
        <f t="shared" si="39"/>
        <v>-0.11416161406931025</v>
      </c>
      <c r="W166" s="327">
        <f t="shared" si="39"/>
        <v>-9.4265702057616085E-2</v>
      </c>
      <c r="X166" s="327">
        <f t="shared" si="39"/>
        <v>-0.26958306785268471</v>
      </c>
      <c r="Y166" s="327">
        <f t="shared" si="39"/>
        <v>0</v>
      </c>
      <c r="Z166" s="327">
        <f t="shared" si="39"/>
        <v>0</v>
      </c>
      <c r="AA166" s="327">
        <f t="shared" si="39"/>
        <v>0</v>
      </c>
      <c r="AB166" s="327">
        <f t="shared" si="39"/>
        <v>0</v>
      </c>
      <c r="AC166" s="327">
        <f t="shared" si="39"/>
        <v>0</v>
      </c>
      <c r="AD166" s="327">
        <f t="shared" si="39"/>
        <v>0</v>
      </c>
      <c r="AE166" s="327">
        <f t="shared" si="39"/>
        <v>0</v>
      </c>
      <c r="AF166" s="327">
        <f t="shared" si="39"/>
        <v>0</v>
      </c>
      <c r="AG166" s="327">
        <f t="shared" si="39"/>
        <v>0</v>
      </c>
      <c r="AH166" s="327">
        <f t="shared" si="39"/>
        <v>0</v>
      </c>
      <c r="AI166" s="327">
        <f t="shared" si="39"/>
        <v>0</v>
      </c>
      <c r="AJ166" s="327">
        <f t="shared" si="39"/>
        <v>0</v>
      </c>
      <c r="AK166" s="327">
        <f t="shared" si="39"/>
        <v>0</v>
      </c>
      <c r="AL166" s="327">
        <f t="shared" si="39"/>
        <v>0</v>
      </c>
      <c r="AM166" s="327">
        <f t="shared" si="39"/>
        <v>0</v>
      </c>
      <c r="AN166" s="327">
        <f t="shared" si="39"/>
        <v>0</v>
      </c>
      <c r="AO166" s="327">
        <f t="shared" si="39"/>
        <v>0</v>
      </c>
      <c r="AP166" s="327">
        <f t="shared" si="39"/>
        <v>0</v>
      </c>
      <c r="AQ166" s="327">
        <f t="shared" si="39"/>
        <v>0</v>
      </c>
      <c r="AR166" s="327">
        <f t="shared" si="39"/>
        <v>0</v>
      </c>
      <c r="AS166" s="327">
        <f t="shared" si="39"/>
        <v>0</v>
      </c>
      <c r="AT166" s="327">
        <f t="shared" si="39"/>
        <v>0</v>
      </c>
      <c r="AU166" s="327">
        <f t="shared" si="39"/>
        <v>0</v>
      </c>
      <c r="AV166" s="327">
        <f t="shared" si="39"/>
        <v>0</v>
      </c>
      <c r="AW166" s="327">
        <f t="shared" si="39"/>
        <v>0</v>
      </c>
      <c r="AX166" s="327">
        <f t="shared" si="39"/>
        <v>0</v>
      </c>
      <c r="AY166" s="327">
        <f t="shared" si="39"/>
        <v>0</v>
      </c>
      <c r="AZ166" s="327">
        <f t="shared" si="39"/>
        <v>0</v>
      </c>
      <c r="BA166" s="327">
        <f t="shared" si="39"/>
        <v>0</v>
      </c>
      <c r="BB166" s="327">
        <f t="shared" si="39"/>
        <v>0</v>
      </c>
      <c r="BC166" s="327">
        <f t="shared" si="39"/>
        <v>0</v>
      </c>
      <c r="BD166" s="327">
        <f t="shared" si="39"/>
        <v>0</v>
      </c>
      <c r="BE166" s="327">
        <f t="shared" si="39"/>
        <v>0</v>
      </c>
      <c r="BF166" s="327">
        <f t="shared" si="39"/>
        <v>0</v>
      </c>
      <c r="BG166" s="327">
        <f t="shared" si="39"/>
        <v>0</v>
      </c>
      <c r="BH166" s="327">
        <f t="shared" si="39"/>
        <v>0</v>
      </c>
      <c r="BI166" s="327">
        <f t="shared" si="39"/>
        <v>0</v>
      </c>
      <c r="BJ166" s="327">
        <f t="shared" si="39"/>
        <v>0</v>
      </c>
      <c r="BK166" s="327">
        <f t="shared" si="39"/>
        <v>0</v>
      </c>
      <c r="BL166" s="327">
        <f t="shared" si="39"/>
        <v>0</v>
      </c>
    </row>
    <row r="168" spans="2:64" x14ac:dyDescent="0.15">
      <c r="B168" s="188" t="s">
        <v>447</v>
      </c>
      <c r="Y168" s="116" t="s">
        <v>446</v>
      </c>
    </row>
    <row r="169" spans="2:64" s="188" customFormat="1" x14ac:dyDescent="0.15">
      <c r="C169" s="188" t="s">
        <v>443</v>
      </c>
    </row>
    <row r="170" spans="2:64" s="188" customFormat="1" x14ac:dyDescent="0.15">
      <c r="C170" s="116" t="s">
        <v>398</v>
      </c>
      <c r="E170" s="180">
        <f t="shared" ref="E170:BL174" si="40">IF(E$5&gt;$D$7,0,E27*$G112)</f>
        <v>9.4844162414819869E-2</v>
      </c>
      <c r="F170" s="180">
        <f t="shared" si="40"/>
        <v>8.1551701560911627E-2</v>
      </c>
      <c r="G170" s="180">
        <f t="shared" si="40"/>
        <v>6.95894989008147E-2</v>
      </c>
      <c r="H170" s="180">
        <f t="shared" si="40"/>
        <v>6.0782580502344322E-2</v>
      </c>
      <c r="I170" s="180">
        <f t="shared" si="40"/>
        <v>5.2577305401182599E-2</v>
      </c>
      <c r="J170" s="180">
        <f t="shared" si="40"/>
        <v>4.4868794209780433E-2</v>
      </c>
      <c r="K170" s="180">
        <f t="shared" si="40"/>
        <v>3.7773562634665241E-2</v>
      </c>
      <c r="L170" s="180">
        <f t="shared" si="40"/>
        <v>3.1190812345634155E-2</v>
      </c>
      <c r="M170" s="180">
        <f t="shared" si="40"/>
        <v>2.5023243188107468E-2</v>
      </c>
      <c r="N170" s="180">
        <f t="shared" si="40"/>
        <v>1.927030296818262E-2</v>
      </c>
      <c r="O170" s="180">
        <f t="shared" si="40"/>
        <v>1.3921401751978381E-2</v>
      </c>
      <c r="P170" s="180">
        <f t="shared" si="40"/>
        <v>8.9620674002723021E-3</v>
      </c>
      <c r="Q170" s="180">
        <f t="shared" si="40"/>
        <v>4.3695024676686347E-3</v>
      </c>
      <c r="R170" s="180">
        <f t="shared" si="40"/>
        <v>0</v>
      </c>
      <c r="S170" s="180">
        <f t="shared" si="40"/>
        <v>0</v>
      </c>
      <c r="T170" s="180">
        <f t="shared" si="40"/>
        <v>0</v>
      </c>
      <c r="U170" s="180">
        <f t="shared" si="40"/>
        <v>0</v>
      </c>
      <c r="V170" s="180">
        <f t="shared" si="40"/>
        <v>0</v>
      </c>
      <c r="W170" s="180">
        <f t="shared" si="40"/>
        <v>0</v>
      </c>
      <c r="X170" s="180">
        <f t="shared" si="40"/>
        <v>0</v>
      </c>
      <c r="Y170" s="180">
        <f t="shared" si="40"/>
        <v>0</v>
      </c>
      <c r="Z170" s="180">
        <f t="shared" si="40"/>
        <v>0</v>
      </c>
      <c r="AA170" s="180">
        <f t="shared" si="40"/>
        <v>0</v>
      </c>
      <c r="AB170" s="180">
        <f t="shared" si="40"/>
        <v>0</v>
      </c>
      <c r="AC170" s="180">
        <f t="shared" si="40"/>
        <v>0</v>
      </c>
      <c r="AD170" s="180">
        <f t="shared" si="40"/>
        <v>0</v>
      </c>
      <c r="AE170" s="180">
        <f t="shared" si="40"/>
        <v>0</v>
      </c>
      <c r="AF170" s="180">
        <f t="shared" si="40"/>
        <v>0</v>
      </c>
      <c r="AG170" s="180">
        <f t="shared" si="40"/>
        <v>0</v>
      </c>
      <c r="AH170" s="180">
        <f t="shared" si="40"/>
        <v>0</v>
      </c>
      <c r="AI170" s="180">
        <f t="shared" si="40"/>
        <v>0</v>
      </c>
      <c r="AJ170" s="180">
        <f t="shared" si="40"/>
        <v>0</v>
      </c>
      <c r="AK170" s="180">
        <f t="shared" si="40"/>
        <v>0</v>
      </c>
      <c r="AL170" s="180">
        <f t="shared" si="40"/>
        <v>0</v>
      </c>
      <c r="AM170" s="180">
        <f t="shared" si="40"/>
        <v>0</v>
      </c>
      <c r="AN170" s="180">
        <f t="shared" si="40"/>
        <v>0</v>
      </c>
      <c r="AO170" s="180">
        <f t="shared" si="40"/>
        <v>0</v>
      </c>
      <c r="AP170" s="180">
        <f t="shared" si="40"/>
        <v>0</v>
      </c>
      <c r="AQ170" s="180">
        <f t="shared" si="40"/>
        <v>0</v>
      </c>
      <c r="AR170" s="180">
        <f t="shared" si="40"/>
        <v>0</v>
      </c>
      <c r="AS170" s="180">
        <f t="shared" si="40"/>
        <v>0</v>
      </c>
      <c r="AT170" s="180">
        <f t="shared" si="40"/>
        <v>0</v>
      </c>
      <c r="AU170" s="180">
        <f t="shared" si="40"/>
        <v>0</v>
      </c>
      <c r="AV170" s="180">
        <f t="shared" si="40"/>
        <v>0</v>
      </c>
      <c r="AW170" s="180">
        <f t="shared" si="40"/>
        <v>0</v>
      </c>
      <c r="AX170" s="180">
        <f t="shared" si="40"/>
        <v>0</v>
      </c>
      <c r="AY170" s="180">
        <f t="shared" si="40"/>
        <v>0</v>
      </c>
      <c r="AZ170" s="180">
        <f t="shared" si="40"/>
        <v>0</v>
      </c>
      <c r="BA170" s="180">
        <f t="shared" si="40"/>
        <v>0</v>
      </c>
      <c r="BB170" s="180">
        <f t="shared" si="40"/>
        <v>0</v>
      </c>
      <c r="BC170" s="180">
        <f t="shared" si="40"/>
        <v>0</v>
      </c>
      <c r="BD170" s="180">
        <f t="shared" si="40"/>
        <v>0</v>
      </c>
      <c r="BE170" s="180">
        <f t="shared" si="40"/>
        <v>0</v>
      </c>
      <c r="BF170" s="180">
        <f t="shared" si="40"/>
        <v>0</v>
      </c>
      <c r="BG170" s="180">
        <f t="shared" si="40"/>
        <v>0</v>
      </c>
      <c r="BH170" s="180">
        <f t="shared" si="40"/>
        <v>0</v>
      </c>
      <c r="BI170" s="180">
        <f t="shared" si="40"/>
        <v>0</v>
      </c>
      <c r="BJ170" s="180">
        <f t="shared" si="40"/>
        <v>0</v>
      </c>
      <c r="BK170" s="180">
        <f t="shared" si="40"/>
        <v>0</v>
      </c>
      <c r="BL170" s="180">
        <f t="shared" si="40"/>
        <v>0</v>
      </c>
    </row>
    <row r="171" spans="2:64" s="188" customFormat="1" x14ac:dyDescent="0.15">
      <c r="C171" s="116" t="s">
        <v>400</v>
      </c>
      <c r="E171" s="180">
        <f t="shared" si="40"/>
        <v>4.7445387002758292E-2</v>
      </c>
      <c r="F171" s="180">
        <f t="shared" si="40"/>
        <v>3.7084067504194573E-2</v>
      </c>
      <c r="G171" s="180">
        <f t="shared" si="40"/>
        <v>3.1886715310316449E-2</v>
      </c>
      <c r="H171" s="180">
        <f t="shared" si="40"/>
        <v>2.7209494070218547E-2</v>
      </c>
      <c r="I171" s="180">
        <f t="shared" si="40"/>
        <v>2.376598897641663E-2</v>
      </c>
      <c r="J171" s="180">
        <f t="shared" si="40"/>
        <v>2.0557726411862397E-2</v>
      </c>
      <c r="K171" s="180">
        <f t="shared" si="40"/>
        <v>1.7543698536024149E-2</v>
      </c>
      <c r="L171" s="180">
        <f t="shared" si="40"/>
        <v>1.4769462990154109E-2</v>
      </c>
      <c r="M171" s="180">
        <f t="shared" si="40"/>
        <v>1.2195607627142955E-2</v>
      </c>
      <c r="N171" s="180">
        <f t="shared" si="40"/>
        <v>9.7840880865500204E-3</v>
      </c>
      <c r="O171" s="180">
        <f t="shared" si="40"/>
        <v>7.5346884605594043E-3</v>
      </c>
      <c r="P171" s="180">
        <f t="shared" si="40"/>
        <v>5.4432680850235466E-3</v>
      </c>
      <c r="Q171" s="180">
        <f t="shared" si="40"/>
        <v>3.50416835350647E-3</v>
      </c>
      <c r="R171" s="180">
        <f t="shared" si="40"/>
        <v>1.7084754648584359E-3</v>
      </c>
      <c r="S171" s="180">
        <f t="shared" si="40"/>
        <v>0</v>
      </c>
      <c r="T171" s="180">
        <f t="shared" si="40"/>
        <v>0</v>
      </c>
      <c r="U171" s="180">
        <f t="shared" si="40"/>
        <v>0</v>
      </c>
      <c r="V171" s="180">
        <f t="shared" si="40"/>
        <v>0</v>
      </c>
      <c r="W171" s="180">
        <f t="shared" si="40"/>
        <v>0</v>
      </c>
      <c r="X171" s="180">
        <f t="shared" si="40"/>
        <v>0</v>
      </c>
      <c r="Y171" s="180">
        <f t="shared" si="40"/>
        <v>0</v>
      </c>
      <c r="Z171" s="180">
        <f t="shared" si="40"/>
        <v>0</v>
      </c>
      <c r="AA171" s="180">
        <f t="shared" si="40"/>
        <v>0</v>
      </c>
      <c r="AB171" s="180">
        <f t="shared" si="40"/>
        <v>0</v>
      </c>
      <c r="AC171" s="180">
        <f t="shared" si="40"/>
        <v>0</v>
      </c>
      <c r="AD171" s="180">
        <f t="shared" si="40"/>
        <v>0</v>
      </c>
      <c r="AE171" s="180">
        <f t="shared" si="40"/>
        <v>0</v>
      </c>
      <c r="AF171" s="180">
        <f t="shared" si="40"/>
        <v>0</v>
      </c>
      <c r="AG171" s="180">
        <f t="shared" si="40"/>
        <v>0</v>
      </c>
      <c r="AH171" s="180">
        <f t="shared" si="40"/>
        <v>0</v>
      </c>
      <c r="AI171" s="180">
        <f t="shared" si="40"/>
        <v>0</v>
      </c>
      <c r="AJ171" s="180">
        <f t="shared" si="40"/>
        <v>0</v>
      </c>
      <c r="AK171" s="180">
        <f t="shared" si="40"/>
        <v>0</v>
      </c>
      <c r="AL171" s="180">
        <f t="shared" si="40"/>
        <v>0</v>
      </c>
      <c r="AM171" s="180">
        <f t="shared" si="40"/>
        <v>0</v>
      </c>
      <c r="AN171" s="180">
        <f t="shared" si="40"/>
        <v>0</v>
      </c>
      <c r="AO171" s="180">
        <f t="shared" si="40"/>
        <v>0</v>
      </c>
      <c r="AP171" s="180">
        <f t="shared" si="40"/>
        <v>0</v>
      </c>
      <c r="AQ171" s="180">
        <f t="shared" si="40"/>
        <v>0</v>
      </c>
      <c r="AR171" s="180">
        <f t="shared" si="40"/>
        <v>0</v>
      </c>
      <c r="AS171" s="180">
        <f t="shared" si="40"/>
        <v>0</v>
      </c>
      <c r="AT171" s="180">
        <f t="shared" si="40"/>
        <v>0</v>
      </c>
      <c r="AU171" s="180">
        <f t="shared" si="40"/>
        <v>0</v>
      </c>
      <c r="AV171" s="180">
        <f t="shared" si="40"/>
        <v>0</v>
      </c>
      <c r="AW171" s="180">
        <f t="shared" si="40"/>
        <v>0</v>
      </c>
      <c r="AX171" s="180">
        <f t="shared" si="40"/>
        <v>0</v>
      </c>
      <c r="AY171" s="180">
        <f t="shared" si="40"/>
        <v>0</v>
      </c>
      <c r="AZ171" s="180">
        <f t="shared" si="40"/>
        <v>0</v>
      </c>
      <c r="BA171" s="180">
        <f t="shared" si="40"/>
        <v>0</v>
      </c>
      <c r="BB171" s="180">
        <f t="shared" si="40"/>
        <v>0</v>
      </c>
      <c r="BC171" s="180">
        <f t="shared" si="40"/>
        <v>0</v>
      </c>
      <c r="BD171" s="180">
        <f t="shared" si="40"/>
        <v>0</v>
      </c>
      <c r="BE171" s="180">
        <f t="shared" si="40"/>
        <v>0</v>
      </c>
      <c r="BF171" s="180">
        <f t="shared" si="40"/>
        <v>0</v>
      </c>
      <c r="BG171" s="180">
        <f t="shared" si="40"/>
        <v>0</v>
      </c>
      <c r="BH171" s="180">
        <f t="shared" si="40"/>
        <v>0</v>
      </c>
      <c r="BI171" s="180">
        <f t="shared" si="40"/>
        <v>0</v>
      </c>
      <c r="BJ171" s="180">
        <f t="shared" si="40"/>
        <v>0</v>
      </c>
      <c r="BK171" s="180">
        <f t="shared" si="40"/>
        <v>0</v>
      </c>
      <c r="BL171" s="180">
        <f t="shared" si="40"/>
        <v>0</v>
      </c>
    </row>
    <row r="172" spans="2:64" s="188" customFormat="1" x14ac:dyDescent="0.15">
      <c r="C172" s="116" t="s">
        <v>401</v>
      </c>
      <c r="E172" s="180">
        <f t="shared" si="40"/>
        <v>0</v>
      </c>
      <c r="F172" s="180">
        <f t="shared" si="40"/>
        <v>3.1805442902469616E-2</v>
      </c>
      <c r="G172" s="180">
        <f t="shared" si="40"/>
        <v>2.4859638968218748E-2</v>
      </c>
      <c r="H172" s="180">
        <f t="shared" si="40"/>
        <v>2.1375547070374066E-2</v>
      </c>
      <c r="I172" s="180">
        <f t="shared" si="40"/>
        <v>1.8240129646431385E-2</v>
      </c>
      <c r="J172" s="180">
        <f t="shared" si="40"/>
        <v>1.5931744963239462E-2</v>
      </c>
      <c r="K172" s="180">
        <f t="shared" si="40"/>
        <v>1.3781057230264954E-2</v>
      </c>
      <c r="L172" s="180">
        <f t="shared" si="40"/>
        <v>1.1760576471917424E-2</v>
      </c>
      <c r="M172" s="180">
        <f t="shared" si="40"/>
        <v>9.9008426637172391E-3</v>
      </c>
      <c r="N172" s="180">
        <f t="shared" si="40"/>
        <v>8.1754355175450051E-3</v>
      </c>
      <c r="O172" s="180">
        <f t="shared" si="40"/>
        <v>6.5588516534053915E-3</v>
      </c>
      <c r="P172" s="180">
        <f t="shared" si="40"/>
        <v>5.0509463355475816E-3</v>
      </c>
      <c r="Q172" s="180">
        <f t="shared" si="40"/>
        <v>3.6489438324317325E-3</v>
      </c>
      <c r="R172" s="180">
        <f t="shared" si="40"/>
        <v>2.3490508462205534E-3</v>
      </c>
      <c r="S172" s="180">
        <f t="shared" si="40"/>
        <v>1.1452919299544584E-3</v>
      </c>
      <c r="T172" s="180">
        <f t="shared" si="40"/>
        <v>0</v>
      </c>
      <c r="U172" s="180">
        <f t="shared" si="40"/>
        <v>0</v>
      </c>
      <c r="V172" s="180">
        <f t="shared" si="40"/>
        <v>0</v>
      </c>
      <c r="W172" s="180">
        <f t="shared" si="40"/>
        <v>0</v>
      </c>
      <c r="X172" s="180">
        <f t="shared" si="40"/>
        <v>0</v>
      </c>
      <c r="Y172" s="180">
        <f t="shared" si="40"/>
        <v>0</v>
      </c>
      <c r="Z172" s="180">
        <f t="shared" si="40"/>
        <v>0</v>
      </c>
      <c r="AA172" s="180">
        <f t="shared" si="40"/>
        <v>0</v>
      </c>
      <c r="AB172" s="180">
        <f t="shared" si="40"/>
        <v>0</v>
      </c>
      <c r="AC172" s="180">
        <f t="shared" si="40"/>
        <v>0</v>
      </c>
      <c r="AD172" s="180">
        <f t="shared" si="40"/>
        <v>0</v>
      </c>
      <c r="AE172" s="180">
        <f t="shared" si="40"/>
        <v>0</v>
      </c>
      <c r="AF172" s="180">
        <f t="shared" si="40"/>
        <v>0</v>
      </c>
      <c r="AG172" s="180">
        <f t="shared" si="40"/>
        <v>0</v>
      </c>
      <c r="AH172" s="180">
        <f t="shared" si="40"/>
        <v>0</v>
      </c>
      <c r="AI172" s="180">
        <f t="shared" si="40"/>
        <v>0</v>
      </c>
      <c r="AJ172" s="180">
        <f t="shared" si="40"/>
        <v>0</v>
      </c>
      <c r="AK172" s="180">
        <f t="shared" si="40"/>
        <v>0</v>
      </c>
      <c r="AL172" s="180">
        <f t="shared" si="40"/>
        <v>0</v>
      </c>
      <c r="AM172" s="180">
        <f t="shared" si="40"/>
        <v>0</v>
      </c>
      <c r="AN172" s="180">
        <f t="shared" si="40"/>
        <v>0</v>
      </c>
      <c r="AO172" s="180">
        <f t="shared" si="40"/>
        <v>0</v>
      </c>
      <c r="AP172" s="180">
        <f t="shared" si="40"/>
        <v>0</v>
      </c>
      <c r="AQ172" s="180">
        <f t="shared" si="40"/>
        <v>0</v>
      </c>
      <c r="AR172" s="180">
        <f t="shared" si="40"/>
        <v>0</v>
      </c>
      <c r="AS172" s="180">
        <f t="shared" si="40"/>
        <v>0</v>
      </c>
      <c r="AT172" s="180">
        <f t="shared" si="40"/>
        <v>0</v>
      </c>
      <c r="AU172" s="180">
        <f t="shared" si="40"/>
        <v>0</v>
      </c>
      <c r="AV172" s="180">
        <f t="shared" si="40"/>
        <v>0</v>
      </c>
      <c r="AW172" s="180">
        <f t="shared" si="40"/>
        <v>0</v>
      </c>
      <c r="AX172" s="180">
        <f t="shared" si="40"/>
        <v>0</v>
      </c>
      <c r="AY172" s="180">
        <f t="shared" si="40"/>
        <v>0</v>
      </c>
      <c r="AZ172" s="180">
        <f t="shared" si="40"/>
        <v>0</v>
      </c>
      <c r="BA172" s="180">
        <f t="shared" si="40"/>
        <v>0</v>
      </c>
      <c r="BB172" s="180">
        <f t="shared" si="40"/>
        <v>0</v>
      </c>
      <c r="BC172" s="180">
        <f t="shared" si="40"/>
        <v>0</v>
      </c>
      <c r="BD172" s="180">
        <f t="shared" si="40"/>
        <v>0</v>
      </c>
      <c r="BE172" s="180">
        <f t="shared" si="40"/>
        <v>0</v>
      </c>
      <c r="BF172" s="180">
        <f t="shared" si="40"/>
        <v>0</v>
      </c>
      <c r="BG172" s="180">
        <f t="shared" si="40"/>
        <v>0</v>
      </c>
      <c r="BH172" s="180">
        <f t="shared" si="40"/>
        <v>0</v>
      </c>
      <c r="BI172" s="180">
        <f t="shared" si="40"/>
        <v>0</v>
      </c>
      <c r="BJ172" s="180">
        <f t="shared" si="40"/>
        <v>0</v>
      </c>
      <c r="BK172" s="180">
        <f t="shared" si="40"/>
        <v>0</v>
      </c>
      <c r="BL172" s="180">
        <f t="shared" si="40"/>
        <v>0</v>
      </c>
    </row>
    <row r="173" spans="2:64" s="188" customFormat="1" x14ac:dyDescent="0.15">
      <c r="C173" s="116" t="s">
        <v>402</v>
      </c>
      <c r="E173" s="180">
        <f t="shared" si="40"/>
        <v>0</v>
      </c>
      <c r="F173" s="180">
        <f t="shared" si="40"/>
        <v>0</v>
      </c>
      <c r="G173" s="180">
        <f t="shared" si="40"/>
        <v>2.8942953041247353E-2</v>
      </c>
      <c r="H173" s="180">
        <f t="shared" si="40"/>
        <v>2.2622271461079063E-2</v>
      </c>
      <c r="I173" s="180">
        <f t="shared" si="40"/>
        <v>1.9451747834040401E-2</v>
      </c>
      <c r="J173" s="180">
        <f t="shared" si="40"/>
        <v>1.6598517978252559E-2</v>
      </c>
      <c r="K173" s="180">
        <f t="shared" si="40"/>
        <v>1.449788791654791E-2</v>
      </c>
      <c r="L173" s="180">
        <f t="shared" si="40"/>
        <v>1.254076207954111E-2</v>
      </c>
      <c r="M173" s="180">
        <f t="shared" si="40"/>
        <v>1.0702124589444856E-2</v>
      </c>
      <c r="N173" s="180">
        <f t="shared" si="40"/>
        <v>9.0097668239826883E-3</v>
      </c>
      <c r="O173" s="180">
        <f t="shared" si="40"/>
        <v>7.4396463209659546E-3</v>
      </c>
      <c r="P173" s="180">
        <f t="shared" si="40"/>
        <v>5.9685550045989067E-3</v>
      </c>
      <c r="Q173" s="180">
        <f t="shared" si="40"/>
        <v>4.5963611653482995E-3</v>
      </c>
      <c r="R173" s="180">
        <f t="shared" si="40"/>
        <v>3.3205388875128762E-3</v>
      </c>
      <c r="S173" s="180">
        <f t="shared" si="40"/>
        <v>2.1376362700607035E-3</v>
      </c>
      <c r="T173" s="180">
        <f t="shared" si="40"/>
        <v>1.0422156562585572E-3</v>
      </c>
      <c r="U173" s="180">
        <f t="shared" si="40"/>
        <v>0</v>
      </c>
      <c r="V173" s="180">
        <f t="shared" si="40"/>
        <v>0</v>
      </c>
      <c r="W173" s="180">
        <f t="shared" si="40"/>
        <v>0</v>
      </c>
      <c r="X173" s="180">
        <f t="shared" si="40"/>
        <v>0</v>
      </c>
      <c r="Y173" s="180">
        <f t="shared" si="40"/>
        <v>0</v>
      </c>
      <c r="Z173" s="180">
        <f t="shared" si="40"/>
        <v>0</v>
      </c>
      <c r="AA173" s="180">
        <f t="shared" si="40"/>
        <v>0</v>
      </c>
      <c r="AB173" s="180">
        <f t="shared" si="40"/>
        <v>0</v>
      </c>
      <c r="AC173" s="180">
        <f t="shared" si="40"/>
        <v>0</v>
      </c>
      <c r="AD173" s="180">
        <f t="shared" si="40"/>
        <v>0</v>
      </c>
      <c r="AE173" s="180">
        <f t="shared" si="40"/>
        <v>0</v>
      </c>
      <c r="AF173" s="180">
        <f t="shared" si="40"/>
        <v>0</v>
      </c>
      <c r="AG173" s="180">
        <f t="shared" si="40"/>
        <v>0</v>
      </c>
      <c r="AH173" s="180">
        <f t="shared" si="40"/>
        <v>0</v>
      </c>
      <c r="AI173" s="180">
        <f t="shared" si="40"/>
        <v>0</v>
      </c>
      <c r="AJ173" s="180">
        <f t="shared" si="40"/>
        <v>0</v>
      </c>
      <c r="AK173" s="180">
        <f t="shared" si="40"/>
        <v>0</v>
      </c>
      <c r="AL173" s="180">
        <f t="shared" si="40"/>
        <v>0</v>
      </c>
      <c r="AM173" s="180">
        <f t="shared" si="40"/>
        <v>0</v>
      </c>
      <c r="AN173" s="180">
        <f t="shared" si="40"/>
        <v>0</v>
      </c>
      <c r="AO173" s="180">
        <f t="shared" si="40"/>
        <v>0</v>
      </c>
      <c r="AP173" s="180">
        <f t="shared" si="40"/>
        <v>0</v>
      </c>
      <c r="AQ173" s="180">
        <f t="shared" si="40"/>
        <v>0</v>
      </c>
      <c r="AR173" s="180">
        <f t="shared" si="40"/>
        <v>0</v>
      </c>
      <c r="AS173" s="180">
        <f t="shared" si="40"/>
        <v>0</v>
      </c>
      <c r="AT173" s="180">
        <f t="shared" si="40"/>
        <v>0</v>
      </c>
      <c r="AU173" s="180">
        <f t="shared" si="40"/>
        <v>0</v>
      </c>
      <c r="AV173" s="180">
        <f t="shared" si="40"/>
        <v>0</v>
      </c>
      <c r="AW173" s="180">
        <f t="shared" si="40"/>
        <v>0</v>
      </c>
      <c r="AX173" s="180">
        <f t="shared" si="40"/>
        <v>0</v>
      </c>
      <c r="AY173" s="180">
        <f t="shared" si="40"/>
        <v>0</v>
      </c>
      <c r="AZ173" s="180">
        <f t="shared" si="40"/>
        <v>0</v>
      </c>
      <c r="BA173" s="180">
        <f t="shared" si="40"/>
        <v>0</v>
      </c>
      <c r="BB173" s="180">
        <f t="shared" si="40"/>
        <v>0</v>
      </c>
      <c r="BC173" s="180">
        <f t="shared" si="40"/>
        <v>0</v>
      </c>
      <c r="BD173" s="180">
        <f t="shared" si="40"/>
        <v>0</v>
      </c>
      <c r="BE173" s="180">
        <f t="shared" si="40"/>
        <v>0</v>
      </c>
      <c r="BF173" s="180">
        <f t="shared" si="40"/>
        <v>0</v>
      </c>
      <c r="BG173" s="180">
        <f t="shared" si="40"/>
        <v>0</v>
      </c>
      <c r="BH173" s="180">
        <f t="shared" si="40"/>
        <v>0</v>
      </c>
      <c r="BI173" s="180">
        <f t="shared" si="40"/>
        <v>0</v>
      </c>
      <c r="BJ173" s="180">
        <f t="shared" si="40"/>
        <v>0</v>
      </c>
      <c r="BK173" s="180">
        <f t="shared" si="40"/>
        <v>0</v>
      </c>
      <c r="BL173" s="180">
        <f t="shared" si="40"/>
        <v>0</v>
      </c>
    </row>
    <row r="174" spans="2:64" s="188" customFormat="1" x14ac:dyDescent="0.15">
      <c r="C174" s="116" t="s">
        <v>404</v>
      </c>
      <c r="E174" s="180">
        <f t="shared" si="40"/>
        <v>0</v>
      </c>
      <c r="F174" s="180">
        <f t="shared" si="40"/>
        <v>0</v>
      </c>
      <c r="G174" s="180">
        <f t="shared" si="40"/>
        <v>0</v>
      </c>
      <c r="H174" s="180">
        <f t="shared" si="40"/>
        <v>0.10415237451102533</v>
      </c>
      <c r="I174" s="180">
        <f t="shared" si="40"/>
        <v>8.1407148957694714E-2</v>
      </c>
      <c r="J174" s="180">
        <f t="shared" si="40"/>
        <v>6.9997892834838704E-2</v>
      </c>
      <c r="K174" s="180">
        <f t="shared" si="40"/>
        <v>5.9730431042583153E-2</v>
      </c>
      <c r="L174" s="180">
        <f t="shared" si="40"/>
        <v>5.2171229720451864E-2</v>
      </c>
      <c r="M174" s="180">
        <f t="shared" si="40"/>
        <v>4.5128434092423182E-2</v>
      </c>
      <c r="N174" s="180">
        <f t="shared" si="40"/>
        <v>3.8512023521407597E-2</v>
      </c>
      <c r="O174" s="180">
        <f t="shared" si="40"/>
        <v>3.2422006392061449E-2</v>
      </c>
      <c r="P174" s="180">
        <f t="shared" si="40"/>
        <v>2.6771864942272794E-2</v>
      </c>
      <c r="Q174" s="180">
        <f t="shared" si="40"/>
        <v>2.1478083982747913E-2</v>
      </c>
      <c r="R174" s="180">
        <f t="shared" si="40"/>
        <v>1.6540189551461793E-2</v>
      </c>
      <c r="S174" s="180">
        <f t="shared" si="40"/>
        <v>1.194909203970293E-2</v>
      </c>
      <c r="T174" s="180">
        <f t="shared" ref="T174:BL178" si="41">IF(T$5&gt;$D$7,0,T31*$G116)</f>
        <v>7.6923696434991881E-3</v>
      </c>
      <c r="U174" s="180">
        <f t="shared" si="41"/>
        <v>3.7504547375383206E-3</v>
      </c>
      <c r="V174" s="180">
        <f t="shared" si="41"/>
        <v>0</v>
      </c>
      <c r="W174" s="180">
        <f t="shared" si="41"/>
        <v>0</v>
      </c>
      <c r="X174" s="180">
        <f t="shared" si="41"/>
        <v>0</v>
      </c>
      <c r="Y174" s="180">
        <f t="shared" si="41"/>
        <v>0</v>
      </c>
      <c r="Z174" s="180">
        <f t="shared" si="41"/>
        <v>0</v>
      </c>
      <c r="AA174" s="180">
        <f t="shared" si="41"/>
        <v>0</v>
      </c>
      <c r="AB174" s="180">
        <f t="shared" si="41"/>
        <v>0</v>
      </c>
      <c r="AC174" s="180">
        <f t="shared" si="41"/>
        <v>0</v>
      </c>
      <c r="AD174" s="180">
        <f t="shared" si="41"/>
        <v>0</v>
      </c>
      <c r="AE174" s="180">
        <f t="shared" si="41"/>
        <v>0</v>
      </c>
      <c r="AF174" s="180">
        <f t="shared" si="41"/>
        <v>0</v>
      </c>
      <c r="AG174" s="180">
        <f t="shared" si="41"/>
        <v>0</v>
      </c>
      <c r="AH174" s="180">
        <f t="shared" si="41"/>
        <v>0</v>
      </c>
      <c r="AI174" s="180">
        <f t="shared" si="41"/>
        <v>0</v>
      </c>
      <c r="AJ174" s="180">
        <f t="shared" si="41"/>
        <v>0</v>
      </c>
      <c r="AK174" s="180">
        <f t="shared" si="41"/>
        <v>0</v>
      </c>
      <c r="AL174" s="180">
        <f t="shared" si="41"/>
        <v>0</v>
      </c>
      <c r="AM174" s="180">
        <f t="shared" si="41"/>
        <v>0</v>
      </c>
      <c r="AN174" s="180">
        <f t="shared" si="41"/>
        <v>0</v>
      </c>
      <c r="AO174" s="180">
        <f t="shared" si="41"/>
        <v>0</v>
      </c>
      <c r="AP174" s="180">
        <f t="shared" si="41"/>
        <v>0</v>
      </c>
      <c r="AQ174" s="180">
        <f t="shared" si="41"/>
        <v>0</v>
      </c>
      <c r="AR174" s="180">
        <f t="shared" si="41"/>
        <v>0</v>
      </c>
      <c r="AS174" s="180">
        <f t="shared" si="41"/>
        <v>0</v>
      </c>
      <c r="AT174" s="180">
        <f t="shared" si="41"/>
        <v>0</v>
      </c>
      <c r="AU174" s="180">
        <f t="shared" si="41"/>
        <v>0</v>
      </c>
      <c r="AV174" s="180">
        <f t="shared" si="41"/>
        <v>0</v>
      </c>
      <c r="AW174" s="180">
        <f t="shared" si="41"/>
        <v>0</v>
      </c>
      <c r="AX174" s="180">
        <f t="shared" si="41"/>
        <v>0</v>
      </c>
      <c r="AY174" s="180">
        <f t="shared" si="41"/>
        <v>0</v>
      </c>
      <c r="AZ174" s="180">
        <f t="shared" si="41"/>
        <v>0</v>
      </c>
      <c r="BA174" s="180">
        <f t="shared" si="41"/>
        <v>0</v>
      </c>
      <c r="BB174" s="180">
        <f t="shared" si="41"/>
        <v>0</v>
      </c>
      <c r="BC174" s="180">
        <f t="shared" si="41"/>
        <v>0</v>
      </c>
      <c r="BD174" s="180">
        <f t="shared" si="41"/>
        <v>0</v>
      </c>
      <c r="BE174" s="180">
        <f t="shared" si="41"/>
        <v>0</v>
      </c>
      <c r="BF174" s="180">
        <f t="shared" si="41"/>
        <v>0</v>
      </c>
      <c r="BG174" s="180">
        <f t="shared" si="41"/>
        <v>0</v>
      </c>
      <c r="BH174" s="180">
        <f t="shared" si="41"/>
        <v>0</v>
      </c>
      <c r="BI174" s="180">
        <f t="shared" si="41"/>
        <v>0</v>
      </c>
      <c r="BJ174" s="180">
        <f t="shared" si="41"/>
        <v>0</v>
      </c>
      <c r="BK174" s="180">
        <f t="shared" si="41"/>
        <v>0</v>
      </c>
      <c r="BL174" s="180">
        <f t="shared" si="41"/>
        <v>0</v>
      </c>
    </row>
    <row r="175" spans="2:64" s="188" customFormat="1" x14ac:dyDescent="0.15">
      <c r="C175" s="116" t="s">
        <v>405</v>
      </c>
      <c r="E175" s="180">
        <f t="shared" ref="E175:AJ178" si="42">IF(E$5&gt;$D$7,0,E32*$G117)</f>
        <v>0</v>
      </c>
      <c r="F175" s="180">
        <f t="shared" si="42"/>
        <v>0</v>
      </c>
      <c r="G175" s="180">
        <f t="shared" si="42"/>
        <v>0</v>
      </c>
      <c r="H175" s="180">
        <f t="shared" si="42"/>
        <v>0</v>
      </c>
      <c r="I175" s="180">
        <f t="shared" si="42"/>
        <v>0.10133909445187451</v>
      </c>
      <c r="J175" s="180">
        <f t="shared" si="42"/>
        <v>7.9208244612880577E-2</v>
      </c>
      <c r="K175" s="180">
        <f t="shared" si="42"/>
        <v>6.8107166127748781E-2</v>
      </c>
      <c r="L175" s="180">
        <f t="shared" si="42"/>
        <v>5.811704074432554E-2</v>
      </c>
      <c r="M175" s="180">
        <f t="shared" si="42"/>
        <v>5.076202248035782E-2</v>
      </c>
      <c r="N175" s="180">
        <f t="shared" si="42"/>
        <v>4.3909461175780977E-2</v>
      </c>
      <c r="O175" s="180">
        <f t="shared" si="42"/>
        <v>3.7471767758454698E-2</v>
      </c>
      <c r="P175" s="180">
        <f t="shared" si="42"/>
        <v>3.1546249267092673E-2</v>
      </c>
      <c r="Q175" s="180">
        <f t="shared" si="42"/>
        <v>2.6048724887694375E-2</v>
      </c>
      <c r="R175" s="180">
        <f t="shared" si="42"/>
        <v>2.0897935275998699E-2</v>
      </c>
      <c r="S175" s="180">
        <f t="shared" si="42"/>
        <v>1.6093419272261138E-2</v>
      </c>
      <c r="T175" s="180">
        <f t="shared" si="42"/>
        <v>1.1626332788960208E-2</v>
      </c>
      <c r="U175" s="180">
        <f t="shared" si="42"/>
        <v>7.4845895498885286E-3</v>
      </c>
      <c r="V175" s="180">
        <f t="shared" si="42"/>
        <v>3.6491504746696199E-3</v>
      </c>
      <c r="W175" s="180">
        <f t="shared" si="42"/>
        <v>0</v>
      </c>
      <c r="X175" s="180">
        <f t="shared" si="42"/>
        <v>0</v>
      </c>
      <c r="Y175" s="180">
        <f t="shared" si="42"/>
        <v>0</v>
      </c>
      <c r="Z175" s="180">
        <f t="shared" si="42"/>
        <v>0</v>
      </c>
      <c r="AA175" s="180">
        <f t="shared" si="42"/>
        <v>0</v>
      </c>
      <c r="AB175" s="180">
        <f t="shared" si="42"/>
        <v>0</v>
      </c>
      <c r="AC175" s="180">
        <f t="shared" si="42"/>
        <v>0</v>
      </c>
      <c r="AD175" s="180">
        <f t="shared" si="42"/>
        <v>0</v>
      </c>
      <c r="AE175" s="180">
        <f t="shared" si="42"/>
        <v>0</v>
      </c>
      <c r="AF175" s="180">
        <f t="shared" si="42"/>
        <v>0</v>
      </c>
      <c r="AG175" s="180">
        <f t="shared" si="42"/>
        <v>0</v>
      </c>
      <c r="AH175" s="180">
        <f t="shared" si="42"/>
        <v>0</v>
      </c>
      <c r="AI175" s="180">
        <f t="shared" si="42"/>
        <v>0</v>
      </c>
      <c r="AJ175" s="180">
        <f t="shared" si="42"/>
        <v>0</v>
      </c>
      <c r="AK175" s="180">
        <f t="shared" si="41"/>
        <v>0</v>
      </c>
      <c r="AL175" s="180">
        <f t="shared" si="41"/>
        <v>0</v>
      </c>
      <c r="AM175" s="180">
        <f t="shared" si="41"/>
        <v>0</v>
      </c>
      <c r="AN175" s="180">
        <f t="shared" si="41"/>
        <v>0</v>
      </c>
      <c r="AO175" s="180">
        <f t="shared" si="41"/>
        <v>0</v>
      </c>
      <c r="AP175" s="180">
        <f t="shared" si="41"/>
        <v>0</v>
      </c>
      <c r="AQ175" s="180">
        <f t="shared" si="41"/>
        <v>0</v>
      </c>
      <c r="AR175" s="180">
        <f t="shared" si="41"/>
        <v>0</v>
      </c>
      <c r="AS175" s="180">
        <f t="shared" si="41"/>
        <v>0</v>
      </c>
      <c r="AT175" s="180">
        <f t="shared" si="41"/>
        <v>0</v>
      </c>
      <c r="AU175" s="180">
        <f t="shared" si="41"/>
        <v>0</v>
      </c>
      <c r="AV175" s="180">
        <f t="shared" si="41"/>
        <v>0</v>
      </c>
      <c r="AW175" s="180">
        <f t="shared" si="41"/>
        <v>0</v>
      </c>
      <c r="AX175" s="180">
        <f t="shared" si="41"/>
        <v>0</v>
      </c>
      <c r="AY175" s="180">
        <f t="shared" si="41"/>
        <v>0</v>
      </c>
      <c r="AZ175" s="180">
        <f t="shared" si="41"/>
        <v>0</v>
      </c>
      <c r="BA175" s="180">
        <f t="shared" si="41"/>
        <v>0</v>
      </c>
      <c r="BB175" s="180">
        <f t="shared" si="41"/>
        <v>0</v>
      </c>
      <c r="BC175" s="180">
        <f t="shared" si="41"/>
        <v>0</v>
      </c>
      <c r="BD175" s="180">
        <f t="shared" si="41"/>
        <v>0</v>
      </c>
      <c r="BE175" s="180">
        <f t="shared" si="41"/>
        <v>0</v>
      </c>
      <c r="BF175" s="180">
        <f t="shared" si="41"/>
        <v>0</v>
      </c>
      <c r="BG175" s="180">
        <f t="shared" si="41"/>
        <v>0</v>
      </c>
      <c r="BH175" s="180">
        <f t="shared" si="41"/>
        <v>0</v>
      </c>
      <c r="BI175" s="180">
        <f t="shared" si="41"/>
        <v>0</v>
      </c>
      <c r="BJ175" s="180">
        <f t="shared" si="41"/>
        <v>0</v>
      </c>
      <c r="BK175" s="180">
        <f t="shared" si="41"/>
        <v>0</v>
      </c>
      <c r="BL175" s="180">
        <f t="shared" si="41"/>
        <v>0</v>
      </c>
    </row>
    <row r="176" spans="2:64" s="188" customFormat="1" x14ac:dyDescent="0.15">
      <c r="C176" s="116" t="s">
        <v>406</v>
      </c>
      <c r="E176" s="180">
        <f t="shared" si="42"/>
        <v>0</v>
      </c>
      <c r="F176" s="180">
        <f t="shared" si="42"/>
        <v>0</v>
      </c>
      <c r="G176" s="180">
        <f t="shared" si="42"/>
        <v>0</v>
      </c>
      <c r="H176" s="180">
        <f t="shared" si="42"/>
        <v>0</v>
      </c>
      <c r="I176" s="180">
        <f t="shared" si="42"/>
        <v>0</v>
      </c>
      <c r="J176" s="180">
        <f t="shared" si="42"/>
        <v>0.10133909445187451</v>
      </c>
      <c r="K176" s="180">
        <f t="shared" si="42"/>
        <v>7.9208244612880577E-2</v>
      </c>
      <c r="L176" s="180">
        <f t="shared" si="42"/>
        <v>6.8107166127748781E-2</v>
      </c>
      <c r="M176" s="180">
        <f t="shared" si="42"/>
        <v>5.811704074432554E-2</v>
      </c>
      <c r="N176" s="180">
        <f t="shared" si="42"/>
        <v>5.076202248035782E-2</v>
      </c>
      <c r="O176" s="180">
        <f t="shared" si="42"/>
        <v>4.3909461175780977E-2</v>
      </c>
      <c r="P176" s="180">
        <f t="shared" si="42"/>
        <v>3.7471767758454698E-2</v>
      </c>
      <c r="Q176" s="180">
        <f t="shared" si="42"/>
        <v>3.1546249267092673E-2</v>
      </c>
      <c r="R176" s="180">
        <f t="shared" si="42"/>
        <v>2.6048724887694375E-2</v>
      </c>
      <c r="S176" s="180">
        <f t="shared" si="42"/>
        <v>2.0897935275998699E-2</v>
      </c>
      <c r="T176" s="180">
        <f t="shared" si="42"/>
        <v>1.6093419272261138E-2</v>
      </c>
      <c r="U176" s="180">
        <f t="shared" si="42"/>
        <v>1.1626332788960208E-2</v>
      </c>
      <c r="V176" s="180">
        <f t="shared" si="42"/>
        <v>7.4845895498885286E-3</v>
      </c>
      <c r="W176" s="180">
        <f t="shared" si="42"/>
        <v>3.6491504746696199E-3</v>
      </c>
      <c r="X176" s="180">
        <f t="shared" si="42"/>
        <v>0</v>
      </c>
      <c r="Y176" s="180">
        <f t="shared" si="42"/>
        <v>0</v>
      </c>
      <c r="Z176" s="180">
        <f t="shared" si="42"/>
        <v>0</v>
      </c>
      <c r="AA176" s="180">
        <f t="shared" si="42"/>
        <v>0</v>
      </c>
      <c r="AB176" s="180">
        <f t="shared" si="42"/>
        <v>0</v>
      </c>
      <c r="AC176" s="180">
        <f t="shared" si="42"/>
        <v>0</v>
      </c>
      <c r="AD176" s="180">
        <f t="shared" si="42"/>
        <v>0</v>
      </c>
      <c r="AE176" s="180">
        <f t="shared" si="42"/>
        <v>0</v>
      </c>
      <c r="AF176" s="180">
        <f t="shared" si="42"/>
        <v>0</v>
      </c>
      <c r="AG176" s="180">
        <f t="shared" si="42"/>
        <v>0</v>
      </c>
      <c r="AH176" s="180">
        <f t="shared" si="42"/>
        <v>0</v>
      </c>
      <c r="AI176" s="180">
        <f t="shared" si="42"/>
        <v>0</v>
      </c>
      <c r="AJ176" s="180">
        <f t="shared" si="42"/>
        <v>0</v>
      </c>
      <c r="AK176" s="180">
        <f t="shared" si="41"/>
        <v>0</v>
      </c>
      <c r="AL176" s="180">
        <f t="shared" si="41"/>
        <v>0</v>
      </c>
      <c r="AM176" s="180">
        <f t="shared" si="41"/>
        <v>0</v>
      </c>
      <c r="AN176" s="180">
        <f t="shared" si="41"/>
        <v>0</v>
      </c>
      <c r="AO176" s="180">
        <f t="shared" si="41"/>
        <v>0</v>
      </c>
      <c r="AP176" s="180">
        <f t="shared" si="41"/>
        <v>0</v>
      </c>
      <c r="AQ176" s="180">
        <f t="shared" si="41"/>
        <v>0</v>
      </c>
      <c r="AR176" s="180">
        <f t="shared" si="41"/>
        <v>0</v>
      </c>
      <c r="AS176" s="180">
        <f t="shared" si="41"/>
        <v>0</v>
      </c>
      <c r="AT176" s="180">
        <f t="shared" si="41"/>
        <v>0</v>
      </c>
      <c r="AU176" s="180">
        <f t="shared" si="41"/>
        <v>0</v>
      </c>
      <c r="AV176" s="180">
        <f t="shared" si="41"/>
        <v>0</v>
      </c>
      <c r="AW176" s="180">
        <f t="shared" si="41"/>
        <v>0</v>
      </c>
      <c r="AX176" s="180">
        <f t="shared" si="41"/>
        <v>0</v>
      </c>
      <c r="AY176" s="180">
        <f t="shared" si="41"/>
        <v>0</v>
      </c>
      <c r="AZ176" s="180">
        <f t="shared" si="41"/>
        <v>0</v>
      </c>
      <c r="BA176" s="180">
        <f t="shared" si="41"/>
        <v>0</v>
      </c>
      <c r="BB176" s="180">
        <f t="shared" si="41"/>
        <v>0</v>
      </c>
      <c r="BC176" s="180">
        <f t="shared" si="41"/>
        <v>0</v>
      </c>
      <c r="BD176" s="180">
        <f t="shared" si="41"/>
        <v>0</v>
      </c>
      <c r="BE176" s="180">
        <f t="shared" si="41"/>
        <v>0</v>
      </c>
      <c r="BF176" s="180">
        <f t="shared" si="41"/>
        <v>0</v>
      </c>
      <c r="BG176" s="180">
        <f t="shared" si="41"/>
        <v>0</v>
      </c>
      <c r="BH176" s="180">
        <f t="shared" si="41"/>
        <v>0</v>
      </c>
      <c r="BI176" s="180">
        <f t="shared" si="41"/>
        <v>0</v>
      </c>
      <c r="BJ176" s="180">
        <f t="shared" si="41"/>
        <v>0</v>
      </c>
      <c r="BK176" s="180">
        <f t="shared" si="41"/>
        <v>0</v>
      </c>
      <c r="BL176" s="180">
        <f t="shared" si="41"/>
        <v>0</v>
      </c>
    </row>
    <row r="177" spans="1:64" s="188" customFormat="1" x14ac:dyDescent="0.15">
      <c r="C177" s="116" t="s">
        <v>408</v>
      </c>
      <c r="E177" s="180">
        <f t="shared" si="42"/>
        <v>0</v>
      </c>
      <c r="F177" s="180">
        <f t="shared" si="42"/>
        <v>0</v>
      </c>
      <c r="G177" s="180">
        <f t="shared" si="42"/>
        <v>0</v>
      </c>
      <c r="H177" s="180">
        <f t="shared" si="42"/>
        <v>0</v>
      </c>
      <c r="I177" s="180">
        <f t="shared" si="42"/>
        <v>0</v>
      </c>
      <c r="J177" s="180">
        <f t="shared" si="42"/>
        <v>0</v>
      </c>
      <c r="K177" s="180">
        <f t="shared" si="42"/>
        <v>0.24041784443998326</v>
      </c>
      <c r="L177" s="180">
        <f t="shared" si="42"/>
        <v>0.18791440297255799</v>
      </c>
      <c r="M177" s="180">
        <f t="shared" si="42"/>
        <v>0.16157809737608447</v>
      </c>
      <c r="N177" s="180">
        <f t="shared" si="42"/>
        <v>0.13787742762608604</v>
      </c>
      <c r="O177" s="180">
        <f t="shared" si="42"/>
        <v>0.12042831140490672</v>
      </c>
      <c r="P177" s="180">
        <f t="shared" si="42"/>
        <v>0.10417122891714495</v>
      </c>
      <c r="Q177" s="180">
        <f t="shared" si="42"/>
        <v>8.8898383003823064E-2</v>
      </c>
      <c r="R177" s="180">
        <f t="shared" si="42"/>
        <v>7.4840625821484555E-2</v>
      </c>
      <c r="S177" s="180">
        <f t="shared" si="42"/>
        <v>6.1798245995613239E-2</v>
      </c>
      <c r="T177" s="180">
        <f t="shared" si="42"/>
        <v>4.9578463074661482E-2</v>
      </c>
      <c r="U177" s="180">
        <f t="shared" si="42"/>
        <v>3.8180182998806517E-2</v>
      </c>
      <c r="V177" s="180">
        <f t="shared" si="42"/>
        <v>2.7582423969568122E-2</v>
      </c>
      <c r="W177" s="180">
        <f t="shared" si="42"/>
        <v>1.775651238877771E-2</v>
      </c>
      <c r="X177" s="180">
        <f t="shared" si="42"/>
        <v>8.6572797586409005E-3</v>
      </c>
      <c r="Y177" s="180">
        <f t="shared" si="42"/>
        <v>0</v>
      </c>
      <c r="Z177" s="180">
        <f t="shared" si="42"/>
        <v>0</v>
      </c>
      <c r="AA177" s="180">
        <f t="shared" si="42"/>
        <v>0</v>
      </c>
      <c r="AB177" s="180">
        <f t="shared" si="42"/>
        <v>0</v>
      </c>
      <c r="AC177" s="180">
        <f t="shared" si="42"/>
        <v>0</v>
      </c>
      <c r="AD177" s="180">
        <f t="shared" si="42"/>
        <v>0</v>
      </c>
      <c r="AE177" s="180">
        <f t="shared" si="42"/>
        <v>0</v>
      </c>
      <c r="AF177" s="180">
        <f t="shared" si="42"/>
        <v>0</v>
      </c>
      <c r="AG177" s="180">
        <f t="shared" si="42"/>
        <v>0</v>
      </c>
      <c r="AH177" s="180">
        <f t="shared" si="42"/>
        <v>0</v>
      </c>
      <c r="AI177" s="180">
        <f t="shared" si="42"/>
        <v>0</v>
      </c>
      <c r="AJ177" s="180">
        <f t="shared" si="42"/>
        <v>0</v>
      </c>
      <c r="AK177" s="180">
        <f t="shared" si="41"/>
        <v>0</v>
      </c>
      <c r="AL177" s="180">
        <f t="shared" si="41"/>
        <v>0</v>
      </c>
      <c r="AM177" s="180">
        <f t="shared" si="41"/>
        <v>0</v>
      </c>
      <c r="AN177" s="180">
        <f t="shared" si="41"/>
        <v>0</v>
      </c>
      <c r="AO177" s="180">
        <f t="shared" si="41"/>
        <v>0</v>
      </c>
      <c r="AP177" s="180">
        <f t="shared" si="41"/>
        <v>0</v>
      </c>
      <c r="AQ177" s="180">
        <f t="shared" si="41"/>
        <v>0</v>
      </c>
      <c r="AR177" s="180">
        <f t="shared" si="41"/>
        <v>0</v>
      </c>
      <c r="AS177" s="180">
        <f t="shared" si="41"/>
        <v>0</v>
      </c>
      <c r="AT177" s="180">
        <f t="shared" si="41"/>
        <v>0</v>
      </c>
      <c r="AU177" s="180">
        <f t="shared" si="41"/>
        <v>0</v>
      </c>
      <c r="AV177" s="180">
        <f t="shared" si="41"/>
        <v>0</v>
      </c>
      <c r="AW177" s="180">
        <f t="shared" si="41"/>
        <v>0</v>
      </c>
      <c r="AX177" s="180">
        <f t="shared" si="41"/>
        <v>0</v>
      </c>
      <c r="AY177" s="180">
        <f t="shared" si="41"/>
        <v>0</v>
      </c>
      <c r="AZ177" s="180">
        <f t="shared" si="41"/>
        <v>0</v>
      </c>
      <c r="BA177" s="180">
        <f t="shared" si="41"/>
        <v>0</v>
      </c>
      <c r="BB177" s="180">
        <f t="shared" si="41"/>
        <v>0</v>
      </c>
      <c r="BC177" s="180">
        <f t="shared" si="41"/>
        <v>0</v>
      </c>
      <c r="BD177" s="180">
        <f t="shared" si="41"/>
        <v>0</v>
      </c>
      <c r="BE177" s="180">
        <f t="shared" si="41"/>
        <v>0</v>
      </c>
      <c r="BF177" s="180">
        <f t="shared" si="41"/>
        <v>0</v>
      </c>
      <c r="BG177" s="180">
        <f t="shared" si="41"/>
        <v>0</v>
      </c>
      <c r="BH177" s="180">
        <f t="shared" si="41"/>
        <v>0</v>
      </c>
      <c r="BI177" s="180">
        <f t="shared" si="41"/>
        <v>0</v>
      </c>
      <c r="BJ177" s="180">
        <f t="shared" si="41"/>
        <v>0</v>
      </c>
      <c r="BK177" s="180">
        <f t="shared" si="41"/>
        <v>0</v>
      </c>
      <c r="BL177" s="180">
        <f t="shared" si="41"/>
        <v>0</v>
      </c>
    </row>
    <row r="178" spans="1:64" s="188" customFormat="1" x14ac:dyDescent="0.15">
      <c r="C178" s="116" t="s">
        <v>409</v>
      </c>
      <c r="E178" s="180">
        <f t="shared" si="42"/>
        <v>0</v>
      </c>
      <c r="F178" s="180">
        <f t="shared" si="42"/>
        <v>0</v>
      </c>
      <c r="G178" s="180">
        <f t="shared" si="42"/>
        <v>0</v>
      </c>
      <c r="H178" s="180">
        <f t="shared" si="42"/>
        <v>0</v>
      </c>
      <c r="I178" s="180">
        <f t="shared" si="42"/>
        <v>0</v>
      </c>
      <c r="J178" s="180">
        <f t="shared" si="42"/>
        <v>0</v>
      </c>
      <c r="K178" s="180">
        <f t="shared" si="42"/>
        <v>0</v>
      </c>
      <c r="L178" s="180">
        <f t="shared" si="42"/>
        <v>0.4642551478841056</v>
      </c>
      <c r="M178" s="180">
        <f t="shared" si="42"/>
        <v>0.36286919194700856</v>
      </c>
      <c r="N178" s="180">
        <f t="shared" si="42"/>
        <v>0.31201287769174935</v>
      </c>
      <c r="O178" s="180">
        <f t="shared" si="42"/>
        <v>0.26624606714002824</v>
      </c>
      <c r="P178" s="180">
        <f t="shared" si="42"/>
        <v>0.23255122202326817</v>
      </c>
      <c r="Q178" s="180">
        <f t="shared" si="42"/>
        <v>0.20115823515034889</v>
      </c>
      <c r="R178" s="180">
        <f t="shared" si="42"/>
        <v>0.17166584304186525</v>
      </c>
      <c r="S178" s="180">
        <f t="shared" si="42"/>
        <v>0.1445198291725219</v>
      </c>
      <c r="T178" s="180">
        <f t="shared" si="42"/>
        <v>0.11933454399152901</v>
      </c>
      <c r="U178" s="180">
        <f t="shared" si="42"/>
        <v>9.5737721799346323E-2</v>
      </c>
      <c r="V178" s="180">
        <f t="shared" si="42"/>
        <v>7.3727249928729824E-2</v>
      </c>
      <c r="W178" s="180">
        <f t="shared" si="42"/>
        <v>5.3262611803303966E-2</v>
      </c>
      <c r="X178" s="180">
        <f t="shared" si="42"/>
        <v>3.428843771626041E-2</v>
      </c>
      <c r="Y178" s="180">
        <f t="shared" si="42"/>
        <v>0</v>
      </c>
      <c r="Z178" s="180">
        <f t="shared" si="42"/>
        <v>0</v>
      </c>
      <c r="AA178" s="180">
        <f t="shared" si="42"/>
        <v>0</v>
      </c>
      <c r="AB178" s="180">
        <f t="shared" si="42"/>
        <v>0</v>
      </c>
      <c r="AC178" s="180">
        <f t="shared" si="42"/>
        <v>0</v>
      </c>
      <c r="AD178" s="180">
        <f t="shared" si="42"/>
        <v>0</v>
      </c>
      <c r="AE178" s="180">
        <f t="shared" si="42"/>
        <v>0</v>
      </c>
      <c r="AF178" s="180">
        <f t="shared" si="42"/>
        <v>0</v>
      </c>
      <c r="AG178" s="180">
        <f t="shared" si="42"/>
        <v>0</v>
      </c>
      <c r="AH178" s="180">
        <f t="shared" si="42"/>
        <v>0</v>
      </c>
      <c r="AI178" s="180">
        <f t="shared" si="42"/>
        <v>0</v>
      </c>
      <c r="AJ178" s="180">
        <f t="shared" si="42"/>
        <v>0</v>
      </c>
      <c r="AK178" s="180">
        <f t="shared" si="41"/>
        <v>0</v>
      </c>
      <c r="AL178" s="180">
        <f t="shared" si="41"/>
        <v>0</v>
      </c>
      <c r="AM178" s="180">
        <f t="shared" si="41"/>
        <v>0</v>
      </c>
      <c r="AN178" s="180">
        <f t="shared" si="41"/>
        <v>0</v>
      </c>
      <c r="AO178" s="180">
        <f t="shared" si="41"/>
        <v>0</v>
      </c>
      <c r="AP178" s="180">
        <f t="shared" si="41"/>
        <v>0</v>
      </c>
      <c r="AQ178" s="180">
        <f t="shared" si="41"/>
        <v>0</v>
      </c>
      <c r="AR178" s="180">
        <f t="shared" si="41"/>
        <v>0</v>
      </c>
      <c r="AS178" s="180">
        <f t="shared" si="41"/>
        <v>0</v>
      </c>
      <c r="AT178" s="180">
        <f t="shared" si="41"/>
        <v>0</v>
      </c>
      <c r="AU178" s="180">
        <f t="shared" si="41"/>
        <v>0</v>
      </c>
      <c r="AV178" s="180">
        <f t="shared" si="41"/>
        <v>0</v>
      </c>
      <c r="AW178" s="180">
        <f t="shared" si="41"/>
        <v>0</v>
      </c>
      <c r="AX178" s="180">
        <f t="shared" si="41"/>
        <v>0</v>
      </c>
      <c r="AY178" s="180">
        <f t="shared" si="41"/>
        <v>0</v>
      </c>
      <c r="AZ178" s="180">
        <f t="shared" si="41"/>
        <v>0</v>
      </c>
      <c r="BA178" s="180">
        <f t="shared" si="41"/>
        <v>0</v>
      </c>
      <c r="BB178" s="180">
        <f t="shared" si="41"/>
        <v>0</v>
      </c>
      <c r="BC178" s="180">
        <f t="shared" si="41"/>
        <v>0</v>
      </c>
      <c r="BD178" s="180">
        <f t="shared" si="41"/>
        <v>0</v>
      </c>
      <c r="BE178" s="180">
        <f t="shared" si="41"/>
        <v>0</v>
      </c>
      <c r="BF178" s="180">
        <f t="shared" si="41"/>
        <v>0</v>
      </c>
      <c r="BG178" s="180">
        <f t="shared" si="41"/>
        <v>0</v>
      </c>
      <c r="BH178" s="180">
        <f t="shared" si="41"/>
        <v>0</v>
      </c>
      <c r="BI178" s="180">
        <f t="shared" si="41"/>
        <v>0</v>
      </c>
      <c r="BJ178" s="180">
        <f t="shared" si="41"/>
        <v>0</v>
      </c>
      <c r="BK178" s="180">
        <f t="shared" si="41"/>
        <v>0</v>
      </c>
      <c r="BL178" s="180">
        <f t="shared" si="41"/>
        <v>0</v>
      </c>
    </row>
    <row r="179" spans="1:64" s="188" customFormat="1" x14ac:dyDescent="0.15">
      <c r="C179" s="116" t="s">
        <v>448</v>
      </c>
      <c r="E179" s="180">
        <f t="shared" ref="E179:BL179" si="43">IF(E5&gt;$D$7,0,D179+D178)</f>
        <v>0</v>
      </c>
      <c r="F179" s="180">
        <f t="shared" si="43"/>
        <v>0</v>
      </c>
      <c r="G179" s="180">
        <f t="shared" si="43"/>
        <v>0</v>
      </c>
      <c r="H179" s="180">
        <f t="shared" si="43"/>
        <v>0</v>
      </c>
      <c r="I179" s="180">
        <f t="shared" si="43"/>
        <v>0</v>
      </c>
      <c r="J179" s="180">
        <f t="shared" si="43"/>
        <v>0</v>
      </c>
      <c r="K179" s="180">
        <f t="shared" si="43"/>
        <v>0</v>
      </c>
      <c r="L179" s="180">
        <f t="shared" si="43"/>
        <v>0</v>
      </c>
      <c r="M179" s="180">
        <f t="shared" si="43"/>
        <v>0.4642551478841056</v>
      </c>
      <c r="N179" s="180">
        <f t="shared" si="43"/>
        <v>0.82712433983111411</v>
      </c>
      <c r="O179" s="180">
        <f t="shared" si="43"/>
        <v>1.1391372175228636</v>
      </c>
      <c r="P179" s="180">
        <f t="shared" si="43"/>
        <v>1.4053832846628918</v>
      </c>
      <c r="Q179" s="180">
        <f t="shared" si="43"/>
        <v>1.6379345066861599</v>
      </c>
      <c r="R179" s="180">
        <f t="shared" si="43"/>
        <v>1.8390927418365088</v>
      </c>
      <c r="S179" s="180">
        <f t="shared" si="43"/>
        <v>2.0107585848783742</v>
      </c>
      <c r="T179" s="180">
        <f t="shared" si="43"/>
        <v>2.1552784140508963</v>
      </c>
      <c r="U179" s="180">
        <f t="shared" si="43"/>
        <v>2.2746129580424252</v>
      </c>
      <c r="V179" s="180">
        <f t="shared" si="43"/>
        <v>2.3703506798417715</v>
      </c>
      <c r="W179" s="180">
        <f t="shared" si="43"/>
        <v>2.4440779297705015</v>
      </c>
      <c r="X179" s="180">
        <f t="shared" si="43"/>
        <v>2.4973405415738057</v>
      </c>
      <c r="Y179" s="180">
        <f t="shared" si="43"/>
        <v>0</v>
      </c>
      <c r="Z179" s="180">
        <f t="shared" si="43"/>
        <v>0</v>
      </c>
      <c r="AA179" s="180">
        <f t="shared" si="43"/>
        <v>0</v>
      </c>
      <c r="AB179" s="180">
        <f t="shared" si="43"/>
        <v>0</v>
      </c>
      <c r="AC179" s="180">
        <f t="shared" si="43"/>
        <v>0</v>
      </c>
      <c r="AD179" s="180">
        <f t="shared" si="43"/>
        <v>0</v>
      </c>
      <c r="AE179" s="180">
        <f t="shared" si="43"/>
        <v>0</v>
      </c>
      <c r="AF179" s="180">
        <f t="shared" si="43"/>
        <v>0</v>
      </c>
      <c r="AG179" s="180">
        <f t="shared" si="43"/>
        <v>0</v>
      </c>
      <c r="AH179" s="180">
        <f t="shared" si="43"/>
        <v>0</v>
      </c>
      <c r="AI179" s="180">
        <f t="shared" si="43"/>
        <v>0</v>
      </c>
      <c r="AJ179" s="180">
        <f t="shared" si="43"/>
        <v>0</v>
      </c>
      <c r="AK179" s="180">
        <f t="shared" si="43"/>
        <v>0</v>
      </c>
      <c r="AL179" s="180">
        <f t="shared" si="43"/>
        <v>0</v>
      </c>
      <c r="AM179" s="180">
        <f t="shared" si="43"/>
        <v>0</v>
      </c>
      <c r="AN179" s="180">
        <f t="shared" si="43"/>
        <v>0</v>
      </c>
      <c r="AO179" s="180">
        <f t="shared" si="43"/>
        <v>0</v>
      </c>
      <c r="AP179" s="180">
        <f t="shared" si="43"/>
        <v>0</v>
      </c>
      <c r="AQ179" s="180">
        <f t="shared" si="43"/>
        <v>0</v>
      </c>
      <c r="AR179" s="180">
        <f t="shared" si="43"/>
        <v>0</v>
      </c>
      <c r="AS179" s="180">
        <f t="shared" si="43"/>
        <v>0</v>
      </c>
      <c r="AT179" s="180">
        <f t="shared" si="43"/>
        <v>0</v>
      </c>
      <c r="AU179" s="180">
        <f t="shared" si="43"/>
        <v>0</v>
      </c>
      <c r="AV179" s="180">
        <f t="shared" si="43"/>
        <v>0</v>
      </c>
      <c r="AW179" s="180">
        <f t="shared" si="43"/>
        <v>0</v>
      </c>
      <c r="AX179" s="180">
        <f t="shared" si="43"/>
        <v>0</v>
      </c>
      <c r="AY179" s="180">
        <f t="shared" si="43"/>
        <v>0</v>
      </c>
      <c r="AZ179" s="180">
        <f t="shared" si="43"/>
        <v>0</v>
      </c>
      <c r="BA179" s="180">
        <f t="shared" si="43"/>
        <v>0</v>
      </c>
      <c r="BB179" s="180">
        <f t="shared" si="43"/>
        <v>0</v>
      </c>
      <c r="BC179" s="180">
        <f t="shared" si="43"/>
        <v>0</v>
      </c>
      <c r="BD179" s="180">
        <f t="shared" si="43"/>
        <v>0</v>
      </c>
      <c r="BE179" s="180">
        <f t="shared" si="43"/>
        <v>0</v>
      </c>
      <c r="BF179" s="180">
        <f t="shared" si="43"/>
        <v>0</v>
      </c>
      <c r="BG179" s="180">
        <f t="shared" si="43"/>
        <v>0</v>
      </c>
      <c r="BH179" s="180">
        <f t="shared" si="43"/>
        <v>0</v>
      </c>
      <c r="BI179" s="180">
        <f t="shared" si="43"/>
        <v>0</v>
      </c>
      <c r="BJ179" s="180">
        <f t="shared" si="43"/>
        <v>0</v>
      </c>
      <c r="BK179" s="180">
        <f t="shared" si="43"/>
        <v>0</v>
      </c>
      <c r="BL179" s="180">
        <f t="shared" si="43"/>
        <v>0</v>
      </c>
    </row>
    <row r="180" spans="1:64" x14ac:dyDescent="0.15">
      <c r="C180" s="116" t="s">
        <v>444</v>
      </c>
      <c r="E180" s="172">
        <f t="shared" ref="E180:BL180" si="44">IF(E$5&gt;$D$7,0,IF(E$5=$D$7,E44,SUM(E170:E179)))</f>
        <v>0.14228954941757815</v>
      </c>
      <c r="F180" s="172">
        <f t="shared" si="44"/>
        <v>0.15044121196757582</v>
      </c>
      <c r="G180" s="172">
        <f t="shared" si="44"/>
        <v>0.15527880622059725</v>
      </c>
      <c r="H180" s="172">
        <f t="shared" si="44"/>
        <v>0.23614226761504131</v>
      </c>
      <c r="I180" s="172">
        <f t="shared" si="44"/>
        <v>0.29678141526764024</v>
      </c>
      <c r="J180" s="172">
        <f t="shared" si="44"/>
        <v>0.34850201546272863</v>
      </c>
      <c r="K180" s="172">
        <f t="shared" si="44"/>
        <v>0.53105989254069796</v>
      </c>
      <c r="L180" s="172">
        <f t="shared" si="44"/>
        <v>0.90082660133643655</v>
      </c>
      <c r="M180" s="172">
        <f t="shared" si="44"/>
        <v>1.2005317525927177</v>
      </c>
      <c r="N180" s="172">
        <f t="shared" si="44"/>
        <v>1.4564377457227562</v>
      </c>
      <c r="O180" s="172">
        <f t="shared" si="44"/>
        <v>1.6750694195810047</v>
      </c>
      <c r="P180" s="172">
        <f t="shared" si="44"/>
        <v>1.8633204543965673</v>
      </c>
      <c r="Q180" s="172">
        <f t="shared" si="44"/>
        <v>2.0231831587968219</v>
      </c>
      <c r="R180" s="172">
        <f t="shared" si="44"/>
        <v>2.1564641256136055</v>
      </c>
      <c r="S180" s="172">
        <f t="shared" si="44"/>
        <v>2.2693000348344872</v>
      </c>
      <c r="T180" s="172">
        <f t="shared" si="44"/>
        <v>2.360645758478066</v>
      </c>
      <c r="U180" s="172">
        <f t="shared" si="44"/>
        <v>2.4313922399169652</v>
      </c>
      <c r="V180" s="172">
        <f t="shared" si="44"/>
        <v>2.4827940937646278</v>
      </c>
      <c r="W180" s="172">
        <f t="shared" si="44"/>
        <v>2.5187462044372531</v>
      </c>
      <c r="X180" s="172">
        <f t="shared" si="44"/>
        <v>2.5486876586174372</v>
      </c>
      <c r="Y180" s="172">
        <f t="shared" si="44"/>
        <v>0</v>
      </c>
      <c r="Z180" s="172">
        <f t="shared" si="44"/>
        <v>0</v>
      </c>
      <c r="AA180" s="172">
        <f t="shared" si="44"/>
        <v>0</v>
      </c>
      <c r="AB180" s="172">
        <f t="shared" si="44"/>
        <v>0</v>
      </c>
      <c r="AC180" s="172">
        <f t="shared" si="44"/>
        <v>0</v>
      </c>
      <c r="AD180" s="172">
        <f t="shared" si="44"/>
        <v>0</v>
      </c>
      <c r="AE180" s="172">
        <f t="shared" si="44"/>
        <v>0</v>
      </c>
      <c r="AF180" s="172">
        <f t="shared" si="44"/>
        <v>0</v>
      </c>
      <c r="AG180" s="172">
        <f t="shared" si="44"/>
        <v>0</v>
      </c>
      <c r="AH180" s="172">
        <f t="shared" si="44"/>
        <v>0</v>
      </c>
      <c r="AI180" s="172">
        <f t="shared" si="44"/>
        <v>0</v>
      </c>
      <c r="AJ180" s="172">
        <f t="shared" si="44"/>
        <v>0</v>
      </c>
      <c r="AK180" s="172">
        <f t="shared" si="44"/>
        <v>0</v>
      </c>
      <c r="AL180" s="172">
        <f t="shared" si="44"/>
        <v>0</v>
      </c>
      <c r="AM180" s="172">
        <f t="shared" si="44"/>
        <v>0</v>
      </c>
      <c r="AN180" s="172">
        <f t="shared" si="44"/>
        <v>0</v>
      </c>
      <c r="AO180" s="172">
        <f t="shared" si="44"/>
        <v>0</v>
      </c>
      <c r="AP180" s="172">
        <f t="shared" si="44"/>
        <v>0</v>
      </c>
      <c r="AQ180" s="172">
        <f t="shared" si="44"/>
        <v>0</v>
      </c>
      <c r="AR180" s="172">
        <f t="shared" si="44"/>
        <v>0</v>
      </c>
      <c r="AS180" s="172">
        <f t="shared" si="44"/>
        <v>0</v>
      </c>
      <c r="AT180" s="172">
        <f t="shared" si="44"/>
        <v>0</v>
      </c>
      <c r="AU180" s="172">
        <f t="shared" si="44"/>
        <v>0</v>
      </c>
      <c r="AV180" s="172">
        <f t="shared" si="44"/>
        <v>0</v>
      </c>
      <c r="AW180" s="172">
        <f t="shared" si="44"/>
        <v>0</v>
      </c>
      <c r="AX180" s="172">
        <f t="shared" si="44"/>
        <v>0</v>
      </c>
      <c r="AY180" s="172">
        <f t="shared" si="44"/>
        <v>0</v>
      </c>
      <c r="AZ180" s="172">
        <f t="shared" si="44"/>
        <v>0</v>
      </c>
      <c r="BA180" s="172">
        <f t="shared" si="44"/>
        <v>0</v>
      </c>
      <c r="BB180" s="172">
        <f t="shared" si="44"/>
        <v>0</v>
      </c>
      <c r="BC180" s="172">
        <f t="shared" si="44"/>
        <v>0</v>
      </c>
      <c r="BD180" s="172">
        <f t="shared" si="44"/>
        <v>0</v>
      </c>
      <c r="BE180" s="172">
        <f t="shared" si="44"/>
        <v>0</v>
      </c>
      <c r="BF180" s="172">
        <f t="shared" si="44"/>
        <v>0</v>
      </c>
      <c r="BG180" s="172">
        <f t="shared" si="44"/>
        <v>0</v>
      </c>
      <c r="BH180" s="172">
        <f t="shared" si="44"/>
        <v>0</v>
      </c>
      <c r="BI180" s="172">
        <f t="shared" si="44"/>
        <v>0</v>
      </c>
      <c r="BJ180" s="172">
        <f t="shared" si="44"/>
        <v>0</v>
      </c>
      <c r="BK180" s="172">
        <f t="shared" si="44"/>
        <v>0</v>
      </c>
      <c r="BL180" s="172">
        <f t="shared" si="44"/>
        <v>0</v>
      </c>
    </row>
    <row r="181" spans="1:64" x14ac:dyDescent="0.15">
      <c r="C181" s="188" t="s">
        <v>443</v>
      </c>
      <c r="D181" s="327"/>
      <c r="E181" s="327">
        <f t="shared" ref="E181:BL181" si="45">-IF(E$5&gt;$D$7,0,E180-D180)</f>
        <v>-0.14228954941757815</v>
      </c>
      <c r="F181" s="327">
        <f t="shared" si="45"/>
        <v>-8.1516625499976625E-3</v>
      </c>
      <c r="G181" s="327">
        <f t="shared" si="45"/>
        <v>-4.8375942530214378E-3</v>
      </c>
      <c r="H181" s="327">
        <f t="shared" si="45"/>
        <v>-8.0863461394444058E-2</v>
      </c>
      <c r="I181" s="327">
        <f t="shared" si="45"/>
        <v>-6.0639147652598924E-2</v>
      </c>
      <c r="J181" s="327">
        <f t="shared" si="45"/>
        <v>-5.1720600195088395E-2</v>
      </c>
      <c r="K181" s="327">
        <f t="shared" si="45"/>
        <v>-0.18255787707796933</v>
      </c>
      <c r="L181" s="327">
        <f t="shared" si="45"/>
        <v>-0.36976670879573859</v>
      </c>
      <c r="M181" s="327">
        <f t="shared" si="45"/>
        <v>-0.29970515125628117</v>
      </c>
      <c r="N181" s="327">
        <f t="shared" si="45"/>
        <v>-0.25590599313003848</v>
      </c>
      <c r="O181" s="327">
        <f t="shared" si="45"/>
        <v>-0.21863167385824855</v>
      </c>
      <c r="P181" s="327">
        <f t="shared" si="45"/>
        <v>-0.1882510348155626</v>
      </c>
      <c r="Q181" s="327">
        <f t="shared" si="45"/>
        <v>-0.15986270440025452</v>
      </c>
      <c r="R181" s="327">
        <f t="shared" si="45"/>
        <v>-0.13328096681678359</v>
      </c>
      <c r="S181" s="327">
        <f t="shared" si="45"/>
        <v>-0.11283590922088171</v>
      </c>
      <c r="T181" s="327">
        <f t="shared" si="45"/>
        <v>-9.1345723643578847E-2</v>
      </c>
      <c r="U181" s="327">
        <f t="shared" si="45"/>
        <v>-7.0746481438899167E-2</v>
      </c>
      <c r="V181" s="327">
        <f t="shared" si="45"/>
        <v>-5.1401853847662604E-2</v>
      </c>
      <c r="W181" s="327">
        <f t="shared" si="45"/>
        <v>-3.595211067262527E-2</v>
      </c>
      <c r="X181" s="327">
        <f t="shared" si="45"/>
        <v>-2.9941454180184124E-2</v>
      </c>
      <c r="Y181" s="327">
        <f t="shared" si="45"/>
        <v>0</v>
      </c>
      <c r="Z181" s="327">
        <f t="shared" si="45"/>
        <v>0</v>
      </c>
      <c r="AA181" s="327">
        <f t="shared" si="45"/>
        <v>0</v>
      </c>
      <c r="AB181" s="327">
        <f t="shared" si="45"/>
        <v>0</v>
      </c>
      <c r="AC181" s="327">
        <f t="shared" si="45"/>
        <v>0</v>
      </c>
      <c r="AD181" s="327">
        <f t="shared" si="45"/>
        <v>0</v>
      </c>
      <c r="AE181" s="327">
        <f t="shared" si="45"/>
        <v>0</v>
      </c>
      <c r="AF181" s="327">
        <f t="shared" si="45"/>
        <v>0</v>
      </c>
      <c r="AG181" s="327">
        <f t="shared" si="45"/>
        <v>0</v>
      </c>
      <c r="AH181" s="327">
        <f t="shared" si="45"/>
        <v>0</v>
      </c>
      <c r="AI181" s="327">
        <f t="shared" si="45"/>
        <v>0</v>
      </c>
      <c r="AJ181" s="327">
        <f t="shared" si="45"/>
        <v>0</v>
      </c>
      <c r="AK181" s="327">
        <f t="shared" si="45"/>
        <v>0</v>
      </c>
      <c r="AL181" s="327">
        <f t="shared" si="45"/>
        <v>0</v>
      </c>
      <c r="AM181" s="327">
        <f t="shared" si="45"/>
        <v>0</v>
      </c>
      <c r="AN181" s="327">
        <f t="shared" si="45"/>
        <v>0</v>
      </c>
      <c r="AO181" s="327">
        <f t="shared" si="45"/>
        <v>0</v>
      </c>
      <c r="AP181" s="327">
        <f t="shared" si="45"/>
        <v>0</v>
      </c>
      <c r="AQ181" s="327">
        <f t="shared" si="45"/>
        <v>0</v>
      </c>
      <c r="AR181" s="327">
        <f t="shared" si="45"/>
        <v>0</v>
      </c>
      <c r="AS181" s="327">
        <f t="shared" si="45"/>
        <v>0</v>
      </c>
      <c r="AT181" s="327">
        <f t="shared" si="45"/>
        <v>0</v>
      </c>
      <c r="AU181" s="327">
        <f t="shared" si="45"/>
        <v>0</v>
      </c>
      <c r="AV181" s="327">
        <f t="shared" si="45"/>
        <v>0</v>
      </c>
      <c r="AW181" s="327">
        <f t="shared" si="45"/>
        <v>0</v>
      </c>
      <c r="AX181" s="327">
        <f t="shared" si="45"/>
        <v>0</v>
      </c>
      <c r="AY181" s="327">
        <f t="shared" si="45"/>
        <v>0</v>
      </c>
      <c r="AZ181" s="327">
        <f t="shared" si="45"/>
        <v>0</v>
      </c>
      <c r="BA181" s="327">
        <f t="shared" si="45"/>
        <v>0</v>
      </c>
      <c r="BB181" s="327">
        <f t="shared" si="45"/>
        <v>0</v>
      </c>
      <c r="BC181" s="327">
        <f t="shared" si="45"/>
        <v>0</v>
      </c>
      <c r="BD181" s="327">
        <f t="shared" si="45"/>
        <v>0</v>
      </c>
      <c r="BE181" s="327">
        <f t="shared" si="45"/>
        <v>0</v>
      </c>
      <c r="BF181" s="327">
        <f t="shared" si="45"/>
        <v>0</v>
      </c>
      <c r="BG181" s="327">
        <f t="shared" si="45"/>
        <v>0</v>
      </c>
      <c r="BH181" s="327">
        <f t="shared" si="45"/>
        <v>0</v>
      </c>
      <c r="BI181" s="327">
        <f t="shared" si="45"/>
        <v>0</v>
      </c>
      <c r="BJ181" s="327">
        <f t="shared" si="45"/>
        <v>0</v>
      </c>
      <c r="BK181" s="327">
        <f t="shared" si="45"/>
        <v>0</v>
      </c>
      <c r="BL181" s="327">
        <f t="shared" si="45"/>
        <v>0</v>
      </c>
    </row>
    <row r="183" spans="1:64" x14ac:dyDescent="0.15">
      <c r="B183" s="188" t="s">
        <v>443</v>
      </c>
      <c r="C183" s="188"/>
      <c r="D183" s="180"/>
      <c r="E183" s="327" cm="1">
        <f t="array" ref="E183">_xlfn.IFS(Leadsheet!$G$4="IFRS",SAP_Speadsheet!E146,AND(Leadsheet!$G$4="VAS",Leadsheet!$G$5="DPD360+"),SAP_Speadsheet!E166,AND(Leadsheet!$G$4="VAS",Leadsheet!$G$5="DPD180+"),SAP_Speadsheet!E181)</f>
        <v>-0.77856224867592327</v>
      </c>
      <c r="F183" s="327" cm="1">
        <f t="array" ref="F183">_xlfn.IFS(Leadsheet!$G$4="IFRS",SAP_Speadsheet!F146,AND(Leadsheet!$G$4="VAS",Leadsheet!$G$5="DPD360+"),SAP_Speadsheet!F166,AND(Leadsheet!$G$4="VAS",Leadsheet!$G$5="DPD180+"),SAP_Speadsheet!F181)</f>
        <v>-0.29369399009722652</v>
      </c>
      <c r="G183" s="327" cm="1">
        <f t="array" ref="G183">_xlfn.IFS(Leadsheet!$G$4="IFRS",SAP_Speadsheet!G146,AND(Leadsheet!$G$4="VAS",Leadsheet!$G$5="DPD360+"),SAP_Speadsheet!G166,AND(Leadsheet!$G$4="VAS",Leadsheet!$G$5="DPD180+"),SAP_Speadsheet!G181)</f>
        <v>-0.25061423869594557</v>
      </c>
      <c r="H183" s="327" cm="1">
        <f t="array" ref="H183">_xlfn.IFS(Leadsheet!$G$4="IFRS",SAP_Speadsheet!H146,AND(Leadsheet!$G$4="VAS",Leadsheet!$G$5="DPD360+"),SAP_Speadsheet!H166,AND(Leadsheet!$G$4="VAS",Leadsheet!$G$5="DPD180+"),SAP_Speadsheet!H181)</f>
        <v>-0.21889768397788689</v>
      </c>
      <c r="I183" s="327" cm="1">
        <f t="array" ref="I183">_xlfn.IFS(Leadsheet!$G$4="IFRS",SAP_Speadsheet!I146,AND(Leadsheet!$G$4="VAS",Leadsheet!$G$5="DPD360+"),SAP_Speadsheet!I166,AND(Leadsheet!$G$4="VAS",Leadsheet!$G$5="DPD180+"),SAP_Speadsheet!I181)</f>
        <v>-0.18934784089453105</v>
      </c>
      <c r="J183" s="327" cm="1">
        <f t="array" ref="J183">_xlfn.IFS(Leadsheet!$G$4="IFRS",SAP_Speadsheet!J146,AND(Leadsheet!$G$4="VAS",Leadsheet!$G$5="DPD360+"),SAP_Speadsheet!J166,AND(Leadsheet!$G$4="VAS",Leadsheet!$G$5="DPD180+"),SAP_Speadsheet!J181)</f>
        <v>-0.1615870049318251</v>
      </c>
      <c r="K183" s="327" cm="1">
        <f t="array" ref="K183">_xlfn.IFS(Leadsheet!$G$4="IFRS",SAP_Speadsheet!K146,AND(Leadsheet!$G$4="VAS",Leadsheet!$G$5="DPD360+"),SAP_Speadsheet!K166,AND(Leadsheet!$G$4="VAS",Leadsheet!$G$5="DPD180+"),SAP_Speadsheet!K181)</f>
        <v>-0.1360347867429379</v>
      </c>
      <c r="L183" s="327" cm="1">
        <f t="array" ref="L183">_xlfn.IFS(Leadsheet!$G$4="IFRS",SAP_Speadsheet!L146,AND(Leadsheet!$G$4="VAS",Leadsheet!$G$5="DPD360+"),SAP_Speadsheet!L166,AND(Leadsheet!$G$4="VAS",Leadsheet!$G$5="DPD180+"),SAP_Speadsheet!L181)</f>
        <v>-0.12124650183872765</v>
      </c>
      <c r="M183" s="327" cm="1">
        <f t="array" ref="M183">_xlfn.IFS(Leadsheet!$G$4="IFRS",SAP_Speadsheet!M146,AND(Leadsheet!$G$4="VAS",Leadsheet!$G$5="DPD360+"),SAP_Speadsheet!M166,AND(Leadsheet!$G$4="VAS",Leadsheet!$G$5="DPD180+"),SAP_Speadsheet!M181)</f>
        <v>-9.708747516910643E-2</v>
      </c>
      <c r="N183" s="327" cm="1">
        <f t="array" ref="N183">_xlfn.IFS(Leadsheet!$G$4="IFRS",SAP_Speadsheet!N146,AND(Leadsheet!$G$4="VAS",Leadsheet!$G$5="DPD360+"),SAP_Speadsheet!N166,AND(Leadsheet!$G$4="VAS",Leadsheet!$G$5="DPD180+"),SAP_Speadsheet!N181)</f>
        <v>-7.539233347994756E-2</v>
      </c>
      <c r="O183" s="327" cm="1">
        <f t="array" ref="O183">_xlfn.IFS(Leadsheet!$G$4="IFRS",SAP_Speadsheet!O146,AND(Leadsheet!$G$4="VAS",Leadsheet!$G$5="DPD360+"),SAP_Speadsheet!O166,AND(Leadsheet!$G$4="VAS",Leadsheet!$G$5="DPD180+"),SAP_Speadsheet!O181)</f>
        <v>-5.5250035769530026E-2</v>
      </c>
      <c r="P183" s="327" cm="1">
        <f t="array" ref="P183">_xlfn.IFS(Leadsheet!$G$4="IFRS",SAP_Speadsheet!P146,AND(Leadsheet!$G$4="VAS",Leadsheet!$G$5="DPD360+"),SAP_Speadsheet!P166,AND(Leadsheet!$G$4="VAS",Leadsheet!$G$5="DPD180+"),SAP_Speadsheet!P181)</f>
        <v>-3.674259600561891E-2</v>
      </c>
      <c r="Q183" s="327" cm="1">
        <f t="array" ref="Q183">_xlfn.IFS(Leadsheet!$G$4="IFRS",SAP_Speadsheet!Q146,AND(Leadsheet!$G$4="VAS",Leadsheet!$G$5="DPD360+"),SAP_Speadsheet!Q166,AND(Leadsheet!$G$4="VAS",Leadsheet!$G$5="DPD180+"),SAP_Speadsheet!Q181)</f>
        <v>-1.9600229863377727E-2</v>
      </c>
      <c r="R183" s="327" cm="1">
        <f t="array" ref="R183">_xlfn.IFS(Leadsheet!$G$4="IFRS",SAP_Speadsheet!R146,AND(Leadsheet!$G$4="VAS",Leadsheet!$G$5="DPD360+"),SAP_Speadsheet!R166,AND(Leadsheet!$G$4="VAS",Leadsheet!$G$5="DPD180+"),SAP_Speadsheet!R181)</f>
        <v>-1.2398023387024448E-2</v>
      </c>
      <c r="S183" s="327" cm="1">
        <f t="array" ref="S183">_xlfn.IFS(Leadsheet!$G$4="IFRS",SAP_Speadsheet!S146,AND(Leadsheet!$G$4="VAS",Leadsheet!$G$5="DPD360+"),SAP_Speadsheet!S166,AND(Leadsheet!$G$4="VAS",Leadsheet!$G$5="DPD180+"),SAP_Speadsheet!S181)</f>
        <v>-9.8891820381563633E-3</v>
      </c>
      <c r="T183" s="327" cm="1">
        <f t="array" ref="T183">_xlfn.IFS(Leadsheet!$G$4="IFRS",SAP_Speadsheet!T146,AND(Leadsheet!$G$4="VAS",Leadsheet!$G$5="DPD360+"),SAP_Speadsheet!T166,AND(Leadsheet!$G$4="VAS",Leadsheet!$G$5="DPD180+"),SAP_Speadsheet!T181)</f>
        <v>-8.4084882452093446E-3</v>
      </c>
      <c r="U183" s="327" cm="1">
        <f t="array" ref="U183">_xlfn.IFS(Leadsheet!$G$4="IFRS",SAP_Speadsheet!U146,AND(Leadsheet!$G$4="VAS",Leadsheet!$G$5="DPD360+"),SAP_Speadsheet!U166,AND(Leadsheet!$G$4="VAS",Leadsheet!$G$5="DPD180+"),SAP_Speadsheet!U181)</f>
        <v>-7.0580732143357139E-3</v>
      </c>
      <c r="V183" s="327" cm="1">
        <f t="array" ref="V183">_xlfn.IFS(Leadsheet!$G$4="IFRS",SAP_Speadsheet!V146,AND(Leadsheet!$G$4="VAS",Leadsheet!$G$5="DPD360+"),SAP_Speadsheet!V166,AND(Leadsheet!$G$4="VAS",Leadsheet!$G$5="DPD180+"),SAP_Speadsheet!V181)</f>
        <v>-5.9747665761404889E-3</v>
      </c>
      <c r="W183" s="327" cm="1">
        <f t="array" ref="W183">_xlfn.IFS(Leadsheet!$G$4="IFRS",SAP_Speadsheet!W146,AND(Leadsheet!$G$4="VAS",Leadsheet!$G$5="DPD360+"),SAP_Speadsheet!W166,AND(Leadsheet!$G$4="VAS",Leadsheet!$G$5="DPD180+"),SAP_Speadsheet!W181)</f>
        <v>-4.9662763676545651E-3</v>
      </c>
      <c r="X183" s="327" cm="1">
        <f t="array" ref="X183">_xlfn.IFS(Leadsheet!$G$4="IFRS",SAP_Speadsheet!X146,AND(Leadsheet!$G$4="VAS",Leadsheet!$G$5="DPD360+"),SAP_Speadsheet!X166,AND(Leadsheet!$G$4="VAS",Leadsheet!$G$5="DPD180+"),SAP_Speadsheet!X181)</f>
        <v>-4.0236733722984752E-3</v>
      </c>
      <c r="Y183" s="327" cm="1">
        <f t="array" ref="Y183">_xlfn.IFS(Leadsheet!$G$4="IFRS",SAP_Speadsheet!Y146,AND(Leadsheet!$G$4="VAS",Leadsheet!$G$5="DPD360+"),SAP_Speadsheet!Y166,AND(Leadsheet!$G$4="VAS",Leadsheet!$G$5="DPD180+"),SAP_Speadsheet!Y181)</f>
        <v>0</v>
      </c>
      <c r="Z183" s="327" cm="1">
        <f t="array" ref="Z183">_xlfn.IFS(Leadsheet!$G$4="IFRS",SAP_Speadsheet!Z146,AND(Leadsheet!$G$4="VAS",Leadsheet!$G$5="DPD360+"),SAP_Speadsheet!Z166,AND(Leadsheet!$G$4="VAS",Leadsheet!$G$5="DPD180+"),SAP_Speadsheet!Z181)</f>
        <v>0</v>
      </c>
      <c r="AA183" s="327" cm="1">
        <f t="array" ref="AA183">_xlfn.IFS(Leadsheet!$G$4="IFRS",SAP_Speadsheet!AA146,AND(Leadsheet!$G$4="VAS",Leadsheet!$G$5="DPD360+"),SAP_Speadsheet!AA166,AND(Leadsheet!$G$4="VAS",Leadsheet!$G$5="DPD180+"),SAP_Speadsheet!AA181)</f>
        <v>0</v>
      </c>
      <c r="AB183" s="327" cm="1">
        <f t="array" ref="AB183">_xlfn.IFS(Leadsheet!$G$4="IFRS",SAP_Speadsheet!AB146,AND(Leadsheet!$G$4="VAS",Leadsheet!$G$5="DPD360+"),SAP_Speadsheet!AB166,AND(Leadsheet!$G$4="VAS",Leadsheet!$G$5="DPD180+"),SAP_Speadsheet!AB181)</f>
        <v>0</v>
      </c>
      <c r="AC183" s="327" cm="1">
        <f t="array" ref="AC183">_xlfn.IFS(Leadsheet!$G$4="IFRS",SAP_Speadsheet!AC146,AND(Leadsheet!$G$4="VAS",Leadsheet!$G$5="DPD360+"),SAP_Speadsheet!AC166,AND(Leadsheet!$G$4="VAS",Leadsheet!$G$5="DPD180+"),SAP_Speadsheet!AC181)</f>
        <v>0</v>
      </c>
      <c r="AD183" s="327" cm="1">
        <f t="array" ref="AD183">_xlfn.IFS(Leadsheet!$G$4="IFRS",SAP_Speadsheet!AD146,AND(Leadsheet!$G$4="VAS",Leadsheet!$G$5="DPD360+"),SAP_Speadsheet!AD166,AND(Leadsheet!$G$4="VAS",Leadsheet!$G$5="DPD180+"),SAP_Speadsheet!AD181)</f>
        <v>0</v>
      </c>
      <c r="AE183" s="327" cm="1">
        <f t="array" ref="AE183">_xlfn.IFS(Leadsheet!$G$4="IFRS",SAP_Speadsheet!AE146,AND(Leadsheet!$G$4="VAS",Leadsheet!$G$5="DPD360+"),SAP_Speadsheet!AE166,AND(Leadsheet!$G$4="VAS",Leadsheet!$G$5="DPD180+"),SAP_Speadsheet!AE181)</f>
        <v>0</v>
      </c>
      <c r="AF183" s="327" cm="1">
        <f t="array" ref="AF183">_xlfn.IFS(Leadsheet!$G$4="IFRS",SAP_Speadsheet!AF146,AND(Leadsheet!$G$4="VAS",Leadsheet!$G$5="DPD360+"),SAP_Speadsheet!AF166,AND(Leadsheet!$G$4="VAS",Leadsheet!$G$5="DPD180+"),SAP_Speadsheet!AF181)</f>
        <v>0</v>
      </c>
      <c r="AG183" s="327" cm="1">
        <f t="array" ref="AG183">_xlfn.IFS(Leadsheet!$G$4="IFRS",SAP_Speadsheet!AG146,AND(Leadsheet!$G$4="VAS",Leadsheet!$G$5="DPD360+"),SAP_Speadsheet!AG166,AND(Leadsheet!$G$4="VAS",Leadsheet!$G$5="DPD180+"),SAP_Speadsheet!AG181)</f>
        <v>0</v>
      </c>
      <c r="AH183" s="327" cm="1">
        <f t="array" ref="AH183">_xlfn.IFS(Leadsheet!$G$4="IFRS",SAP_Speadsheet!AH146,AND(Leadsheet!$G$4="VAS",Leadsheet!$G$5="DPD360+"),SAP_Speadsheet!AH166,AND(Leadsheet!$G$4="VAS",Leadsheet!$G$5="DPD180+"),SAP_Speadsheet!AH181)</f>
        <v>0</v>
      </c>
      <c r="AI183" s="327" cm="1">
        <f t="array" ref="AI183">_xlfn.IFS(Leadsheet!$G$4="IFRS",SAP_Speadsheet!AI146,AND(Leadsheet!$G$4="VAS",Leadsheet!$G$5="DPD360+"),SAP_Speadsheet!AI166,AND(Leadsheet!$G$4="VAS",Leadsheet!$G$5="DPD180+"),SAP_Speadsheet!AI181)</f>
        <v>0</v>
      </c>
      <c r="AJ183" s="327" cm="1">
        <f t="array" ref="AJ183">_xlfn.IFS(Leadsheet!$G$4="IFRS",SAP_Speadsheet!AJ146,AND(Leadsheet!$G$4="VAS",Leadsheet!$G$5="DPD360+"),SAP_Speadsheet!AJ166,AND(Leadsheet!$G$4="VAS",Leadsheet!$G$5="DPD180+"),SAP_Speadsheet!AJ181)</f>
        <v>0</v>
      </c>
      <c r="AK183" s="327" cm="1">
        <f t="array" ref="AK183">_xlfn.IFS(Leadsheet!$G$4="IFRS",SAP_Speadsheet!AK146,AND(Leadsheet!$G$4="VAS",Leadsheet!$G$5="DPD360+"),SAP_Speadsheet!AK166,AND(Leadsheet!$G$4="VAS",Leadsheet!$G$5="DPD180+"),SAP_Speadsheet!AK181)</f>
        <v>0</v>
      </c>
      <c r="AL183" s="327" cm="1">
        <f t="array" ref="AL183">_xlfn.IFS(Leadsheet!$G$4="IFRS",SAP_Speadsheet!AL146,AND(Leadsheet!$G$4="VAS",Leadsheet!$G$5="DPD360+"),SAP_Speadsheet!AL166,AND(Leadsheet!$G$4="VAS",Leadsheet!$G$5="DPD180+"),SAP_Speadsheet!AL181)</f>
        <v>0</v>
      </c>
      <c r="AM183" s="327" cm="1">
        <f t="array" ref="AM183">_xlfn.IFS(Leadsheet!$G$4="IFRS",SAP_Speadsheet!AM146,AND(Leadsheet!$G$4="VAS",Leadsheet!$G$5="DPD360+"),SAP_Speadsheet!AM166,AND(Leadsheet!$G$4="VAS",Leadsheet!$G$5="DPD180+"),SAP_Speadsheet!AM181)</f>
        <v>0</v>
      </c>
      <c r="AN183" s="327" cm="1">
        <f t="array" ref="AN183">_xlfn.IFS(Leadsheet!$G$4="IFRS",SAP_Speadsheet!AN146,AND(Leadsheet!$G$4="VAS",Leadsheet!$G$5="DPD360+"),SAP_Speadsheet!AN166,AND(Leadsheet!$G$4="VAS",Leadsheet!$G$5="DPD180+"),SAP_Speadsheet!AN181)</f>
        <v>0</v>
      </c>
      <c r="AO183" s="327" cm="1">
        <f t="array" ref="AO183">_xlfn.IFS(Leadsheet!$G$4="IFRS",SAP_Speadsheet!AO146,AND(Leadsheet!$G$4="VAS",Leadsheet!$G$5="DPD360+"),SAP_Speadsheet!AO166,AND(Leadsheet!$G$4="VAS",Leadsheet!$G$5="DPD180+"),SAP_Speadsheet!AO181)</f>
        <v>0</v>
      </c>
      <c r="AP183" s="327" cm="1">
        <f t="array" ref="AP183">_xlfn.IFS(Leadsheet!$G$4="IFRS",SAP_Speadsheet!AP146,AND(Leadsheet!$G$4="VAS",Leadsheet!$G$5="DPD360+"),SAP_Speadsheet!AP166,AND(Leadsheet!$G$4="VAS",Leadsheet!$G$5="DPD180+"),SAP_Speadsheet!AP181)</f>
        <v>0</v>
      </c>
      <c r="AQ183" s="327" cm="1">
        <f t="array" ref="AQ183">_xlfn.IFS(Leadsheet!$G$4="IFRS",SAP_Speadsheet!AQ146,AND(Leadsheet!$G$4="VAS",Leadsheet!$G$5="DPD360+"),SAP_Speadsheet!AQ166,AND(Leadsheet!$G$4="VAS",Leadsheet!$G$5="DPD180+"),SAP_Speadsheet!AQ181)</f>
        <v>0</v>
      </c>
      <c r="AR183" s="327" cm="1">
        <f t="array" ref="AR183">_xlfn.IFS(Leadsheet!$G$4="IFRS",SAP_Speadsheet!AR146,AND(Leadsheet!$G$4="VAS",Leadsheet!$G$5="DPD360+"),SAP_Speadsheet!AR166,AND(Leadsheet!$G$4="VAS",Leadsheet!$G$5="DPD180+"),SAP_Speadsheet!AR181)</f>
        <v>0</v>
      </c>
      <c r="AS183" s="327" cm="1">
        <f t="array" ref="AS183">_xlfn.IFS(Leadsheet!$G$4="IFRS",SAP_Speadsheet!AS146,AND(Leadsheet!$G$4="VAS",Leadsheet!$G$5="DPD360+"),SAP_Speadsheet!AS166,AND(Leadsheet!$G$4="VAS",Leadsheet!$G$5="DPD180+"),SAP_Speadsheet!AS181)</f>
        <v>0</v>
      </c>
      <c r="AT183" s="327" cm="1">
        <f t="array" ref="AT183">_xlfn.IFS(Leadsheet!$G$4="IFRS",SAP_Speadsheet!AT146,AND(Leadsheet!$G$4="VAS",Leadsheet!$G$5="DPD360+"),SAP_Speadsheet!AT166,AND(Leadsheet!$G$4="VAS",Leadsheet!$G$5="DPD180+"),SAP_Speadsheet!AT181)</f>
        <v>0</v>
      </c>
      <c r="AU183" s="327" cm="1">
        <f t="array" ref="AU183">_xlfn.IFS(Leadsheet!$G$4="IFRS",SAP_Speadsheet!AU146,AND(Leadsheet!$G$4="VAS",Leadsheet!$G$5="DPD360+"),SAP_Speadsheet!AU166,AND(Leadsheet!$G$4="VAS",Leadsheet!$G$5="DPD180+"),SAP_Speadsheet!AU181)</f>
        <v>0</v>
      </c>
      <c r="AV183" s="327" cm="1">
        <f t="array" ref="AV183">_xlfn.IFS(Leadsheet!$G$4="IFRS",SAP_Speadsheet!AV146,AND(Leadsheet!$G$4="VAS",Leadsheet!$G$5="DPD360+"),SAP_Speadsheet!AV166,AND(Leadsheet!$G$4="VAS",Leadsheet!$G$5="DPD180+"),SAP_Speadsheet!AV181)</f>
        <v>0</v>
      </c>
      <c r="AW183" s="327" cm="1">
        <f t="array" ref="AW183">_xlfn.IFS(Leadsheet!$G$4="IFRS",SAP_Speadsheet!AW146,AND(Leadsheet!$G$4="VAS",Leadsheet!$G$5="DPD360+"),SAP_Speadsheet!AW166,AND(Leadsheet!$G$4="VAS",Leadsheet!$G$5="DPD180+"),SAP_Speadsheet!AW181)</f>
        <v>0</v>
      </c>
      <c r="AX183" s="327" cm="1">
        <f t="array" ref="AX183">_xlfn.IFS(Leadsheet!$G$4="IFRS",SAP_Speadsheet!AX146,AND(Leadsheet!$G$4="VAS",Leadsheet!$G$5="DPD360+"),SAP_Speadsheet!AX166,AND(Leadsheet!$G$4="VAS",Leadsheet!$G$5="DPD180+"),SAP_Speadsheet!AX181)</f>
        <v>0</v>
      </c>
      <c r="AY183" s="327" cm="1">
        <f t="array" ref="AY183">_xlfn.IFS(Leadsheet!$G$4="IFRS",SAP_Speadsheet!AY146,AND(Leadsheet!$G$4="VAS",Leadsheet!$G$5="DPD360+"),SAP_Speadsheet!AY166,AND(Leadsheet!$G$4="VAS",Leadsheet!$G$5="DPD180+"),SAP_Speadsheet!AY181)</f>
        <v>0</v>
      </c>
      <c r="AZ183" s="327" cm="1">
        <f t="array" ref="AZ183">_xlfn.IFS(Leadsheet!$G$4="IFRS",SAP_Speadsheet!AZ146,AND(Leadsheet!$G$4="VAS",Leadsheet!$G$5="DPD360+"),SAP_Speadsheet!AZ166,AND(Leadsheet!$G$4="VAS",Leadsheet!$G$5="DPD180+"),SAP_Speadsheet!AZ181)</f>
        <v>0</v>
      </c>
      <c r="BA183" s="327" cm="1">
        <f t="array" ref="BA183">_xlfn.IFS(Leadsheet!$G$4="IFRS",SAP_Speadsheet!BA146,AND(Leadsheet!$G$4="VAS",Leadsheet!$G$5="DPD360+"),SAP_Speadsheet!BA166,AND(Leadsheet!$G$4="VAS",Leadsheet!$G$5="DPD180+"),SAP_Speadsheet!BA181)</f>
        <v>0</v>
      </c>
      <c r="BB183" s="327" cm="1">
        <f t="array" ref="BB183">_xlfn.IFS(Leadsheet!$G$4="IFRS",SAP_Speadsheet!BB146,AND(Leadsheet!$G$4="VAS",Leadsheet!$G$5="DPD360+"),SAP_Speadsheet!BB166,AND(Leadsheet!$G$4="VAS",Leadsheet!$G$5="DPD180+"),SAP_Speadsheet!BB181)</f>
        <v>0</v>
      </c>
      <c r="BC183" s="327" cm="1">
        <f t="array" ref="BC183">_xlfn.IFS(Leadsheet!$G$4="IFRS",SAP_Speadsheet!BC146,AND(Leadsheet!$G$4="VAS",Leadsheet!$G$5="DPD360+"),SAP_Speadsheet!BC166,AND(Leadsheet!$G$4="VAS",Leadsheet!$G$5="DPD180+"),SAP_Speadsheet!BC181)</f>
        <v>0</v>
      </c>
      <c r="BD183" s="327" cm="1">
        <f t="array" ref="BD183">_xlfn.IFS(Leadsheet!$G$4="IFRS",SAP_Speadsheet!BD146,AND(Leadsheet!$G$4="VAS",Leadsheet!$G$5="DPD360+"),SAP_Speadsheet!BD166,AND(Leadsheet!$G$4="VAS",Leadsheet!$G$5="DPD180+"),SAP_Speadsheet!BD181)</f>
        <v>0</v>
      </c>
      <c r="BE183" s="327" cm="1">
        <f t="array" ref="BE183">_xlfn.IFS(Leadsheet!$G$4="IFRS",SAP_Speadsheet!BE146,AND(Leadsheet!$G$4="VAS",Leadsheet!$G$5="DPD360+"),SAP_Speadsheet!BE166,AND(Leadsheet!$G$4="VAS",Leadsheet!$G$5="DPD180+"),SAP_Speadsheet!BE181)</f>
        <v>0</v>
      </c>
      <c r="BF183" s="327" cm="1">
        <f t="array" ref="BF183">_xlfn.IFS(Leadsheet!$G$4="IFRS",SAP_Speadsheet!BF146,AND(Leadsheet!$G$4="VAS",Leadsheet!$G$5="DPD360+"),SAP_Speadsheet!BF166,AND(Leadsheet!$G$4="VAS",Leadsheet!$G$5="DPD180+"),SAP_Speadsheet!BF181)</f>
        <v>0</v>
      </c>
      <c r="BG183" s="327" cm="1">
        <f t="array" ref="BG183">_xlfn.IFS(Leadsheet!$G$4="IFRS",SAP_Speadsheet!BG146,AND(Leadsheet!$G$4="VAS",Leadsheet!$G$5="DPD360+"),SAP_Speadsheet!BG166,AND(Leadsheet!$G$4="VAS",Leadsheet!$G$5="DPD180+"),SAP_Speadsheet!BG181)</f>
        <v>0</v>
      </c>
      <c r="BH183" s="327" cm="1">
        <f t="array" ref="BH183">_xlfn.IFS(Leadsheet!$G$4="IFRS",SAP_Speadsheet!BH146,AND(Leadsheet!$G$4="VAS",Leadsheet!$G$5="DPD360+"),SAP_Speadsheet!BH166,AND(Leadsheet!$G$4="VAS",Leadsheet!$G$5="DPD180+"),SAP_Speadsheet!BH181)</f>
        <v>0</v>
      </c>
      <c r="BI183" s="327" cm="1">
        <f t="array" ref="BI183">_xlfn.IFS(Leadsheet!$G$4="IFRS",SAP_Speadsheet!BI146,AND(Leadsheet!$G$4="VAS",Leadsheet!$G$5="DPD360+"),SAP_Speadsheet!BI166,AND(Leadsheet!$G$4="VAS",Leadsheet!$G$5="DPD180+"),SAP_Speadsheet!BI181)</f>
        <v>0</v>
      </c>
      <c r="BJ183" s="327" cm="1">
        <f t="array" ref="BJ183">_xlfn.IFS(Leadsheet!$G$4="IFRS",SAP_Speadsheet!BJ146,AND(Leadsheet!$G$4="VAS",Leadsheet!$G$5="DPD360+"),SAP_Speadsheet!BJ166,AND(Leadsheet!$G$4="VAS",Leadsheet!$G$5="DPD180+"),SAP_Speadsheet!BJ181)</f>
        <v>0</v>
      </c>
      <c r="BK183" s="327" cm="1">
        <f t="array" ref="BK183">_xlfn.IFS(Leadsheet!$G$4="IFRS",SAP_Speadsheet!BK146,AND(Leadsheet!$G$4="VAS",Leadsheet!$G$5="DPD360+"),SAP_Speadsheet!BK166,AND(Leadsheet!$G$4="VAS",Leadsheet!$G$5="DPD180+"),SAP_Speadsheet!BK181)</f>
        <v>0</v>
      </c>
      <c r="BL183" s="327" cm="1">
        <f t="array" ref="BL183">_xlfn.IFS(Leadsheet!$G$4="IFRS",SAP_Speadsheet!BL146,AND(Leadsheet!$G$4="VAS",Leadsheet!$G$5="DPD360+"),SAP_Speadsheet!BL166,AND(Leadsheet!$G$4="VAS",Leadsheet!$G$5="DPD180+"),SAP_Speadsheet!BL181)</f>
        <v>0</v>
      </c>
    </row>
    <row r="185" spans="1:64" ht="13" thickBot="1" x14ac:dyDescent="0.2">
      <c r="A185" s="188"/>
      <c r="B185" s="302" t="s">
        <v>449</v>
      </c>
      <c r="C185" s="303"/>
      <c r="D185" s="304"/>
      <c r="E185" s="305"/>
      <c r="F185" s="304"/>
      <c r="G185" s="304"/>
      <c r="H185" s="304"/>
      <c r="I185" s="304"/>
      <c r="J185" s="304"/>
      <c r="K185" s="304"/>
      <c r="L185" s="304"/>
      <c r="M185" s="304"/>
      <c r="N185" s="304"/>
      <c r="O185" s="304"/>
      <c r="P185" s="304"/>
      <c r="Q185" s="304"/>
      <c r="R185" s="304"/>
      <c r="S185" s="304"/>
      <c r="T185" s="304"/>
      <c r="U185" s="304"/>
      <c r="V185" s="304"/>
      <c r="W185" s="304"/>
      <c r="X185" s="304"/>
      <c r="Y185" s="304"/>
      <c r="Z185" s="304"/>
      <c r="AA185" s="304"/>
      <c r="AB185" s="304"/>
      <c r="AC185" s="304"/>
      <c r="AD185" s="304"/>
      <c r="AE185" s="304"/>
      <c r="AF185" s="304"/>
      <c r="AG185" s="304"/>
      <c r="AH185" s="304"/>
      <c r="AI185" s="304"/>
      <c r="AJ185" s="304"/>
      <c r="AK185" s="304"/>
      <c r="AL185" s="304"/>
      <c r="AM185" s="304"/>
      <c r="AN185" s="304"/>
      <c r="AO185" s="304"/>
      <c r="AP185" s="304"/>
      <c r="AQ185" s="304"/>
      <c r="AR185" s="304"/>
      <c r="AS185" s="304"/>
      <c r="AT185" s="304"/>
      <c r="AU185" s="304"/>
      <c r="AV185" s="304"/>
      <c r="AW185" s="304"/>
      <c r="AX185" s="304"/>
      <c r="AY185" s="304"/>
      <c r="AZ185" s="304"/>
      <c r="BA185" s="304"/>
      <c r="BB185" s="304"/>
      <c r="BC185" s="304"/>
      <c r="BD185" s="304"/>
      <c r="BE185" s="304"/>
      <c r="BF185" s="304"/>
      <c r="BG185" s="304"/>
      <c r="BH185" s="304"/>
      <c r="BI185" s="304"/>
      <c r="BJ185" s="304"/>
      <c r="BK185" s="304"/>
      <c r="BL185" s="304"/>
    </row>
    <row r="186" spans="1:64" ht="12" thickTop="1" x14ac:dyDescent="0.15"/>
    <row r="187" spans="1:64" x14ac:dyDescent="0.15">
      <c r="C187" s="116" t="s">
        <v>450</v>
      </c>
      <c r="D187" s="180"/>
      <c r="E187" s="180">
        <f t="shared" ref="E187:BL187" si="46">E55+E71</f>
        <v>0.93454923486245989</v>
      </c>
      <c r="F187" s="180">
        <f t="shared" si="46"/>
        <v>0.36197760696223535</v>
      </c>
      <c r="G187" s="180">
        <f t="shared" si="46"/>
        <v>0.30989860799576285</v>
      </c>
      <c r="H187" s="180">
        <f t="shared" si="46"/>
        <v>0.3566663740087278</v>
      </c>
      <c r="I187" s="180">
        <f t="shared" si="46"/>
        <v>0.29545075598069342</v>
      </c>
      <c r="J187" s="180">
        <f t="shared" si="46"/>
        <v>0.25314884269010796</v>
      </c>
      <c r="K187" s="180">
        <f t="shared" si="46"/>
        <v>0.21026242492286695</v>
      </c>
      <c r="L187" s="180">
        <f t="shared" si="46"/>
        <v>0.17567118685470337</v>
      </c>
      <c r="M187" s="180">
        <f t="shared" si="46"/>
        <v>0.14662852305074861</v>
      </c>
      <c r="N187" s="180">
        <f t="shared" si="46"/>
        <v>0.11898010066304421</v>
      </c>
      <c r="O187" s="180">
        <f t="shared" si="46"/>
        <v>9.3118505453633052E-2</v>
      </c>
      <c r="P187" s="180">
        <f t="shared" si="46"/>
        <v>6.8810999262130912E-2</v>
      </c>
      <c r="Q187" s="180">
        <f t="shared" si="46"/>
        <v>4.6336436747898557E-2</v>
      </c>
      <c r="R187" s="180">
        <f t="shared" si="46"/>
        <v>2.4544977424541668E-2</v>
      </c>
      <c r="S187" s="180">
        <f t="shared" si="46"/>
        <v>8.0408034721975233E-3</v>
      </c>
      <c r="T187" s="180">
        <f t="shared" si="46"/>
        <v>4.0805835190063783E-3</v>
      </c>
      <c r="U187" s="180">
        <f t="shared" si="46"/>
        <v>6.0254683132688995E-4</v>
      </c>
      <c r="V187" s="180">
        <f t="shared" si="46"/>
        <v>-2.8039424673204152E-3</v>
      </c>
      <c r="W187" s="180">
        <f t="shared" si="46"/>
        <v>-2.1613374038418069E-3</v>
      </c>
      <c r="X187" s="180">
        <f t="shared" si="46"/>
        <v>-1.7041744718668068E-3</v>
      </c>
      <c r="Y187" s="180">
        <f t="shared" si="46"/>
        <v>0</v>
      </c>
      <c r="Z187" s="180">
        <f t="shared" si="46"/>
        <v>0</v>
      </c>
      <c r="AA187" s="180">
        <f t="shared" si="46"/>
        <v>0</v>
      </c>
      <c r="AB187" s="180">
        <f t="shared" si="46"/>
        <v>0</v>
      </c>
      <c r="AC187" s="180">
        <f t="shared" si="46"/>
        <v>0</v>
      </c>
      <c r="AD187" s="180">
        <f t="shared" si="46"/>
        <v>0</v>
      </c>
      <c r="AE187" s="180">
        <f t="shared" si="46"/>
        <v>0</v>
      </c>
      <c r="AF187" s="180">
        <f t="shared" si="46"/>
        <v>0</v>
      </c>
      <c r="AG187" s="180">
        <f t="shared" si="46"/>
        <v>0</v>
      </c>
      <c r="AH187" s="180">
        <f t="shared" si="46"/>
        <v>0</v>
      </c>
      <c r="AI187" s="180">
        <f t="shared" si="46"/>
        <v>0</v>
      </c>
      <c r="AJ187" s="180">
        <f t="shared" si="46"/>
        <v>0</v>
      </c>
      <c r="AK187" s="180">
        <f t="shared" si="46"/>
        <v>0</v>
      </c>
      <c r="AL187" s="180">
        <f t="shared" si="46"/>
        <v>0</v>
      </c>
      <c r="AM187" s="180">
        <f t="shared" si="46"/>
        <v>0</v>
      </c>
      <c r="AN187" s="180">
        <f t="shared" si="46"/>
        <v>0</v>
      </c>
      <c r="AO187" s="180">
        <f t="shared" si="46"/>
        <v>0</v>
      </c>
      <c r="AP187" s="180">
        <f t="shared" si="46"/>
        <v>0</v>
      </c>
      <c r="AQ187" s="180">
        <f t="shared" si="46"/>
        <v>0</v>
      </c>
      <c r="AR187" s="180">
        <f t="shared" si="46"/>
        <v>0</v>
      </c>
      <c r="AS187" s="180">
        <f t="shared" si="46"/>
        <v>0</v>
      </c>
      <c r="AT187" s="180">
        <f t="shared" si="46"/>
        <v>0</v>
      </c>
      <c r="AU187" s="180">
        <f t="shared" si="46"/>
        <v>0</v>
      </c>
      <c r="AV187" s="180">
        <f t="shared" si="46"/>
        <v>0</v>
      </c>
      <c r="AW187" s="180">
        <f t="shared" si="46"/>
        <v>0</v>
      </c>
      <c r="AX187" s="180">
        <f t="shared" si="46"/>
        <v>0</v>
      </c>
      <c r="AY187" s="180">
        <f t="shared" si="46"/>
        <v>0</v>
      </c>
      <c r="AZ187" s="180">
        <f t="shared" si="46"/>
        <v>0</v>
      </c>
      <c r="BA187" s="180">
        <f t="shared" si="46"/>
        <v>0</v>
      </c>
      <c r="BB187" s="180">
        <f t="shared" si="46"/>
        <v>0</v>
      </c>
      <c r="BC187" s="180">
        <f t="shared" si="46"/>
        <v>0</v>
      </c>
      <c r="BD187" s="180">
        <f t="shared" si="46"/>
        <v>0</v>
      </c>
      <c r="BE187" s="180">
        <f t="shared" si="46"/>
        <v>0</v>
      </c>
      <c r="BF187" s="180">
        <f t="shared" si="46"/>
        <v>0</v>
      </c>
      <c r="BG187" s="180">
        <f t="shared" si="46"/>
        <v>0</v>
      </c>
      <c r="BH187" s="180">
        <f t="shared" si="46"/>
        <v>0</v>
      </c>
      <c r="BI187" s="180">
        <f t="shared" si="46"/>
        <v>0</v>
      </c>
      <c r="BJ187" s="180">
        <f t="shared" si="46"/>
        <v>0</v>
      </c>
      <c r="BK187" s="180">
        <f t="shared" si="46"/>
        <v>0</v>
      </c>
      <c r="BL187" s="180">
        <f t="shared" si="46"/>
        <v>0</v>
      </c>
    </row>
    <row r="188" spans="1:64" x14ac:dyDescent="0.15">
      <c r="C188" s="116" t="s">
        <v>451</v>
      </c>
      <c r="D188" s="180"/>
      <c r="E188" s="180">
        <f t="shared" ref="E188:BL188" si="47">E55+E71+E183</f>
        <v>0.15598698618653661</v>
      </c>
      <c r="F188" s="180">
        <f t="shared" si="47"/>
        <v>6.8283616865008834E-2</v>
      </c>
      <c r="G188" s="180">
        <f t="shared" si="47"/>
        <v>5.9284369299817286E-2</v>
      </c>
      <c r="H188" s="180">
        <f t="shared" si="47"/>
        <v>0.13776869003084091</v>
      </c>
      <c r="I188" s="180">
        <f t="shared" si="47"/>
        <v>0.10610291508616237</v>
      </c>
      <c r="J188" s="180">
        <f t="shared" si="47"/>
        <v>9.156183775828286E-2</v>
      </c>
      <c r="K188" s="180">
        <f t="shared" si="47"/>
        <v>7.4227638179929056E-2</v>
      </c>
      <c r="L188" s="180">
        <f t="shared" si="47"/>
        <v>5.4424685015975721E-2</v>
      </c>
      <c r="M188" s="180">
        <f t="shared" si="47"/>
        <v>4.9541047881642181E-2</v>
      </c>
      <c r="N188" s="180">
        <f t="shared" si="47"/>
        <v>4.3587767183096648E-2</v>
      </c>
      <c r="O188" s="180">
        <f t="shared" si="47"/>
        <v>3.7868469684103026E-2</v>
      </c>
      <c r="P188" s="180">
        <f t="shared" si="47"/>
        <v>3.2068403256512001E-2</v>
      </c>
      <c r="Q188" s="180">
        <f t="shared" si="47"/>
        <v>2.673620688452083E-2</v>
      </c>
      <c r="R188" s="180">
        <f t="shared" si="47"/>
        <v>1.214695403751722E-2</v>
      </c>
      <c r="S188" s="180">
        <f t="shared" si="47"/>
        <v>-1.84837856595884E-3</v>
      </c>
      <c r="T188" s="180">
        <f t="shared" si="47"/>
        <v>-4.3279047262029663E-3</v>
      </c>
      <c r="U188" s="180">
        <f t="shared" si="47"/>
        <v>-6.4555263830088239E-3</v>
      </c>
      <c r="V188" s="180">
        <f t="shared" si="47"/>
        <v>-8.7787090434609041E-3</v>
      </c>
      <c r="W188" s="180">
        <f t="shared" si="47"/>
        <v>-7.1276137714963717E-3</v>
      </c>
      <c r="X188" s="180">
        <f t="shared" si="47"/>
        <v>-5.7278478441652823E-3</v>
      </c>
      <c r="Y188" s="180">
        <f t="shared" si="47"/>
        <v>0</v>
      </c>
      <c r="Z188" s="180">
        <f t="shared" si="47"/>
        <v>0</v>
      </c>
      <c r="AA188" s="180">
        <f t="shared" si="47"/>
        <v>0</v>
      </c>
      <c r="AB188" s="180">
        <f t="shared" si="47"/>
        <v>0</v>
      </c>
      <c r="AC188" s="180">
        <f t="shared" si="47"/>
        <v>0</v>
      </c>
      <c r="AD188" s="180">
        <f t="shared" si="47"/>
        <v>0</v>
      </c>
      <c r="AE188" s="180">
        <f t="shared" si="47"/>
        <v>0</v>
      </c>
      <c r="AF188" s="180">
        <f t="shared" si="47"/>
        <v>0</v>
      </c>
      <c r="AG188" s="180">
        <f t="shared" si="47"/>
        <v>0</v>
      </c>
      <c r="AH188" s="180">
        <f t="shared" si="47"/>
        <v>0</v>
      </c>
      <c r="AI188" s="180">
        <f t="shared" si="47"/>
        <v>0</v>
      </c>
      <c r="AJ188" s="180">
        <f t="shared" si="47"/>
        <v>0</v>
      </c>
      <c r="AK188" s="180">
        <f t="shared" si="47"/>
        <v>0</v>
      </c>
      <c r="AL188" s="180">
        <f t="shared" si="47"/>
        <v>0</v>
      </c>
      <c r="AM188" s="180">
        <f t="shared" si="47"/>
        <v>0</v>
      </c>
      <c r="AN188" s="180">
        <f t="shared" si="47"/>
        <v>0</v>
      </c>
      <c r="AO188" s="180">
        <f t="shared" si="47"/>
        <v>0</v>
      </c>
      <c r="AP188" s="180">
        <f t="shared" si="47"/>
        <v>0</v>
      </c>
      <c r="AQ188" s="180">
        <f t="shared" si="47"/>
        <v>0</v>
      </c>
      <c r="AR188" s="180">
        <f t="shared" si="47"/>
        <v>0</v>
      </c>
      <c r="AS188" s="180">
        <f t="shared" si="47"/>
        <v>0</v>
      </c>
      <c r="AT188" s="180">
        <f t="shared" si="47"/>
        <v>0</v>
      </c>
      <c r="AU188" s="180">
        <f t="shared" si="47"/>
        <v>0</v>
      </c>
      <c r="AV188" s="180">
        <f t="shared" si="47"/>
        <v>0</v>
      </c>
      <c r="AW188" s="180">
        <f t="shared" si="47"/>
        <v>0</v>
      </c>
      <c r="AX188" s="180">
        <f t="shared" si="47"/>
        <v>0</v>
      </c>
      <c r="AY188" s="180">
        <f t="shared" si="47"/>
        <v>0</v>
      </c>
      <c r="AZ188" s="180">
        <f t="shared" si="47"/>
        <v>0</v>
      </c>
      <c r="BA188" s="180">
        <f t="shared" si="47"/>
        <v>0</v>
      </c>
      <c r="BB188" s="180">
        <f t="shared" si="47"/>
        <v>0</v>
      </c>
      <c r="BC188" s="180">
        <f t="shared" si="47"/>
        <v>0</v>
      </c>
      <c r="BD188" s="180">
        <f t="shared" si="47"/>
        <v>0</v>
      </c>
      <c r="BE188" s="180">
        <f t="shared" si="47"/>
        <v>0</v>
      </c>
      <c r="BF188" s="180">
        <f t="shared" si="47"/>
        <v>0</v>
      </c>
      <c r="BG188" s="180">
        <f t="shared" si="47"/>
        <v>0</v>
      </c>
      <c r="BH188" s="180">
        <f t="shared" si="47"/>
        <v>0</v>
      </c>
      <c r="BI188" s="180">
        <f t="shared" si="47"/>
        <v>0</v>
      </c>
      <c r="BJ188" s="180">
        <f t="shared" si="47"/>
        <v>0</v>
      </c>
      <c r="BK188" s="180">
        <f t="shared" si="47"/>
        <v>0</v>
      </c>
      <c r="BL188" s="180">
        <f t="shared" si="47"/>
        <v>0</v>
      </c>
    </row>
    <row r="189" spans="1:64" s="188" customFormat="1" x14ac:dyDescent="0.15">
      <c r="C189" s="188" t="s">
        <v>240</v>
      </c>
      <c r="D189" s="327"/>
      <c r="E189" s="327">
        <f t="shared" ref="E189:BL189" si="48">E55+E71+E103+E183</f>
        <v>0.10718677496332041</v>
      </c>
      <c r="F189" s="327">
        <f t="shared" si="48"/>
        <v>2.5136901033621983E-2</v>
      </c>
      <c r="G189" s="327">
        <f t="shared" si="48"/>
        <v>1.8464683707382801E-2</v>
      </c>
      <c r="H189" s="327">
        <f t="shared" si="48"/>
        <v>9.9276034677358793E-2</v>
      </c>
      <c r="I189" s="327">
        <f t="shared" si="48"/>
        <v>6.8749298720150842E-2</v>
      </c>
      <c r="J189" s="327">
        <f t="shared" si="48"/>
        <v>5.5347260379741858E-2</v>
      </c>
      <c r="K189" s="327">
        <f t="shared" si="48"/>
        <v>3.9152099788858585E-2</v>
      </c>
      <c r="L189" s="327">
        <f t="shared" si="48"/>
        <v>2.0488185612375809E-2</v>
      </c>
      <c r="M189" s="327">
        <f t="shared" si="48"/>
        <v>1.6743587465512813E-2</v>
      </c>
      <c r="N189" s="327">
        <f t="shared" si="48"/>
        <v>1.1929345754437826E-2</v>
      </c>
      <c r="O189" s="327">
        <f t="shared" si="48"/>
        <v>7.349087242914748E-3</v>
      </c>
      <c r="P189" s="327">
        <f t="shared" si="48"/>
        <v>1.6597477819141476E-3</v>
      </c>
      <c r="Q189" s="327">
        <f t="shared" si="48"/>
        <v>-2.4935432380450082E-3</v>
      </c>
      <c r="R189" s="327">
        <f t="shared" si="48"/>
        <v>-1.5903890733016606E-2</v>
      </c>
      <c r="S189" s="327">
        <f t="shared" si="48"/>
        <v>-1.84837856595884E-3</v>
      </c>
      <c r="T189" s="327">
        <f t="shared" si="48"/>
        <v>-4.3279047262029663E-3</v>
      </c>
      <c r="U189" s="327">
        <f t="shared" si="48"/>
        <v>-6.4555263830088239E-3</v>
      </c>
      <c r="V189" s="327">
        <f t="shared" si="48"/>
        <v>-8.7787090434609041E-3</v>
      </c>
      <c r="W189" s="327">
        <f t="shared" si="48"/>
        <v>-7.1276137714963717E-3</v>
      </c>
      <c r="X189" s="327">
        <f t="shared" si="48"/>
        <v>-5.7278478441652823E-3</v>
      </c>
      <c r="Y189" s="327">
        <f t="shared" si="48"/>
        <v>0</v>
      </c>
      <c r="Z189" s="327">
        <f t="shared" si="48"/>
        <v>0</v>
      </c>
      <c r="AA189" s="327">
        <f t="shared" si="48"/>
        <v>0</v>
      </c>
      <c r="AB189" s="327">
        <f t="shared" si="48"/>
        <v>0</v>
      </c>
      <c r="AC189" s="327">
        <f t="shared" si="48"/>
        <v>0</v>
      </c>
      <c r="AD189" s="327">
        <f t="shared" si="48"/>
        <v>0</v>
      </c>
      <c r="AE189" s="327">
        <f t="shared" si="48"/>
        <v>0</v>
      </c>
      <c r="AF189" s="327">
        <f t="shared" si="48"/>
        <v>0</v>
      </c>
      <c r="AG189" s="327">
        <f t="shared" si="48"/>
        <v>0</v>
      </c>
      <c r="AH189" s="327">
        <f t="shared" si="48"/>
        <v>0</v>
      </c>
      <c r="AI189" s="327">
        <f t="shared" si="48"/>
        <v>0</v>
      </c>
      <c r="AJ189" s="327">
        <f t="shared" si="48"/>
        <v>0</v>
      </c>
      <c r="AK189" s="327">
        <f t="shared" si="48"/>
        <v>0</v>
      </c>
      <c r="AL189" s="327">
        <f t="shared" si="48"/>
        <v>0</v>
      </c>
      <c r="AM189" s="327">
        <f t="shared" si="48"/>
        <v>0</v>
      </c>
      <c r="AN189" s="327">
        <f t="shared" si="48"/>
        <v>0</v>
      </c>
      <c r="AO189" s="327">
        <f t="shared" si="48"/>
        <v>0</v>
      </c>
      <c r="AP189" s="327">
        <f t="shared" si="48"/>
        <v>0</v>
      </c>
      <c r="AQ189" s="327">
        <f t="shared" si="48"/>
        <v>0</v>
      </c>
      <c r="AR189" s="327">
        <f t="shared" si="48"/>
        <v>0</v>
      </c>
      <c r="AS189" s="327">
        <f t="shared" si="48"/>
        <v>0</v>
      </c>
      <c r="AT189" s="327">
        <f t="shared" si="48"/>
        <v>0</v>
      </c>
      <c r="AU189" s="327">
        <f t="shared" si="48"/>
        <v>0</v>
      </c>
      <c r="AV189" s="327">
        <f t="shared" si="48"/>
        <v>0</v>
      </c>
      <c r="AW189" s="327">
        <f t="shared" si="48"/>
        <v>0</v>
      </c>
      <c r="AX189" s="327">
        <f t="shared" si="48"/>
        <v>0</v>
      </c>
      <c r="AY189" s="327">
        <f t="shared" si="48"/>
        <v>0</v>
      </c>
      <c r="AZ189" s="327">
        <f t="shared" si="48"/>
        <v>0</v>
      </c>
      <c r="BA189" s="327">
        <f t="shared" si="48"/>
        <v>0</v>
      </c>
      <c r="BB189" s="327">
        <f t="shared" si="48"/>
        <v>0</v>
      </c>
      <c r="BC189" s="327">
        <f t="shared" si="48"/>
        <v>0</v>
      </c>
      <c r="BD189" s="327">
        <f t="shared" si="48"/>
        <v>0</v>
      </c>
      <c r="BE189" s="327">
        <f t="shared" si="48"/>
        <v>0</v>
      </c>
      <c r="BF189" s="327">
        <f t="shared" si="48"/>
        <v>0</v>
      </c>
      <c r="BG189" s="327">
        <f t="shared" si="48"/>
        <v>0</v>
      </c>
      <c r="BH189" s="327">
        <f t="shared" si="48"/>
        <v>0</v>
      </c>
      <c r="BI189" s="327">
        <f t="shared" si="48"/>
        <v>0</v>
      </c>
      <c r="BJ189" s="327">
        <f t="shared" si="48"/>
        <v>0</v>
      </c>
      <c r="BK189" s="327">
        <f t="shared" si="48"/>
        <v>0</v>
      </c>
      <c r="BL189" s="327">
        <f t="shared" si="48"/>
        <v>0</v>
      </c>
    </row>
    <row r="190" spans="1:64" x14ac:dyDescent="0.15">
      <c r="E190" s="180"/>
      <c r="F190" s="180"/>
      <c r="G190" s="180"/>
      <c r="H190" s="180"/>
      <c r="I190" s="180"/>
      <c r="J190" s="180"/>
      <c r="K190" s="180"/>
      <c r="L190" s="180"/>
      <c r="M190" s="180"/>
      <c r="N190" s="180"/>
      <c r="O190" s="180"/>
      <c r="P190" s="180"/>
      <c r="Q190" s="180"/>
      <c r="R190" s="180"/>
      <c r="S190" s="180"/>
      <c r="T190" s="180"/>
      <c r="U190" s="180"/>
      <c r="V190" s="180"/>
      <c r="W190" s="180"/>
      <c r="X190" s="180"/>
      <c r="Y190" s="180"/>
      <c r="Z190" s="180"/>
      <c r="AA190" s="180"/>
      <c r="AB190" s="180"/>
      <c r="AC190" s="180"/>
      <c r="AD190" s="180"/>
      <c r="AE190" s="180"/>
      <c r="AF190" s="180"/>
      <c r="AG190" s="180"/>
      <c r="AH190" s="180"/>
      <c r="AI190" s="180"/>
      <c r="AJ190" s="180"/>
      <c r="AK190" s="180"/>
      <c r="AL190" s="180"/>
      <c r="AM190" s="180"/>
      <c r="AN190" s="180"/>
      <c r="AO190" s="180"/>
      <c r="AP190" s="180"/>
      <c r="AQ190" s="180"/>
      <c r="AR190" s="180"/>
      <c r="AS190" s="180"/>
      <c r="AT190" s="180"/>
      <c r="AU190" s="180"/>
      <c r="AV190" s="180"/>
      <c r="AW190" s="180"/>
      <c r="AX190" s="180"/>
      <c r="AY190" s="180"/>
      <c r="AZ190" s="180"/>
      <c r="BA190" s="180"/>
      <c r="BB190" s="180"/>
      <c r="BC190" s="180"/>
    </row>
    <row r="191" spans="1:64" x14ac:dyDescent="0.15">
      <c r="D191" s="306"/>
      <c r="F191" s="340"/>
      <c r="G191" s="340"/>
      <c r="H191" s="340"/>
      <c r="I191" s="340"/>
      <c r="J191" s="340"/>
      <c r="K191" s="340"/>
      <c r="L191" s="340"/>
      <c r="M191" s="340"/>
      <c r="N191" s="340"/>
      <c r="O191" s="340"/>
      <c r="P191" s="340"/>
      <c r="Q191" s="340"/>
      <c r="R191" s="340"/>
      <c r="S191" s="340"/>
      <c r="T191" s="340"/>
      <c r="U191" s="340"/>
      <c r="V191" s="340"/>
      <c r="W191" s="340"/>
      <c r="X191" s="340"/>
      <c r="Y191" s="340"/>
      <c r="Z191" s="340"/>
      <c r="AA191" s="340"/>
      <c r="AB191" s="340"/>
      <c r="AC191" s="340"/>
      <c r="AD191" s="340"/>
      <c r="AE191" s="340"/>
      <c r="AF191" s="340"/>
      <c r="AG191" s="340"/>
      <c r="AH191" s="340"/>
      <c r="AI191" s="340"/>
      <c r="AJ191" s="340"/>
      <c r="AK191" s="340"/>
      <c r="AL191" s="340"/>
      <c r="AM191" s="340"/>
      <c r="AN191" s="340"/>
      <c r="AO191" s="340"/>
      <c r="AP191" s="340"/>
      <c r="AQ191" s="340"/>
      <c r="AR191" s="340"/>
      <c r="AS191" s="340"/>
      <c r="AT191" s="340"/>
      <c r="AU191" s="340"/>
      <c r="AV191" s="340"/>
      <c r="AW191" s="340"/>
      <c r="AX191" s="340"/>
      <c r="AY191" s="340"/>
      <c r="AZ191" s="340"/>
      <c r="BA191" s="340"/>
      <c r="BB191" s="340"/>
      <c r="BC191" s="340"/>
      <c r="BD191" s="340"/>
      <c r="BE191" s="340"/>
      <c r="BF191" s="340"/>
      <c r="BG191" s="340"/>
      <c r="BH191" s="340"/>
      <c r="BI191" s="340"/>
      <c r="BJ191" s="340"/>
      <c r="BK191" s="340"/>
      <c r="BL191" s="340"/>
    </row>
    <row r="192" spans="1:64" x14ac:dyDescent="0.15">
      <c r="F192" s="340"/>
      <c r="G192" s="340"/>
      <c r="H192" s="340"/>
      <c r="I192" s="340"/>
      <c r="J192" s="340"/>
      <c r="K192" s="340"/>
      <c r="L192" s="340"/>
      <c r="M192" s="340"/>
      <c r="N192" s="340"/>
      <c r="O192" s="340"/>
      <c r="P192" s="340"/>
      <c r="Q192" s="340"/>
      <c r="R192" s="340"/>
      <c r="S192" s="340"/>
      <c r="T192" s="340"/>
      <c r="U192" s="340"/>
      <c r="V192" s="340"/>
      <c r="W192" s="340"/>
      <c r="X192" s="340"/>
      <c r="Y192" s="340"/>
      <c r="Z192" s="340"/>
      <c r="AA192" s="340"/>
      <c r="AB192" s="340"/>
      <c r="AC192" s="340"/>
      <c r="AD192" s="340"/>
      <c r="AE192" s="340"/>
      <c r="AF192" s="340"/>
      <c r="AG192" s="340"/>
      <c r="AH192" s="340"/>
      <c r="AI192" s="340"/>
      <c r="AJ192" s="340"/>
      <c r="AK192" s="340"/>
      <c r="AL192" s="340"/>
      <c r="AM192" s="340"/>
      <c r="AN192" s="340"/>
      <c r="AO192" s="340"/>
      <c r="AP192" s="340"/>
      <c r="AQ192" s="340"/>
      <c r="AR192" s="340"/>
      <c r="AS192" s="340"/>
      <c r="AT192" s="340"/>
      <c r="AU192" s="340"/>
      <c r="AV192" s="340"/>
      <c r="AW192" s="340"/>
      <c r="AX192" s="340"/>
      <c r="AY192" s="340"/>
      <c r="AZ192" s="340"/>
      <c r="BA192" s="340"/>
      <c r="BB192" s="340"/>
      <c r="BC192" s="340"/>
      <c r="BD192" s="340"/>
      <c r="BE192" s="340"/>
      <c r="BF192" s="340"/>
      <c r="BG192" s="340"/>
      <c r="BH192" s="340"/>
      <c r="BI192" s="340"/>
      <c r="BJ192" s="340"/>
      <c r="BK192" s="340"/>
      <c r="BL192" s="340"/>
    </row>
    <row r="193" spans="3:64" hidden="1" x14ac:dyDescent="0.15">
      <c r="C193" s="116" t="s">
        <v>452</v>
      </c>
      <c r="D193" s="172"/>
      <c r="E193" s="172">
        <f t="shared" ref="E193:BF193" si="49">D197</f>
        <v>0</v>
      </c>
      <c r="F193" s="172" t="e">
        <f t="shared" si="49"/>
        <v>#REF!</v>
      </c>
      <c r="G193" s="172" t="e">
        <f t="shared" si="49"/>
        <v>#REF!</v>
      </c>
      <c r="H193" s="172" t="e">
        <f t="shared" si="49"/>
        <v>#REF!</v>
      </c>
      <c r="I193" s="172" t="e">
        <f t="shared" si="49"/>
        <v>#REF!</v>
      </c>
      <c r="J193" s="172" t="e">
        <f t="shared" si="49"/>
        <v>#REF!</v>
      </c>
      <c r="K193" s="172" t="e">
        <f t="shared" si="49"/>
        <v>#REF!</v>
      </c>
      <c r="L193" s="172" t="e">
        <f t="shared" si="49"/>
        <v>#REF!</v>
      </c>
      <c r="M193" s="172" t="e">
        <f t="shared" si="49"/>
        <v>#REF!</v>
      </c>
      <c r="N193" s="172" t="e">
        <f t="shared" si="49"/>
        <v>#REF!</v>
      </c>
      <c r="O193" s="172" t="e">
        <f t="shared" si="49"/>
        <v>#REF!</v>
      </c>
      <c r="P193" s="172" t="e">
        <f t="shared" si="49"/>
        <v>#REF!</v>
      </c>
      <c r="Q193" s="172" t="e">
        <f t="shared" si="49"/>
        <v>#REF!</v>
      </c>
      <c r="R193" s="172" t="e">
        <f t="shared" si="49"/>
        <v>#REF!</v>
      </c>
      <c r="S193" s="172" t="e">
        <f t="shared" si="49"/>
        <v>#REF!</v>
      </c>
      <c r="T193" s="172" t="e">
        <f t="shared" si="49"/>
        <v>#REF!</v>
      </c>
      <c r="U193" s="172" t="e">
        <f t="shared" si="49"/>
        <v>#REF!</v>
      </c>
      <c r="V193" s="172" t="e">
        <f t="shared" si="49"/>
        <v>#REF!</v>
      </c>
      <c r="W193" s="172" t="e">
        <f t="shared" si="49"/>
        <v>#REF!</v>
      </c>
      <c r="X193" s="172" t="e">
        <f t="shared" si="49"/>
        <v>#REF!</v>
      </c>
      <c r="Y193" s="172" t="e">
        <f t="shared" si="49"/>
        <v>#REF!</v>
      </c>
      <c r="Z193" s="172">
        <f t="shared" si="49"/>
        <v>0</v>
      </c>
      <c r="AA193" s="172">
        <f t="shared" si="49"/>
        <v>0</v>
      </c>
      <c r="AB193" s="172">
        <f t="shared" si="49"/>
        <v>0</v>
      </c>
      <c r="AC193" s="172">
        <f t="shared" si="49"/>
        <v>0</v>
      </c>
      <c r="AD193" s="172">
        <f t="shared" si="49"/>
        <v>0</v>
      </c>
      <c r="AE193" s="172">
        <f t="shared" si="49"/>
        <v>0</v>
      </c>
      <c r="AF193" s="172">
        <f t="shared" si="49"/>
        <v>0</v>
      </c>
      <c r="AG193" s="172">
        <f t="shared" si="49"/>
        <v>0</v>
      </c>
      <c r="AH193" s="172">
        <f t="shared" si="49"/>
        <v>0</v>
      </c>
      <c r="AI193" s="172">
        <f t="shared" si="49"/>
        <v>0</v>
      </c>
      <c r="AJ193" s="172">
        <f t="shared" si="49"/>
        <v>0</v>
      </c>
      <c r="AK193" s="172">
        <f t="shared" si="49"/>
        <v>0</v>
      </c>
      <c r="AL193" s="172">
        <f t="shared" si="49"/>
        <v>0</v>
      </c>
      <c r="AM193" s="172">
        <f t="shared" si="49"/>
        <v>0</v>
      </c>
      <c r="AN193" s="172">
        <f t="shared" si="49"/>
        <v>0</v>
      </c>
      <c r="AO193" s="172">
        <f t="shared" si="49"/>
        <v>0</v>
      </c>
      <c r="AP193" s="172">
        <f t="shared" si="49"/>
        <v>0</v>
      </c>
      <c r="AQ193" s="172">
        <f t="shared" si="49"/>
        <v>0</v>
      </c>
      <c r="AR193" s="172">
        <f t="shared" si="49"/>
        <v>0</v>
      </c>
      <c r="AS193" s="172">
        <f t="shared" si="49"/>
        <v>0</v>
      </c>
      <c r="AT193" s="172">
        <f t="shared" si="49"/>
        <v>0</v>
      </c>
      <c r="AU193" s="172">
        <f t="shared" si="49"/>
        <v>0</v>
      </c>
      <c r="AV193" s="172">
        <f t="shared" si="49"/>
        <v>0</v>
      </c>
      <c r="AW193" s="172">
        <f t="shared" si="49"/>
        <v>0</v>
      </c>
      <c r="AX193" s="172">
        <f t="shared" si="49"/>
        <v>0</v>
      </c>
      <c r="AY193" s="172">
        <f t="shared" si="49"/>
        <v>0</v>
      </c>
      <c r="AZ193" s="172">
        <f t="shared" si="49"/>
        <v>0</v>
      </c>
      <c r="BA193" s="172">
        <f t="shared" si="49"/>
        <v>0</v>
      </c>
      <c r="BB193" s="172">
        <f t="shared" si="49"/>
        <v>0</v>
      </c>
      <c r="BC193" s="172">
        <f t="shared" si="49"/>
        <v>0</v>
      </c>
      <c r="BD193" s="172">
        <f t="shared" si="49"/>
        <v>0</v>
      </c>
      <c r="BE193" s="172">
        <f t="shared" si="49"/>
        <v>0</v>
      </c>
      <c r="BF193" s="172">
        <f t="shared" si="49"/>
        <v>0</v>
      </c>
      <c r="BG193" s="172"/>
      <c r="BH193" s="172"/>
      <c r="BI193" s="172"/>
      <c r="BJ193" s="172"/>
      <c r="BK193" s="172"/>
      <c r="BL193" s="172"/>
    </row>
    <row r="194" spans="3:64" hidden="1" x14ac:dyDescent="0.15">
      <c r="C194" s="116" t="s">
        <v>453</v>
      </c>
      <c r="D194" s="172"/>
      <c r="E194" s="172" t="e">
        <f>-#REF!</f>
        <v>#REF!</v>
      </c>
      <c r="F194" s="172" t="e">
        <f>-#REF!</f>
        <v>#REF!</v>
      </c>
      <c r="G194" s="172" t="e">
        <f>-#REF!</f>
        <v>#REF!</v>
      </c>
      <c r="H194" s="172" t="e">
        <f>-#REF!</f>
        <v>#REF!</v>
      </c>
      <c r="I194" s="172" t="e">
        <f>-#REF!</f>
        <v>#REF!</v>
      </c>
      <c r="J194" s="172" t="e">
        <f>-#REF!</f>
        <v>#REF!</v>
      </c>
      <c r="K194" s="172" t="e">
        <f>-#REF!</f>
        <v>#REF!</v>
      </c>
      <c r="L194" s="172" t="e">
        <f>-#REF!</f>
        <v>#REF!</v>
      </c>
      <c r="M194" s="172" t="e">
        <f>-#REF!</f>
        <v>#REF!</v>
      </c>
      <c r="N194" s="172" t="e">
        <f>-#REF!</f>
        <v>#REF!</v>
      </c>
      <c r="O194" s="172" t="e">
        <f>-#REF!</f>
        <v>#REF!</v>
      </c>
      <c r="P194" s="172" t="e">
        <f>-#REF!</f>
        <v>#REF!</v>
      </c>
      <c r="Q194" s="172" t="e">
        <f>-#REF!</f>
        <v>#REF!</v>
      </c>
      <c r="R194" s="172" t="e">
        <f>-#REF!</f>
        <v>#REF!</v>
      </c>
      <c r="S194" s="172" t="e">
        <f>-#REF!</f>
        <v>#REF!</v>
      </c>
      <c r="T194" s="172" t="e">
        <f>-#REF!</f>
        <v>#REF!</v>
      </c>
      <c r="U194" s="172" t="e">
        <f>-#REF!</f>
        <v>#REF!</v>
      </c>
      <c r="V194" s="172" t="e">
        <f>-#REF!</f>
        <v>#REF!</v>
      </c>
      <c r="W194" s="172" t="e">
        <f>-#REF!</f>
        <v>#REF!</v>
      </c>
      <c r="X194" s="172" t="e">
        <f>-#REF!</f>
        <v>#REF!</v>
      </c>
      <c r="Y194" s="172" t="e">
        <f>-#REF!</f>
        <v>#REF!</v>
      </c>
      <c r="Z194" s="172" t="e">
        <f>-#REF!</f>
        <v>#REF!</v>
      </c>
      <c r="AA194" s="172" t="e">
        <f>-#REF!</f>
        <v>#REF!</v>
      </c>
      <c r="AB194" s="172" t="e">
        <f>-#REF!</f>
        <v>#REF!</v>
      </c>
      <c r="AC194" s="172" t="e">
        <f>-#REF!</f>
        <v>#REF!</v>
      </c>
      <c r="AD194" s="172" t="e">
        <f>-#REF!</f>
        <v>#REF!</v>
      </c>
      <c r="AE194" s="172" t="e">
        <f>-#REF!</f>
        <v>#REF!</v>
      </c>
      <c r="AF194" s="172" t="e">
        <f>-#REF!</f>
        <v>#REF!</v>
      </c>
      <c r="AG194" s="172" t="e">
        <f>-#REF!</f>
        <v>#REF!</v>
      </c>
      <c r="AH194" s="172" t="e">
        <f>-#REF!</f>
        <v>#REF!</v>
      </c>
      <c r="AI194" s="172" t="e">
        <f>-#REF!</f>
        <v>#REF!</v>
      </c>
      <c r="AJ194" s="172" t="e">
        <f>-#REF!</f>
        <v>#REF!</v>
      </c>
      <c r="AK194" s="172" t="e">
        <f>-#REF!</f>
        <v>#REF!</v>
      </c>
      <c r="AL194" s="172" t="e">
        <f>-#REF!</f>
        <v>#REF!</v>
      </c>
      <c r="AM194" s="172" t="e">
        <f>-#REF!</f>
        <v>#REF!</v>
      </c>
      <c r="AN194" s="172" t="e">
        <f>-#REF!</f>
        <v>#REF!</v>
      </c>
      <c r="AO194" s="172" t="e">
        <f>-#REF!</f>
        <v>#REF!</v>
      </c>
      <c r="AP194" s="172" t="e">
        <f>-#REF!</f>
        <v>#REF!</v>
      </c>
      <c r="AQ194" s="172" t="e">
        <f>-#REF!</f>
        <v>#REF!</v>
      </c>
      <c r="AR194" s="172" t="e">
        <f>-#REF!</f>
        <v>#REF!</v>
      </c>
      <c r="AS194" s="172" t="e">
        <f>-#REF!</f>
        <v>#REF!</v>
      </c>
      <c r="AT194" s="172" t="e">
        <f>-#REF!</f>
        <v>#REF!</v>
      </c>
      <c r="AU194" s="172" t="e">
        <f>-#REF!</f>
        <v>#REF!</v>
      </c>
      <c r="AV194" s="172" t="e">
        <f>-#REF!</f>
        <v>#REF!</v>
      </c>
      <c r="AW194" s="172" t="e">
        <f>-#REF!</f>
        <v>#REF!</v>
      </c>
      <c r="AX194" s="172" t="e">
        <f>-#REF!</f>
        <v>#REF!</v>
      </c>
      <c r="AY194" s="172" t="e">
        <f>-#REF!</f>
        <v>#REF!</v>
      </c>
      <c r="AZ194" s="172" t="e">
        <f>-#REF!</f>
        <v>#REF!</v>
      </c>
      <c r="BA194" s="172" t="e">
        <f>-#REF!</f>
        <v>#REF!</v>
      </c>
      <c r="BB194" s="172" t="e">
        <f>-#REF!</f>
        <v>#REF!</v>
      </c>
      <c r="BC194" s="172" t="e">
        <f>-#REF!</f>
        <v>#REF!</v>
      </c>
      <c r="BD194" s="172" t="e">
        <f>-#REF!</f>
        <v>#REF!</v>
      </c>
      <c r="BE194" s="172" t="e">
        <f>-#REF!</f>
        <v>#REF!</v>
      </c>
      <c r="BF194" s="172" t="e">
        <f>-#REF!</f>
        <v>#REF!</v>
      </c>
      <c r="BG194" s="172"/>
      <c r="BH194" s="172"/>
      <c r="BI194" s="172"/>
      <c r="BJ194" s="172"/>
      <c r="BK194" s="172"/>
      <c r="BL194" s="172"/>
    </row>
    <row r="195" spans="3:64" hidden="1" x14ac:dyDescent="0.15">
      <c r="C195" s="116" t="s">
        <v>454</v>
      </c>
      <c r="D195" s="172"/>
      <c r="E195" s="172">
        <f>IFERROR((#REF!/#REF!)*E193,0)</f>
        <v>0</v>
      </c>
      <c r="F195" s="172">
        <f>IFERROR((#REF!/#REF!)*F193,0)</f>
        <v>0</v>
      </c>
      <c r="G195" s="172">
        <f>IFERROR((#REF!/#REF!)*G193,0)</f>
        <v>0</v>
      </c>
      <c r="H195" s="172">
        <f>IFERROR((#REF!/#REF!)*H193,0)</f>
        <v>0</v>
      </c>
      <c r="I195" s="172">
        <f>IFERROR((#REF!/#REF!)*I193,0)</f>
        <v>0</v>
      </c>
      <c r="J195" s="172">
        <f>IFERROR((#REF!/#REF!)*J193,0)</f>
        <v>0</v>
      </c>
      <c r="K195" s="172">
        <f>IFERROR((#REF!/#REF!)*K193,0)</f>
        <v>0</v>
      </c>
      <c r="L195" s="172">
        <f>IFERROR((#REF!/#REF!)*L193,0)</f>
        <v>0</v>
      </c>
      <c r="M195" s="172">
        <f>IFERROR((#REF!/#REF!)*M193,0)</f>
        <v>0</v>
      </c>
      <c r="N195" s="172">
        <f>IFERROR((#REF!/#REF!)*N193,0)</f>
        <v>0</v>
      </c>
      <c r="O195" s="172">
        <f>IFERROR((#REF!/#REF!)*O193,0)</f>
        <v>0</v>
      </c>
      <c r="P195" s="172">
        <f>IFERROR((#REF!/#REF!)*P193,0)</f>
        <v>0</v>
      </c>
      <c r="Q195" s="172">
        <f>IFERROR((#REF!/#REF!)*Q193,0)</f>
        <v>0</v>
      </c>
      <c r="R195" s="172">
        <f>IFERROR((#REF!/#REF!)*R193,0)</f>
        <v>0</v>
      </c>
      <c r="S195" s="172">
        <f>IFERROR((#REF!/#REF!)*S193,0)</f>
        <v>0</v>
      </c>
      <c r="T195" s="172">
        <f>IFERROR((#REF!/#REF!)*T193,0)</f>
        <v>0</v>
      </c>
      <c r="U195" s="172">
        <f>IFERROR((#REF!/#REF!)*U193,0)</f>
        <v>0</v>
      </c>
      <c r="V195" s="172">
        <f>IFERROR((#REF!/#REF!)*V193,0)</f>
        <v>0</v>
      </c>
      <c r="W195" s="172">
        <f>IFERROR((#REF!/#REF!)*W193,0)</f>
        <v>0</v>
      </c>
      <c r="X195" s="172">
        <f>IFERROR((#REF!/#REF!)*X193,0)</f>
        <v>0</v>
      </c>
      <c r="Y195" s="172">
        <f>IFERROR((#REF!/#REF!)*Y193,0)</f>
        <v>0</v>
      </c>
      <c r="Z195" s="172">
        <f>IFERROR((#REF!/#REF!)*Z193,0)</f>
        <v>0</v>
      </c>
      <c r="AA195" s="172">
        <f>IFERROR((#REF!/#REF!)*AA193,0)</f>
        <v>0</v>
      </c>
      <c r="AB195" s="172">
        <f>IFERROR((#REF!/#REF!)*AB193,0)</f>
        <v>0</v>
      </c>
      <c r="AC195" s="172">
        <f>IFERROR((#REF!/#REF!)*AC193,0)</f>
        <v>0</v>
      </c>
      <c r="AD195" s="172">
        <f>IFERROR((#REF!/#REF!)*AD193,0)</f>
        <v>0</v>
      </c>
      <c r="AE195" s="172">
        <f>IFERROR((#REF!/#REF!)*AE193,0)</f>
        <v>0</v>
      </c>
      <c r="AF195" s="172">
        <f>IFERROR((#REF!/#REF!)*AF193,0)</f>
        <v>0</v>
      </c>
      <c r="AG195" s="172">
        <f>IFERROR((#REF!/#REF!)*AG193,0)</f>
        <v>0</v>
      </c>
      <c r="AH195" s="172">
        <f>IFERROR((#REF!/#REF!)*AH193,0)</f>
        <v>0</v>
      </c>
      <c r="AI195" s="172">
        <f>IFERROR((#REF!/#REF!)*AI193,0)</f>
        <v>0</v>
      </c>
      <c r="AJ195" s="172">
        <f>IFERROR((#REF!/#REF!)*AJ193,0)</f>
        <v>0</v>
      </c>
      <c r="AK195" s="172">
        <f>IFERROR((#REF!/#REF!)*AK193,0)</f>
        <v>0</v>
      </c>
      <c r="AL195" s="172">
        <f>IFERROR((#REF!/#REF!)*AL193,0)</f>
        <v>0</v>
      </c>
      <c r="AM195" s="172">
        <f>IFERROR((#REF!/#REF!)*AM193,0)</f>
        <v>0</v>
      </c>
      <c r="AN195" s="172">
        <f>IFERROR((#REF!/#REF!)*AN193,0)</f>
        <v>0</v>
      </c>
      <c r="AO195" s="172">
        <f>IFERROR((#REF!/#REF!)*AO193,0)</f>
        <v>0</v>
      </c>
      <c r="AP195" s="172">
        <f>IFERROR((#REF!/#REF!)*AP193,0)</f>
        <v>0</v>
      </c>
      <c r="AQ195" s="172">
        <f>IFERROR((#REF!/#REF!)*AQ193,0)</f>
        <v>0</v>
      </c>
      <c r="AR195" s="172">
        <f>IFERROR((#REF!/#REF!)*AR193,0)</f>
        <v>0</v>
      </c>
      <c r="AS195" s="172">
        <f>IFERROR((#REF!/#REF!)*AS193,0)</f>
        <v>0</v>
      </c>
      <c r="AT195" s="172">
        <f>IFERROR((#REF!/#REF!)*AT193,0)</f>
        <v>0</v>
      </c>
      <c r="AU195" s="172">
        <f>IFERROR((#REF!/#REF!)*AU193,0)</f>
        <v>0</v>
      </c>
      <c r="AV195" s="172">
        <f>IFERROR((#REF!/#REF!)*AV193,0)</f>
        <v>0</v>
      </c>
      <c r="AW195" s="172">
        <f>IFERROR((#REF!/#REF!)*AW193,0)</f>
        <v>0</v>
      </c>
      <c r="AX195" s="172">
        <f>IFERROR((#REF!/#REF!)*AX193,0)</f>
        <v>0</v>
      </c>
      <c r="AY195" s="172">
        <f>IFERROR((#REF!/#REF!)*AY193,0)</f>
        <v>0</v>
      </c>
      <c r="AZ195" s="172">
        <f>IFERROR((#REF!/#REF!)*AZ193,0)</f>
        <v>0</v>
      </c>
      <c r="BA195" s="172">
        <f>IFERROR((#REF!/#REF!)*BA193,0)</f>
        <v>0</v>
      </c>
      <c r="BB195" s="172">
        <f>IFERROR((#REF!/#REF!)*BB193,0)</f>
        <v>0</v>
      </c>
      <c r="BC195" s="172">
        <f>IFERROR((#REF!/#REF!)*BC193,0)</f>
        <v>0</v>
      </c>
      <c r="BD195" s="172">
        <f>IFERROR((#REF!/#REF!)*BD193,0)</f>
        <v>0</v>
      </c>
      <c r="BE195" s="172">
        <f>IFERROR((#REF!/#REF!)*BE193,0)</f>
        <v>0</v>
      </c>
      <c r="BF195" s="172">
        <f>IFERROR((#REF!/#REF!)*BF193,0)</f>
        <v>0</v>
      </c>
      <c r="BG195" s="172"/>
      <c r="BH195" s="172"/>
      <c r="BI195" s="172"/>
      <c r="BJ195" s="172"/>
      <c r="BK195" s="172"/>
      <c r="BL195" s="172"/>
    </row>
    <row r="196" spans="3:64" hidden="1" x14ac:dyDescent="0.15">
      <c r="C196" s="116" t="s">
        <v>455</v>
      </c>
      <c r="D196" s="172"/>
      <c r="E196" s="172">
        <f>IFERROR((#REF!/#REF!)*E193,0)</f>
        <v>0</v>
      </c>
      <c r="F196" s="172">
        <f>IFERROR((#REF!/#REF!)*F193,0)</f>
        <v>0</v>
      </c>
      <c r="G196" s="172">
        <f>IFERROR((#REF!/#REF!)*G193,0)</f>
        <v>0</v>
      </c>
      <c r="H196" s="172">
        <f>IFERROR((#REF!/#REF!)*H193,0)</f>
        <v>0</v>
      </c>
      <c r="I196" s="172">
        <f>IFERROR((#REF!/#REF!)*I193,0)</f>
        <v>0</v>
      </c>
      <c r="J196" s="172">
        <f>IFERROR((#REF!/#REF!)*J193,0)</f>
        <v>0</v>
      </c>
      <c r="K196" s="172">
        <f>IFERROR((#REF!/#REF!)*K193,0)</f>
        <v>0</v>
      </c>
      <c r="L196" s="172">
        <f>IFERROR((#REF!/#REF!)*L193,0)</f>
        <v>0</v>
      </c>
      <c r="M196" s="172">
        <f>IFERROR((#REF!/#REF!)*M193,0)</f>
        <v>0</v>
      </c>
      <c r="N196" s="172">
        <f>IFERROR((#REF!/#REF!)*N193,0)</f>
        <v>0</v>
      </c>
      <c r="O196" s="172">
        <f>IFERROR((#REF!/#REF!)*O193,0)</f>
        <v>0</v>
      </c>
      <c r="P196" s="172">
        <f>IFERROR((#REF!/#REF!)*P193,0)</f>
        <v>0</v>
      </c>
      <c r="Q196" s="172">
        <f>IFERROR((#REF!/#REF!)*Q193,0)</f>
        <v>0</v>
      </c>
      <c r="R196" s="172">
        <f>IFERROR((#REF!/#REF!)*R193,0)</f>
        <v>0</v>
      </c>
      <c r="S196" s="172">
        <f>IFERROR((#REF!/#REF!)*S193,0)</f>
        <v>0</v>
      </c>
      <c r="T196" s="172">
        <f>IFERROR((#REF!/#REF!)*T193,0)</f>
        <v>0</v>
      </c>
      <c r="U196" s="172">
        <f>IFERROR((#REF!/#REF!)*U193,0)</f>
        <v>0</v>
      </c>
      <c r="V196" s="172">
        <f>IFERROR((#REF!/#REF!)*V193,0)</f>
        <v>0</v>
      </c>
      <c r="W196" s="172">
        <f>IFERROR((#REF!/#REF!)*W193,0)</f>
        <v>0</v>
      </c>
      <c r="X196" s="172">
        <f>IFERROR((#REF!/#REF!)*X193,0)</f>
        <v>0</v>
      </c>
      <c r="Y196" s="172">
        <f>IFERROR((#REF!/#REF!)*Y193,0)</f>
        <v>0</v>
      </c>
      <c r="Z196" s="172">
        <f>IFERROR((#REF!/#REF!)*Z193,0)</f>
        <v>0</v>
      </c>
      <c r="AA196" s="172">
        <f>IFERROR((#REF!/#REF!)*AA193,0)</f>
        <v>0</v>
      </c>
      <c r="AB196" s="172">
        <f>IFERROR((#REF!/#REF!)*AB193,0)</f>
        <v>0</v>
      </c>
      <c r="AC196" s="172">
        <f>IFERROR((#REF!/#REF!)*AC193,0)</f>
        <v>0</v>
      </c>
      <c r="AD196" s="172">
        <f>IFERROR((#REF!/#REF!)*AD193,0)</f>
        <v>0</v>
      </c>
      <c r="AE196" s="172">
        <f>IFERROR((#REF!/#REF!)*AE193,0)</f>
        <v>0</v>
      </c>
      <c r="AF196" s="172">
        <f>IFERROR((#REF!/#REF!)*AF193,0)</f>
        <v>0</v>
      </c>
      <c r="AG196" s="172">
        <f>IFERROR((#REF!/#REF!)*AG193,0)</f>
        <v>0</v>
      </c>
      <c r="AH196" s="172">
        <f>IFERROR((#REF!/#REF!)*AH193,0)</f>
        <v>0</v>
      </c>
      <c r="AI196" s="172">
        <f>IFERROR((#REF!/#REF!)*AI193,0)</f>
        <v>0</v>
      </c>
      <c r="AJ196" s="172">
        <f>IFERROR((#REF!/#REF!)*AJ193,0)</f>
        <v>0</v>
      </c>
      <c r="AK196" s="172">
        <f>IFERROR((#REF!/#REF!)*AK193,0)</f>
        <v>0</v>
      </c>
      <c r="AL196" s="172">
        <f>IFERROR((#REF!/#REF!)*AL193,0)</f>
        <v>0</v>
      </c>
      <c r="AM196" s="172">
        <f>IFERROR((#REF!/#REF!)*AM193,0)</f>
        <v>0</v>
      </c>
      <c r="AN196" s="172">
        <f>IFERROR((#REF!/#REF!)*AN193,0)</f>
        <v>0</v>
      </c>
      <c r="AO196" s="172">
        <f>IFERROR((#REF!/#REF!)*AO193,0)</f>
        <v>0</v>
      </c>
      <c r="AP196" s="172">
        <f>IFERROR((#REF!/#REF!)*AP193,0)</f>
        <v>0</v>
      </c>
      <c r="AQ196" s="172">
        <f>IFERROR((#REF!/#REF!)*AQ193,0)</f>
        <v>0</v>
      </c>
      <c r="AR196" s="172">
        <f>IFERROR((#REF!/#REF!)*AR193,0)</f>
        <v>0</v>
      </c>
      <c r="AS196" s="172">
        <f>IFERROR((#REF!/#REF!)*AS193,0)</f>
        <v>0</v>
      </c>
      <c r="AT196" s="172">
        <f>IFERROR((#REF!/#REF!)*AT193,0)</f>
        <v>0</v>
      </c>
      <c r="AU196" s="172">
        <f>IFERROR((#REF!/#REF!)*AU193,0)</f>
        <v>0</v>
      </c>
      <c r="AV196" s="172">
        <f>IFERROR((#REF!/#REF!)*AV193,0)</f>
        <v>0</v>
      </c>
      <c r="AW196" s="172">
        <f>IFERROR((#REF!/#REF!)*AW193,0)</f>
        <v>0</v>
      </c>
      <c r="AX196" s="172">
        <f>IFERROR((#REF!/#REF!)*AX193,0)</f>
        <v>0</v>
      </c>
      <c r="AY196" s="172">
        <f>IFERROR((#REF!/#REF!)*AY193,0)</f>
        <v>0</v>
      </c>
      <c r="AZ196" s="172">
        <f>IFERROR((#REF!/#REF!)*AZ193,0)</f>
        <v>0</v>
      </c>
      <c r="BA196" s="172">
        <f>IFERROR((#REF!/#REF!)*BA193,0)</f>
        <v>0</v>
      </c>
      <c r="BB196" s="172">
        <f>IFERROR((#REF!/#REF!)*BB193,0)</f>
        <v>0</v>
      </c>
      <c r="BC196" s="172">
        <f>IFERROR((#REF!/#REF!)*BC193,0)</f>
        <v>0</v>
      </c>
      <c r="BD196" s="172">
        <f>IFERROR((#REF!/#REF!)*BD193,0)</f>
        <v>0</v>
      </c>
      <c r="BE196" s="172">
        <f>IFERROR((#REF!/#REF!)*BE193,0)</f>
        <v>0</v>
      </c>
      <c r="BF196" s="172">
        <f>IFERROR((#REF!/#REF!)*BF193,0)</f>
        <v>0</v>
      </c>
      <c r="BG196" s="172"/>
      <c r="BH196" s="172"/>
      <c r="BI196" s="172"/>
      <c r="BJ196" s="172"/>
      <c r="BK196" s="172"/>
      <c r="BL196" s="172"/>
    </row>
    <row r="197" spans="3:64" hidden="1" x14ac:dyDescent="0.15">
      <c r="C197" s="116" t="s">
        <v>456</v>
      </c>
      <c r="D197" s="172"/>
      <c r="E197" s="172" t="e">
        <f>IF(E5&gt;Leadsheet!$E$14,0,SUM(E193:E196))</f>
        <v>#REF!</v>
      </c>
      <c r="F197" s="172" t="e">
        <f>IF(F5&gt;Leadsheet!$E$14,0,SUM(F193:F196))</f>
        <v>#REF!</v>
      </c>
      <c r="G197" s="172" t="e">
        <f>IF(G5&gt;Leadsheet!$E$14,0,SUM(G193:G196))</f>
        <v>#REF!</v>
      </c>
      <c r="H197" s="172" t="e">
        <f>IF(H5&gt;Leadsheet!$E$14,0,SUM(H193:H196))</f>
        <v>#REF!</v>
      </c>
      <c r="I197" s="172" t="e">
        <f>IF(I5&gt;Leadsheet!$E$14,0,SUM(I193:I196))</f>
        <v>#REF!</v>
      </c>
      <c r="J197" s="172" t="e">
        <f>IF(J5&gt;Leadsheet!$E$14,0,SUM(J193:J196))</f>
        <v>#REF!</v>
      </c>
      <c r="K197" s="172" t="e">
        <f>IF(K5&gt;Leadsheet!$E$14,0,SUM(K193:K196))</f>
        <v>#REF!</v>
      </c>
      <c r="L197" s="172" t="e">
        <f>IF(L5&gt;Leadsheet!$E$14,0,SUM(L193:L196))</f>
        <v>#REF!</v>
      </c>
      <c r="M197" s="172" t="e">
        <f>IF(M5&gt;Leadsheet!$E$14,0,SUM(M193:M196))</f>
        <v>#REF!</v>
      </c>
      <c r="N197" s="172" t="e">
        <f>IF(N5&gt;Leadsheet!$E$14,0,SUM(N193:N196))</f>
        <v>#REF!</v>
      </c>
      <c r="O197" s="172" t="e">
        <f>IF(O5&gt;Leadsheet!$E$14,0,SUM(O193:O196))</f>
        <v>#REF!</v>
      </c>
      <c r="P197" s="172" t="e">
        <f>IF(P5&gt;Leadsheet!$E$14,0,SUM(P193:P196))</f>
        <v>#REF!</v>
      </c>
      <c r="Q197" s="172" t="e">
        <f>IF(Q5&gt;Leadsheet!$E$14,0,SUM(Q193:Q196))</f>
        <v>#REF!</v>
      </c>
      <c r="R197" s="172" t="e">
        <f>IF(R5&gt;Leadsheet!$E$14,0,SUM(R193:R196))</f>
        <v>#REF!</v>
      </c>
      <c r="S197" s="172" t="e">
        <f>IF(S5&gt;Leadsheet!$E$14,0,SUM(S193:S196))</f>
        <v>#REF!</v>
      </c>
      <c r="T197" s="172" t="e">
        <f>IF(T5&gt;Leadsheet!$E$14,0,SUM(T193:T196))</f>
        <v>#REF!</v>
      </c>
      <c r="U197" s="172" t="e">
        <f>IF(U5&gt;Leadsheet!$E$14,0,SUM(U193:U196))</f>
        <v>#REF!</v>
      </c>
      <c r="V197" s="172" t="e">
        <f>IF(V5&gt;Leadsheet!$E$14,0,SUM(V193:V196))</f>
        <v>#REF!</v>
      </c>
      <c r="W197" s="172" t="e">
        <f>IF(W5&gt;Leadsheet!$E$14,0,SUM(W193:W196))</f>
        <v>#REF!</v>
      </c>
      <c r="X197" s="172" t="e">
        <f>IF(X5&gt;Leadsheet!$E$14,0,SUM(X193:X196))</f>
        <v>#REF!</v>
      </c>
      <c r="Y197" s="172">
        <f>IF(Y5&gt;Leadsheet!$E$14,0,SUM(Y193:Y196))</f>
        <v>0</v>
      </c>
      <c r="Z197" s="172">
        <f>IF(Z5&gt;Leadsheet!$E$14,0,SUM(Z193:Z196))</f>
        <v>0</v>
      </c>
      <c r="AA197" s="172">
        <f>IF(AA5&gt;Leadsheet!$E$14,0,SUM(AA193:AA196))</f>
        <v>0</v>
      </c>
      <c r="AB197" s="172">
        <f>IF(AB5&gt;Leadsheet!$E$14,0,SUM(AB193:AB196))</f>
        <v>0</v>
      </c>
      <c r="AC197" s="172">
        <f>IF(AC5&gt;Leadsheet!$E$14,0,SUM(AC193:AC196))</f>
        <v>0</v>
      </c>
      <c r="AD197" s="172">
        <f>IF(AD5&gt;Leadsheet!$E$14,0,SUM(AD193:AD196))</f>
        <v>0</v>
      </c>
      <c r="AE197" s="172">
        <f>IF(AE5&gt;Leadsheet!$E$14,0,SUM(AE193:AE196))</f>
        <v>0</v>
      </c>
      <c r="AF197" s="172">
        <f>IF(AF5&gt;Leadsheet!$E$14,0,SUM(AF193:AF196))</f>
        <v>0</v>
      </c>
      <c r="AG197" s="172">
        <f>IF(AG5&gt;Leadsheet!$E$14,0,SUM(AG193:AG196))</f>
        <v>0</v>
      </c>
      <c r="AH197" s="172">
        <f>IF(AH5&gt;Leadsheet!$E$14,0,SUM(AH193:AH196))</f>
        <v>0</v>
      </c>
      <c r="AI197" s="172">
        <f>IF(AI5&gt;Leadsheet!$E$14,0,SUM(AI193:AI196))</f>
        <v>0</v>
      </c>
      <c r="AJ197" s="172">
        <f>IF(AJ5&gt;Leadsheet!$E$14,0,SUM(AJ193:AJ196))</f>
        <v>0</v>
      </c>
      <c r="AK197" s="172">
        <f>IF(AK5&gt;Leadsheet!$E$14,0,SUM(AK193:AK196))</f>
        <v>0</v>
      </c>
      <c r="AL197" s="172">
        <f>IF(AL5&gt;Leadsheet!$E$14,0,SUM(AL193:AL196))</f>
        <v>0</v>
      </c>
      <c r="AM197" s="172">
        <f>IF(AM5&gt;Leadsheet!$E$14,0,SUM(AM193:AM196))</f>
        <v>0</v>
      </c>
      <c r="AN197" s="172">
        <f>IF(AN5&gt;Leadsheet!$E$14,0,SUM(AN193:AN196))</f>
        <v>0</v>
      </c>
      <c r="AO197" s="172">
        <f>IF(AO5&gt;Leadsheet!$E$14,0,SUM(AO193:AO196))</f>
        <v>0</v>
      </c>
      <c r="AP197" s="172">
        <f>IF(AP5&gt;Leadsheet!$E$14,0,SUM(AP193:AP196))</f>
        <v>0</v>
      </c>
      <c r="AQ197" s="172">
        <f>IF(AQ5&gt;Leadsheet!$E$14,0,SUM(AQ193:AQ196))</f>
        <v>0</v>
      </c>
      <c r="AR197" s="172">
        <f>IF(AR5&gt;Leadsheet!$E$14,0,SUM(AR193:AR196))</f>
        <v>0</v>
      </c>
      <c r="AS197" s="172">
        <f>IF(AS5&gt;Leadsheet!$E$14,0,SUM(AS193:AS196))</f>
        <v>0</v>
      </c>
      <c r="AT197" s="172">
        <f>IF(AT5&gt;Leadsheet!$E$14,0,SUM(AT193:AT196))</f>
        <v>0</v>
      </c>
      <c r="AU197" s="172">
        <f>IF(AU5&gt;Leadsheet!$E$14,0,SUM(AU193:AU196))</f>
        <v>0</v>
      </c>
      <c r="AV197" s="172">
        <f>IF(AV5&gt;Leadsheet!$E$14,0,SUM(AV193:AV196))</f>
        <v>0</v>
      </c>
      <c r="AW197" s="172">
        <f>IF(AW5&gt;Leadsheet!$E$14,0,SUM(AW193:AW196))</f>
        <v>0</v>
      </c>
      <c r="AX197" s="172">
        <f>IF(AX5&gt;Leadsheet!$E$14,0,SUM(AX193:AX196))</f>
        <v>0</v>
      </c>
      <c r="AY197" s="172">
        <f>IF(AY5&gt;Leadsheet!$E$14,0,SUM(AY193:AY196))</f>
        <v>0</v>
      </c>
      <c r="AZ197" s="172">
        <f>IF(AZ5&gt;Leadsheet!$E$14,0,SUM(AZ193:AZ196))</f>
        <v>0</v>
      </c>
      <c r="BA197" s="172">
        <f>IF(BA5&gt;Leadsheet!$E$14,0,SUM(BA193:BA196))</f>
        <v>0</v>
      </c>
      <c r="BB197" s="172">
        <f>IF(BB5&gt;Leadsheet!$E$14,0,SUM(BB193:BB196))</f>
        <v>0</v>
      </c>
      <c r="BC197" s="172">
        <f>IF(BC5&gt;Leadsheet!$E$14,0,SUM(BC193:BC196))</f>
        <v>0</v>
      </c>
      <c r="BD197" s="172">
        <f>IF(BD5&gt;Leadsheet!$E$14,0,SUM(BD193:BD196))</f>
        <v>0</v>
      </c>
      <c r="BE197" s="172">
        <f>IF(BE5&gt;Leadsheet!$E$14,0,SUM(BE193:BE196))</f>
        <v>0</v>
      </c>
      <c r="BF197" s="172">
        <f>IF(BF5&gt;Leadsheet!$E$14,0,SUM(BF193:BF196))</f>
        <v>0</v>
      </c>
      <c r="BG197" s="172"/>
      <c r="BH197" s="172"/>
      <c r="BI197" s="172"/>
      <c r="BJ197" s="172"/>
      <c r="BK197" s="172"/>
      <c r="BL197" s="172"/>
    </row>
    <row r="198" spans="3:64" hidden="1" x14ac:dyDescent="0.15"/>
    <row r="199" spans="3:64" hidden="1" x14ac:dyDescent="0.15"/>
    <row r="200" spans="3:64" hidden="1" x14ac:dyDescent="0.15">
      <c r="C200" s="188" t="s">
        <v>457</v>
      </c>
    </row>
    <row r="201" spans="3:64" hidden="1" x14ac:dyDescent="0.15">
      <c r="C201" s="341" t="s">
        <v>458</v>
      </c>
      <c r="E201" s="180" t="e">
        <f>+#REF!</f>
        <v>#REF!</v>
      </c>
      <c r="F201" s="180" t="e">
        <f>+#REF!</f>
        <v>#REF!</v>
      </c>
      <c r="G201" s="180" t="e">
        <f>+#REF!</f>
        <v>#REF!</v>
      </c>
      <c r="H201" s="180" t="e">
        <f>+#REF!</f>
        <v>#REF!</v>
      </c>
      <c r="I201" s="180" t="e">
        <f>+#REF!</f>
        <v>#REF!</v>
      </c>
      <c r="J201" s="180" t="e">
        <f>+#REF!</f>
        <v>#REF!</v>
      </c>
      <c r="K201" s="180" t="e">
        <f>+#REF!</f>
        <v>#REF!</v>
      </c>
      <c r="L201" s="180" t="e">
        <f>+#REF!</f>
        <v>#REF!</v>
      </c>
      <c r="M201" s="180" t="e">
        <f>+#REF!</f>
        <v>#REF!</v>
      </c>
      <c r="N201" s="180" t="e">
        <f>+#REF!</f>
        <v>#REF!</v>
      </c>
      <c r="O201" s="180" t="e">
        <f>+#REF!</f>
        <v>#REF!</v>
      </c>
      <c r="P201" s="180" t="e">
        <f>+#REF!</f>
        <v>#REF!</v>
      </c>
      <c r="Q201" s="180" t="e">
        <f>+#REF!</f>
        <v>#REF!</v>
      </c>
      <c r="R201" s="180" t="e">
        <f>+#REF!</f>
        <v>#REF!</v>
      </c>
      <c r="S201" s="180" t="e">
        <f>+#REF!</f>
        <v>#REF!</v>
      </c>
      <c r="T201" s="180" t="e">
        <f>+#REF!</f>
        <v>#REF!</v>
      </c>
      <c r="U201" s="180" t="e">
        <f>+#REF!</f>
        <v>#REF!</v>
      </c>
      <c r="V201" s="180" t="e">
        <f>+#REF!</f>
        <v>#REF!</v>
      </c>
      <c r="W201" s="180" t="e">
        <f>+#REF!</f>
        <v>#REF!</v>
      </c>
      <c r="X201" s="180" t="e">
        <f>+#REF!</f>
        <v>#REF!</v>
      </c>
      <c r="Y201" s="180" t="e">
        <f>+#REF!</f>
        <v>#REF!</v>
      </c>
      <c r="Z201" s="180" t="e">
        <f>+#REF!</f>
        <v>#REF!</v>
      </c>
      <c r="AA201" s="180" t="e">
        <f>+#REF!</f>
        <v>#REF!</v>
      </c>
      <c r="AB201" s="180" t="e">
        <f>+#REF!</f>
        <v>#REF!</v>
      </c>
      <c r="AC201" s="180" t="e">
        <f>+#REF!</f>
        <v>#REF!</v>
      </c>
      <c r="AD201" s="180" t="e">
        <f>+#REF!</f>
        <v>#REF!</v>
      </c>
      <c r="AE201" s="180" t="e">
        <f>+#REF!</f>
        <v>#REF!</v>
      </c>
      <c r="AF201" s="180" t="e">
        <f>+#REF!</f>
        <v>#REF!</v>
      </c>
      <c r="AG201" s="180" t="e">
        <f>+#REF!</f>
        <v>#REF!</v>
      </c>
      <c r="AH201" s="180" t="e">
        <f>+#REF!</f>
        <v>#REF!</v>
      </c>
      <c r="AI201" s="180" t="e">
        <f>+#REF!</f>
        <v>#REF!</v>
      </c>
      <c r="AJ201" s="180" t="e">
        <f>+#REF!</f>
        <v>#REF!</v>
      </c>
      <c r="AK201" s="180" t="e">
        <f>+#REF!</f>
        <v>#REF!</v>
      </c>
      <c r="AL201" s="180" t="e">
        <f>+#REF!</f>
        <v>#REF!</v>
      </c>
      <c r="AM201" s="180" t="e">
        <f>+#REF!</f>
        <v>#REF!</v>
      </c>
      <c r="AN201" s="180" t="e">
        <f>+#REF!</f>
        <v>#REF!</v>
      </c>
      <c r="AO201" s="180" t="e">
        <f>+#REF!</f>
        <v>#REF!</v>
      </c>
      <c r="AP201" s="180" t="e">
        <f>+#REF!</f>
        <v>#REF!</v>
      </c>
      <c r="AQ201" s="180" t="e">
        <f>+#REF!</f>
        <v>#REF!</v>
      </c>
      <c r="AR201" s="180" t="e">
        <f>+#REF!</f>
        <v>#REF!</v>
      </c>
      <c r="AS201" s="180" t="e">
        <f>+#REF!</f>
        <v>#REF!</v>
      </c>
      <c r="AT201" s="180" t="e">
        <f>+#REF!</f>
        <v>#REF!</v>
      </c>
      <c r="AU201" s="180" t="e">
        <f>+#REF!</f>
        <v>#REF!</v>
      </c>
      <c r="AV201" s="180" t="e">
        <f>+#REF!</f>
        <v>#REF!</v>
      </c>
      <c r="AW201" s="180" t="e">
        <f>+#REF!</f>
        <v>#REF!</v>
      </c>
      <c r="AX201" s="180" t="e">
        <f>+#REF!</f>
        <v>#REF!</v>
      </c>
      <c r="AY201" s="180" t="e">
        <f>+#REF!</f>
        <v>#REF!</v>
      </c>
      <c r="AZ201" s="180" t="e">
        <f>+#REF!</f>
        <v>#REF!</v>
      </c>
      <c r="BA201" s="180" t="e">
        <f>+#REF!</f>
        <v>#REF!</v>
      </c>
      <c r="BB201" s="180" t="e">
        <f>+#REF!</f>
        <v>#REF!</v>
      </c>
      <c r="BC201" s="180" t="e">
        <f>+#REF!</f>
        <v>#REF!</v>
      </c>
      <c r="BD201" s="180" t="e">
        <f>+#REF!</f>
        <v>#REF!</v>
      </c>
      <c r="BE201" s="180" t="e">
        <f>+#REF!</f>
        <v>#REF!</v>
      </c>
      <c r="BF201" s="180" t="e">
        <f>+#REF!</f>
        <v>#REF!</v>
      </c>
      <c r="BG201" s="180"/>
      <c r="BH201" s="180"/>
      <c r="BI201" s="180"/>
      <c r="BJ201" s="180"/>
      <c r="BK201" s="180"/>
      <c r="BL201" s="180"/>
    </row>
    <row r="202" spans="3:64" hidden="1" x14ac:dyDescent="0.15">
      <c r="C202" s="341" t="s">
        <v>459</v>
      </c>
      <c r="E202" s="172" t="e">
        <f>-D27*(E$13+#REF!*(1+#REF!))</f>
        <v>#REF!</v>
      </c>
      <c r="F202" s="172" t="e">
        <f>-#REF!*(F$13+#REF!*(1+#REF!))</f>
        <v>#REF!</v>
      </c>
      <c r="G202" s="172" t="e">
        <f>-#REF!*(G$13+#REF!*(1+#REF!))</f>
        <v>#REF!</v>
      </c>
      <c r="H202" s="172" t="e">
        <f>-#REF!*(H$13+#REF!*(1+#REF!))</f>
        <v>#REF!</v>
      </c>
      <c r="I202" s="172" t="e">
        <f>-#REF!*(I$13+#REF!*(1+#REF!))</f>
        <v>#REF!</v>
      </c>
      <c r="J202" s="172" t="e">
        <f>-#REF!*(J$13+#REF!*(1+#REF!))</f>
        <v>#REF!</v>
      </c>
      <c r="K202" s="172" t="e">
        <f>-#REF!*(K$13+#REF!*(1+#REF!))</f>
        <v>#REF!</v>
      </c>
      <c r="L202" s="172" t="e">
        <f>-#REF!*(L$13+#REF!*(1+#REF!))</f>
        <v>#REF!</v>
      </c>
      <c r="M202" s="172" t="e">
        <f>-#REF!*(M$13+#REF!*(1+#REF!))</f>
        <v>#REF!</v>
      </c>
      <c r="N202" s="172" t="e">
        <f>-#REF!*(N$13+#REF!*(1+#REF!))</f>
        <v>#REF!</v>
      </c>
      <c r="O202" s="172" t="e">
        <f>-#REF!*(O$13+#REF!*(1+#REF!))</f>
        <v>#REF!</v>
      </c>
      <c r="P202" s="172" t="e">
        <f>-#REF!*(P$13+#REF!*(1+#REF!))</f>
        <v>#REF!</v>
      </c>
      <c r="Q202" s="172" t="e">
        <f>-#REF!*(Q$13+#REF!*(1+#REF!))</f>
        <v>#REF!</v>
      </c>
      <c r="R202" s="172" t="e">
        <f>-#REF!*(R$13+#REF!*(1+#REF!))</f>
        <v>#REF!</v>
      </c>
      <c r="S202" s="172" t="e">
        <f>-#REF!*(S$13+#REF!*(1+#REF!))</f>
        <v>#REF!</v>
      </c>
      <c r="T202" s="172" t="e">
        <f>-#REF!*(T$13+#REF!*(1+#REF!))</f>
        <v>#REF!</v>
      </c>
      <c r="U202" s="172" t="e">
        <f>-#REF!*(U$13+#REF!*(1+#REF!))</f>
        <v>#REF!</v>
      </c>
      <c r="V202" s="172" t="e">
        <f>-#REF!*(V$13+#REF!*(1+#REF!))</f>
        <v>#REF!</v>
      </c>
      <c r="W202" s="172" t="e">
        <f>-#REF!*(W$13+#REF!*(1+#REF!))</f>
        <v>#REF!</v>
      </c>
      <c r="X202" s="172" t="e">
        <f>-#REF!*(X$13+#REF!*(1+#REF!))</f>
        <v>#REF!</v>
      </c>
      <c r="Y202" s="172" t="e">
        <f>-#REF!*(Y$13+#REF!*(1+#REF!))</f>
        <v>#REF!</v>
      </c>
      <c r="Z202" s="172" t="e">
        <f>-#REF!*(Z$13+#REF!*(1+#REF!))</f>
        <v>#REF!</v>
      </c>
      <c r="AA202" s="172" t="e">
        <f>-#REF!*(AA$13+#REF!*(1+#REF!))</f>
        <v>#REF!</v>
      </c>
      <c r="AB202" s="172" t="e">
        <f>-#REF!*(AB$13+#REF!*(1+#REF!))</f>
        <v>#REF!</v>
      </c>
      <c r="AC202" s="172" t="e">
        <f>-#REF!*(AC$13+#REF!*(1+#REF!))</f>
        <v>#REF!</v>
      </c>
      <c r="AD202" s="172" t="e">
        <f>-#REF!*(AD$13+#REF!*(1+#REF!))</f>
        <v>#REF!</v>
      </c>
      <c r="AE202" s="172" t="e">
        <f>-#REF!*(AE$13+#REF!*(1+#REF!))</f>
        <v>#REF!</v>
      </c>
      <c r="AF202" s="172" t="e">
        <f>-#REF!*(AF$13+#REF!*(1+#REF!))</f>
        <v>#REF!</v>
      </c>
      <c r="AG202" s="172" t="e">
        <f>-#REF!*(AG$13+#REF!*(1+#REF!))</f>
        <v>#REF!</v>
      </c>
      <c r="AH202" s="172" t="e">
        <f>-#REF!*(AH$13+#REF!*(1+#REF!))</f>
        <v>#REF!</v>
      </c>
      <c r="AI202" s="172" t="e">
        <f>-#REF!*(AI$13+#REF!*(1+#REF!))</f>
        <v>#REF!</v>
      </c>
      <c r="AJ202" s="172" t="e">
        <f>-#REF!*(AJ$13+#REF!*(1+#REF!))</f>
        <v>#REF!</v>
      </c>
      <c r="AK202" s="172" t="e">
        <f>-#REF!*(AK$13+#REF!*(1+#REF!))</f>
        <v>#REF!</v>
      </c>
      <c r="AL202" s="172" t="e">
        <f>-#REF!*(AL$13+#REF!*(1+#REF!))</f>
        <v>#REF!</v>
      </c>
      <c r="AM202" s="172" t="e">
        <f>-#REF!*(AM$13+#REF!*(1+#REF!))</f>
        <v>#REF!</v>
      </c>
      <c r="AN202" s="172" t="e">
        <f>-#REF!*(AN$13+#REF!*(1+#REF!))</f>
        <v>#REF!</v>
      </c>
      <c r="AO202" s="172" t="e">
        <f>-#REF!*(AO$13+#REF!*(1+#REF!))</f>
        <v>#REF!</v>
      </c>
      <c r="AP202" s="172" t="e">
        <f>-#REF!*(AP$13+#REF!*(1+#REF!))</f>
        <v>#REF!</v>
      </c>
      <c r="AQ202" s="172" t="e">
        <f>-#REF!*(AQ$13+#REF!*(1+#REF!))</f>
        <v>#REF!</v>
      </c>
      <c r="AR202" s="172" t="e">
        <f>-#REF!*(AR$13+#REF!*(1+#REF!))</f>
        <v>#REF!</v>
      </c>
      <c r="AS202" s="172" t="e">
        <f>-#REF!*(AS$13+#REF!*(1+#REF!))</f>
        <v>#REF!</v>
      </c>
      <c r="AT202" s="172" t="e">
        <f>-#REF!*(AT$13+#REF!*(1+#REF!))</f>
        <v>#REF!</v>
      </c>
      <c r="AU202" s="172" t="e">
        <f>-#REF!*(AU$13+#REF!*(1+#REF!))</f>
        <v>#REF!</v>
      </c>
      <c r="AV202" s="172" t="e">
        <f>-#REF!*(AV$13+#REF!*(1+#REF!))</f>
        <v>#REF!</v>
      </c>
      <c r="AW202" s="172" t="e">
        <f>-#REF!*(AW$13+#REF!*(1+#REF!))</f>
        <v>#REF!</v>
      </c>
      <c r="AX202" s="172" t="e">
        <f>-#REF!*(AX$13+#REF!*(1+#REF!))</f>
        <v>#REF!</v>
      </c>
      <c r="AY202" s="172" t="e">
        <f>-#REF!*(AY$13+#REF!*(1+#REF!))</f>
        <v>#REF!</v>
      </c>
      <c r="AZ202" s="172" t="e">
        <f>-#REF!*(AZ$13+#REF!*(1+#REF!))</f>
        <v>#REF!</v>
      </c>
      <c r="BA202" s="172" t="e">
        <f>-#REF!*(BA$13+#REF!*(1+#REF!))</f>
        <v>#REF!</v>
      </c>
      <c r="BB202" s="172" t="e">
        <f>-#REF!*(BB$13+#REF!*(1+#REF!))</f>
        <v>#REF!</v>
      </c>
      <c r="BC202" s="172" t="e">
        <f>-#REF!*(BC$13+#REF!*(1+#REF!))</f>
        <v>#REF!</v>
      </c>
      <c r="BD202" s="172" t="e">
        <f>-#REF!*(BD$13+#REF!*(1+#REF!))</f>
        <v>#REF!</v>
      </c>
      <c r="BE202" s="172" t="e">
        <f>-#REF!*(BE$13+#REF!*(1+#REF!))</f>
        <v>#REF!</v>
      </c>
      <c r="BF202" s="172" t="e">
        <f>-#REF!*(BF$13+#REF!*(1+#REF!))</f>
        <v>#REF!</v>
      </c>
      <c r="BG202" s="172"/>
      <c r="BH202" s="172"/>
      <c r="BI202" s="172"/>
      <c r="BJ202" s="172"/>
      <c r="BK202" s="172"/>
      <c r="BL202" s="172"/>
    </row>
    <row r="203" spans="3:64" hidden="1" x14ac:dyDescent="0.15">
      <c r="C203" s="341" t="s">
        <v>460</v>
      </c>
      <c r="E203" s="172" t="e">
        <v>#REF!</v>
      </c>
      <c r="F203" s="172" t="e">
        <v>#REF!</v>
      </c>
      <c r="G203" s="172" t="e">
        <v>#REF!</v>
      </c>
      <c r="H203" s="172" t="e">
        <v>#REF!</v>
      </c>
      <c r="I203" s="172" t="e">
        <v>#REF!</v>
      </c>
      <c r="J203" s="172" t="e">
        <v>#REF!</v>
      </c>
      <c r="K203" s="172" t="e">
        <v>#REF!</v>
      </c>
      <c r="L203" s="172" t="e">
        <v>#REF!</v>
      </c>
      <c r="M203" s="172" t="e">
        <v>#REF!</v>
      </c>
      <c r="N203" s="172" t="e">
        <v>#REF!</v>
      </c>
      <c r="O203" s="172" t="e">
        <v>#REF!</v>
      </c>
      <c r="P203" s="172" t="e">
        <v>#REF!</v>
      </c>
      <c r="Q203" s="172" t="e">
        <v>#REF!</v>
      </c>
      <c r="R203" s="172" t="e">
        <v>#REF!</v>
      </c>
      <c r="S203" s="172" t="e">
        <v>#REF!</v>
      </c>
      <c r="T203" s="172" t="e">
        <v>#REF!</v>
      </c>
      <c r="U203" s="172" t="e">
        <v>#REF!</v>
      </c>
      <c r="V203" s="172" t="e">
        <v>#REF!</v>
      </c>
      <c r="W203" s="172" t="e">
        <v>#REF!</v>
      </c>
      <c r="X203" s="172" t="e">
        <v>#REF!</v>
      </c>
      <c r="Y203" s="172" t="e">
        <v>#REF!</v>
      </c>
      <c r="Z203" s="172" t="e">
        <v>#REF!</v>
      </c>
      <c r="AA203" s="172" t="e">
        <v>#REF!</v>
      </c>
      <c r="AB203" s="172" t="e">
        <v>#REF!</v>
      </c>
      <c r="AC203" s="172" t="e">
        <v>#REF!</v>
      </c>
      <c r="AD203" s="172" t="e">
        <v>#REF!</v>
      </c>
      <c r="AE203" s="172" t="e">
        <v>#REF!</v>
      </c>
      <c r="AF203" s="172" t="e">
        <v>#REF!</v>
      </c>
      <c r="AG203" s="172" t="e">
        <v>#REF!</v>
      </c>
      <c r="AH203" s="172" t="e">
        <v>#REF!</v>
      </c>
      <c r="AI203" s="172" t="e">
        <v>#REF!</v>
      </c>
      <c r="AJ203" s="172" t="e">
        <v>#REF!</v>
      </c>
      <c r="AK203" s="172" t="e">
        <v>#REF!</v>
      </c>
      <c r="AL203" s="172" t="e">
        <v>#REF!</v>
      </c>
      <c r="AM203" s="172" t="e">
        <v>#REF!</v>
      </c>
      <c r="AN203" s="172" t="e">
        <v>#REF!</v>
      </c>
      <c r="AO203" s="172" t="e">
        <v>#REF!</v>
      </c>
      <c r="AP203" s="172" t="e">
        <v>#REF!</v>
      </c>
      <c r="AQ203" s="172" t="e">
        <v>#REF!</v>
      </c>
      <c r="AR203" s="172" t="e">
        <v>#REF!</v>
      </c>
      <c r="AS203" s="172" t="e">
        <v>#REF!</v>
      </c>
      <c r="AT203" s="172" t="e">
        <v>#REF!</v>
      </c>
      <c r="AU203" s="172" t="e">
        <v>#REF!</v>
      </c>
      <c r="AV203" s="172" t="e">
        <v>#REF!</v>
      </c>
      <c r="AW203" s="172" t="e">
        <v>#REF!</v>
      </c>
      <c r="AX203" s="172" t="e">
        <v>#REF!</v>
      </c>
      <c r="AY203" s="172" t="e">
        <v>#REF!</v>
      </c>
      <c r="AZ203" s="172" t="e">
        <v>#REF!</v>
      </c>
      <c r="BA203" s="172" t="e">
        <v>#REF!</v>
      </c>
      <c r="BB203" s="172" t="e">
        <v>#REF!</v>
      </c>
      <c r="BC203" s="172" t="e">
        <v>#REF!</v>
      </c>
      <c r="BD203" s="172" t="e">
        <v>#REF!</v>
      </c>
      <c r="BE203" s="172" t="e">
        <v>#REF!</v>
      </c>
      <c r="BF203" s="172" t="e">
        <v>#REF!</v>
      </c>
      <c r="BG203" s="172"/>
      <c r="BH203" s="172"/>
      <c r="BI203" s="172"/>
      <c r="BJ203" s="172"/>
      <c r="BK203" s="172"/>
      <c r="BL203" s="172"/>
    </row>
    <row r="204" spans="3:64" hidden="1" x14ac:dyDescent="0.15">
      <c r="C204" s="341" t="s">
        <v>461</v>
      </c>
      <c r="E204" s="172" t="e">
        <v>#REF!</v>
      </c>
      <c r="F204" s="172" t="e">
        <v>#REF!</v>
      </c>
      <c r="G204" s="172" t="e">
        <v>#REF!</v>
      </c>
      <c r="H204" s="172" t="e">
        <v>#REF!</v>
      </c>
      <c r="I204" s="172" t="e">
        <v>#REF!</v>
      </c>
      <c r="J204" s="172" t="e">
        <v>#REF!</v>
      </c>
      <c r="K204" s="172" t="e">
        <v>#REF!</v>
      </c>
      <c r="L204" s="172" t="e">
        <v>#REF!</v>
      </c>
      <c r="M204" s="172" t="e">
        <v>#REF!</v>
      </c>
      <c r="N204" s="172" t="e">
        <v>#REF!</v>
      </c>
      <c r="O204" s="172" t="e">
        <v>#REF!</v>
      </c>
      <c r="P204" s="172" t="e">
        <v>#REF!</v>
      </c>
      <c r="Q204" s="172" t="e">
        <v>#REF!</v>
      </c>
      <c r="R204" s="172" t="e">
        <v>#REF!</v>
      </c>
      <c r="S204" s="172" t="e">
        <v>#REF!</v>
      </c>
      <c r="T204" s="172" t="e">
        <v>#REF!</v>
      </c>
      <c r="U204" s="172" t="e">
        <v>#REF!</v>
      </c>
      <c r="V204" s="172" t="e">
        <v>#REF!</v>
      </c>
      <c r="W204" s="172" t="e">
        <v>#REF!</v>
      </c>
      <c r="X204" s="172" t="e">
        <v>#REF!</v>
      </c>
      <c r="Y204" s="172" t="e">
        <v>#REF!</v>
      </c>
      <c r="Z204" s="172" t="e">
        <v>#REF!</v>
      </c>
      <c r="AA204" s="172" t="e">
        <v>#REF!</v>
      </c>
      <c r="AB204" s="172" t="e">
        <v>#REF!</v>
      </c>
      <c r="AC204" s="172" t="e">
        <v>#REF!</v>
      </c>
      <c r="AD204" s="172" t="e">
        <v>#REF!</v>
      </c>
      <c r="AE204" s="172" t="e">
        <v>#REF!</v>
      </c>
      <c r="AF204" s="172" t="e">
        <v>#REF!</v>
      </c>
      <c r="AG204" s="172" t="e">
        <v>#REF!</v>
      </c>
      <c r="AH204" s="172" t="e">
        <v>#REF!</v>
      </c>
      <c r="AI204" s="172" t="e">
        <v>#REF!</v>
      </c>
      <c r="AJ204" s="172" t="e">
        <v>#REF!</v>
      </c>
      <c r="AK204" s="172" t="e">
        <v>#REF!</v>
      </c>
      <c r="AL204" s="172" t="e">
        <v>#REF!</v>
      </c>
      <c r="AM204" s="172" t="e">
        <v>#REF!</v>
      </c>
      <c r="AN204" s="172" t="e">
        <v>#REF!</v>
      </c>
      <c r="AO204" s="172" t="e">
        <v>#REF!</v>
      </c>
      <c r="AP204" s="172" t="e">
        <v>#REF!</v>
      </c>
      <c r="AQ204" s="172" t="e">
        <v>#REF!</v>
      </c>
      <c r="AR204" s="172" t="e">
        <v>#REF!</v>
      </c>
      <c r="AS204" s="172" t="e">
        <v>#REF!</v>
      </c>
      <c r="AT204" s="172" t="e">
        <v>#REF!</v>
      </c>
      <c r="AU204" s="172" t="e">
        <v>#REF!</v>
      </c>
      <c r="AV204" s="172" t="e">
        <v>#REF!</v>
      </c>
      <c r="AW204" s="172" t="e">
        <v>#REF!</v>
      </c>
      <c r="AX204" s="172" t="e">
        <v>#REF!</v>
      </c>
      <c r="AY204" s="172" t="e">
        <v>#REF!</v>
      </c>
      <c r="AZ204" s="172" t="e">
        <v>#REF!</v>
      </c>
      <c r="BA204" s="172" t="e">
        <v>#REF!</v>
      </c>
      <c r="BB204" s="172" t="e">
        <v>#REF!</v>
      </c>
      <c r="BC204" s="172" t="e">
        <v>#REF!</v>
      </c>
      <c r="BD204" s="172" t="e">
        <v>#REF!</v>
      </c>
      <c r="BE204" s="172" t="e">
        <v>#REF!</v>
      </c>
      <c r="BF204" s="172" t="e">
        <v>#REF!</v>
      </c>
      <c r="BG204" s="172"/>
      <c r="BH204" s="172"/>
      <c r="BI204" s="172"/>
      <c r="BJ204" s="172"/>
      <c r="BK204" s="172"/>
      <c r="BL204" s="172"/>
    </row>
    <row r="205" spans="3:64" hidden="1" x14ac:dyDescent="0.15">
      <c r="C205" s="341" t="s">
        <v>462</v>
      </c>
      <c r="E205" s="172" t="e">
        <f t="shared" ref="E205:BF205" si="50">SUM(E201:E204)</f>
        <v>#REF!</v>
      </c>
      <c r="F205" s="172" t="e">
        <f t="shared" si="50"/>
        <v>#REF!</v>
      </c>
      <c r="G205" s="172" t="e">
        <f t="shared" si="50"/>
        <v>#REF!</v>
      </c>
      <c r="H205" s="172" t="e">
        <f t="shared" si="50"/>
        <v>#REF!</v>
      </c>
      <c r="I205" s="172" t="e">
        <f t="shared" si="50"/>
        <v>#REF!</v>
      </c>
      <c r="J205" s="172" t="e">
        <f t="shared" si="50"/>
        <v>#REF!</v>
      </c>
      <c r="K205" s="172" t="e">
        <f t="shared" si="50"/>
        <v>#REF!</v>
      </c>
      <c r="L205" s="172" t="e">
        <f t="shared" si="50"/>
        <v>#REF!</v>
      </c>
      <c r="M205" s="172" t="e">
        <f t="shared" si="50"/>
        <v>#REF!</v>
      </c>
      <c r="N205" s="172" t="e">
        <f t="shared" si="50"/>
        <v>#REF!</v>
      </c>
      <c r="O205" s="172" t="e">
        <f t="shared" si="50"/>
        <v>#REF!</v>
      </c>
      <c r="P205" s="172" t="e">
        <f t="shared" si="50"/>
        <v>#REF!</v>
      </c>
      <c r="Q205" s="172" t="e">
        <f t="shared" si="50"/>
        <v>#REF!</v>
      </c>
      <c r="R205" s="172" t="e">
        <f t="shared" si="50"/>
        <v>#REF!</v>
      </c>
      <c r="S205" s="172" t="e">
        <f t="shared" si="50"/>
        <v>#REF!</v>
      </c>
      <c r="T205" s="172" t="e">
        <f t="shared" si="50"/>
        <v>#REF!</v>
      </c>
      <c r="U205" s="172" t="e">
        <f t="shared" si="50"/>
        <v>#REF!</v>
      </c>
      <c r="V205" s="172" t="e">
        <f t="shared" si="50"/>
        <v>#REF!</v>
      </c>
      <c r="W205" s="172" t="e">
        <f t="shared" si="50"/>
        <v>#REF!</v>
      </c>
      <c r="X205" s="172" t="e">
        <f t="shared" si="50"/>
        <v>#REF!</v>
      </c>
      <c r="Y205" s="172" t="e">
        <f t="shared" si="50"/>
        <v>#REF!</v>
      </c>
      <c r="Z205" s="172" t="e">
        <f t="shared" si="50"/>
        <v>#REF!</v>
      </c>
      <c r="AA205" s="172" t="e">
        <f t="shared" si="50"/>
        <v>#REF!</v>
      </c>
      <c r="AB205" s="172" t="e">
        <f t="shared" si="50"/>
        <v>#REF!</v>
      </c>
      <c r="AC205" s="172" t="e">
        <f t="shared" si="50"/>
        <v>#REF!</v>
      </c>
      <c r="AD205" s="172" t="e">
        <f t="shared" si="50"/>
        <v>#REF!</v>
      </c>
      <c r="AE205" s="172" t="e">
        <f t="shared" si="50"/>
        <v>#REF!</v>
      </c>
      <c r="AF205" s="172" t="e">
        <f t="shared" si="50"/>
        <v>#REF!</v>
      </c>
      <c r="AG205" s="172" t="e">
        <f t="shared" si="50"/>
        <v>#REF!</v>
      </c>
      <c r="AH205" s="172" t="e">
        <f t="shared" si="50"/>
        <v>#REF!</v>
      </c>
      <c r="AI205" s="172" t="e">
        <f t="shared" si="50"/>
        <v>#REF!</v>
      </c>
      <c r="AJ205" s="172" t="e">
        <f t="shared" si="50"/>
        <v>#REF!</v>
      </c>
      <c r="AK205" s="172" t="e">
        <f t="shared" si="50"/>
        <v>#REF!</v>
      </c>
      <c r="AL205" s="172" t="e">
        <f t="shared" si="50"/>
        <v>#REF!</v>
      </c>
      <c r="AM205" s="172" t="e">
        <f t="shared" si="50"/>
        <v>#REF!</v>
      </c>
      <c r="AN205" s="172" t="e">
        <f t="shared" si="50"/>
        <v>#REF!</v>
      </c>
      <c r="AO205" s="172" t="e">
        <f t="shared" si="50"/>
        <v>#REF!</v>
      </c>
      <c r="AP205" s="172" t="e">
        <f t="shared" si="50"/>
        <v>#REF!</v>
      </c>
      <c r="AQ205" s="172" t="e">
        <f t="shared" si="50"/>
        <v>#REF!</v>
      </c>
      <c r="AR205" s="172" t="e">
        <f t="shared" si="50"/>
        <v>#REF!</v>
      </c>
      <c r="AS205" s="172" t="e">
        <f t="shared" si="50"/>
        <v>#REF!</v>
      </c>
      <c r="AT205" s="172" t="e">
        <f t="shared" si="50"/>
        <v>#REF!</v>
      </c>
      <c r="AU205" s="172" t="e">
        <f t="shared" si="50"/>
        <v>#REF!</v>
      </c>
      <c r="AV205" s="172" t="e">
        <f t="shared" si="50"/>
        <v>#REF!</v>
      </c>
      <c r="AW205" s="172" t="e">
        <f t="shared" si="50"/>
        <v>#REF!</v>
      </c>
      <c r="AX205" s="172" t="e">
        <f t="shared" si="50"/>
        <v>#REF!</v>
      </c>
      <c r="AY205" s="172" t="e">
        <f t="shared" si="50"/>
        <v>#REF!</v>
      </c>
      <c r="AZ205" s="172" t="e">
        <f t="shared" si="50"/>
        <v>#REF!</v>
      </c>
      <c r="BA205" s="172" t="e">
        <f t="shared" si="50"/>
        <v>#REF!</v>
      </c>
      <c r="BB205" s="172" t="e">
        <f t="shared" si="50"/>
        <v>#REF!</v>
      </c>
      <c r="BC205" s="172" t="e">
        <f t="shared" si="50"/>
        <v>#REF!</v>
      </c>
      <c r="BD205" s="172" t="e">
        <f t="shared" si="50"/>
        <v>#REF!</v>
      </c>
      <c r="BE205" s="172" t="e">
        <f t="shared" si="50"/>
        <v>#REF!</v>
      </c>
      <c r="BF205" s="172" t="e">
        <f t="shared" si="50"/>
        <v>#REF!</v>
      </c>
      <c r="BG205" s="172"/>
      <c r="BH205" s="172"/>
      <c r="BI205" s="172"/>
      <c r="BJ205" s="172"/>
      <c r="BK205" s="172"/>
      <c r="BL205" s="172"/>
    </row>
    <row r="206" spans="3:64" hidden="1" x14ac:dyDescent="0.15"/>
    <row r="207" spans="3:64" hidden="1" x14ac:dyDescent="0.15"/>
    <row r="208" spans="3:64" hidden="1" x14ac:dyDescent="0.15">
      <c r="C208" s="188" t="s">
        <v>463</v>
      </c>
    </row>
    <row r="209" spans="3:64" hidden="1" x14ac:dyDescent="0.15">
      <c r="C209" s="341" t="s">
        <v>458</v>
      </c>
      <c r="E209" s="180">
        <f>+SUM(D28:D30)</f>
        <v>0</v>
      </c>
      <c r="F209" s="180">
        <f t="shared" ref="F209:BF209" si="51">+SUM(E43:E48)</f>
        <v>27.94205097448269</v>
      </c>
      <c r="G209" s="180">
        <f t="shared" si="51"/>
        <v>25.143277299953162</v>
      </c>
      <c r="H209" s="180">
        <f t="shared" si="51"/>
        <v>22.537697352789401</v>
      </c>
      <c r="I209" s="180">
        <f t="shared" si="51"/>
        <v>20.689342532991418</v>
      </c>
      <c r="J209" s="180">
        <f t="shared" si="51"/>
        <v>18.919689268920283</v>
      </c>
      <c r="K209" s="180">
        <f t="shared" si="51"/>
        <v>17.226444350833326</v>
      </c>
      <c r="L209" s="180">
        <f t="shared" si="51"/>
        <v>15.609863177413374</v>
      </c>
      <c r="M209" s="180">
        <f t="shared" si="51"/>
        <v>13.993999959254014</v>
      </c>
      <c r="N209" s="180">
        <f t="shared" si="51"/>
        <v>12.446362391055709</v>
      </c>
      <c r="O209" s="180">
        <f t="shared" si="51"/>
        <v>10.958387919045601</v>
      </c>
      <c r="P209" s="180">
        <f t="shared" si="51"/>
        <v>9.5257836603459705</v>
      </c>
      <c r="Q209" s="180">
        <f t="shared" si="51"/>
        <v>8.1395553892193657</v>
      </c>
      <c r="R209" s="180">
        <f t="shared" si="51"/>
        <v>6.7866344567748529</v>
      </c>
      <c r="S209" s="180">
        <f t="shared" si="51"/>
        <v>5.4094001898159734</v>
      </c>
      <c r="T209" s="180">
        <f t="shared" si="51"/>
        <v>5.3013710445836395</v>
      </c>
      <c r="U209" s="180">
        <f t="shared" si="51"/>
        <v>5.2340394109924384</v>
      </c>
      <c r="V209" s="180">
        <f t="shared" si="51"/>
        <v>5.184060657141381</v>
      </c>
      <c r="W209" s="180">
        <f t="shared" si="51"/>
        <v>5.1464890010562723</v>
      </c>
      <c r="X209" s="180">
        <f t="shared" si="51"/>
        <v>5.1204481473927546</v>
      </c>
      <c r="Y209" s="180">
        <f t="shared" si="51"/>
        <v>5.0973753172348744</v>
      </c>
      <c r="Z209" s="180">
        <f t="shared" si="51"/>
        <v>0</v>
      </c>
      <c r="AA209" s="180">
        <f t="shared" si="51"/>
        <v>0</v>
      </c>
      <c r="AB209" s="180">
        <f t="shared" si="51"/>
        <v>0</v>
      </c>
      <c r="AC209" s="180">
        <f t="shared" si="51"/>
        <v>0</v>
      </c>
      <c r="AD209" s="180">
        <f t="shared" si="51"/>
        <v>0</v>
      </c>
      <c r="AE209" s="180">
        <f t="shared" si="51"/>
        <v>0</v>
      </c>
      <c r="AF209" s="180">
        <f t="shared" si="51"/>
        <v>0</v>
      </c>
      <c r="AG209" s="180">
        <f t="shared" si="51"/>
        <v>0</v>
      </c>
      <c r="AH209" s="180">
        <f t="shared" si="51"/>
        <v>0</v>
      </c>
      <c r="AI209" s="180">
        <f t="shared" si="51"/>
        <v>0</v>
      </c>
      <c r="AJ209" s="180">
        <f t="shared" si="51"/>
        <v>0</v>
      </c>
      <c r="AK209" s="180">
        <f t="shared" si="51"/>
        <v>0</v>
      </c>
      <c r="AL209" s="180">
        <f t="shared" si="51"/>
        <v>0</v>
      </c>
      <c r="AM209" s="180">
        <f t="shared" si="51"/>
        <v>0</v>
      </c>
      <c r="AN209" s="180">
        <f t="shared" si="51"/>
        <v>0</v>
      </c>
      <c r="AO209" s="180">
        <f t="shared" si="51"/>
        <v>0</v>
      </c>
      <c r="AP209" s="180">
        <f t="shared" si="51"/>
        <v>0</v>
      </c>
      <c r="AQ209" s="180">
        <f t="shared" si="51"/>
        <v>0</v>
      </c>
      <c r="AR209" s="180">
        <f t="shared" si="51"/>
        <v>0</v>
      </c>
      <c r="AS209" s="180">
        <f t="shared" si="51"/>
        <v>0</v>
      </c>
      <c r="AT209" s="180">
        <f t="shared" si="51"/>
        <v>0</v>
      </c>
      <c r="AU209" s="180">
        <f t="shared" si="51"/>
        <v>0</v>
      </c>
      <c r="AV209" s="180">
        <f t="shared" si="51"/>
        <v>0</v>
      </c>
      <c r="AW209" s="180">
        <f t="shared" si="51"/>
        <v>0</v>
      </c>
      <c r="AX209" s="180">
        <f t="shared" si="51"/>
        <v>0</v>
      </c>
      <c r="AY209" s="180">
        <f t="shared" si="51"/>
        <v>0</v>
      </c>
      <c r="AZ209" s="180">
        <f t="shared" si="51"/>
        <v>0</v>
      </c>
      <c r="BA209" s="180">
        <f t="shared" si="51"/>
        <v>0</v>
      </c>
      <c r="BB209" s="180">
        <f t="shared" si="51"/>
        <v>0</v>
      </c>
      <c r="BC209" s="180">
        <f t="shared" si="51"/>
        <v>0</v>
      </c>
      <c r="BD209" s="180">
        <f t="shared" si="51"/>
        <v>0</v>
      </c>
      <c r="BE209" s="180">
        <f t="shared" si="51"/>
        <v>0</v>
      </c>
      <c r="BF209" s="180">
        <f t="shared" si="51"/>
        <v>0</v>
      </c>
      <c r="BG209" s="180"/>
      <c r="BH209" s="180"/>
      <c r="BI209" s="180"/>
      <c r="BJ209" s="180"/>
      <c r="BK209" s="180"/>
      <c r="BL209" s="180"/>
    </row>
    <row r="210" spans="3:64" hidden="1" x14ac:dyDescent="0.15">
      <c r="C210" s="341" t="s">
        <v>459</v>
      </c>
      <c r="E210" s="172" t="e">
        <v>#REF!</v>
      </c>
      <c r="F210" s="172" t="e">
        <v>#REF!</v>
      </c>
      <c r="G210" s="172" t="e">
        <v>#REF!</v>
      </c>
      <c r="H210" s="172" t="e">
        <v>#REF!</v>
      </c>
      <c r="I210" s="172" t="e">
        <v>#REF!</v>
      </c>
      <c r="J210" s="172" t="e">
        <v>#REF!</v>
      </c>
      <c r="K210" s="172" t="e">
        <v>#REF!</v>
      </c>
      <c r="L210" s="172" t="e">
        <v>#REF!</v>
      </c>
      <c r="M210" s="172" t="e">
        <v>#REF!</v>
      </c>
      <c r="N210" s="172" t="e">
        <v>#REF!</v>
      </c>
      <c r="O210" s="172" t="e">
        <v>#REF!</v>
      </c>
      <c r="P210" s="172" t="e">
        <v>#REF!</v>
      </c>
      <c r="Q210" s="172" t="e">
        <v>#REF!</v>
      </c>
      <c r="R210" s="172" t="e">
        <v>#REF!</v>
      </c>
      <c r="S210" s="172" t="e">
        <v>#REF!</v>
      </c>
      <c r="T210" s="172" t="e">
        <v>#REF!</v>
      </c>
      <c r="U210" s="172" t="e">
        <v>#REF!</v>
      </c>
      <c r="V210" s="172" t="e">
        <v>#REF!</v>
      </c>
      <c r="W210" s="172" t="e">
        <v>#REF!</v>
      </c>
      <c r="X210" s="172" t="e">
        <v>#REF!</v>
      </c>
      <c r="Y210" s="172" t="e">
        <v>#REF!</v>
      </c>
      <c r="Z210" s="172" t="e">
        <v>#REF!</v>
      </c>
      <c r="AA210" s="172" t="e">
        <v>#REF!</v>
      </c>
      <c r="AB210" s="172" t="e">
        <v>#REF!</v>
      </c>
      <c r="AC210" s="172" t="e">
        <v>#REF!</v>
      </c>
      <c r="AD210" s="172" t="e">
        <v>#REF!</v>
      </c>
      <c r="AE210" s="172" t="e">
        <v>#REF!</v>
      </c>
      <c r="AF210" s="172" t="e">
        <v>#REF!</v>
      </c>
      <c r="AG210" s="172" t="e">
        <v>#REF!</v>
      </c>
      <c r="AH210" s="172" t="e">
        <v>#REF!</v>
      </c>
      <c r="AI210" s="172" t="e">
        <v>#REF!</v>
      </c>
      <c r="AJ210" s="172" t="e">
        <v>#REF!</v>
      </c>
      <c r="AK210" s="172" t="e">
        <v>#REF!</v>
      </c>
      <c r="AL210" s="172" t="e">
        <v>#REF!</v>
      </c>
      <c r="AM210" s="172" t="e">
        <v>#REF!</v>
      </c>
      <c r="AN210" s="172" t="e">
        <v>#REF!</v>
      </c>
      <c r="AO210" s="172" t="e">
        <v>#REF!</v>
      </c>
      <c r="AP210" s="172" t="e">
        <v>#REF!</v>
      </c>
      <c r="AQ210" s="172" t="e">
        <v>#REF!</v>
      </c>
      <c r="AR210" s="172" t="e">
        <v>#REF!</v>
      </c>
      <c r="AS210" s="172" t="e">
        <v>#REF!</v>
      </c>
      <c r="AT210" s="172" t="e">
        <v>#REF!</v>
      </c>
      <c r="AU210" s="172" t="e">
        <v>#REF!</v>
      </c>
      <c r="AV210" s="172" t="e">
        <v>#REF!</v>
      </c>
      <c r="AW210" s="172" t="e">
        <v>#REF!</v>
      </c>
      <c r="AX210" s="172" t="e">
        <v>#REF!</v>
      </c>
      <c r="AY210" s="172" t="e">
        <v>#REF!</v>
      </c>
      <c r="AZ210" s="172" t="e">
        <v>#REF!</v>
      </c>
      <c r="BA210" s="172" t="e">
        <v>#REF!</v>
      </c>
      <c r="BB210" s="172" t="e">
        <v>#REF!</v>
      </c>
      <c r="BC210" s="172" t="e">
        <v>#REF!</v>
      </c>
      <c r="BD210" s="172" t="e">
        <v>#REF!</v>
      </c>
      <c r="BE210" s="172" t="e">
        <v>#REF!</v>
      </c>
      <c r="BF210" s="172" t="e">
        <v>#REF!</v>
      </c>
      <c r="BG210" s="172"/>
      <c r="BH210" s="172"/>
      <c r="BI210" s="172"/>
      <c r="BJ210" s="172"/>
      <c r="BK210" s="172"/>
      <c r="BL210" s="172"/>
    </row>
    <row r="211" spans="3:64" hidden="1" x14ac:dyDescent="0.15">
      <c r="C211" s="341" t="s">
        <v>460</v>
      </c>
      <c r="E211" s="172" t="e">
        <v>#REF!</v>
      </c>
      <c r="F211" s="172" t="e">
        <v>#REF!</v>
      </c>
      <c r="G211" s="172" t="e">
        <v>#REF!</v>
      </c>
      <c r="H211" s="172" t="e">
        <v>#REF!</v>
      </c>
      <c r="I211" s="172" t="e">
        <v>#REF!</v>
      </c>
      <c r="J211" s="172" t="e">
        <v>#REF!</v>
      </c>
      <c r="K211" s="172" t="e">
        <v>#REF!</v>
      </c>
      <c r="L211" s="172" t="e">
        <v>#REF!</v>
      </c>
      <c r="M211" s="172" t="e">
        <v>#REF!</v>
      </c>
      <c r="N211" s="172" t="e">
        <v>#REF!</v>
      </c>
      <c r="O211" s="172" t="e">
        <v>#REF!</v>
      </c>
      <c r="P211" s="172" t="e">
        <v>#REF!</v>
      </c>
      <c r="Q211" s="172" t="e">
        <v>#REF!</v>
      </c>
      <c r="R211" s="172" t="e">
        <v>#REF!</v>
      </c>
      <c r="S211" s="172" t="e">
        <v>#REF!</v>
      </c>
      <c r="T211" s="172" t="e">
        <v>#REF!</v>
      </c>
      <c r="U211" s="172" t="e">
        <v>#REF!</v>
      </c>
      <c r="V211" s="172" t="e">
        <v>#REF!</v>
      </c>
      <c r="W211" s="172" t="e">
        <v>#REF!</v>
      </c>
      <c r="X211" s="172" t="e">
        <v>#REF!</v>
      </c>
      <c r="Y211" s="172" t="e">
        <v>#REF!</v>
      </c>
      <c r="Z211" s="172" t="e">
        <v>#REF!</v>
      </c>
      <c r="AA211" s="172" t="e">
        <v>#REF!</v>
      </c>
      <c r="AB211" s="172" t="e">
        <v>#REF!</v>
      </c>
      <c r="AC211" s="172" t="e">
        <v>#REF!</v>
      </c>
      <c r="AD211" s="172" t="e">
        <v>#REF!</v>
      </c>
      <c r="AE211" s="172" t="e">
        <v>#REF!</v>
      </c>
      <c r="AF211" s="172" t="e">
        <v>#REF!</v>
      </c>
      <c r="AG211" s="172" t="e">
        <v>#REF!</v>
      </c>
      <c r="AH211" s="172" t="e">
        <v>#REF!</v>
      </c>
      <c r="AI211" s="172" t="e">
        <v>#REF!</v>
      </c>
      <c r="AJ211" s="172" t="e">
        <v>#REF!</v>
      </c>
      <c r="AK211" s="172" t="e">
        <v>#REF!</v>
      </c>
      <c r="AL211" s="172" t="e">
        <v>#REF!</v>
      </c>
      <c r="AM211" s="172" t="e">
        <v>#REF!</v>
      </c>
      <c r="AN211" s="172" t="e">
        <v>#REF!</v>
      </c>
      <c r="AO211" s="172" t="e">
        <v>#REF!</v>
      </c>
      <c r="AP211" s="172" t="e">
        <v>#REF!</v>
      </c>
      <c r="AQ211" s="172" t="e">
        <v>#REF!</v>
      </c>
      <c r="AR211" s="172" t="e">
        <v>#REF!</v>
      </c>
      <c r="AS211" s="172" t="e">
        <v>#REF!</v>
      </c>
      <c r="AT211" s="172" t="e">
        <v>#REF!</v>
      </c>
      <c r="AU211" s="172" t="e">
        <v>#REF!</v>
      </c>
      <c r="AV211" s="172" t="e">
        <v>#REF!</v>
      </c>
      <c r="AW211" s="172" t="e">
        <v>#REF!</v>
      </c>
      <c r="AX211" s="172" t="e">
        <v>#REF!</v>
      </c>
      <c r="AY211" s="172" t="e">
        <v>#REF!</v>
      </c>
      <c r="AZ211" s="172" t="e">
        <v>#REF!</v>
      </c>
      <c r="BA211" s="172" t="e">
        <v>#REF!</v>
      </c>
      <c r="BB211" s="172" t="e">
        <v>#REF!</v>
      </c>
      <c r="BC211" s="172" t="e">
        <v>#REF!</v>
      </c>
      <c r="BD211" s="172" t="e">
        <v>#REF!</v>
      </c>
      <c r="BE211" s="172" t="e">
        <v>#REF!</v>
      </c>
      <c r="BF211" s="172" t="e">
        <v>#REF!</v>
      </c>
      <c r="BG211" s="172"/>
      <c r="BH211" s="172"/>
      <c r="BI211" s="172"/>
      <c r="BJ211" s="172"/>
      <c r="BK211" s="172"/>
      <c r="BL211" s="172"/>
    </row>
    <row r="212" spans="3:64" hidden="1" x14ac:dyDescent="0.15">
      <c r="C212" s="341" t="s">
        <v>461</v>
      </c>
      <c r="E212" s="172" t="e">
        <v>#REF!</v>
      </c>
      <c r="F212" s="172" t="e">
        <v>#REF!</v>
      </c>
      <c r="G212" s="172" t="e">
        <v>#REF!</v>
      </c>
      <c r="H212" s="172" t="e">
        <v>#REF!</v>
      </c>
      <c r="I212" s="172" t="e">
        <v>#REF!</v>
      </c>
      <c r="J212" s="172" t="e">
        <v>#REF!</v>
      </c>
      <c r="K212" s="172" t="e">
        <v>#REF!</v>
      </c>
      <c r="L212" s="172" t="e">
        <v>#REF!</v>
      </c>
      <c r="M212" s="172" t="e">
        <v>#REF!</v>
      </c>
      <c r="N212" s="172" t="e">
        <v>#REF!</v>
      </c>
      <c r="O212" s="172" t="e">
        <v>#REF!</v>
      </c>
      <c r="P212" s="172" t="e">
        <v>#REF!</v>
      </c>
      <c r="Q212" s="172" t="e">
        <v>#REF!</v>
      </c>
      <c r="R212" s="172" t="e">
        <v>#REF!</v>
      </c>
      <c r="S212" s="172" t="e">
        <v>#REF!</v>
      </c>
      <c r="T212" s="172" t="e">
        <v>#REF!</v>
      </c>
      <c r="U212" s="172" t="e">
        <v>#REF!</v>
      </c>
      <c r="V212" s="172" t="e">
        <v>#REF!</v>
      </c>
      <c r="W212" s="172" t="e">
        <v>#REF!</v>
      </c>
      <c r="X212" s="172" t="e">
        <v>#REF!</v>
      </c>
      <c r="Y212" s="172" t="e">
        <v>#REF!</v>
      </c>
      <c r="Z212" s="172" t="e">
        <v>#REF!</v>
      </c>
      <c r="AA212" s="172" t="e">
        <v>#REF!</v>
      </c>
      <c r="AB212" s="172" t="e">
        <v>#REF!</v>
      </c>
      <c r="AC212" s="172" t="e">
        <v>#REF!</v>
      </c>
      <c r="AD212" s="172" t="e">
        <v>#REF!</v>
      </c>
      <c r="AE212" s="172" t="e">
        <v>#REF!</v>
      </c>
      <c r="AF212" s="172" t="e">
        <v>#REF!</v>
      </c>
      <c r="AG212" s="172" t="e">
        <v>#REF!</v>
      </c>
      <c r="AH212" s="172" t="e">
        <v>#REF!</v>
      </c>
      <c r="AI212" s="172" t="e">
        <v>#REF!</v>
      </c>
      <c r="AJ212" s="172" t="e">
        <v>#REF!</v>
      </c>
      <c r="AK212" s="172" t="e">
        <v>#REF!</v>
      </c>
      <c r="AL212" s="172" t="e">
        <v>#REF!</v>
      </c>
      <c r="AM212" s="172" t="e">
        <v>#REF!</v>
      </c>
      <c r="AN212" s="172" t="e">
        <v>#REF!</v>
      </c>
      <c r="AO212" s="172" t="e">
        <v>#REF!</v>
      </c>
      <c r="AP212" s="172" t="e">
        <v>#REF!</v>
      </c>
      <c r="AQ212" s="172" t="e">
        <v>#REF!</v>
      </c>
      <c r="AR212" s="172" t="e">
        <v>#REF!</v>
      </c>
      <c r="AS212" s="172" t="e">
        <v>#REF!</v>
      </c>
      <c r="AT212" s="172" t="e">
        <v>#REF!</v>
      </c>
      <c r="AU212" s="172" t="e">
        <v>#REF!</v>
      </c>
      <c r="AV212" s="172" t="e">
        <v>#REF!</v>
      </c>
      <c r="AW212" s="172" t="e">
        <v>#REF!</v>
      </c>
      <c r="AX212" s="172" t="e">
        <v>#REF!</v>
      </c>
      <c r="AY212" s="172" t="e">
        <v>#REF!</v>
      </c>
      <c r="AZ212" s="172" t="e">
        <v>#REF!</v>
      </c>
      <c r="BA212" s="172" t="e">
        <v>#REF!</v>
      </c>
      <c r="BB212" s="172" t="e">
        <v>#REF!</v>
      </c>
      <c r="BC212" s="172" t="e">
        <v>#REF!</v>
      </c>
      <c r="BD212" s="172" t="e">
        <v>#REF!</v>
      </c>
      <c r="BE212" s="172" t="e">
        <v>#REF!</v>
      </c>
      <c r="BF212" s="172" t="e">
        <v>#REF!</v>
      </c>
      <c r="BG212" s="172"/>
      <c r="BH212" s="172"/>
      <c r="BI212" s="172"/>
      <c r="BJ212" s="172"/>
      <c r="BK212" s="172"/>
      <c r="BL212" s="172"/>
    </row>
    <row r="213" spans="3:64" hidden="1" x14ac:dyDescent="0.15">
      <c r="C213" s="341" t="s">
        <v>462</v>
      </c>
      <c r="E213" s="172" t="e">
        <f t="shared" ref="E213:BF213" si="52">SUM(E209:E212)</f>
        <v>#REF!</v>
      </c>
      <c r="F213" s="172" t="e">
        <f t="shared" si="52"/>
        <v>#REF!</v>
      </c>
      <c r="G213" s="172" t="e">
        <f t="shared" si="52"/>
        <v>#REF!</v>
      </c>
      <c r="H213" s="172" t="e">
        <f t="shared" si="52"/>
        <v>#REF!</v>
      </c>
      <c r="I213" s="172" t="e">
        <f t="shared" si="52"/>
        <v>#REF!</v>
      </c>
      <c r="J213" s="172" t="e">
        <f t="shared" si="52"/>
        <v>#REF!</v>
      </c>
      <c r="K213" s="172" t="e">
        <f t="shared" si="52"/>
        <v>#REF!</v>
      </c>
      <c r="L213" s="172" t="e">
        <f t="shared" si="52"/>
        <v>#REF!</v>
      </c>
      <c r="M213" s="172" t="e">
        <f t="shared" si="52"/>
        <v>#REF!</v>
      </c>
      <c r="N213" s="172" t="e">
        <f t="shared" si="52"/>
        <v>#REF!</v>
      </c>
      <c r="O213" s="172" t="e">
        <f t="shared" si="52"/>
        <v>#REF!</v>
      </c>
      <c r="P213" s="172" t="e">
        <f t="shared" si="52"/>
        <v>#REF!</v>
      </c>
      <c r="Q213" s="172" t="e">
        <f t="shared" si="52"/>
        <v>#REF!</v>
      </c>
      <c r="R213" s="172" t="e">
        <f t="shared" si="52"/>
        <v>#REF!</v>
      </c>
      <c r="S213" s="172" t="e">
        <f t="shared" si="52"/>
        <v>#REF!</v>
      </c>
      <c r="T213" s="172" t="e">
        <f t="shared" si="52"/>
        <v>#REF!</v>
      </c>
      <c r="U213" s="172" t="e">
        <f t="shared" si="52"/>
        <v>#REF!</v>
      </c>
      <c r="V213" s="172" t="e">
        <f t="shared" si="52"/>
        <v>#REF!</v>
      </c>
      <c r="W213" s="172" t="e">
        <f t="shared" si="52"/>
        <v>#REF!</v>
      </c>
      <c r="X213" s="172" t="e">
        <f t="shared" si="52"/>
        <v>#REF!</v>
      </c>
      <c r="Y213" s="172" t="e">
        <f t="shared" si="52"/>
        <v>#REF!</v>
      </c>
      <c r="Z213" s="172" t="e">
        <f t="shared" si="52"/>
        <v>#REF!</v>
      </c>
      <c r="AA213" s="172" t="e">
        <f t="shared" si="52"/>
        <v>#REF!</v>
      </c>
      <c r="AB213" s="172" t="e">
        <f t="shared" si="52"/>
        <v>#REF!</v>
      </c>
      <c r="AC213" s="172" t="e">
        <f t="shared" si="52"/>
        <v>#REF!</v>
      </c>
      <c r="AD213" s="172" t="e">
        <f t="shared" si="52"/>
        <v>#REF!</v>
      </c>
      <c r="AE213" s="172" t="e">
        <f t="shared" si="52"/>
        <v>#REF!</v>
      </c>
      <c r="AF213" s="172" t="e">
        <f t="shared" si="52"/>
        <v>#REF!</v>
      </c>
      <c r="AG213" s="172" t="e">
        <f t="shared" si="52"/>
        <v>#REF!</v>
      </c>
      <c r="AH213" s="172" t="e">
        <f t="shared" si="52"/>
        <v>#REF!</v>
      </c>
      <c r="AI213" s="172" t="e">
        <f t="shared" si="52"/>
        <v>#REF!</v>
      </c>
      <c r="AJ213" s="172" t="e">
        <f t="shared" si="52"/>
        <v>#REF!</v>
      </c>
      <c r="AK213" s="172" t="e">
        <f t="shared" si="52"/>
        <v>#REF!</v>
      </c>
      <c r="AL213" s="172" t="e">
        <f t="shared" si="52"/>
        <v>#REF!</v>
      </c>
      <c r="AM213" s="172" t="e">
        <f t="shared" si="52"/>
        <v>#REF!</v>
      </c>
      <c r="AN213" s="172" t="e">
        <f t="shared" si="52"/>
        <v>#REF!</v>
      </c>
      <c r="AO213" s="172" t="e">
        <f t="shared" si="52"/>
        <v>#REF!</v>
      </c>
      <c r="AP213" s="172" t="e">
        <f t="shared" si="52"/>
        <v>#REF!</v>
      </c>
      <c r="AQ213" s="172" t="e">
        <f t="shared" si="52"/>
        <v>#REF!</v>
      </c>
      <c r="AR213" s="172" t="e">
        <f t="shared" si="52"/>
        <v>#REF!</v>
      </c>
      <c r="AS213" s="172" t="e">
        <f t="shared" si="52"/>
        <v>#REF!</v>
      </c>
      <c r="AT213" s="172" t="e">
        <f t="shared" si="52"/>
        <v>#REF!</v>
      </c>
      <c r="AU213" s="172" t="e">
        <f t="shared" si="52"/>
        <v>#REF!</v>
      </c>
      <c r="AV213" s="172" t="e">
        <f t="shared" si="52"/>
        <v>#REF!</v>
      </c>
      <c r="AW213" s="172" t="e">
        <f t="shared" si="52"/>
        <v>#REF!</v>
      </c>
      <c r="AX213" s="172" t="e">
        <f t="shared" si="52"/>
        <v>#REF!</v>
      </c>
      <c r="AY213" s="172" t="e">
        <f t="shared" si="52"/>
        <v>#REF!</v>
      </c>
      <c r="AZ213" s="172" t="e">
        <f t="shared" si="52"/>
        <v>#REF!</v>
      </c>
      <c r="BA213" s="172" t="e">
        <f t="shared" si="52"/>
        <v>#REF!</v>
      </c>
      <c r="BB213" s="172" t="e">
        <f t="shared" si="52"/>
        <v>#REF!</v>
      </c>
      <c r="BC213" s="172" t="e">
        <f t="shared" si="52"/>
        <v>#REF!</v>
      </c>
      <c r="BD213" s="172" t="e">
        <f t="shared" si="52"/>
        <v>#REF!</v>
      </c>
      <c r="BE213" s="172" t="e">
        <f t="shared" si="52"/>
        <v>#REF!</v>
      </c>
      <c r="BF213" s="172" t="e">
        <f t="shared" si="52"/>
        <v>#REF!</v>
      </c>
      <c r="BG213" s="172"/>
      <c r="BH213" s="172"/>
      <c r="BI213" s="172"/>
      <c r="BJ213" s="172"/>
      <c r="BK213" s="172"/>
      <c r="BL213" s="172"/>
    </row>
    <row r="214" spans="3:64" hidden="1" x14ac:dyDescent="0.15">
      <c r="C214" s="341" t="s">
        <v>464</v>
      </c>
      <c r="E214" s="180" t="e">
        <f>E213+E205-#REF!</f>
        <v>#REF!</v>
      </c>
      <c r="F214" s="180" t="e">
        <f>F213+F205-#REF!</f>
        <v>#REF!</v>
      </c>
      <c r="G214" s="180" t="e">
        <f>G213+G205-#REF!</f>
        <v>#REF!</v>
      </c>
      <c r="H214" s="180" t="e">
        <f>H213+H205-#REF!</f>
        <v>#REF!</v>
      </c>
      <c r="I214" s="180" t="e">
        <f>I213+I205-#REF!</f>
        <v>#REF!</v>
      </c>
      <c r="J214" s="180" t="e">
        <f>J213+J205-#REF!</f>
        <v>#REF!</v>
      </c>
      <c r="K214" s="180" t="e">
        <f>K213+K205-#REF!</f>
        <v>#REF!</v>
      </c>
      <c r="L214" s="180" t="e">
        <f>L213+L205-#REF!</f>
        <v>#REF!</v>
      </c>
      <c r="M214" s="180" t="e">
        <f>M213+M205-#REF!</f>
        <v>#REF!</v>
      </c>
      <c r="N214" s="180" t="e">
        <f>N213+N205-#REF!</f>
        <v>#REF!</v>
      </c>
      <c r="O214" s="180" t="e">
        <f>O213+O205-#REF!</f>
        <v>#REF!</v>
      </c>
      <c r="P214" s="180" t="e">
        <f>P213+P205-#REF!</f>
        <v>#REF!</v>
      </c>
      <c r="Q214" s="180" t="e">
        <f>Q213+Q205-#REF!</f>
        <v>#REF!</v>
      </c>
      <c r="R214" s="180" t="e">
        <f>R213+R205-#REF!</f>
        <v>#REF!</v>
      </c>
      <c r="S214" s="180" t="e">
        <f>S213+S205-#REF!</f>
        <v>#REF!</v>
      </c>
      <c r="T214" s="180" t="e">
        <f>T213+T205-#REF!</f>
        <v>#REF!</v>
      </c>
      <c r="U214" s="180" t="e">
        <f>U213+U205-#REF!</f>
        <v>#REF!</v>
      </c>
      <c r="V214" s="180" t="e">
        <f>V213+V205-#REF!</f>
        <v>#REF!</v>
      </c>
      <c r="W214" s="180" t="e">
        <f>W213+W205-#REF!</f>
        <v>#REF!</v>
      </c>
      <c r="X214" s="180" t="e">
        <f>X213+X205-#REF!</f>
        <v>#REF!</v>
      </c>
      <c r="Y214" s="180" t="e">
        <f>Y213+Y205-#REF!</f>
        <v>#REF!</v>
      </c>
      <c r="Z214" s="180" t="e">
        <f>Z213+Z205-#REF!</f>
        <v>#REF!</v>
      </c>
      <c r="AA214" s="180" t="e">
        <f>AA213+AA205-#REF!</f>
        <v>#REF!</v>
      </c>
      <c r="AB214" s="180" t="e">
        <f>AB213+AB205-#REF!</f>
        <v>#REF!</v>
      </c>
      <c r="AC214" s="180" t="e">
        <f>AC213+AC205-#REF!</f>
        <v>#REF!</v>
      </c>
      <c r="AD214" s="180" t="e">
        <f>AD213+AD205-#REF!</f>
        <v>#REF!</v>
      </c>
      <c r="AE214" s="180" t="e">
        <f>AE213+AE205-#REF!</f>
        <v>#REF!</v>
      </c>
      <c r="AF214" s="180" t="e">
        <f>AF213+AF205-#REF!</f>
        <v>#REF!</v>
      </c>
      <c r="AG214" s="180" t="e">
        <f>AG213+AG205-#REF!</f>
        <v>#REF!</v>
      </c>
      <c r="AH214" s="180" t="e">
        <f>AH213+AH205-#REF!</f>
        <v>#REF!</v>
      </c>
      <c r="AI214" s="180" t="e">
        <f>AI213+AI205-#REF!</f>
        <v>#REF!</v>
      </c>
      <c r="AJ214" s="180" t="e">
        <f>AJ213+AJ205-#REF!</f>
        <v>#REF!</v>
      </c>
      <c r="AK214" s="180" t="e">
        <f>AK213+AK205-#REF!</f>
        <v>#REF!</v>
      </c>
      <c r="AL214" s="180" t="e">
        <f>AL213+AL205-#REF!</f>
        <v>#REF!</v>
      </c>
      <c r="AM214" s="180" t="e">
        <f>AM213+AM205-#REF!</f>
        <v>#REF!</v>
      </c>
      <c r="AN214" s="180" t="e">
        <f>AN213+AN205-#REF!</f>
        <v>#REF!</v>
      </c>
      <c r="AO214" s="180" t="e">
        <f>AO213+AO205-#REF!</f>
        <v>#REF!</v>
      </c>
      <c r="AP214" s="180" t="e">
        <f>AP213+AP205-#REF!</f>
        <v>#REF!</v>
      </c>
      <c r="AQ214" s="180" t="e">
        <f>AQ213+AQ205-#REF!</f>
        <v>#REF!</v>
      </c>
      <c r="AR214" s="180" t="e">
        <f>AR213+AR205-#REF!</f>
        <v>#REF!</v>
      </c>
      <c r="AS214" s="180" t="e">
        <f>AS213+AS205-#REF!</f>
        <v>#REF!</v>
      </c>
      <c r="AT214" s="180" t="e">
        <f>AT213+AT205-#REF!</f>
        <v>#REF!</v>
      </c>
      <c r="AU214" s="180" t="e">
        <f>AU213+AU205-#REF!</f>
        <v>#REF!</v>
      </c>
      <c r="AV214" s="180" t="e">
        <f>AV213+AV205-#REF!</f>
        <v>#REF!</v>
      </c>
      <c r="AW214" s="180" t="e">
        <f>AW213+AW205-#REF!</f>
        <v>#REF!</v>
      </c>
      <c r="AX214" s="180" t="e">
        <f>AX213+AX205-#REF!</f>
        <v>#REF!</v>
      </c>
      <c r="AY214" s="180" t="e">
        <f>AY213+AY205-#REF!</f>
        <v>#REF!</v>
      </c>
      <c r="AZ214" s="180" t="e">
        <f>AZ213+AZ205-#REF!</f>
        <v>#REF!</v>
      </c>
      <c r="BA214" s="180" t="e">
        <f>BA213+BA205-#REF!</f>
        <v>#REF!</v>
      </c>
      <c r="BB214" s="180" t="e">
        <f>BB213+BB205-#REF!</f>
        <v>#REF!</v>
      </c>
      <c r="BC214" s="180" t="e">
        <f>BC213+BC205-#REF!</f>
        <v>#REF!</v>
      </c>
      <c r="BD214" s="180" t="e">
        <f>BD213+BD205-#REF!</f>
        <v>#REF!</v>
      </c>
      <c r="BE214" s="180" t="e">
        <f>BE213+BE205-#REF!</f>
        <v>#REF!</v>
      </c>
      <c r="BF214" s="180" t="e">
        <f>BF213+BF205-#REF!</f>
        <v>#REF!</v>
      </c>
      <c r="BG214" s="180"/>
      <c r="BH214" s="180"/>
      <c r="BI214" s="180"/>
      <c r="BJ214" s="180"/>
      <c r="BK214" s="180"/>
      <c r="BL214" s="180"/>
    </row>
    <row r="215" spans="3:64" hidden="1" x14ac:dyDescent="0.15"/>
    <row r="216" spans="3:64" hidden="1" x14ac:dyDescent="0.15">
      <c r="C216" s="188" t="s">
        <v>457</v>
      </c>
    </row>
    <row r="217" spans="3:64" hidden="1" x14ac:dyDescent="0.15">
      <c r="C217" s="341" t="s">
        <v>465</v>
      </c>
      <c r="D217" s="172"/>
      <c r="E217" s="172">
        <f t="shared" ref="E217:BF217" si="53">D218</f>
        <v>0</v>
      </c>
      <c r="F217" s="172">
        <f t="shared" si="53"/>
        <v>0</v>
      </c>
      <c r="G217" s="172">
        <f t="shared" si="53"/>
        <v>0</v>
      </c>
      <c r="H217" s="172">
        <f t="shared" si="53"/>
        <v>0</v>
      </c>
      <c r="I217" s="172">
        <f t="shared" si="53"/>
        <v>0</v>
      </c>
      <c r="J217" s="172">
        <f t="shared" si="53"/>
        <v>0</v>
      </c>
      <c r="K217" s="172">
        <f t="shared" si="53"/>
        <v>0</v>
      </c>
      <c r="L217" s="172">
        <f t="shared" si="53"/>
        <v>0</v>
      </c>
      <c r="M217" s="172">
        <f t="shared" si="53"/>
        <v>0</v>
      </c>
      <c r="N217" s="172">
        <f t="shared" si="53"/>
        <v>0</v>
      </c>
      <c r="O217" s="172">
        <f t="shared" si="53"/>
        <v>0</v>
      </c>
      <c r="P217" s="172">
        <f t="shared" si="53"/>
        <v>0</v>
      </c>
      <c r="Q217" s="172">
        <f t="shared" si="53"/>
        <v>0</v>
      </c>
      <c r="R217" s="172">
        <f t="shared" si="53"/>
        <v>0</v>
      </c>
      <c r="S217" s="172">
        <f t="shared" si="53"/>
        <v>0</v>
      </c>
      <c r="T217" s="172">
        <f t="shared" si="53"/>
        <v>0</v>
      </c>
      <c r="U217" s="172">
        <f t="shared" si="53"/>
        <v>0</v>
      </c>
      <c r="V217" s="172">
        <f t="shared" si="53"/>
        <v>0</v>
      </c>
      <c r="W217" s="172">
        <f t="shared" si="53"/>
        <v>0</v>
      </c>
      <c r="X217" s="172">
        <f t="shared" si="53"/>
        <v>0</v>
      </c>
      <c r="Y217" s="172">
        <f t="shared" si="53"/>
        <v>0</v>
      </c>
      <c r="Z217" s="172">
        <f t="shared" si="53"/>
        <v>0</v>
      </c>
      <c r="AA217" s="172">
        <f t="shared" si="53"/>
        <v>0</v>
      </c>
      <c r="AB217" s="172">
        <f t="shared" si="53"/>
        <v>0</v>
      </c>
      <c r="AC217" s="172">
        <f t="shared" si="53"/>
        <v>0</v>
      </c>
      <c r="AD217" s="172">
        <f t="shared" si="53"/>
        <v>0</v>
      </c>
      <c r="AE217" s="172">
        <f t="shared" si="53"/>
        <v>0</v>
      </c>
      <c r="AF217" s="172">
        <f t="shared" si="53"/>
        <v>0</v>
      </c>
      <c r="AG217" s="172">
        <f t="shared" si="53"/>
        <v>0</v>
      </c>
      <c r="AH217" s="172">
        <f t="shared" si="53"/>
        <v>0</v>
      </c>
      <c r="AI217" s="172">
        <f t="shared" si="53"/>
        <v>0</v>
      </c>
      <c r="AJ217" s="172">
        <f t="shared" si="53"/>
        <v>0</v>
      </c>
      <c r="AK217" s="172">
        <f t="shared" si="53"/>
        <v>0</v>
      </c>
      <c r="AL217" s="172">
        <f t="shared" si="53"/>
        <v>0</v>
      </c>
      <c r="AM217" s="172">
        <f t="shared" si="53"/>
        <v>0</v>
      </c>
      <c r="AN217" s="172">
        <f t="shared" si="53"/>
        <v>0</v>
      </c>
      <c r="AO217" s="172">
        <f t="shared" si="53"/>
        <v>0</v>
      </c>
      <c r="AP217" s="172">
        <f t="shared" si="53"/>
        <v>0</v>
      </c>
      <c r="AQ217" s="172">
        <f t="shared" si="53"/>
        <v>0</v>
      </c>
      <c r="AR217" s="172">
        <f t="shared" si="53"/>
        <v>0</v>
      </c>
      <c r="AS217" s="172">
        <f t="shared" si="53"/>
        <v>0</v>
      </c>
      <c r="AT217" s="172">
        <f t="shared" si="53"/>
        <v>0</v>
      </c>
      <c r="AU217" s="172">
        <f t="shared" si="53"/>
        <v>0</v>
      </c>
      <c r="AV217" s="172">
        <f t="shared" si="53"/>
        <v>0</v>
      </c>
      <c r="AW217" s="172">
        <f t="shared" si="53"/>
        <v>0</v>
      </c>
      <c r="AX217" s="172">
        <f t="shared" si="53"/>
        <v>0</v>
      </c>
      <c r="AY217" s="172">
        <f t="shared" si="53"/>
        <v>0</v>
      </c>
      <c r="AZ217" s="172">
        <f t="shared" si="53"/>
        <v>0</v>
      </c>
      <c r="BA217" s="172">
        <f t="shared" si="53"/>
        <v>0</v>
      </c>
      <c r="BB217" s="172">
        <f t="shared" si="53"/>
        <v>0</v>
      </c>
      <c r="BC217" s="172">
        <f t="shared" si="53"/>
        <v>0</v>
      </c>
      <c r="BD217" s="172">
        <f t="shared" si="53"/>
        <v>0</v>
      </c>
      <c r="BE217" s="172">
        <f t="shared" si="53"/>
        <v>0</v>
      </c>
      <c r="BF217" s="172">
        <f t="shared" si="53"/>
        <v>0</v>
      </c>
      <c r="BG217" s="172"/>
      <c r="BH217" s="172"/>
      <c r="BI217" s="172"/>
      <c r="BJ217" s="172"/>
      <c r="BK217" s="172"/>
      <c r="BL217" s="172"/>
    </row>
    <row r="218" spans="3:64" hidden="1" x14ac:dyDescent="0.15">
      <c r="C218" s="341" t="s">
        <v>466</v>
      </c>
      <c r="D218" s="172"/>
      <c r="E218" s="172">
        <f>IFERROR(#REF!*E205/SUM(E205,E213),0)</f>
        <v>0</v>
      </c>
      <c r="F218" s="172">
        <f>IFERROR(#REF!*F205/SUM(F205,F213),0)</f>
        <v>0</v>
      </c>
      <c r="G218" s="172">
        <f>IFERROR(#REF!*G205/SUM(G205,G213),0)</f>
        <v>0</v>
      </c>
      <c r="H218" s="172">
        <f>IFERROR(#REF!*H205/SUM(H205,H213),0)</f>
        <v>0</v>
      </c>
      <c r="I218" s="172">
        <f>IFERROR(#REF!*I205/SUM(I205,I213),0)</f>
        <v>0</v>
      </c>
      <c r="J218" s="172">
        <f>IFERROR(#REF!*J205/SUM(J205,J213),0)</f>
        <v>0</v>
      </c>
      <c r="K218" s="172">
        <f>IFERROR(#REF!*K205/SUM(K205,K213),0)</f>
        <v>0</v>
      </c>
      <c r="L218" s="172">
        <f>IFERROR(#REF!*L205/SUM(L205,L213),0)</f>
        <v>0</v>
      </c>
      <c r="M218" s="172">
        <f>IFERROR(#REF!*M205/SUM(M205,M213),0)</f>
        <v>0</v>
      </c>
      <c r="N218" s="172">
        <f>IFERROR(#REF!*N205/SUM(N205,N213),0)</f>
        <v>0</v>
      </c>
      <c r="O218" s="172">
        <f>IFERROR(#REF!*O205/SUM(O205,O213),0)</f>
        <v>0</v>
      </c>
      <c r="P218" s="172">
        <f>IFERROR(#REF!*P205/SUM(P205,P213),0)</f>
        <v>0</v>
      </c>
      <c r="Q218" s="172">
        <f>IFERROR(#REF!*Q205/SUM(Q205,Q213),0)</f>
        <v>0</v>
      </c>
      <c r="R218" s="172">
        <f>IFERROR(#REF!*R205/SUM(R205,R213),0)</f>
        <v>0</v>
      </c>
      <c r="S218" s="172">
        <f>IFERROR(#REF!*S205/SUM(S205,S213),0)</f>
        <v>0</v>
      </c>
      <c r="T218" s="172">
        <f>IFERROR(#REF!*T205/SUM(T205,T213),0)</f>
        <v>0</v>
      </c>
      <c r="U218" s="172">
        <f>IFERROR(#REF!*U205/SUM(U205,U213),0)</f>
        <v>0</v>
      </c>
      <c r="V218" s="172">
        <f>IFERROR(#REF!*V205/SUM(V205,V213),0)</f>
        <v>0</v>
      </c>
      <c r="W218" s="172">
        <f>IFERROR(#REF!*W205/SUM(W205,W213),0)</f>
        <v>0</v>
      </c>
      <c r="X218" s="172">
        <f>IFERROR(#REF!*X205/SUM(X205,X213),0)</f>
        <v>0</v>
      </c>
      <c r="Y218" s="172">
        <f>IFERROR(#REF!*Y205/SUM(Y205,Y213),0)</f>
        <v>0</v>
      </c>
      <c r="Z218" s="172">
        <f>IFERROR(#REF!*Z205/SUM(Z205,Z213),0)</f>
        <v>0</v>
      </c>
      <c r="AA218" s="172">
        <f>IFERROR(#REF!*AA205/SUM(AA205,AA213),0)</f>
        <v>0</v>
      </c>
      <c r="AB218" s="172">
        <f>IFERROR(#REF!*AB205/SUM(AB205,AB213),0)</f>
        <v>0</v>
      </c>
      <c r="AC218" s="172">
        <f>IFERROR(#REF!*AC205/SUM(AC205,AC213),0)</f>
        <v>0</v>
      </c>
      <c r="AD218" s="172">
        <f>IFERROR(#REF!*AD205/SUM(AD205,AD213),0)</f>
        <v>0</v>
      </c>
      <c r="AE218" s="172">
        <f>IFERROR(#REF!*AE205/SUM(AE205,AE213),0)</f>
        <v>0</v>
      </c>
      <c r="AF218" s="172">
        <f>IFERROR(#REF!*AF205/SUM(AF205,AF213),0)</f>
        <v>0</v>
      </c>
      <c r="AG218" s="172">
        <f>IFERROR(#REF!*AG205/SUM(AG205,AG213),0)</f>
        <v>0</v>
      </c>
      <c r="AH218" s="172">
        <f>IFERROR(#REF!*AH205/SUM(AH205,AH213),0)</f>
        <v>0</v>
      </c>
      <c r="AI218" s="172">
        <f>IFERROR(#REF!*AI205/SUM(AI205,AI213),0)</f>
        <v>0</v>
      </c>
      <c r="AJ218" s="172">
        <f>IFERROR(#REF!*AJ205/SUM(AJ205,AJ213),0)</f>
        <v>0</v>
      </c>
      <c r="AK218" s="172">
        <f>IFERROR(#REF!*AK205/SUM(AK205,AK213),0)</f>
        <v>0</v>
      </c>
      <c r="AL218" s="172">
        <f>IFERROR(#REF!*AL205/SUM(AL205,AL213),0)</f>
        <v>0</v>
      </c>
      <c r="AM218" s="172">
        <f>IFERROR(#REF!*AM205/SUM(AM205,AM213),0)</f>
        <v>0</v>
      </c>
      <c r="AN218" s="172">
        <f>IFERROR(#REF!*AN205/SUM(AN205,AN213),0)</f>
        <v>0</v>
      </c>
      <c r="AO218" s="172">
        <f>IFERROR(#REF!*AO205/SUM(AO205,AO213),0)</f>
        <v>0</v>
      </c>
      <c r="AP218" s="172">
        <f>IFERROR(#REF!*AP205/SUM(AP205,AP213),0)</f>
        <v>0</v>
      </c>
      <c r="AQ218" s="172">
        <f>IFERROR(#REF!*AQ205/SUM(AQ205,AQ213),0)</f>
        <v>0</v>
      </c>
      <c r="AR218" s="172">
        <f>IFERROR(#REF!*AR205/SUM(AR205,AR213),0)</f>
        <v>0</v>
      </c>
      <c r="AS218" s="172">
        <f>IFERROR(#REF!*AS205/SUM(AS205,AS213),0)</f>
        <v>0</v>
      </c>
      <c r="AT218" s="172">
        <f>IFERROR(#REF!*AT205/SUM(AT205,AT213),0)</f>
        <v>0</v>
      </c>
      <c r="AU218" s="172">
        <f>IFERROR(#REF!*AU205/SUM(AU205,AU213),0)</f>
        <v>0</v>
      </c>
      <c r="AV218" s="172">
        <f>IFERROR(#REF!*AV205/SUM(AV205,AV213),0)</f>
        <v>0</v>
      </c>
      <c r="AW218" s="172">
        <f>IFERROR(#REF!*AW205/SUM(AW205,AW213),0)</f>
        <v>0</v>
      </c>
      <c r="AX218" s="172">
        <f>IFERROR(#REF!*AX205/SUM(AX205,AX213),0)</f>
        <v>0</v>
      </c>
      <c r="AY218" s="172">
        <f>IFERROR(#REF!*AY205/SUM(AY205,AY213),0)</f>
        <v>0</v>
      </c>
      <c r="AZ218" s="172">
        <f>IFERROR(#REF!*AZ205/SUM(AZ205,AZ213),0)</f>
        <v>0</v>
      </c>
      <c r="BA218" s="172">
        <f>IFERROR(#REF!*BA205/SUM(BA205,BA213),0)</f>
        <v>0</v>
      </c>
      <c r="BB218" s="172">
        <f>IFERROR(#REF!*BB205/SUM(BB205,BB213),0)</f>
        <v>0</v>
      </c>
      <c r="BC218" s="172">
        <f>IFERROR(#REF!*BC205/SUM(BC205,BC213),0)</f>
        <v>0</v>
      </c>
      <c r="BD218" s="172">
        <f>IFERROR(#REF!*BD205/SUM(BD205,BD213),0)</f>
        <v>0</v>
      </c>
      <c r="BE218" s="172">
        <f>IFERROR(#REF!*BE205/SUM(BE205,BE213),0)</f>
        <v>0</v>
      </c>
      <c r="BF218" s="172">
        <f>IFERROR(#REF!*BF205/SUM(BF205,BF213),0)</f>
        <v>0</v>
      </c>
      <c r="BG218" s="172"/>
      <c r="BH218" s="172"/>
      <c r="BI218" s="172"/>
      <c r="BJ218" s="172"/>
      <c r="BK218" s="172"/>
      <c r="BL218" s="172"/>
    </row>
    <row r="219" spans="3:64" hidden="1" x14ac:dyDescent="0.15"/>
    <row r="220" spans="3:64" hidden="1" x14ac:dyDescent="0.15">
      <c r="C220" s="188" t="s">
        <v>463</v>
      </c>
    </row>
    <row r="221" spans="3:64" hidden="1" x14ac:dyDescent="0.15">
      <c r="C221" s="341" t="s">
        <v>465</v>
      </c>
      <c r="E221" s="172">
        <f t="shared" ref="E221:BF221" si="54">D222</f>
        <v>0</v>
      </c>
      <c r="F221" s="172">
        <f t="shared" si="54"/>
        <v>0</v>
      </c>
      <c r="G221" s="172">
        <f t="shared" si="54"/>
        <v>0</v>
      </c>
      <c r="H221" s="172">
        <f t="shared" si="54"/>
        <v>0</v>
      </c>
      <c r="I221" s="172">
        <f t="shared" si="54"/>
        <v>0</v>
      </c>
      <c r="J221" s="172">
        <f t="shared" si="54"/>
        <v>0</v>
      </c>
      <c r="K221" s="172">
        <f t="shared" si="54"/>
        <v>0</v>
      </c>
      <c r="L221" s="172">
        <f t="shared" si="54"/>
        <v>0</v>
      </c>
      <c r="M221" s="172">
        <f t="shared" si="54"/>
        <v>0</v>
      </c>
      <c r="N221" s="172">
        <f t="shared" si="54"/>
        <v>0</v>
      </c>
      <c r="O221" s="172">
        <f t="shared" si="54"/>
        <v>0</v>
      </c>
      <c r="P221" s="172">
        <f t="shared" si="54"/>
        <v>0</v>
      </c>
      <c r="Q221" s="172">
        <f t="shared" si="54"/>
        <v>0</v>
      </c>
      <c r="R221" s="172">
        <f t="shared" si="54"/>
        <v>0</v>
      </c>
      <c r="S221" s="172">
        <f t="shared" si="54"/>
        <v>0</v>
      </c>
      <c r="T221" s="172">
        <f t="shared" si="54"/>
        <v>0</v>
      </c>
      <c r="U221" s="172">
        <f t="shared" si="54"/>
        <v>0</v>
      </c>
      <c r="V221" s="172">
        <f t="shared" si="54"/>
        <v>0</v>
      </c>
      <c r="W221" s="172">
        <f t="shared" si="54"/>
        <v>0</v>
      </c>
      <c r="X221" s="172">
        <f t="shared" si="54"/>
        <v>0</v>
      </c>
      <c r="Y221" s="172">
        <f t="shared" si="54"/>
        <v>0</v>
      </c>
      <c r="Z221" s="172">
        <f t="shared" si="54"/>
        <v>0</v>
      </c>
      <c r="AA221" s="172">
        <f t="shared" si="54"/>
        <v>0</v>
      </c>
      <c r="AB221" s="172">
        <f t="shared" si="54"/>
        <v>0</v>
      </c>
      <c r="AC221" s="172">
        <f t="shared" si="54"/>
        <v>0</v>
      </c>
      <c r="AD221" s="172">
        <f t="shared" si="54"/>
        <v>0</v>
      </c>
      <c r="AE221" s="172">
        <f t="shared" si="54"/>
        <v>0</v>
      </c>
      <c r="AF221" s="172">
        <f t="shared" si="54"/>
        <v>0</v>
      </c>
      <c r="AG221" s="172">
        <f t="shared" si="54"/>
        <v>0</v>
      </c>
      <c r="AH221" s="172">
        <f t="shared" si="54"/>
        <v>0</v>
      </c>
      <c r="AI221" s="172">
        <f t="shared" si="54"/>
        <v>0</v>
      </c>
      <c r="AJ221" s="172">
        <f t="shared" si="54"/>
        <v>0</v>
      </c>
      <c r="AK221" s="172">
        <f t="shared" si="54"/>
        <v>0</v>
      </c>
      <c r="AL221" s="172">
        <f t="shared" si="54"/>
        <v>0</v>
      </c>
      <c r="AM221" s="172">
        <f t="shared" si="54"/>
        <v>0</v>
      </c>
      <c r="AN221" s="172">
        <f t="shared" si="54"/>
        <v>0</v>
      </c>
      <c r="AO221" s="172">
        <f t="shared" si="54"/>
        <v>0</v>
      </c>
      <c r="AP221" s="172">
        <f t="shared" si="54"/>
        <v>0</v>
      </c>
      <c r="AQ221" s="172">
        <f t="shared" si="54"/>
        <v>0</v>
      </c>
      <c r="AR221" s="172">
        <f t="shared" si="54"/>
        <v>0</v>
      </c>
      <c r="AS221" s="172">
        <f t="shared" si="54"/>
        <v>0</v>
      </c>
      <c r="AT221" s="172">
        <f t="shared" si="54"/>
        <v>0</v>
      </c>
      <c r="AU221" s="172">
        <f t="shared" si="54"/>
        <v>0</v>
      </c>
      <c r="AV221" s="172">
        <f t="shared" si="54"/>
        <v>0</v>
      </c>
      <c r="AW221" s="172">
        <f t="shared" si="54"/>
        <v>0</v>
      </c>
      <c r="AX221" s="172">
        <f t="shared" si="54"/>
        <v>0</v>
      </c>
      <c r="AY221" s="172">
        <f t="shared" si="54"/>
        <v>0</v>
      </c>
      <c r="AZ221" s="172">
        <f t="shared" si="54"/>
        <v>0</v>
      </c>
      <c r="BA221" s="172">
        <f t="shared" si="54"/>
        <v>0</v>
      </c>
      <c r="BB221" s="172">
        <f t="shared" si="54"/>
        <v>0</v>
      </c>
      <c r="BC221" s="172">
        <f t="shared" si="54"/>
        <v>0</v>
      </c>
      <c r="BD221" s="172">
        <f t="shared" si="54"/>
        <v>0</v>
      </c>
      <c r="BE221" s="172">
        <f t="shared" si="54"/>
        <v>0</v>
      </c>
      <c r="BF221" s="172">
        <f t="shared" si="54"/>
        <v>0</v>
      </c>
      <c r="BG221" s="172"/>
      <c r="BH221" s="172"/>
      <c r="BI221" s="172"/>
      <c r="BJ221" s="172"/>
      <c r="BK221" s="172"/>
      <c r="BL221" s="172"/>
    </row>
    <row r="222" spans="3:64" hidden="1" x14ac:dyDescent="0.15">
      <c r="C222" s="341" t="s">
        <v>466</v>
      </c>
      <c r="E222" s="172">
        <f>IFERROR(#REF!*E213/SUM(E205,E213),0)</f>
        <v>0</v>
      </c>
      <c r="F222" s="172">
        <f>IFERROR(#REF!*F213/SUM(F205,F213),0)</f>
        <v>0</v>
      </c>
      <c r="G222" s="172">
        <f>IFERROR(#REF!*G213/SUM(G205,G213),0)</f>
        <v>0</v>
      </c>
      <c r="H222" s="172">
        <f>IFERROR(#REF!*H213/SUM(H205,H213),0)</f>
        <v>0</v>
      </c>
      <c r="I222" s="172">
        <f>IFERROR(#REF!*I213/SUM(I205,I213),0)</f>
        <v>0</v>
      </c>
      <c r="J222" s="172">
        <f>IFERROR(#REF!*J213/SUM(J205,J213),0)</f>
        <v>0</v>
      </c>
      <c r="K222" s="172">
        <f>IFERROR(#REF!*K213/SUM(K205,K213),0)</f>
        <v>0</v>
      </c>
      <c r="L222" s="172">
        <f>IFERROR(#REF!*L213/SUM(L205,L213),0)</f>
        <v>0</v>
      </c>
      <c r="M222" s="172">
        <f>IFERROR(#REF!*M213/SUM(M205,M213),0)</f>
        <v>0</v>
      </c>
      <c r="N222" s="172">
        <f>IFERROR(#REF!*N213/SUM(N205,N213),0)</f>
        <v>0</v>
      </c>
      <c r="O222" s="172">
        <f>IFERROR(#REF!*O213/SUM(O205,O213),0)</f>
        <v>0</v>
      </c>
      <c r="P222" s="172">
        <f>IFERROR(#REF!*P213/SUM(P205,P213),0)</f>
        <v>0</v>
      </c>
      <c r="Q222" s="172">
        <f>IFERROR(#REF!*Q213/SUM(Q205,Q213),0)</f>
        <v>0</v>
      </c>
      <c r="R222" s="172">
        <f>IFERROR(#REF!*R213/SUM(R205,R213),0)</f>
        <v>0</v>
      </c>
      <c r="S222" s="172">
        <f>IFERROR(#REF!*S213/SUM(S205,S213),0)</f>
        <v>0</v>
      </c>
      <c r="T222" s="172">
        <f>IFERROR(#REF!*T213/SUM(T205,T213),0)</f>
        <v>0</v>
      </c>
      <c r="U222" s="172">
        <f>IFERROR(#REF!*U213/SUM(U205,U213),0)</f>
        <v>0</v>
      </c>
      <c r="V222" s="172">
        <f>IFERROR(#REF!*V213/SUM(V205,V213),0)</f>
        <v>0</v>
      </c>
      <c r="W222" s="172">
        <f>IFERROR(#REF!*W213/SUM(W205,W213),0)</f>
        <v>0</v>
      </c>
      <c r="X222" s="172">
        <f>IFERROR(#REF!*X213/SUM(X205,X213),0)</f>
        <v>0</v>
      </c>
      <c r="Y222" s="172">
        <f>IFERROR(#REF!*Y213/SUM(Y205,Y213),0)</f>
        <v>0</v>
      </c>
      <c r="Z222" s="172">
        <f>IFERROR(#REF!*Z213/SUM(Z205,Z213),0)</f>
        <v>0</v>
      </c>
      <c r="AA222" s="172">
        <f>IFERROR(#REF!*AA213/SUM(AA205,AA213),0)</f>
        <v>0</v>
      </c>
      <c r="AB222" s="172">
        <f>IFERROR(#REF!*AB213/SUM(AB205,AB213),0)</f>
        <v>0</v>
      </c>
      <c r="AC222" s="172">
        <f>IFERROR(#REF!*AC213/SUM(AC205,AC213),0)</f>
        <v>0</v>
      </c>
      <c r="AD222" s="172">
        <f>IFERROR(#REF!*AD213/SUM(AD205,AD213),0)</f>
        <v>0</v>
      </c>
      <c r="AE222" s="172">
        <f>IFERROR(#REF!*AE213/SUM(AE205,AE213),0)</f>
        <v>0</v>
      </c>
      <c r="AF222" s="172">
        <f>IFERROR(#REF!*AF213/SUM(AF205,AF213),0)</f>
        <v>0</v>
      </c>
      <c r="AG222" s="172">
        <f>IFERROR(#REF!*AG213/SUM(AG205,AG213),0)</f>
        <v>0</v>
      </c>
      <c r="AH222" s="172">
        <f>IFERROR(#REF!*AH213/SUM(AH205,AH213),0)</f>
        <v>0</v>
      </c>
      <c r="AI222" s="172">
        <f>IFERROR(#REF!*AI213/SUM(AI205,AI213),0)</f>
        <v>0</v>
      </c>
      <c r="AJ222" s="172">
        <f>IFERROR(#REF!*AJ213/SUM(AJ205,AJ213),0)</f>
        <v>0</v>
      </c>
      <c r="AK222" s="172">
        <f>IFERROR(#REF!*AK213/SUM(AK205,AK213),0)</f>
        <v>0</v>
      </c>
      <c r="AL222" s="172">
        <f>IFERROR(#REF!*AL213/SUM(AL205,AL213),0)</f>
        <v>0</v>
      </c>
      <c r="AM222" s="172">
        <f>IFERROR(#REF!*AM213/SUM(AM205,AM213),0)</f>
        <v>0</v>
      </c>
      <c r="AN222" s="172">
        <f>IFERROR(#REF!*AN213/SUM(AN205,AN213),0)</f>
        <v>0</v>
      </c>
      <c r="AO222" s="172">
        <f>IFERROR(#REF!*AO213/SUM(AO205,AO213),0)</f>
        <v>0</v>
      </c>
      <c r="AP222" s="172">
        <f>IFERROR(#REF!*AP213/SUM(AP205,AP213),0)</f>
        <v>0</v>
      </c>
      <c r="AQ222" s="172">
        <f>IFERROR(#REF!*AQ213/SUM(AQ205,AQ213),0)</f>
        <v>0</v>
      </c>
      <c r="AR222" s="172">
        <f>IFERROR(#REF!*AR213/SUM(AR205,AR213),0)</f>
        <v>0</v>
      </c>
      <c r="AS222" s="172">
        <f>IFERROR(#REF!*AS213/SUM(AS205,AS213),0)</f>
        <v>0</v>
      </c>
      <c r="AT222" s="172">
        <f>IFERROR(#REF!*AT213/SUM(AT205,AT213),0)</f>
        <v>0</v>
      </c>
      <c r="AU222" s="172">
        <f>IFERROR(#REF!*AU213/SUM(AU205,AU213),0)</f>
        <v>0</v>
      </c>
      <c r="AV222" s="172">
        <f>IFERROR(#REF!*AV213/SUM(AV205,AV213),0)</f>
        <v>0</v>
      </c>
      <c r="AW222" s="172">
        <f>IFERROR(#REF!*AW213/SUM(AW205,AW213),0)</f>
        <v>0</v>
      </c>
      <c r="AX222" s="172">
        <f>IFERROR(#REF!*AX213/SUM(AX205,AX213),0)</f>
        <v>0</v>
      </c>
      <c r="AY222" s="172">
        <f>IFERROR(#REF!*AY213/SUM(AY205,AY213),0)</f>
        <v>0</v>
      </c>
      <c r="AZ222" s="172">
        <f>IFERROR(#REF!*AZ213/SUM(AZ205,AZ213),0)</f>
        <v>0</v>
      </c>
      <c r="BA222" s="172">
        <f>IFERROR(#REF!*BA213/SUM(BA205,BA213),0)</f>
        <v>0</v>
      </c>
      <c r="BB222" s="172">
        <f>IFERROR(#REF!*BB213/SUM(BB205,BB213),0)</f>
        <v>0</v>
      </c>
      <c r="BC222" s="172">
        <f>IFERROR(#REF!*BC213/SUM(BC205,BC213),0)</f>
        <v>0</v>
      </c>
      <c r="BD222" s="172">
        <f>IFERROR(#REF!*BD213/SUM(BD205,BD213),0)</f>
        <v>0</v>
      </c>
      <c r="BE222" s="172">
        <f>IFERROR(#REF!*BE213/SUM(BE205,BE213),0)</f>
        <v>0</v>
      </c>
      <c r="BF222" s="172">
        <f>IFERROR(#REF!*BF213/SUM(BF205,BF213),0)</f>
        <v>0</v>
      </c>
      <c r="BG222" s="172"/>
      <c r="BH222" s="172"/>
      <c r="BI222" s="172"/>
      <c r="BJ222" s="172"/>
      <c r="BK222" s="172"/>
      <c r="BL222" s="172"/>
    </row>
    <row r="223" spans="3:64" hidden="1" x14ac:dyDescent="0.15">
      <c r="C223" s="341" t="s">
        <v>464</v>
      </c>
      <c r="E223" s="180" t="e">
        <f>E222+E218-#REF!</f>
        <v>#REF!</v>
      </c>
      <c r="F223" s="180" t="e">
        <f>F222+F218-#REF!</f>
        <v>#REF!</v>
      </c>
      <c r="G223" s="180" t="e">
        <f>G222+G218-#REF!</f>
        <v>#REF!</v>
      </c>
      <c r="H223" s="180" t="e">
        <f>H222+H218-#REF!</f>
        <v>#REF!</v>
      </c>
      <c r="I223" s="180" t="e">
        <f>I222+I218-#REF!</f>
        <v>#REF!</v>
      </c>
      <c r="J223" s="180" t="e">
        <f>J222+J218-#REF!</f>
        <v>#REF!</v>
      </c>
      <c r="K223" s="180" t="e">
        <f>K222+K218-#REF!</f>
        <v>#REF!</v>
      </c>
      <c r="L223" s="180" t="e">
        <f>L222+L218-#REF!</f>
        <v>#REF!</v>
      </c>
      <c r="M223" s="180" t="e">
        <f>M222+M218-#REF!</f>
        <v>#REF!</v>
      </c>
      <c r="N223" s="180" t="e">
        <f>N222+N218-#REF!</f>
        <v>#REF!</v>
      </c>
      <c r="O223" s="180" t="e">
        <f>O222+O218-#REF!</f>
        <v>#REF!</v>
      </c>
      <c r="P223" s="180" t="e">
        <f>P222+P218-#REF!</f>
        <v>#REF!</v>
      </c>
      <c r="Q223" s="180" t="e">
        <f>Q222+Q218-#REF!</f>
        <v>#REF!</v>
      </c>
      <c r="R223" s="180" t="e">
        <f>R222+R218-#REF!</f>
        <v>#REF!</v>
      </c>
      <c r="S223" s="180" t="e">
        <f>S222+S218-#REF!</f>
        <v>#REF!</v>
      </c>
      <c r="T223" s="180" t="e">
        <f>T222+T218-#REF!</f>
        <v>#REF!</v>
      </c>
      <c r="U223" s="180" t="e">
        <f>U222+U218-#REF!</f>
        <v>#REF!</v>
      </c>
      <c r="V223" s="180" t="e">
        <f>V222+V218-#REF!</f>
        <v>#REF!</v>
      </c>
      <c r="W223" s="180" t="e">
        <f>W222+W218-#REF!</f>
        <v>#REF!</v>
      </c>
      <c r="X223" s="180" t="e">
        <f>X222+X218-#REF!</f>
        <v>#REF!</v>
      </c>
      <c r="Y223" s="180" t="e">
        <f>Y222+Y218-#REF!</f>
        <v>#REF!</v>
      </c>
      <c r="Z223" s="180" t="e">
        <f>Z222+Z218-#REF!</f>
        <v>#REF!</v>
      </c>
      <c r="AA223" s="180" t="e">
        <f>AA222+AA218-#REF!</f>
        <v>#REF!</v>
      </c>
      <c r="AB223" s="180" t="e">
        <f>AB222+AB218-#REF!</f>
        <v>#REF!</v>
      </c>
      <c r="AC223" s="180" t="e">
        <f>AC222+AC218-#REF!</f>
        <v>#REF!</v>
      </c>
      <c r="AD223" s="180" t="e">
        <f>AD222+AD218-#REF!</f>
        <v>#REF!</v>
      </c>
      <c r="AE223" s="180" t="e">
        <f>AE222+AE218-#REF!</f>
        <v>#REF!</v>
      </c>
      <c r="AF223" s="180" t="e">
        <f>AF222+AF218-#REF!</f>
        <v>#REF!</v>
      </c>
      <c r="AG223" s="180" t="e">
        <f>AG222+AG218-#REF!</f>
        <v>#REF!</v>
      </c>
      <c r="AH223" s="180" t="e">
        <f>AH222+AH218-#REF!</f>
        <v>#REF!</v>
      </c>
      <c r="AI223" s="180" t="e">
        <f>AI222+AI218-#REF!</f>
        <v>#REF!</v>
      </c>
      <c r="AJ223" s="180" t="e">
        <f>AJ222+AJ218-#REF!</f>
        <v>#REF!</v>
      </c>
      <c r="AK223" s="180" t="e">
        <f>AK222+AK218-#REF!</f>
        <v>#REF!</v>
      </c>
      <c r="AL223" s="180" t="e">
        <f>AL222+AL218-#REF!</f>
        <v>#REF!</v>
      </c>
      <c r="AM223" s="180" t="e">
        <f>AM222+AM218-#REF!</f>
        <v>#REF!</v>
      </c>
      <c r="AN223" s="180" t="e">
        <f>AN222+AN218-#REF!</f>
        <v>#REF!</v>
      </c>
      <c r="AO223" s="180" t="e">
        <f>AO222+AO218-#REF!</f>
        <v>#REF!</v>
      </c>
      <c r="AP223" s="180" t="e">
        <f>AP222+AP218-#REF!</f>
        <v>#REF!</v>
      </c>
      <c r="AQ223" s="180" t="e">
        <f>AQ222+AQ218-#REF!</f>
        <v>#REF!</v>
      </c>
      <c r="AR223" s="180" t="e">
        <f>AR222+AR218-#REF!</f>
        <v>#REF!</v>
      </c>
      <c r="AS223" s="180" t="e">
        <f>AS222+AS218-#REF!</f>
        <v>#REF!</v>
      </c>
      <c r="AT223" s="180" t="e">
        <f>AT222+AT218-#REF!</f>
        <v>#REF!</v>
      </c>
      <c r="AU223" s="180" t="e">
        <f>AU222+AU218-#REF!</f>
        <v>#REF!</v>
      </c>
      <c r="AV223" s="180" t="e">
        <f>AV222+AV218-#REF!</f>
        <v>#REF!</v>
      </c>
      <c r="AW223" s="180" t="e">
        <f>AW222+AW218-#REF!</f>
        <v>#REF!</v>
      </c>
      <c r="AX223" s="180" t="e">
        <f>AX222+AX218-#REF!</f>
        <v>#REF!</v>
      </c>
      <c r="AY223" s="180" t="e">
        <f>AY222+AY218-#REF!</f>
        <v>#REF!</v>
      </c>
      <c r="AZ223" s="180" t="e">
        <f>AZ222+AZ218-#REF!</f>
        <v>#REF!</v>
      </c>
      <c r="BA223" s="180" t="e">
        <f>BA222+BA218-#REF!</f>
        <v>#REF!</v>
      </c>
      <c r="BB223" s="180" t="e">
        <f>BB222+BB218-#REF!</f>
        <v>#REF!</v>
      </c>
      <c r="BC223" s="180" t="e">
        <f>BC222+BC218-#REF!</f>
        <v>#REF!</v>
      </c>
      <c r="BD223" s="180" t="e">
        <f>BD222+BD218-#REF!</f>
        <v>#REF!</v>
      </c>
      <c r="BE223" s="180" t="e">
        <f>BE222+BE218-#REF!</f>
        <v>#REF!</v>
      </c>
      <c r="BF223" s="180" t="e">
        <f>BF222+BF218-#REF!</f>
        <v>#REF!</v>
      </c>
      <c r="BG223" s="180"/>
      <c r="BH223" s="180"/>
      <c r="BI223" s="180"/>
      <c r="BJ223" s="180"/>
      <c r="BK223" s="180"/>
      <c r="BL223" s="180"/>
    </row>
  </sheetData>
  <sheetProtection algorithmName="SHA-512" hashValue="7KbecvKTK5BptwlVSEwPUlb2bGGvLJ7L8Cy0TeGmnPT1AvjUafsix17poadg9yibNsnrUGWXaXHRj48O+QJCYw==" saltValue="8vuFuc/YIKiR9JHBYNY+Rg==" spinCount="100000" sheet="1"/>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F2F75-3FFD-F543-A760-20D7CB7A1210}">
  <sheetPr>
    <tabColor rgb="FFFFFF00"/>
  </sheetPr>
  <dimension ref="A1:BQ34"/>
  <sheetViews>
    <sheetView showGridLines="0" topLeftCell="A16" zoomScale="120" zoomScaleNormal="120" zoomScaleSheetLayoutView="70" workbookViewId="0">
      <selection activeCell="AD15" sqref="AD15"/>
    </sheetView>
  </sheetViews>
  <sheetFormatPr baseColWidth="10" defaultColWidth="10.1640625" defaultRowHeight="11" x14ac:dyDescent="0.15"/>
  <cols>
    <col min="1" max="1" width="2.5" style="310" customWidth="1"/>
    <col min="2" max="2" width="3.33203125" style="206" customWidth="1"/>
    <col min="3" max="3" width="28" style="206" customWidth="1"/>
    <col min="4" max="39" width="10.5" style="206" customWidth="1"/>
    <col min="40" max="16384" width="10.1640625" style="206"/>
  </cols>
  <sheetData>
    <row r="1" spans="1:69" ht="23" x14ac:dyDescent="0.25">
      <c r="C1" s="342" t="s">
        <v>467</v>
      </c>
      <c r="D1" s="343"/>
    </row>
    <row r="2" spans="1:69" s="345" customFormat="1" ht="14" thickBot="1" x14ac:dyDescent="0.2">
      <c r="A2" s="344"/>
      <c r="C2" s="346" t="s">
        <v>468</v>
      </c>
      <c r="D2" s="347" t="s">
        <v>469</v>
      </c>
      <c r="E2" s="347"/>
      <c r="F2" s="347"/>
      <c r="G2" s="347"/>
      <c r="H2" s="347"/>
      <c r="I2" s="347"/>
      <c r="J2" s="347"/>
      <c r="K2" s="347"/>
      <c r="L2" s="347"/>
      <c r="M2" s="347"/>
      <c r="N2" s="347"/>
      <c r="O2" s="347"/>
      <c r="P2" s="347"/>
    </row>
    <row r="3" spans="1:69" s="345" customFormat="1" ht="13" x14ac:dyDescent="0.15">
      <c r="A3" s="348"/>
      <c r="B3" s="349"/>
      <c r="P3" s="350"/>
      <c r="Q3" s="350"/>
    </row>
    <row r="4" spans="1:69" s="345" customFormat="1" ht="13" x14ac:dyDescent="0.15">
      <c r="A4" s="344"/>
      <c r="B4" s="351"/>
      <c r="C4" s="352" t="s">
        <v>470</v>
      </c>
      <c r="D4" s="353">
        <v>45658</v>
      </c>
      <c r="E4" s="354">
        <f t="shared" ref="E4:BL4" si="0">EOMONTH(D4,1)</f>
        <v>45716</v>
      </c>
      <c r="F4" s="354">
        <f t="shared" si="0"/>
        <v>45747</v>
      </c>
      <c r="G4" s="354">
        <f t="shared" si="0"/>
        <v>45777</v>
      </c>
      <c r="H4" s="354">
        <f t="shared" si="0"/>
        <v>45808</v>
      </c>
      <c r="I4" s="354">
        <f t="shared" si="0"/>
        <v>45838</v>
      </c>
      <c r="J4" s="354">
        <f t="shared" si="0"/>
        <v>45869</v>
      </c>
      <c r="K4" s="354">
        <f t="shared" si="0"/>
        <v>45900</v>
      </c>
      <c r="L4" s="354">
        <f t="shared" si="0"/>
        <v>45930</v>
      </c>
      <c r="M4" s="354">
        <f t="shared" si="0"/>
        <v>45961</v>
      </c>
      <c r="N4" s="354">
        <f t="shared" si="0"/>
        <v>45991</v>
      </c>
      <c r="O4" s="354">
        <f t="shared" si="0"/>
        <v>46022</v>
      </c>
      <c r="P4" s="354">
        <f t="shared" si="0"/>
        <v>46053</v>
      </c>
      <c r="Q4" s="354">
        <f t="shared" si="0"/>
        <v>46081</v>
      </c>
      <c r="R4" s="354">
        <f t="shared" si="0"/>
        <v>46112</v>
      </c>
      <c r="S4" s="354">
        <f t="shared" si="0"/>
        <v>46142</v>
      </c>
      <c r="T4" s="354">
        <f t="shared" si="0"/>
        <v>46173</v>
      </c>
      <c r="U4" s="354">
        <f t="shared" si="0"/>
        <v>46203</v>
      </c>
      <c r="V4" s="354">
        <f t="shared" si="0"/>
        <v>46234</v>
      </c>
      <c r="W4" s="354">
        <f t="shared" si="0"/>
        <v>46265</v>
      </c>
      <c r="X4" s="354">
        <f t="shared" si="0"/>
        <v>46295</v>
      </c>
      <c r="Y4" s="354">
        <f t="shared" si="0"/>
        <v>46326</v>
      </c>
      <c r="Z4" s="354">
        <f t="shared" si="0"/>
        <v>46356</v>
      </c>
      <c r="AA4" s="354">
        <f t="shared" si="0"/>
        <v>46387</v>
      </c>
      <c r="AB4" s="354">
        <f t="shared" si="0"/>
        <v>46418</v>
      </c>
      <c r="AC4" s="354">
        <f t="shared" si="0"/>
        <v>46446</v>
      </c>
      <c r="AD4" s="354">
        <f t="shared" si="0"/>
        <v>46477</v>
      </c>
      <c r="AE4" s="354">
        <f t="shared" si="0"/>
        <v>46507</v>
      </c>
      <c r="AF4" s="354">
        <f t="shared" si="0"/>
        <v>46538</v>
      </c>
      <c r="AG4" s="354">
        <f t="shared" si="0"/>
        <v>46568</v>
      </c>
      <c r="AH4" s="354">
        <f t="shared" si="0"/>
        <v>46599</v>
      </c>
      <c r="AI4" s="354">
        <f t="shared" si="0"/>
        <v>46630</v>
      </c>
      <c r="AJ4" s="354">
        <f t="shared" si="0"/>
        <v>46660</v>
      </c>
      <c r="AK4" s="354">
        <f t="shared" si="0"/>
        <v>46691</v>
      </c>
      <c r="AL4" s="354">
        <f t="shared" si="0"/>
        <v>46721</v>
      </c>
      <c r="AM4" s="354">
        <f t="shared" si="0"/>
        <v>46752</v>
      </c>
      <c r="AN4" s="354">
        <f t="shared" si="0"/>
        <v>46783</v>
      </c>
      <c r="AO4" s="354">
        <f t="shared" si="0"/>
        <v>46812</v>
      </c>
      <c r="AP4" s="354">
        <f t="shared" si="0"/>
        <v>46843</v>
      </c>
      <c r="AQ4" s="354">
        <f t="shared" si="0"/>
        <v>46873</v>
      </c>
      <c r="AR4" s="354">
        <f t="shared" si="0"/>
        <v>46904</v>
      </c>
      <c r="AS4" s="354">
        <f t="shared" si="0"/>
        <v>46934</v>
      </c>
      <c r="AT4" s="354">
        <f t="shared" si="0"/>
        <v>46965</v>
      </c>
      <c r="AU4" s="354">
        <f t="shared" si="0"/>
        <v>46996</v>
      </c>
      <c r="AV4" s="354">
        <f t="shared" si="0"/>
        <v>47026</v>
      </c>
      <c r="AW4" s="354">
        <f t="shared" si="0"/>
        <v>47057</v>
      </c>
      <c r="AX4" s="354">
        <f t="shared" si="0"/>
        <v>47087</v>
      </c>
      <c r="AY4" s="354">
        <f t="shared" si="0"/>
        <v>47118</v>
      </c>
      <c r="AZ4" s="354">
        <f t="shared" si="0"/>
        <v>47149</v>
      </c>
      <c r="BA4" s="354">
        <f t="shared" si="0"/>
        <v>47177</v>
      </c>
      <c r="BB4" s="354">
        <f t="shared" si="0"/>
        <v>47208</v>
      </c>
      <c r="BC4" s="354">
        <f t="shared" si="0"/>
        <v>47238</v>
      </c>
      <c r="BD4" s="354">
        <f t="shared" si="0"/>
        <v>47269</v>
      </c>
      <c r="BE4" s="354">
        <f t="shared" si="0"/>
        <v>47299</v>
      </c>
      <c r="BF4" s="354">
        <f t="shared" si="0"/>
        <v>47330</v>
      </c>
      <c r="BG4" s="354">
        <f t="shared" si="0"/>
        <v>47361</v>
      </c>
      <c r="BH4" s="354">
        <f t="shared" si="0"/>
        <v>47391</v>
      </c>
      <c r="BI4" s="354">
        <f t="shared" si="0"/>
        <v>47422</v>
      </c>
      <c r="BJ4" s="354">
        <f t="shared" si="0"/>
        <v>47452</v>
      </c>
      <c r="BK4" s="354">
        <f t="shared" si="0"/>
        <v>47483</v>
      </c>
      <c r="BL4" s="354">
        <f t="shared" si="0"/>
        <v>47514</v>
      </c>
      <c r="BM4" s="350"/>
      <c r="BN4" s="350"/>
      <c r="BO4" s="350"/>
      <c r="BP4" s="350"/>
      <c r="BQ4" s="350"/>
    </row>
    <row r="5" spans="1:69" s="102" customFormat="1" ht="13" x14ac:dyDescent="0.15">
      <c r="A5" s="355"/>
      <c r="C5" s="356" t="s">
        <v>471</v>
      </c>
      <c r="D5" s="357">
        <f t="shared" ref="D5:BL5" si="1">YEAR(D4)</f>
        <v>2025</v>
      </c>
      <c r="E5" s="357">
        <f t="shared" si="1"/>
        <v>2025</v>
      </c>
      <c r="F5" s="357">
        <f t="shared" si="1"/>
        <v>2025</v>
      </c>
      <c r="G5" s="357">
        <f t="shared" si="1"/>
        <v>2025</v>
      </c>
      <c r="H5" s="357">
        <f t="shared" si="1"/>
        <v>2025</v>
      </c>
      <c r="I5" s="357">
        <f t="shared" si="1"/>
        <v>2025</v>
      </c>
      <c r="J5" s="357">
        <f t="shared" si="1"/>
        <v>2025</v>
      </c>
      <c r="K5" s="357">
        <f t="shared" si="1"/>
        <v>2025</v>
      </c>
      <c r="L5" s="357">
        <f t="shared" si="1"/>
        <v>2025</v>
      </c>
      <c r="M5" s="357">
        <f t="shared" si="1"/>
        <v>2025</v>
      </c>
      <c r="N5" s="357">
        <f t="shared" si="1"/>
        <v>2025</v>
      </c>
      <c r="O5" s="357">
        <f t="shared" si="1"/>
        <v>2025</v>
      </c>
      <c r="P5" s="357">
        <f t="shared" si="1"/>
        <v>2026</v>
      </c>
      <c r="Q5" s="357">
        <f t="shared" si="1"/>
        <v>2026</v>
      </c>
      <c r="R5" s="357">
        <f t="shared" si="1"/>
        <v>2026</v>
      </c>
      <c r="S5" s="357">
        <f t="shared" si="1"/>
        <v>2026</v>
      </c>
      <c r="T5" s="357">
        <f t="shared" si="1"/>
        <v>2026</v>
      </c>
      <c r="U5" s="357">
        <f t="shared" si="1"/>
        <v>2026</v>
      </c>
      <c r="V5" s="357">
        <f t="shared" si="1"/>
        <v>2026</v>
      </c>
      <c r="W5" s="357">
        <f t="shared" si="1"/>
        <v>2026</v>
      </c>
      <c r="X5" s="357">
        <f t="shared" si="1"/>
        <v>2026</v>
      </c>
      <c r="Y5" s="357">
        <f t="shared" si="1"/>
        <v>2026</v>
      </c>
      <c r="Z5" s="357">
        <f t="shared" si="1"/>
        <v>2026</v>
      </c>
      <c r="AA5" s="357">
        <f t="shared" si="1"/>
        <v>2026</v>
      </c>
      <c r="AB5" s="357">
        <f t="shared" si="1"/>
        <v>2027</v>
      </c>
      <c r="AC5" s="357">
        <f t="shared" si="1"/>
        <v>2027</v>
      </c>
      <c r="AD5" s="357">
        <f t="shared" si="1"/>
        <v>2027</v>
      </c>
      <c r="AE5" s="357">
        <f t="shared" si="1"/>
        <v>2027</v>
      </c>
      <c r="AF5" s="357">
        <f t="shared" si="1"/>
        <v>2027</v>
      </c>
      <c r="AG5" s="357">
        <f t="shared" si="1"/>
        <v>2027</v>
      </c>
      <c r="AH5" s="357">
        <f t="shared" si="1"/>
        <v>2027</v>
      </c>
      <c r="AI5" s="357">
        <f t="shared" si="1"/>
        <v>2027</v>
      </c>
      <c r="AJ5" s="357">
        <f t="shared" si="1"/>
        <v>2027</v>
      </c>
      <c r="AK5" s="357">
        <f t="shared" si="1"/>
        <v>2027</v>
      </c>
      <c r="AL5" s="357">
        <f t="shared" si="1"/>
        <v>2027</v>
      </c>
      <c r="AM5" s="357">
        <f t="shared" si="1"/>
        <v>2027</v>
      </c>
      <c r="AN5" s="357">
        <f t="shared" si="1"/>
        <v>2028</v>
      </c>
      <c r="AO5" s="357">
        <f t="shared" si="1"/>
        <v>2028</v>
      </c>
      <c r="AP5" s="357">
        <f t="shared" si="1"/>
        <v>2028</v>
      </c>
      <c r="AQ5" s="357">
        <f t="shared" si="1"/>
        <v>2028</v>
      </c>
      <c r="AR5" s="357">
        <f t="shared" si="1"/>
        <v>2028</v>
      </c>
      <c r="AS5" s="357">
        <f t="shared" si="1"/>
        <v>2028</v>
      </c>
      <c r="AT5" s="357">
        <f t="shared" si="1"/>
        <v>2028</v>
      </c>
      <c r="AU5" s="357">
        <f t="shared" si="1"/>
        <v>2028</v>
      </c>
      <c r="AV5" s="357">
        <f t="shared" si="1"/>
        <v>2028</v>
      </c>
      <c r="AW5" s="357">
        <f t="shared" si="1"/>
        <v>2028</v>
      </c>
      <c r="AX5" s="357">
        <f t="shared" si="1"/>
        <v>2028</v>
      </c>
      <c r="AY5" s="357">
        <f t="shared" si="1"/>
        <v>2028</v>
      </c>
      <c r="AZ5" s="357">
        <f t="shared" si="1"/>
        <v>2029</v>
      </c>
      <c r="BA5" s="357">
        <f t="shared" si="1"/>
        <v>2029</v>
      </c>
      <c r="BB5" s="357">
        <f t="shared" si="1"/>
        <v>2029</v>
      </c>
      <c r="BC5" s="357">
        <f t="shared" si="1"/>
        <v>2029</v>
      </c>
      <c r="BD5" s="357">
        <f t="shared" si="1"/>
        <v>2029</v>
      </c>
      <c r="BE5" s="357">
        <f t="shared" si="1"/>
        <v>2029</v>
      </c>
      <c r="BF5" s="357">
        <f t="shared" si="1"/>
        <v>2029</v>
      </c>
      <c r="BG5" s="357">
        <f t="shared" si="1"/>
        <v>2029</v>
      </c>
      <c r="BH5" s="357">
        <f t="shared" si="1"/>
        <v>2029</v>
      </c>
      <c r="BI5" s="357">
        <f t="shared" si="1"/>
        <v>2029</v>
      </c>
      <c r="BJ5" s="357">
        <f t="shared" si="1"/>
        <v>2029</v>
      </c>
      <c r="BK5" s="357">
        <f t="shared" si="1"/>
        <v>2029</v>
      </c>
      <c r="BL5" s="357">
        <f t="shared" si="1"/>
        <v>2030</v>
      </c>
      <c r="BM5" s="358"/>
      <c r="BN5" s="358"/>
      <c r="BO5" s="358"/>
      <c r="BP5" s="358"/>
      <c r="BQ5" s="358"/>
    </row>
    <row r="6" spans="1:69" s="345" customFormat="1" ht="13" x14ac:dyDescent="0.15">
      <c r="A6" s="344"/>
      <c r="C6" s="345" t="s">
        <v>472</v>
      </c>
      <c r="D6" s="359"/>
      <c r="E6" s="359"/>
      <c r="F6" s="359"/>
      <c r="G6" s="359"/>
      <c r="H6" s="359"/>
      <c r="I6" s="359"/>
      <c r="J6" s="359">
        <f>DATA!E19/10^9</f>
        <v>913.80154000000005</v>
      </c>
      <c r="K6" s="359">
        <f>DATA!E18/10^9</f>
        <v>847.45432000000005</v>
      </c>
      <c r="L6" s="359">
        <f>DATA!E17/10^9</f>
        <v>1159.8267800000001</v>
      </c>
      <c r="M6" s="359"/>
      <c r="N6" s="359"/>
      <c r="O6" s="359"/>
      <c r="P6" s="359"/>
      <c r="Q6" s="359"/>
      <c r="R6" s="359"/>
      <c r="S6" s="359"/>
      <c r="T6" s="359"/>
      <c r="U6" s="359"/>
      <c r="V6" s="359"/>
      <c r="W6" s="359"/>
      <c r="X6" s="359"/>
      <c r="Y6" s="359"/>
      <c r="Z6" s="359"/>
      <c r="AA6" s="359"/>
      <c r="AB6" s="359"/>
      <c r="AC6" s="359"/>
      <c r="AD6" s="359"/>
      <c r="AE6" s="359"/>
      <c r="AF6" s="359"/>
      <c r="AG6" s="359"/>
      <c r="AH6" s="359"/>
      <c r="AI6" s="359"/>
      <c r="AJ6" s="359"/>
      <c r="AK6" s="359"/>
      <c r="AL6" s="359"/>
      <c r="AM6" s="359"/>
      <c r="AN6" s="360"/>
      <c r="AO6" s="360"/>
      <c r="AP6" s="360"/>
      <c r="AQ6" s="360"/>
      <c r="AR6" s="360"/>
      <c r="AS6" s="360"/>
      <c r="AT6" s="360"/>
      <c r="AU6" s="360"/>
      <c r="AV6" s="360"/>
      <c r="AW6" s="360"/>
      <c r="AX6" s="360"/>
      <c r="AY6" s="360"/>
      <c r="AZ6" s="360"/>
      <c r="BA6" s="360"/>
      <c r="BB6" s="360"/>
      <c r="BC6" s="360"/>
      <c r="BD6" s="360"/>
      <c r="BE6" s="360"/>
      <c r="BF6" s="360"/>
      <c r="BG6" s="360"/>
      <c r="BH6" s="360"/>
      <c r="BI6" s="360"/>
      <c r="BJ6" s="360"/>
      <c r="BK6" s="360"/>
      <c r="BL6" s="360"/>
    </row>
    <row r="7" spans="1:69" s="345" customFormat="1" ht="13" x14ac:dyDescent="0.15">
      <c r="A7" s="344"/>
      <c r="D7" s="351"/>
      <c r="E7" s="351"/>
      <c r="F7" s="351"/>
      <c r="G7" s="351"/>
      <c r="H7" s="351"/>
      <c r="I7" s="351"/>
      <c r="J7" s="351"/>
      <c r="K7" s="351"/>
      <c r="L7" s="351"/>
      <c r="M7" s="351"/>
      <c r="N7" s="351"/>
      <c r="O7" s="351"/>
      <c r="P7" s="351"/>
      <c r="Q7" s="351"/>
      <c r="R7" s="351"/>
      <c r="S7" s="351"/>
      <c r="T7" s="351"/>
      <c r="U7" s="351"/>
      <c r="V7" s="351"/>
      <c r="W7" s="351"/>
      <c r="X7" s="351"/>
      <c r="Y7" s="351"/>
      <c r="Z7" s="351"/>
      <c r="AA7" s="351"/>
      <c r="AB7" s="351"/>
      <c r="AC7" s="351"/>
      <c r="AD7" s="351"/>
      <c r="AE7" s="351"/>
      <c r="AF7" s="351"/>
      <c r="AG7" s="351"/>
      <c r="AH7" s="351"/>
      <c r="AI7" s="351"/>
      <c r="AJ7" s="351"/>
      <c r="AK7" s="351"/>
      <c r="AL7" s="351"/>
      <c r="AM7" s="351"/>
      <c r="AN7" s="351"/>
      <c r="AO7" s="351"/>
      <c r="AP7" s="351"/>
      <c r="AQ7" s="351"/>
      <c r="AR7" s="351"/>
      <c r="AS7" s="351"/>
      <c r="AT7" s="351"/>
      <c r="AU7" s="351"/>
      <c r="AV7" s="351"/>
      <c r="AW7" s="351"/>
      <c r="AX7" s="351"/>
      <c r="AY7" s="351"/>
      <c r="AZ7" s="351"/>
      <c r="BA7" s="351"/>
      <c r="BB7" s="351"/>
      <c r="BC7" s="351"/>
      <c r="BD7" s="351"/>
      <c r="BE7" s="351"/>
      <c r="BF7" s="351"/>
      <c r="BG7" s="351"/>
      <c r="BH7" s="351"/>
      <c r="BI7" s="351"/>
      <c r="BJ7" s="351"/>
      <c r="BK7" s="351"/>
      <c r="BL7" s="351"/>
    </row>
    <row r="8" spans="1:69" s="345" customFormat="1" ht="14" thickBot="1" x14ac:dyDescent="0.2">
      <c r="A8" s="344"/>
      <c r="C8" s="346" t="s">
        <v>473</v>
      </c>
      <c r="D8" s="347" t="s">
        <v>474</v>
      </c>
      <c r="E8" s="361"/>
      <c r="F8" s="361"/>
      <c r="G8" s="362"/>
      <c r="H8" s="362"/>
      <c r="I8" s="362"/>
      <c r="J8" s="362"/>
      <c r="K8" s="362"/>
      <c r="L8" s="362"/>
      <c r="M8" s="362"/>
      <c r="N8" s="362"/>
      <c r="O8" s="362"/>
      <c r="P8" s="362"/>
      <c r="Q8" s="350"/>
      <c r="R8" s="350"/>
      <c r="S8" s="350"/>
      <c r="T8" s="350"/>
    </row>
    <row r="9" spans="1:69" s="345" customFormat="1" ht="13" x14ac:dyDescent="0.15">
      <c r="A9" s="348"/>
      <c r="B9" s="349"/>
      <c r="G9" s="350"/>
      <c r="H9" s="350"/>
      <c r="I9" s="350"/>
      <c r="J9" s="350"/>
      <c r="K9" s="350"/>
      <c r="L9" s="350"/>
      <c r="M9" s="350"/>
      <c r="N9" s="350"/>
      <c r="O9" s="350"/>
      <c r="P9" s="350"/>
      <c r="Q9" s="350"/>
      <c r="R9" s="350"/>
      <c r="S9" s="350"/>
      <c r="T9" s="350"/>
    </row>
    <row r="10" spans="1:69" s="345" customFormat="1" ht="13" x14ac:dyDescent="0.15">
      <c r="A10" s="348"/>
      <c r="B10" s="349"/>
      <c r="C10" s="349" t="s">
        <v>475</v>
      </c>
      <c r="E10" s="363" t="s">
        <v>476</v>
      </c>
      <c r="F10" s="363">
        <f>YEAR(D4)</f>
        <v>2025</v>
      </c>
      <c r="G10" s="363">
        <f>F10+1</f>
        <v>2026</v>
      </c>
      <c r="H10" s="363">
        <f>G10+1</f>
        <v>2027</v>
      </c>
      <c r="I10" s="363">
        <f>H10+1</f>
        <v>2028</v>
      </c>
      <c r="J10" s="363">
        <f>I10+1</f>
        <v>2029</v>
      </c>
      <c r="K10" s="363">
        <f>J10+1</f>
        <v>2030</v>
      </c>
      <c r="M10" s="350"/>
      <c r="O10" s="350"/>
      <c r="Q10" s="350"/>
      <c r="R10" s="350"/>
      <c r="S10" s="350"/>
      <c r="T10" s="350"/>
    </row>
    <row r="11" spans="1:69" s="345" customFormat="1" ht="13" x14ac:dyDescent="0.15">
      <c r="A11" s="348"/>
      <c r="B11" s="349"/>
      <c r="C11" s="364"/>
      <c r="E11" s="365" t="s">
        <v>477</v>
      </c>
      <c r="F11" s="365" t="s">
        <v>477</v>
      </c>
      <c r="G11" s="365" t="s">
        <v>477</v>
      </c>
      <c r="H11" s="365" t="s">
        <v>477</v>
      </c>
      <c r="I11" s="365" t="s">
        <v>477</v>
      </c>
      <c r="J11" s="365" t="s">
        <v>477</v>
      </c>
      <c r="K11" s="365" t="s">
        <v>477</v>
      </c>
      <c r="M11" s="350"/>
      <c r="O11" s="350"/>
      <c r="Q11" s="350"/>
      <c r="R11" s="350"/>
      <c r="S11" s="350"/>
      <c r="T11" s="350"/>
    </row>
    <row r="12" spans="1:69" s="345" customFormat="1" ht="13" x14ac:dyDescent="0.15">
      <c r="A12" s="348"/>
      <c r="B12" s="349"/>
      <c r="H12" s="350"/>
      <c r="I12" s="350"/>
      <c r="J12" s="350"/>
      <c r="K12" s="350"/>
      <c r="M12" s="350"/>
      <c r="O12" s="350"/>
      <c r="Q12" s="350"/>
      <c r="R12" s="350"/>
      <c r="S12" s="350"/>
      <c r="T12" s="350"/>
    </row>
    <row r="13" spans="1:69" s="345" customFormat="1" ht="13" x14ac:dyDescent="0.15">
      <c r="A13" s="344"/>
      <c r="C13" s="349" t="s">
        <v>478</v>
      </c>
      <c r="E13" s="366">
        <f>SUM(F13:O13)</f>
        <v>2921.0826400000005</v>
      </c>
      <c r="F13" s="367">
        <f t="shared" ref="F13:K13" si="2">SUMIF($D$5:$BL$5,F$10,$D$6:$BL$6)</f>
        <v>2921.0826400000005</v>
      </c>
      <c r="G13" s="367">
        <f t="shared" si="2"/>
        <v>0</v>
      </c>
      <c r="H13" s="367">
        <f t="shared" si="2"/>
        <v>0</v>
      </c>
      <c r="I13" s="367">
        <f t="shared" si="2"/>
        <v>0</v>
      </c>
      <c r="J13" s="367">
        <f t="shared" si="2"/>
        <v>0</v>
      </c>
      <c r="K13" s="367">
        <f t="shared" si="2"/>
        <v>0</v>
      </c>
      <c r="M13" s="368"/>
      <c r="O13" s="368"/>
      <c r="Q13" s="369"/>
      <c r="R13" s="369"/>
      <c r="S13" s="369"/>
      <c r="T13" s="369"/>
      <c r="U13" s="369"/>
      <c r="V13" s="369"/>
      <c r="W13" s="369"/>
      <c r="X13" s="369"/>
      <c r="Y13" s="369"/>
      <c r="Z13" s="369"/>
      <c r="AA13" s="369"/>
      <c r="AB13" s="369"/>
      <c r="AC13" s="369"/>
      <c r="AD13" s="369"/>
      <c r="AE13" s="369"/>
      <c r="AF13" s="369"/>
    </row>
    <row r="14" spans="1:69" s="345" customFormat="1" ht="13" x14ac:dyDescent="0.15">
      <c r="A14" s="344"/>
      <c r="C14" s="345" t="s">
        <v>479</v>
      </c>
      <c r="E14" s="370">
        <f>AVERAGE(D6:AM6)</f>
        <v>973.69421333333355</v>
      </c>
      <c r="F14" s="371">
        <f t="shared" ref="F14:K14" si="3">IFERROR(F13/COUNTIFS($D$5:$BL$5,F10,$D$6:$BL$6,"&lt;&gt;"&amp;""),0)</f>
        <v>973.69421333333355</v>
      </c>
      <c r="G14" s="371">
        <f t="shared" si="3"/>
        <v>0</v>
      </c>
      <c r="H14" s="371">
        <f t="shared" si="3"/>
        <v>0</v>
      </c>
      <c r="I14" s="371">
        <f t="shared" si="3"/>
        <v>0</v>
      </c>
      <c r="J14" s="371">
        <f t="shared" si="3"/>
        <v>0</v>
      </c>
      <c r="K14" s="371">
        <f t="shared" si="3"/>
        <v>0</v>
      </c>
      <c r="M14" s="372"/>
      <c r="O14" s="372"/>
      <c r="Q14" s="369"/>
      <c r="R14" s="369"/>
      <c r="S14" s="369"/>
      <c r="T14" s="369"/>
      <c r="U14" s="369"/>
      <c r="V14" s="369"/>
      <c r="W14" s="369"/>
      <c r="X14" s="369"/>
      <c r="Y14" s="369"/>
      <c r="Z14" s="369"/>
      <c r="AA14" s="369"/>
      <c r="AB14" s="369"/>
      <c r="AC14" s="369"/>
      <c r="AD14" s="369"/>
      <c r="AE14" s="369"/>
      <c r="AF14" s="369"/>
    </row>
    <row r="15" spans="1:69" s="345" customFormat="1" ht="13" x14ac:dyDescent="0.15">
      <c r="A15" s="344"/>
      <c r="C15" s="349"/>
      <c r="E15" s="373"/>
      <c r="F15" s="369"/>
      <c r="G15" s="369"/>
      <c r="H15" s="369"/>
      <c r="I15" s="369"/>
      <c r="J15" s="369"/>
      <c r="K15" s="369"/>
      <c r="M15" s="372"/>
      <c r="O15" s="372"/>
      <c r="Q15" s="369"/>
      <c r="R15" s="369"/>
      <c r="S15" s="369"/>
      <c r="T15" s="369"/>
      <c r="U15" s="369"/>
      <c r="V15" s="369"/>
      <c r="W15" s="369"/>
      <c r="X15" s="369"/>
      <c r="Y15" s="369"/>
      <c r="Z15" s="369"/>
      <c r="AA15" s="369"/>
      <c r="AB15" s="369"/>
      <c r="AC15" s="369"/>
      <c r="AD15" s="369"/>
      <c r="AE15" s="369"/>
      <c r="AF15" s="369"/>
    </row>
    <row r="16" spans="1:69" s="345" customFormat="1" ht="13" x14ac:dyDescent="0.15">
      <c r="A16" s="344"/>
      <c r="C16" s="349" t="s">
        <v>480</v>
      </c>
      <c r="E16" s="374"/>
      <c r="F16" s="374">
        <f ca="1">OFFSET(PnL_Speadsheet!$A$7,0,MATCH(DATE('Saleplan&amp;PnL'!F$10,12,31),PnL_Speadsheet!$B$4:$BI$4,0))/1000</f>
        <v>1633.2675949859324</v>
      </c>
      <c r="G16" s="374">
        <f ca="1">OFFSET(PnL_Speadsheet!$A$7,0,MATCH(DATE('Saleplan&amp;PnL'!G$10,12,31),PnL_Speadsheet!$B$4:$BI$4,0))/1000</f>
        <v>461.60410968145425</v>
      </c>
      <c r="H16" s="374">
        <f ca="1">OFFSET(PnL_Speadsheet!$A$7,0,MATCH(DATE('Saleplan&amp;PnL'!H$10,12,31),PnL_Speadsheet!$B$4:$BI$4,0))/1000</f>
        <v>0</v>
      </c>
      <c r="I16" s="374">
        <f ca="1">OFFSET(PnL_Speadsheet!$A$7,0,MATCH(DATE('Saleplan&amp;PnL'!I$10,12,31),PnL_Speadsheet!$B$4:$BI$4,0))/1000</f>
        <v>0</v>
      </c>
      <c r="J16" s="374">
        <f ca="1">OFFSET(PnL_Speadsheet!$A$7,0,MATCH(DATE('Saleplan&amp;PnL'!J$10,12,31),PnL_Speadsheet!$B$4:$BI$4,0))/1000</f>
        <v>0</v>
      </c>
      <c r="K16" s="374">
        <f ca="1">IFERROR(OFFSET(PnL_Speadsheet!$A$7,0,MATCH(DATE('Saleplan&amp;PnL'!K$10,12,31),PnL_Speadsheet!$B$4:$BI$4,0))/1000,0)</f>
        <v>0</v>
      </c>
      <c r="M16" s="366"/>
      <c r="O16" s="366"/>
      <c r="Q16" s="369"/>
      <c r="R16" s="369"/>
      <c r="S16" s="369"/>
      <c r="T16" s="369"/>
      <c r="U16" s="369"/>
      <c r="V16" s="369"/>
      <c r="W16" s="369"/>
      <c r="X16" s="369"/>
      <c r="Y16" s="369"/>
      <c r="Z16" s="369"/>
      <c r="AA16" s="369"/>
      <c r="AB16" s="369"/>
      <c r="AC16" s="369"/>
      <c r="AD16" s="369"/>
      <c r="AE16" s="369"/>
      <c r="AF16" s="369"/>
    </row>
    <row r="17" spans="1:32" s="345" customFormat="1" ht="13" x14ac:dyDescent="0.15">
      <c r="A17" s="344"/>
      <c r="C17" s="349" t="s">
        <v>481</v>
      </c>
      <c r="E17" s="375">
        <f ca="1">IFERROR(SUM(PnL_Speadsheet!B8:AK8)/1000/COUNTIF(PnL_Speadsheet!B8:BI8,"&lt;&gt;0"),0)</f>
        <v>835.00497751255057</v>
      </c>
      <c r="F17" s="375">
        <f ca="1">IFERROR(SUMIF(PnL_Speadsheet!$B$3:$BI$3,F$10,PnL_Speadsheet!$B8:$BI8)/1000/COUNTIFS(PnL_Speadsheet!$B$3:$BI$3,'Saleplan&amp;PnL'!F$10,PnL_Speadsheet!$B$8:$BI$8,"&lt;&gt;0"),0)</f>
        <v>1735.1270338667289</v>
      </c>
      <c r="G17" s="375">
        <f ca="1">IFERROR(SUMIF(PnL_Speadsheet!$B$3:$BI$3,G$10,PnL_Speadsheet!$B8:$BI8)/1000/COUNTIFS(PnL_Speadsheet!$B$3:$BI$3,'Saleplan&amp;PnL'!G$10,PnL_Speadsheet!$B$8:$BI$8,"&lt;&gt;0"),0)</f>
        <v>658.74919286371312</v>
      </c>
      <c r="H17" s="375">
        <f ca="1">IFERROR(SUMIF(PnL_Speadsheet!$B$3:$BI$3,H$10,PnL_Speadsheet!$B8:$BI8)/1000/COUNTIFS(PnL_Speadsheet!$B$3:$BI$3,'Saleplan&amp;PnL'!H$10,PnL_Speadsheet!$B$8:$BI$8,"&lt;&gt;0"),0)</f>
        <v>13.589246927795871</v>
      </c>
      <c r="I17" s="375">
        <f ca="1">IFERROR(SUMIF(PnL_Speadsheet!$B$3:$BI$3,I$10,PnL_Speadsheet!$B8:$BI8)/1000/COUNTIFS(PnL_Speadsheet!$B$3:$BI$3,'Saleplan&amp;PnL'!I$10,PnL_Speadsheet!$B$8:$BI$8,"&lt;&gt;0"),0)</f>
        <v>0</v>
      </c>
      <c r="J17" s="375">
        <f ca="1">IFERROR(SUMIF(PnL_Speadsheet!$B$3:$BI$3,J$10,PnL_Speadsheet!$B8:$BI8)/1000/COUNTIFS(PnL_Speadsheet!$B$3:$BI$3,'Saleplan&amp;PnL'!J$10,PnL_Speadsheet!$B$8:$BI$8,"&lt;&gt;0"),0)</f>
        <v>0</v>
      </c>
      <c r="K17" s="375">
        <f>IFERROR(SUMIF(PnL_Speadsheet!$B$3:$BI$3,K$10,PnL_Speadsheet!$B8:$BI8)/1000/COUNTIFS(PnL_Speadsheet!$B$3:$BI$3,'Saleplan&amp;PnL'!K$10,PnL_Speadsheet!$B$8:$BI$8,"&lt;&gt;0"),0)</f>
        <v>0</v>
      </c>
      <c r="M17" s="366"/>
      <c r="O17" s="366"/>
      <c r="Q17" s="369"/>
      <c r="R17" s="376"/>
      <c r="S17" s="376"/>
      <c r="T17" s="376"/>
      <c r="U17" s="376"/>
      <c r="V17" s="376"/>
      <c r="W17" s="376"/>
      <c r="X17" s="376"/>
      <c r="Y17" s="376"/>
      <c r="Z17" s="376"/>
      <c r="AA17" s="376"/>
      <c r="AB17" s="376"/>
      <c r="AC17" s="376"/>
      <c r="AD17" s="376"/>
      <c r="AE17" s="376"/>
      <c r="AF17" s="376"/>
    </row>
    <row r="18" spans="1:32" s="345" customFormat="1" ht="13" x14ac:dyDescent="0.15">
      <c r="A18" s="344"/>
      <c r="E18" s="377"/>
      <c r="F18" s="377"/>
      <c r="G18" s="377"/>
      <c r="H18" s="377"/>
      <c r="I18" s="377"/>
      <c r="J18" s="377"/>
      <c r="K18" s="377"/>
      <c r="M18" s="373"/>
      <c r="O18" s="373"/>
      <c r="Q18" s="369"/>
      <c r="R18" s="376"/>
      <c r="S18" s="376"/>
      <c r="T18" s="376"/>
      <c r="U18" s="376"/>
      <c r="V18" s="376"/>
      <c r="W18" s="376"/>
      <c r="X18" s="376"/>
      <c r="Y18" s="376"/>
      <c r="Z18" s="376"/>
      <c r="AA18" s="376"/>
      <c r="AB18" s="376"/>
      <c r="AC18" s="376"/>
      <c r="AD18" s="376"/>
      <c r="AE18" s="376"/>
      <c r="AF18" s="376"/>
    </row>
    <row r="19" spans="1:32" s="349" customFormat="1" ht="13" x14ac:dyDescent="0.15">
      <c r="A19" s="348"/>
      <c r="C19" s="349" t="s">
        <v>229</v>
      </c>
      <c r="E19" s="378">
        <f t="shared" ref="E19:E31" ca="1" si="4">SUM(F19:O19)</f>
        <v>714.50738001545506</v>
      </c>
      <c r="F19" s="374">
        <f ca="1">SUMIF(PnL_Speadsheet!$B$3:$BI$3,F$10,PnL_Speadsheet!$B9:$BI9)/1000</f>
        <v>515.74447775672047</v>
      </c>
      <c r="G19" s="374">
        <f ca="1">SUMIF(PnL_Speadsheet!$B$3:$BI$3,G$10,PnL_Speadsheet!$B9:$BI9)/1000</f>
        <v>199.07573994450769</v>
      </c>
      <c r="H19" s="374">
        <f ca="1">SUMIF(PnL_Speadsheet!$B$3:$BI$3,H$10,PnL_Speadsheet!$B9:$BI9)/1000</f>
        <v>-0.3128376857730219</v>
      </c>
      <c r="I19" s="374">
        <f ca="1">SUMIF(PnL_Speadsheet!$B$3:$BI$3,I$10,PnL_Speadsheet!$B9:$BI9)/1000</f>
        <v>0</v>
      </c>
      <c r="J19" s="374">
        <f ca="1">SUMIF(PnL_Speadsheet!$B$3:$BI$3,J$10,PnL_Speadsheet!$B9:$BI9)/1000</f>
        <v>0</v>
      </c>
      <c r="K19" s="374">
        <f>SUMIF(PnL_Speadsheet!$B$3:$BI$3,K$10,PnL_Speadsheet!$B9:$BI9)/1000</f>
        <v>0</v>
      </c>
      <c r="M19" s="368"/>
      <c r="O19" s="368"/>
      <c r="Q19" s="369"/>
      <c r="R19" s="379"/>
      <c r="S19" s="379"/>
      <c r="T19" s="379"/>
      <c r="U19" s="379"/>
      <c r="V19" s="379"/>
      <c r="W19" s="379"/>
      <c r="X19" s="379"/>
      <c r="Y19" s="379"/>
      <c r="Z19" s="379"/>
      <c r="AA19" s="379"/>
      <c r="AB19" s="379"/>
      <c r="AC19" s="379"/>
      <c r="AD19" s="379"/>
      <c r="AE19" s="379"/>
      <c r="AF19" s="379"/>
    </row>
    <row r="20" spans="1:32" s="345" customFormat="1" ht="13" x14ac:dyDescent="0.15">
      <c r="A20" s="344"/>
      <c r="C20" s="380" t="s">
        <v>482</v>
      </c>
      <c r="E20" s="377">
        <f t="shared" ca="1" si="4"/>
        <v>528.83124278088292</v>
      </c>
      <c r="F20" s="381">
        <f ca="1">SUMIF(PnL_Speadsheet!$B$3:$BI$3,F$10,PnL_Speadsheet!$B11:$BI11)/1000</f>
        <v>339.59453036032653</v>
      </c>
      <c r="G20" s="381">
        <f ca="1">SUMIF(PnL_Speadsheet!$B$3:$BI$3,G$10,PnL_Speadsheet!$B11:$BI11)/1000</f>
        <v>189.54955010632941</v>
      </c>
      <c r="H20" s="381">
        <f ca="1">SUMIF(PnL_Speadsheet!$B$3:$BI$3,H$10,PnL_Speadsheet!$B11:$BI11)/1000</f>
        <v>-0.3128376857730219</v>
      </c>
      <c r="I20" s="381">
        <f ca="1">SUMIF(PnL_Speadsheet!$B$3:$BI$3,I$10,PnL_Speadsheet!$B11:$BI11)/1000</f>
        <v>0</v>
      </c>
      <c r="J20" s="381">
        <f ca="1">SUMIF(PnL_Speadsheet!$B$3:$BI$3,J$10,PnL_Speadsheet!$B11:$BI11)/1000</f>
        <v>0</v>
      </c>
      <c r="K20" s="381">
        <f>SUMIF(PnL_Speadsheet!$B$3:$BI$3,K$10,PnL_Speadsheet!$B11:$BI11)/1000</f>
        <v>0</v>
      </c>
      <c r="M20" s="372"/>
      <c r="O20" s="372"/>
      <c r="Q20" s="369"/>
    </row>
    <row r="21" spans="1:32" s="345" customFormat="1" ht="13" x14ac:dyDescent="0.15">
      <c r="A21" s="344"/>
      <c r="C21" s="380" t="s">
        <v>483</v>
      </c>
      <c r="E21" s="377">
        <f t="shared" ca="1" si="4"/>
        <v>185.67613723457222</v>
      </c>
      <c r="F21" s="381">
        <f ca="1">SUMIF(PnL_Speadsheet!$B$3:$BI$3,F$10,PnL_Speadsheet!$B14:$BI14)/1000</f>
        <v>176.149947396394</v>
      </c>
      <c r="G21" s="381">
        <f ca="1">SUMIF(PnL_Speadsheet!$B$3:$BI$3,G$10,PnL_Speadsheet!$B14:$BI14)/1000</f>
        <v>9.5261898381782331</v>
      </c>
      <c r="H21" s="381">
        <f ca="1">SUMIF(PnL_Speadsheet!$B$3:$BI$3,H$10,PnL_Speadsheet!$B14:$BI14)/1000</f>
        <v>0</v>
      </c>
      <c r="I21" s="381">
        <f ca="1">SUMIF(PnL_Speadsheet!$B$3:$BI$3,I$10,PnL_Speadsheet!$B14:$BI14)/1000</f>
        <v>0</v>
      </c>
      <c r="J21" s="381">
        <f ca="1">SUMIF(PnL_Speadsheet!$B$3:$BI$3,J$10,PnL_Speadsheet!$B14:$BI14)/1000</f>
        <v>0</v>
      </c>
      <c r="K21" s="381">
        <f>SUMIF(PnL_Speadsheet!$B$3:$BI$3,K$10,PnL_Speadsheet!$B14:$BI14)/1000</f>
        <v>0</v>
      </c>
      <c r="M21" s="372"/>
      <c r="O21" s="372"/>
      <c r="Q21" s="369"/>
    </row>
    <row r="22" spans="1:32" s="345" customFormat="1" ht="13" x14ac:dyDescent="0.15">
      <c r="A22" s="344"/>
      <c r="C22" s="380" t="s">
        <v>484</v>
      </c>
      <c r="E22" s="377">
        <f t="shared" ca="1" si="4"/>
        <v>0</v>
      </c>
      <c r="F22" s="381">
        <f ca="1">SUMIF(PnL_Speadsheet!$B$3:$BI$3,F$10,PnL_Speadsheet!$B18:$BI18)/1000</f>
        <v>0</v>
      </c>
      <c r="G22" s="381">
        <f ca="1">SUMIF(PnL_Speadsheet!$B$3:$BI$3,G$10,PnL_Speadsheet!$B18:$BI18)/1000</f>
        <v>0</v>
      </c>
      <c r="H22" s="381">
        <f ca="1">SUMIF(PnL_Speadsheet!$B$3:$BI$3,H$10,PnL_Speadsheet!$B18:$BI18)/1000</f>
        <v>0</v>
      </c>
      <c r="I22" s="381">
        <f ca="1">SUMIF(PnL_Speadsheet!$B$3:$BI$3,I$10,PnL_Speadsheet!$B18:$BI18)/1000</f>
        <v>0</v>
      </c>
      <c r="J22" s="381">
        <f ca="1">SUMIF(PnL_Speadsheet!$B$3:$BI$3,J$10,PnL_Speadsheet!$B18:$BI18)/1000</f>
        <v>0</v>
      </c>
      <c r="K22" s="381">
        <f>SUMIF(PnL_Speadsheet!$B$3:$BI$3,K$10,PnL_Speadsheet!$B18:$BI18)/1000</f>
        <v>0</v>
      </c>
      <c r="M22" s="372"/>
      <c r="O22" s="372"/>
      <c r="Q22" s="369"/>
    </row>
    <row r="23" spans="1:32" s="349" customFormat="1" ht="13" x14ac:dyDescent="0.15">
      <c r="A23" s="348"/>
      <c r="C23" s="349" t="s">
        <v>233</v>
      </c>
      <c r="E23" s="378">
        <f ca="1">SUM(F23:O23)</f>
        <v>-448.97487350170485</v>
      </c>
      <c r="F23" s="374">
        <f ca="1">SUMIF(PnL_Speadsheet!$B$3:$BI$3,F$10,PnL_Speadsheet!$B31:$BI31)/1000</f>
        <v>-308.09718335893263</v>
      </c>
      <c r="G23" s="374">
        <f ca="1">SUMIF(PnL_Speadsheet!$B$3:$BI$3,G$10,PnL_Speadsheet!$B31:$BI31)/1000</f>
        <v>-138.00737521526065</v>
      </c>
      <c r="H23" s="374">
        <f ca="1">SUMIF(PnL_Speadsheet!$B$3:$BI$3,H$10,PnL_Speadsheet!$B31:$BI31)/1000</f>
        <v>-2.8703149275115614</v>
      </c>
      <c r="I23" s="374">
        <f ca="1">SUMIF(PnL_Speadsheet!$B$3:$BI$3,I$10,PnL_Speadsheet!$B31:$BI31)/1000</f>
        <v>0</v>
      </c>
      <c r="J23" s="374">
        <f ca="1">SUMIF(PnL_Speadsheet!$B$3:$BI$3,J$10,PnL_Speadsheet!$B31:$BI31)/1000</f>
        <v>0</v>
      </c>
      <c r="K23" s="374">
        <f>SUMIF(PnL_Speadsheet!$B$3:$BI$3,K$10,PnL_Speadsheet!$B31:$BI31)/1000</f>
        <v>0</v>
      </c>
      <c r="M23" s="368"/>
      <c r="O23" s="368"/>
      <c r="Q23" s="369"/>
    </row>
    <row r="24" spans="1:32" s="349" customFormat="1" ht="13" x14ac:dyDescent="0.15">
      <c r="A24" s="348"/>
      <c r="C24" s="349" t="s">
        <v>236</v>
      </c>
      <c r="E24" s="378">
        <f t="shared" ca="1" si="4"/>
        <v>-189.91672312765968</v>
      </c>
      <c r="F24" s="374">
        <f ca="1">SUMIF(PnL_Speadsheet!$B$3:$BI$3,F$10,PnL_Speadsheet!$B19:$BI19)/1000</f>
        <v>-151.889425138522</v>
      </c>
      <c r="G24" s="374">
        <f ca="1">SUMIF(PnL_Speadsheet!$B$3:$BI$3,G$10,PnL_Speadsheet!$B19:$BI19)/1000</f>
        <v>-37.337559883253284</v>
      </c>
      <c r="H24" s="374">
        <f ca="1">SUMIF(PnL_Speadsheet!$B$3:$BI$3,H$10,PnL_Speadsheet!$B19:$BI19)/1000</f>
        <v>-0.68973810588439755</v>
      </c>
      <c r="I24" s="374">
        <f ca="1">SUMIF(PnL_Speadsheet!$B$3:$BI$3,I$10,PnL_Speadsheet!$B19:$BI19)/1000</f>
        <v>0</v>
      </c>
      <c r="J24" s="374">
        <f ca="1">SUMIF(PnL_Speadsheet!$B$3:$BI$3,J$10,PnL_Speadsheet!$B19:$BI19)/1000</f>
        <v>0</v>
      </c>
      <c r="K24" s="374">
        <f>SUMIF(PnL_Speadsheet!$B$3:$BI$3,K$10,PnL_Speadsheet!$B19:$BI19)/1000</f>
        <v>0</v>
      </c>
      <c r="M24" s="368"/>
      <c r="O24" s="368"/>
      <c r="Q24" s="369"/>
    </row>
    <row r="25" spans="1:32" s="345" customFormat="1" ht="13" x14ac:dyDescent="0.15">
      <c r="A25" s="344"/>
      <c r="C25" s="380" t="s">
        <v>485</v>
      </c>
      <c r="E25" s="377">
        <f ca="1">SUM(F25:O25)</f>
        <v>-58.749776680299625</v>
      </c>
      <c r="F25" s="381">
        <f ca="1">(SUMIF(PnL_Speadsheet!$B$3:$BI$3,F$10,PnL_Speadsheet!$B21:$BI22)/1000+SUMIF(PnL_Speadsheet!$B$3:$BI$3,F$10,PnL_Speadsheet!$B22:$BI22)/1000)</f>
        <v>-84.406779928543784</v>
      </c>
      <c r="G25" s="381">
        <f ca="1">(SUMIF(PnL_Speadsheet!$B$3:$BI$3,G$10,PnL_Speadsheet!$B21:$BI22)/1000+SUMIF(PnL_Speadsheet!$B$3:$BI$3,G$10,PnL_Speadsheet!$B22:$BI22)/1000)</f>
        <v>25.619842647405896</v>
      </c>
      <c r="H25" s="381">
        <f ca="1">(SUMIF(PnL_Speadsheet!$B$3:$BI$3,H$10,PnL_Speadsheet!$B21:$BI22)/1000+SUMIF(PnL_Speadsheet!$B$3:$BI$3,H$10,PnL_Speadsheet!$B22:$BI22)/1000)</f>
        <v>3.7160600838261074E-2</v>
      </c>
      <c r="I25" s="381">
        <f ca="1">(SUMIF(PnL_Speadsheet!$B$3:$BI$3,I$10,PnL_Speadsheet!$B21:$BI22)/1000+SUMIF(PnL_Speadsheet!$B$3:$BI$3,I$10,PnL_Speadsheet!$B22:$BI22)/1000)</f>
        <v>0</v>
      </c>
      <c r="J25" s="381">
        <f ca="1">(SUMIF(PnL_Speadsheet!$B$3:$BI$3,J$10,PnL_Speadsheet!$B21:$BI22)/1000+SUMIF(PnL_Speadsheet!$B$3:$BI$3,J$10,PnL_Speadsheet!$B22:$BI22)/1000)</f>
        <v>0</v>
      </c>
      <c r="K25" s="381">
        <f>(SUMIF(PnL_Speadsheet!$B$3:$BI$3,K$10,PnL_Speadsheet!$B21:$BI22)/1000+SUMIF(PnL_Speadsheet!$B$3:$BI$3,K$10,PnL_Speadsheet!$B22:$BI22)/1000)</f>
        <v>0</v>
      </c>
      <c r="M25" s="372"/>
      <c r="O25" s="372"/>
      <c r="Q25" s="369"/>
    </row>
    <row r="26" spans="1:32" s="345" customFormat="1" ht="13" x14ac:dyDescent="0.15">
      <c r="A26" s="344"/>
      <c r="C26" s="380" t="s">
        <v>258</v>
      </c>
      <c r="E26" s="377">
        <f t="shared" ca="1" si="4"/>
        <v>-11.615043642766496</v>
      </c>
      <c r="F26" s="381">
        <f ca="1">SUMIF(PnL_Speadsheet!$B$3:$BI$3,F$10,PnL_Speadsheet!$B23:$BI23)/1000</f>
        <v>-11.615043642766496</v>
      </c>
      <c r="G26" s="381">
        <f ca="1">SUMIF(PnL_Speadsheet!$B$3:$BI$3,G$10,PnL_Speadsheet!$B23:$BI23)/1000</f>
        <v>0</v>
      </c>
      <c r="H26" s="381">
        <f ca="1">SUMIF(PnL_Speadsheet!$B$3:$BI$3,H$10,PnL_Speadsheet!$B23:$BI23)/1000</f>
        <v>0</v>
      </c>
      <c r="I26" s="381">
        <f ca="1">SUMIF(PnL_Speadsheet!$B$3:$BI$3,I$10,PnL_Speadsheet!$B23:$BI23)/1000</f>
        <v>0</v>
      </c>
      <c r="J26" s="381">
        <f ca="1">SUMIF(PnL_Speadsheet!$B$3:$BI$3,J$10,PnL_Speadsheet!$B23:$BI23)/1000</f>
        <v>0</v>
      </c>
      <c r="K26" s="381">
        <f>SUMIF(PnL_Speadsheet!$B$3:$BI$3,K$10,PnL_Speadsheet!$B23:$BI23)/1000</f>
        <v>0</v>
      </c>
      <c r="M26" s="372"/>
      <c r="O26" s="372"/>
      <c r="Q26" s="369"/>
    </row>
    <row r="27" spans="1:32" s="345" customFormat="1" ht="13" x14ac:dyDescent="0.15">
      <c r="A27" s="344"/>
      <c r="C27" s="380" t="s">
        <v>237</v>
      </c>
      <c r="E27" s="377">
        <f t="shared" ca="1" si="4"/>
        <v>-12.052544451295594</v>
      </c>
      <c r="F27" s="381">
        <f ca="1">SUMIF(PnL_Speadsheet!$B$3:$BI$3,F$10,PnL_Speadsheet!$B24:$BI24)/1000</f>
        <v>-12.052544451295594</v>
      </c>
      <c r="G27" s="381">
        <f ca="1">SUMIF(PnL_Speadsheet!$B$3:$BI$3,G$10,PnL_Speadsheet!$B24:$BI24)/1000</f>
        <v>0</v>
      </c>
      <c r="H27" s="381">
        <f ca="1">SUMIF(PnL_Speadsheet!$B$3:$BI$3,H$10,PnL_Speadsheet!$B24:$BI24)/1000</f>
        <v>0</v>
      </c>
      <c r="I27" s="381">
        <f ca="1">SUMIF(PnL_Speadsheet!$B$3:$BI$3,I$10,PnL_Speadsheet!$B24:$BI24)/1000</f>
        <v>0</v>
      </c>
      <c r="J27" s="381">
        <f ca="1">SUMIF(PnL_Speadsheet!$B$3:$BI$3,J$10,PnL_Speadsheet!$B24:$BI24)/1000</f>
        <v>0</v>
      </c>
      <c r="K27" s="381">
        <f>SUMIF(PnL_Speadsheet!$B$3:$BI$3,K$10,PnL_Speadsheet!$B24:$BI24)/1000</f>
        <v>0</v>
      </c>
      <c r="M27" s="372"/>
      <c r="O27" s="372"/>
      <c r="Q27" s="369"/>
    </row>
    <row r="28" spans="1:32" s="345" customFormat="1" ht="13" x14ac:dyDescent="0.15">
      <c r="A28" s="344"/>
      <c r="C28" s="380" t="s">
        <v>170</v>
      </c>
      <c r="E28" s="377">
        <f t="shared" ca="1" si="4"/>
        <v>-16.112382993093089</v>
      </c>
      <c r="F28" s="381">
        <f ca="1">SUMIF(PnL_Speadsheet!$B$3:$BI$3,F$10,PnL_Speadsheet!$B28:$BI28)/1000</f>
        <v>-6.0707411328357557</v>
      </c>
      <c r="G28" s="381">
        <f ca="1">SUMIF(PnL_Speadsheet!$B$3:$BI$3,G$10,PnL_Speadsheet!$B28:$BI28)/1000</f>
        <v>-9.3147431535346765</v>
      </c>
      <c r="H28" s="381">
        <f ca="1">SUMIF(PnL_Speadsheet!$B$3:$BI$3,H$10,PnL_Speadsheet!$B28:$BI28)/1000</f>
        <v>-0.72689870672265877</v>
      </c>
      <c r="I28" s="381">
        <f ca="1">SUMIF(PnL_Speadsheet!$B$3:$BI$3,I$10,PnL_Speadsheet!$B28:$BI28)/1000</f>
        <v>0</v>
      </c>
      <c r="J28" s="381">
        <f ca="1">SUMIF(PnL_Speadsheet!$B$3:$BI$3,J$10,PnL_Speadsheet!$B28:$BI28)/1000</f>
        <v>0</v>
      </c>
      <c r="K28" s="381">
        <f>SUMIF(PnL_Speadsheet!$B$3:$BI$3,K$10,PnL_Speadsheet!$B28:$BI28)/1000</f>
        <v>0</v>
      </c>
      <c r="M28" s="372"/>
      <c r="O28" s="372"/>
      <c r="Q28" s="369"/>
    </row>
    <row r="29" spans="1:32" s="345" customFormat="1" ht="13" x14ac:dyDescent="0.15">
      <c r="A29" s="344"/>
      <c r="C29" s="380" t="s">
        <v>486</v>
      </c>
      <c r="E29" s="377">
        <f t="shared" ca="1" si="4"/>
        <v>-1.7456581176544748</v>
      </c>
      <c r="F29" s="381">
        <f ca="1">SUMIF(PnL_Speadsheet!$B$3:$BI$3,F$10,PnL_Speadsheet!$B29:$BI29)/1000</f>
        <v>-0.7126347875988982</v>
      </c>
      <c r="G29" s="381">
        <f ca="1">SUMIF(PnL_Speadsheet!$B$3:$BI$3,G$10,PnL_Speadsheet!$B29:$BI29)/1000</f>
        <v>-1.0330233300555767</v>
      </c>
      <c r="H29" s="381">
        <f ca="1">SUMIF(PnL_Speadsheet!$B$3:$BI$3,H$10,PnL_Speadsheet!$B29:$BI29)/1000</f>
        <v>0</v>
      </c>
      <c r="I29" s="381">
        <f ca="1">SUMIF(PnL_Speadsheet!$B$3:$BI$3,I$10,PnL_Speadsheet!$B29:$BI29)/1000</f>
        <v>0</v>
      </c>
      <c r="J29" s="381">
        <f ca="1">SUMIF(PnL_Speadsheet!$B$3:$BI$3,J$10,PnL_Speadsheet!$B29:$BI29)/1000</f>
        <v>0</v>
      </c>
      <c r="K29" s="381">
        <f>SUMIF(PnL_Speadsheet!$B$3:$BI$3,K$10,PnL_Speadsheet!$B29:$BI29)/1000</f>
        <v>0</v>
      </c>
      <c r="M29" s="372"/>
      <c r="O29" s="372"/>
      <c r="Q29" s="369"/>
    </row>
    <row r="30" spans="1:32" s="345" customFormat="1" ht="13" x14ac:dyDescent="0.15">
      <c r="A30" s="344"/>
      <c r="C30" s="380" t="s">
        <v>272</v>
      </c>
      <c r="E30" s="377">
        <f t="shared" ca="1" si="4"/>
        <v>-89.6413172425504</v>
      </c>
      <c r="F30" s="381">
        <f ca="1">SUMIF(PnL_Speadsheet!$B$3:$BI$3,F$10,PnL_Speadsheet!$B30:$BI30)/1000</f>
        <v>-37.031681195481468</v>
      </c>
      <c r="G30" s="381">
        <f ca="1">SUMIF(PnL_Speadsheet!$B$3:$BI$3,G$10,PnL_Speadsheet!$B30:$BI30)/1000</f>
        <v>-52.609636047068932</v>
      </c>
      <c r="H30" s="381">
        <f ca="1">SUMIF(PnL_Speadsheet!$B$3:$BI$3,H$10,PnL_Speadsheet!$B30:$BI30)/1000</f>
        <v>0</v>
      </c>
      <c r="I30" s="381">
        <f ca="1">SUMIF(PnL_Speadsheet!$B$3:$BI$3,I$10,PnL_Speadsheet!$B30:$BI30)/1000</f>
        <v>0</v>
      </c>
      <c r="J30" s="381">
        <f ca="1">SUMIF(PnL_Speadsheet!$B$3:$BI$3,J$10,PnL_Speadsheet!$B30:$BI30)/1000</f>
        <v>0</v>
      </c>
      <c r="K30" s="381">
        <f>SUMIF(PnL_Speadsheet!$B$3:$BI$3,K$10,PnL_Speadsheet!$B30:$BI30)/1000</f>
        <v>0</v>
      </c>
      <c r="M30" s="372"/>
      <c r="O30" s="372"/>
      <c r="Q30" s="369"/>
    </row>
    <row r="31" spans="1:32" s="349" customFormat="1" ht="13" x14ac:dyDescent="0.15">
      <c r="A31" s="348"/>
      <c r="C31" s="349" t="s">
        <v>240</v>
      </c>
      <c r="E31" s="375">
        <f t="shared" ca="1" si="4"/>
        <v>75.615783386090555</v>
      </c>
      <c r="F31" s="375">
        <f ca="1">SUMIF(PnL_Speadsheet!$B$3:$BI$3,F$10,PnL_Speadsheet!$B32:$BI32)/1000</f>
        <v>55.757869259265846</v>
      </c>
      <c r="G31" s="375">
        <f ca="1">SUMIF(PnL_Speadsheet!$B$3:$BI$3,G$10,PnL_Speadsheet!$B32:$BI32)/1000</f>
        <v>23.730804845993692</v>
      </c>
      <c r="H31" s="375">
        <f ca="1">SUMIF(PnL_Speadsheet!$B$3:$BI$3,H$10,PnL_Speadsheet!$B32:$BI32)/1000</f>
        <v>-3.8728907191689808</v>
      </c>
      <c r="I31" s="375">
        <f ca="1">SUMIF(PnL_Speadsheet!$B$3:$BI$3,I$10,PnL_Speadsheet!$B32:$BI32)/1000</f>
        <v>0</v>
      </c>
      <c r="J31" s="375">
        <f ca="1">SUMIF(PnL_Speadsheet!$B$3:$BI$3,J$10,PnL_Speadsheet!$B32:$BI32)/1000</f>
        <v>0</v>
      </c>
      <c r="K31" s="375">
        <f>SUMIF(PnL_Speadsheet!$B$3:$BI$3,K$10,PnL_Speadsheet!$B32:$BI32)/1000</f>
        <v>0</v>
      </c>
      <c r="M31" s="368"/>
      <c r="O31" s="368"/>
      <c r="Q31" s="369"/>
    </row>
    <row r="32" spans="1:32" s="345" customFormat="1" ht="13" x14ac:dyDescent="0.15">
      <c r="A32" s="344"/>
      <c r="C32" s="345" t="s">
        <v>487</v>
      </c>
      <c r="E32" s="382">
        <f t="shared" ref="E32:K32" ca="1" si="5">E19+E23+SUM(E25:E29)</f>
        <v>165.25710062864093</v>
      </c>
      <c r="F32" s="382">
        <f t="shared" ca="1" si="5"/>
        <v>92.789550454747328</v>
      </c>
      <c r="G32" s="382">
        <f ca="1">G19+G23+SUM(G25:G29)</f>
        <v>76.340440893062677</v>
      </c>
      <c r="H32" s="382">
        <f t="shared" ca="1" si="5"/>
        <v>-3.8728907191689812</v>
      </c>
      <c r="I32" s="382">
        <f t="shared" ca="1" si="5"/>
        <v>0</v>
      </c>
      <c r="J32" s="382">
        <f t="shared" ca="1" si="5"/>
        <v>0</v>
      </c>
      <c r="K32" s="382">
        <f t="shared" si="5"/>
        <v>0</v>
      </c>
      <c r="M32" s="372"/>
      <c r="O32" s="372"/>
      <c r="Q32" s="369"/>
    </row>
    <row r="33" spans="3:17" x14ac:dyDescent="0.15">
      <c r="C33" s="383"/>
      <c r="D33" s="384"/>
      <c r="F33" s="384"/>
      <c r="H33" s="384"/>
      <c r="J33" s="384"/>
      <c r="L33" s="384"/>
      <c r="N33" s="384"/>
      <c r="P33" s="384"/>
      <c r="Q33" s="385"/>
    </row>
    <row r="34" spans="3:17" x14ac:dyDescent="0.15">
      <c r="D34" s="384"/>
    </row>
  </sheetData>
  <pageMargins left="0.7" right="0.7" top="0.75" bottom="0.75" header="0.3" footer="0.3"/>
  <pageSetup orientation="landscape"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0B4C8-EB5E-B347-B35A-A10D8EFBFE07}">
  <sheetPr>
    <tabColor theme="4" tint="0.59999389629810485"/>
  </sheetPr>
  <dimension ref="A1:BJ136"/>
  <sheetViews>
    <sheetView showGridLines="0" zoomScale="170" zoomScaleNormal="170" workbookViewId="0">
      <pane xSplit="1" ySplit="6" topLeftCell="C16" activePane="bottomRight" state="frozen"/>
      <selection activeCell="AD15" sqref="AD15"/>
      <selection pane="topRight" activeCell="AD15" sqref="AD15"/>
      <selection pane="bottomLeft" activeCell="AD15" sqref="AD15"/>
      <selection pane="bottomRight" activeCell="AD15" sqref="AD15"/>
    </sheetView>
  </sheetViews>
  <sheetFormatPr baseColWidth="10" defaultColWidth="9" defaultRowHeight="11" outlineLevelRow="1" x14ac:dyDescent="0.15"/>
  <cols>
    <col min="1" max="1" width="19.33203125" style="386" bestFit="1" customWidth="1"/>
    <col min="2" max="2" width="7.6640625" style="387" bestFit="1" customWidth="1"/>
    <col min="3" max="10" width="8.83203125" style="387" bestFit="1" customWidth="1"/>
    <col min="11" max="11" width="9.83203125" style="387" bestFit="1" customWidth="1"/>
    <col min="12" max="23" width="8.83203125" style="387" bestFit="1" customWidth="1"/>
    <col min="24" max="26" width="11.5" style="387" customWidth="1"/>
    <col min="27" max="30" width="8.83203125" style="387" bestFit="1" customWidth="1"/>
    <col min="31" max="36" width="8.33203125" style="387" bestFit="1" customWidth="1"/>
    <col min="37" max="37" width="8.33203125" style="387" customWidth="1"/>
    <col min="38" max="16384" width="9" style="387"/>
  </cols>
  <sheetData>
    <row r="1" spans="1:61" x14ac:dyDescent="0.15">
      <c r="A1" s="386" t="s">
        <v>488</v>
      </c>
      <c r="K1" s="388"/>
    </row>
    <row r="2" spans="1:61" x14ac:dyDescent="0.15">
      <c r="A2" s="386" t="s">
        <v>489</v>
      </c>
    </row>
    <row r="3" spans="1:61" x14ac:dyDescent="0.15">
      <c r="B3" s="389">
        <f t="shared" ref="B3:BI3" si="0">YEAR(B4)</f>
        <v>2025</v>
      </c>
      <c r="C3" s="389">
        <f t="shared" si="0"/>
        <v>2025</v>
      </c>
      <c r="D3" s="389">
        <f t="shared" si="0"/>
        <v>2025</v>
      </c>
      <c r="E3" s="389">
        <f t="shared" si="0"/>
        <v>2025</v>
      </c>
      <c r="F3" s="389">
        <f t="shared" si="0"/>
        <v>2025</v>
      </c>
      <c r="G3" s="389">
        <f t="shared" si="0"/>
        <v>2025</v>
      </c>
      <c r="H3" s="389">
        <f t="shared" si="0"/>
        <v>2025</v>
      </c>
      <c r="I3" s="389">
        <f t="shared" si="0"/>
        <v>2025</v>
      </c>
      <c r="J3" s="389">
        <f t="shared" si="0"/>
        <v>2025</v>
      </c>
      <c r="K3" s="389">
        <f t="shared" si="0"/>
        <v>2025</v>
      </c>
      <c r="L3" s="389">
        <f t="shared" si="0"/>
        <v>2025</v>
      </c>
      <c r="M3" s="389">
        <f t="shared" si="0"/>
        <v>2025</v>
      </c>
      <c r="N3" s="389">
        <f t="shared" si="0"/>
        <v>2026</v>
      </c>
      <c r="O3" s="389">
        <f t="shared" si="0"/>
        <v>2026</v>
      </c>
      <c r="P3" s="389">
        <f t="shared" si="0"/>
        <v>2026</v>
      </c>
      <c r="Q3" s="389">
        <f t="shared" si="0"/>
        <v>2026</v>
      </c>
      <c r="R3" s="389">
        <f t="shared" si="0"/>
        <v>2026</v>
      </c>
      <c r="S3" s="389">
        <f t="shared" si="0"/>
        <v>2026</v>
      </c>
      <c r="T3" s="389">
        <f t="shared" si="0"/>
        <v>2026</v>
      </c>
      <c r="U3" s="389">
        <f t="shared" si="0"/>
        <v>2026</v>
      </c>
      <c r="V3" s="389">
        <f t="shared" si="0"/>
        <v>2026</v>
      </c>
      <c r="W3" s="389">
        <f t="shared" si="0"/>
        <v>2026</v>
      </c>
      <c r="X3" s="389">
        <f t="shared" si="0"/>
        <v>2026</v>
      </c>
      <c r="Y3" s="389">
        <f t="shared" si="0"/>
        <v>2026</v>
      </c>
      <c r="Z3" s="389">
        <f t="shared" si="0"/>
        <v>2027</v>
      </c>
      <c r="AA3" s="389">
        <f t="shared" si="0"/>
        <v>2027</v>
      </c>
      <c r="AB3" s="389">
        <f t="shared" si="0"/>
        <v>2027</v>
      </c>
      <c r="AC3" s="389">
        <f t="shared" si="0"/>
        <v>2027</v>
      </c>
      <c r="AD3" s="389">
        <f t="shared" si="0"/>
        <v>2027</v>
      </c>
      <c r="AE3" s="389">
        <f t="shared" si="0"/>
        <v>2027</v>
      </c>
      <c r="AF3" s="389">
        <f t="shared" si="0"/>
        <v>2027</v>
      </c>
      <c r="AG3" s="389">
        <f t="shared" si="0"/>
        <v>2027</v>
      </c>
      <c r="AH3" s="389">
        <f t="shared" si="0"/>
        <v>2027</v>
      </c>
      <c r="AI3" s="389">
        <f t="shared" si="0"/>
        <v>2027</v>
      </c>
      <c r="AJ3" s="389">
        <f t="shared" si="0"/>
        <v>2027</v>
      </c>
      <c r="AK3" s="389">
        <f t="shared" si="0"/>
        <v>2027</v>
      </c>
      <c r="AL3" s="389">
        <f t="shared" si="0"/>
        <v>2028</v>
      </c>
      <c r="AM3" s="389">
        <f t="shared" si="0"/>
        <v>2028</v>
      </c>
      <c r="AN3" s="389">
        <f t="shared" si="0"/>
        <v>2028</v>
      </c>
      <c r="AO3" s="389">
        <f t="shared" si="0"/>
        <v>2028</v>
      </c>
      <c r="AP3" s="389">
        <f t="shared" si="0"/>
        <v>2028</v>
      </c>
      <c r="AQ3" s="389">
        <f t="shared" si="0"/>
        <v>2028</v>
      </c>
      <c r="AR3" s="389">
        <f t="shared" si="0"/>
        <v>2028</v>
      </c>
      <c r="AS3" s="389">
        <f t="shared" si="0"/>
        <v>2028</v>
      </c>
      <c r="AT3" s="389">
        <f t="shared" si="0"/>
        <v>2028</v>
      </c>
      <c r="AU3" s="389">
        <f t="shared" si="0"/>
        <v>2028</v>
      </c>
      <c r="AV3" s="389">
        <f t="shared" si="0"/>
        <v>2028</v>
      </c>
      <c r="AW3" s="389">
        <f t="shared" si="0"/>
        <v>2028</v>
      </c>
      <c r="AX3" s="389">
        <f t="shared" si="0"/>
        <v>2029</v>
      </c>
      <c r="AY3" s="389">
        <f t="shared" si="0"/>
        <v>2029</v>
      </c>
      <c r="AZ3" s="389">
        <f t="shared" si="0"/>
        <v>2029</v>
      </c>
      <c r="BA3" s="389">
        <f t="shared" si="0"/>
        <v>2029</v>
      </c>
      <c r="BB3" s="389">
        <f t="shared" si="0"/>
        <v>2029</v>
      </c>
      <c r="BC3" s="389">
        <f t="shared" si="0"/>
        <v>2029</v>
      </c>
      <c r="BD3" s="389">
        <f t="shared" si="0"/>
        <v>2029</v>
      </c>
      <c r="BE3" s="389">
        <f t="shared" si="0"/>
        <v>2029</v>
      </c>
      <c r="BF3" s="389">
        <f t="shared" si="0"/>
        <v>2029</v>
      </c>
      <c r="BG3" s="389">
        <f t="shared" si="0"/>
        <v>2029</v>
      </c>
      <c r="BH3" s="389">
        <f t="shared" si="0"/>
        <v>2029</v>
      </c>
      <c r="BI3" s="389">
        <f t="shared" si="0"/>
        <v>2029</v>
      </c>
    </row>
    <row r="4" spans="1:61" x14ac:dyDescent="0.15">
      <c r="A4" s="390" t="s">
        <v>470</v>
      </c>
      <c r="B4" s="391">
        <f>'Saleplan&amp;PnL'!D4</f>
        <v>45658</v>
      </c>
      <c r="C4" s="391">
        <f>'Saleplan&amp;PnL'!E4</f>
        <v>45716</v>
      </c>
      <c r="D4" s="391">
        <f>'Saleplan&amp;PnL'!F4</f>
        <v>45747</v>
      </c>
      <c r="E4" s="391">
        <f>'Saleplan&amp;PnL'!G4</f>
        <v>45777</v>
      </c>
      <c r="F4" s="391">
        <f>'Saleplan&amp;PnL'!H4</f>
        <v>45808</v>
      </c>
      <c r="G4" s="391">
        <f>'Saleplan&amp;PnL'!I4</f>
        <v>45838</v>
      </c>
      <c r="H4" s="391">
        <f>'Saleplan&amp;PnL'!J4</f>
        <v>45869</v>
      </c>
      <c r="I4" s="391">
        <f>'Saleplan&amp;PnL'!K4</f>
        <v>45900</v>
      </c>
      <c r="J4" s="391">
        <f>'Saleplan&amp;PnL'!L4</f>
        <v>45930</v>
      </c>
      <c r="K4" s="391">
        <f>'Saleplan&amp;PnL'!M4</f>
        <v>45961</v>
      </c>
      <c r="L4" s="391">
        <f>'Saleplan&amp;PnL'!N4</f>
        <v>45991</v>
      </c>
      <c r="M4" s="391">
        <f>'Saleplan&amp;PnL'!O4</f>
        <v>46022</v>
      </c>
      <c r="N4" s="391">
        <f>'Saleplan&amp;PnL'!P4</f>
        <v>46053</v>
      </c>
      <c r="O4" s="391">
        <f>'Saleplan&amp;PnL'!Q4</f>
        <v>46081</v>
      </c>
      <c r="P4" s="391">
        <f>'Saleplan&amp;PnL'!R4</f>
        <v>46112</v>
      </c>
      <c r="Q4" s="391">
        <f>'Saleplan&amp;PnL'!S4</f>
        <v>46142</v>
      </c>
      <c r="R4" s="391">
        <f>'Saleplan&amp;PnL'!T4</f>
        <v>46173</v>
      </c>
      <c r="S4" s="391">
        <f>'Saleplan&amp;PnL'!U4</f>
        <v>46203</v>
      </c>
      <c r="T4" s="391">
        <f>'Saleplan&amp;PnL'!V4</f>
        <v>46234</v>
      </c>
      <c r="U4" s="391">
        <f>'Saleplan&amp;PnL'!W4</f>
        <v>46265</v>
      </c>
      <c r="V4" s="391">
        <f>'Saleplan&amp;PnL'!X4</f>
        <v>46295</v>
      </c>
      <c r="W4" s="391">
        <f>'Saleplan&amp;PnL'!Y4</f>
        <v>46326</v>
      </c>
      <c r="X4" s="391">
        <f>'Saleplan&amp;PnL'!Z4</f>
        <v>46356</v>
      </c>
      <c r="Y4" s="391">
        <f>'Saleplan&amp;PnL'!AA4</f>
        <v>46387</v>
      </c>
      <c r="Z4" s="391">
        <f>'Saleplan&amp;PnL'!AB4</f>
        <v>46418</v>
      </c>
      <c r="AA4" s="391">
        <f>'Saleplan&amp;PnL'!AC4</f>
        <v>46446</v>
      </c>
      <c r="AB4" s="391">
        <f>'Saleplan&amp;PnL'!AD4</f>
        <v>46477</v>
      </c>
      <c r="AC4" s="391">
        <f>'Saleplan&amp;PnL'!AE4</f>
        <v>46507</v>
      </c>
      <c r="AD4" s="391">
        <f>'Saleplan&amp;PnL'!AF4</f>
        <v>46538</v>
      </c>
      <c r="AE4" s="391">
        <f>'Saleplan&amp;PnL'!AG4</f>
        <v>46568</v>
      </c>
      <c r="AF4" s="391">
        <f>'Saleplan&amp;PnL'!AH4</f>
        <v>46599</v>
      </c>
      <c r="AG4" s="391">
        <f>'Saleplan&amp;PnL'!AI4</f>
        <v>46630</v>
      </c>
      <c r="AH4" s="391">
        <f>'Saleplan&amp;PnL'!AJ4</f>
        <v>46660</v>
      </c>
      <c r="AI4" s="391">
        <f>'Saleplan&amp;PnL'!AK4</f>
        <v>46691</v>
      </c>
      <c r="AJ4" s="391">
        <f>'Saleplan&amp;PnL'!AL4</f>
        <v>46721</v>
      </c>
      <c r="AK4" s="391">
        <f>'Saleplan&amp;PnL'!AM4</f>
        <v>46752</v>
      </c>
      <c r="AL4" s="391">
        <f>'Saleplan&amp;PnL'!AN4</f>
        <v>46783</v>
      </c>
      <c r="AM4" s="391">
        <f>'Saleplan&amp;PnL'!AO4</f>
        <v>46812</v>
      </c>
      <c r="AN4" s="391">
        <f>'Saleplan&amp;PnL'!AP4</f>
        <v>46843</v>
      </c>
      <c r="AO4" s="391">
        <f>'Saleplan&amp;PnL'!AQ4</f>
        <v>46873</v>
      </c>
      <c r="AP4" s="391">
        <f>'Saleplan&amp;PnL'!AR4</f>
        <v>46904</v>
      </c>
      <c r="AQ4" s="391">
        <f>'Saleplan&amp;PnL'!AS4</f>
        <v>46934</v>
      </c>
      <c r="AR4" s="391">
        <f>'Saleplan&amp;PnL'!AT4</f>
        <v>46965</v>
      </c>
      <c r="AS4" s="391">
        <f>'Saleplan&amp;PnL'!AU4</f>
        <v>46996</v>
      </c>
      <c r="AT4" s="391">
        <f>'Saleplan&amp;PnL'!AV4</f>
        <v>47026</v>
      </c>
      <c r="AU4" s="391">
        <f>'Saleplan&amp;PnL'!AW4</f>
        <v>47057</v>
      </c>
      <c r="AV4" s="391">
        <f>'Saleplan&amp;PnL'!AX4</f>
        <v>47087</v>
      </c>
      <c r="AW4" s="391">
        <f>'Saleplan&amp;PnL'!AY4</f>
        <v>47118</v>
      </c>
      <c r="AX4" s="391">
        <f>'Saleplan&amp;PnL'!AZ4</f>
        <v>47149</v>
      </c>
      <c r="AY4" s="391">
        <f>'Saleplan&amp;PnL'!BA4</f>
        <v>47177</v>
      </c>
      <c r="AZ4" s="391">
        <f>'Saleplan&amp;PnL'!BB4</f>
        <v>47208</v>
      </c>
      <c r="BA4" s="391">
        <f>'Saleplan&amp;PnL'!BC4</f>
        <v>47238</v>
      </c>
      <c r="BB4" s="391">
        <f>'Saleplan&amp;PnL'!BD4</f>
        <v>47269</v>
      </c>
      <c r="BC4" s="391">
        <f>'Saleplan&amp;PnL'!BE4</f>
        <v>47299</v>
      </c>
      <c r="BD4" s="391">
        <f>'Saleplan&amp;PnL'!BF4</f>
        <v>47330</v>
      </c>
      <c r="BE4" s="391">
        <f>'Saleplan&amp;PnL'!BG4</f>
        <v>47361</v>
      </c>
      <c r="BF4" s="391">
        <f>'Saleplan&amp;PnL'!BH4</f>
        <v>47391</v>
      </c>
      <c r="BG4" s="391">
        <f>'Saleplan&amp;PnL'!BI4</f>
        <v>47422</v>
      </c>
      <c r="BH4" s="391">
        <f>'Saleplan&amp;PnL'!BJ4</f>
        <v>47452</v>
      </c>
      <c r="BI4" s="391">
        <f>'Saleplan&amp;PnL'!BK4</f>
        <v>47483</v>
      </c>
    </row>
    <row r="5" spans="1:61" s="386" customFormat="1" outlineLevel="1" x14ac:dyDescent="0.15">
      <c r="A5" s="392" t="s">
        <v>490</v>
      </c>
      <c r="B5" s="392">
        <v>1</v>
      </c>
      <c r="C5" s="392">
        <v>2</v>
      </c>
      <c r="D5" s="392">
        <v>3</v>
      </c>
      <c r="E5" s="392">
        <v>4</v>
      </c>
      <c r="F5" s="392">
        <v>5</v>
      </c>
      <c r="G5" s="392">
        <v>6</v>
      </c>
      <c r="H5" s="392">
        <v>7</v>
      </c>
      <c r="I5" s="392">
        <v>8</v>
      </c>
      <c r="J5" s="392">
        <v>9</v>
      </c>
      <c r="K5" s="392">
        <v>10</v>
      </c>
      <c r="L5" s="392">
        <v>11</v>
      </c>
      <c r="M5" s="392">
        <v>12</v>
      </c>
      <c r="N5" s="392">
        <v>13</v>
      </c>
      <c r="O5" s="392">
        <v>14</v>
      </c>
      <c r="P5" s="392">
        <v>15</v>
      </c>
      <c r="Q5" s="392">
        <v>16</v>
      </c>
      <c r="R5" s="392">
        <v>17</v>
      </c>
      <c r="S5" s="392">
        <v>18</v>
      </c>
      <c r="T5" s="392">
        <v>19</v>
      </c>
      <c r="U5" s="392">
        <v>20</v>
      </c>
      <c r="V5" s="392">
        <v>21</v>
      </c>
      <c r="W5" s="392">
        <v>22</v>
      </c>
      <c r="X5" s="392">
        <v>23</v>
      </c>
      <c r="Y5" s="392">
        <v>24</v>
      </c>
      <c r="Z5" s="392">
        <v>25</v>
      </c>
      <c r="AA5" s="392">
        <v>26</v>
      </c>
      <c r="AB5" s="392">
        <v>27</v>
      </c>
      <c r="AC5" s="392">
        <v>28</v>
      </c>
      <c r="AD5" s="392">
        <v>29</v>
      </c>
      <c r="AE5" s="392">
        <v>30</v>
      </c>
      <c r="AF5" s="392">
        <v>31</v>
      </c>
      <c r="AG5" s="392">
        <v>32</v>
      </c>
      <c r="AH5" s="392">
        <v>33</v>
      </c>
      <c r="AI5" s="392">
        <v>34</v>
      </c>
      <c r="AJ5" s="392">
        <v>35</v>
      </c>
      <c r="AK5" s="392">
        <v>36</v>
      </c>
      <c r="AL5" s="392">
        <f t="shared" ref="AL5:BI5" si="1">AK5+1</f>
        <v>37</v>
      </c>
      <c r="AM5" s="392">
        <f t="shared" si="1"/>
        <v>38</v>
      </c>
      <c r="AN5" s="392">
        <f t="shared" si="1"/>
        <v>39</v>
      </c>
      <c r="AO5" s="392">
        <f t="shared" si="1"/>
        <v>40</v>
      </c>
      <c r="AP5" s="392">
        <f t="shared" si="1"/>
        <v>41</v>
      </c>
      <c r="AQ5" s="392">
        <f t="shared" si="1"/>
        <v>42</v>
      </c>
      <c r="AR5" s="392">
        <f t="shared" si="1"/>
        <v>43</v>
      </c>
      <c r="AS5" s="392">
        <f t="shared" si="1"/>
        <v>44</v>
      </c>
      <c r="AT5" s="392">
        <f t="shared" si="1"/>
        <v>45</v>
      </c>
      <c r="AU5" s="392">
        <f t="shared" si="1"/>
        <v>46</v>
      </c>
      <c r="AV5" s="392">
        <f t="shared" si="1"/>
        <v>47</v>
      </c>
      <c r="AW5" s="392">
        <f t="shared" si="1"/>
        <v>48</v>
      </c>
      <c r="AX5" s="392">
        <f t="shared" si="1"/>
        <v>49</v>
      </c>
      <c r="AY5" s="392">
        <f t="shared" si="1"/>
        <v>50</v>
      </c>
      <c r="AZ5" s="392">
        <f t="shared" si="1"/>
        <v>51</v>
      </c>
      <c r="BA5" s="392">
        <f t="shared" si="1"/>
        <v>52</v>
      </c>
      <c r="BB5" s="392">
        <f t="shared" si="1"/>
        <v>53</v>
      </c>
      <c r="BC5" s="392">
        <f t="shared" si="1"/>
        <v>54</v>
      </c>
      <c r="BD5" s="392">
        <f t="shared" si="1"/>
        <v>55</v>
      </c>
      <c r="BE5" s="392">
        <f t="shared" si="1"/>
        <v>56</v>
      </c>
      <c r="BF5" s="392">
        <f t="shared" si="1"/>
        <v>57</v>
      </c>
      <c r="BG5" s="392">
        <f t="shared" si="1"/>
        <v>58</v>
      </c>
      <c r="BH5" s="392">
        <f t="shared" si="1"/>
        <v>59</v>
      </c>
      <c r="BI5" s="392">
        <f t="shared" si="1"/>
        <v>60</v>
      </c>
    </row>
    <row r="6" spans="1:61" x14ac:dyDescent="0.15">
      <c r="A6" s="387" t="s">
        <v>491</v>
      </c>
      <c r="K6" s="388"/>
    </row>
    <row r="7" spans="1:61" s="386" customFormat="1" x14ac:dyDescent="0.15">
      <c r="A7" s="386" t="s">
        <v>418</v>
      </c>
      <c r="B7" s="393" cm="1">
        <f t="array" aca="1" ref="B7" ca="1">SUMPRODUCT(B$55:B$114,TRANSPOSE(SAP_Speadsheet!$E$44:$BL$44))</f>
        <v>0</v>
      </c>
      <c r="C7" s="393" cm="1">
        <f t="array" aca="1" ref="C7" ca="1">SUMPRODUCT(C$55:C$114,TRANSPOSE(SAP_Speadsheet!$E$44:$BL$44))</f>
        <v>0</v>
      </c>
      <c r="D7" s="393" cm="1">
        <f t="array" aca="1" ref="D7" ca="1">SUMPRODUCT(D$55:D$114,TRANSPOSE(SAP_Speadsheet!$E$44:$BL$44))</f>
        <v>0</v>
      </c>
      <c r="E7" s="393" cm="1">
        <f t="array" aca="1" ref="E7" ca="1">SUMPRODUCT(E$55:E$114,TRANSPOSE(SAP_Speadsheet!$E$44:$BL$44))</f>
        <v>0</v>
      </c>
      <c r="F7" s="393" cm="1">
        <f t="array" aca="1" ref="F7" ca="1">SUMPRODUCT(F$55:F$114,TRANSPOSE(SAP_Speadsheet!$E$44:$BL$44))</f>
        <v>0</v>
      </c>
      <c r="G7" s="393" cm="1">
        <f t="array" aca="1" ref="G7" ca="1">SUMPRODUCT(G$55:G$114,TRANSPOSE(SAP_Speadsheet!$E$44:$BL$44))</f>
        <v>0</v>
      </c>
      <c r="H7" s="393" cm="1">
        <f t="array" aca="1" ref="H7" ca="1">SUMPRODUCT(H$55:H$114,TRANSPOSE(SAP_Speadsheet!$E$44:$BL$44))</f>
        <v>760843.51951939112</v>
      </c>
      <c r="I7" s="393" cm="1">
        <f t="array" aca="1" ref="I7" ca="1">SUMPRODUCT(I$55:I$114,TRANSPOSE(SAP_Speadsheet!$E$44:$BL$44))</f>
        <v>1387404.9949468919</v>
      </c>
      <c r="J7" s="393" cm="1">
        <f t="array" aca="1" ref="J7" ca="1">SUMPRODUCT(J$55:J$114,TRANSPOSE(SAP_Speadsheet!$E$44:$BL$44))</f>
        <v>2206208.8671682794</v>
      </c>
      <c r="K7" s="393" cm="1">
        <f t="array" aca="1" ref="K7" ca="1">SUMPRODUCT(K$55:K$114,TRANSPOSE(SAP_Speadsheet!$E$44:$BL$44))</f>
        <v>1985456.046214777</v>
      </c>
      <c r="L7" s="393" cm="1">
        <f t="array" aca="1" ref="L7" ca="1">SUMPRODUCT(L$55:L$114,TRANSPOSE(SAP_Speadsheet!$E$44:$BL$44))</f>
        <v>1793681.7474381179</v>
      </c>
      <c r="M7" s="393" cm="1">
        <f t="array" aca="1" ref="M7" ca="1">SUMPRODUCT(M$55:M$114,TRANSPOSE(SAP_Speadsheet!$E$44:$BL$44))</f>
        <v>1633267.5949859323</v>
      </c>
      <c r="N7" s="393" cm="1">
        <f t="array" aca="1" ref="N7" ca="1">SUMPRODUCT(N$55:N$114,TRANSPOSE(SAP_Speadsheet!$E$44:$BL$44))</f>
        <v>1479840.4229222126</v>
      </c>
      <c r="O7" s="393" cm="1">
        <f t="array" aca="1" ref="O7" ca="1">SUMPRODUCT(O$55:O$114,TRANSPOSE(SAP_Speadsheet!$E$44:$BL$44))</f>
        <v>1333186.9801196861</v>
      </c>
      <c r="P7" s="393" cm="1">
        <f t="array" aca="1" ref="P7" ca="1">SUMPRODUCT(P$55:P$114,TRANSPOSE(SAP_Speadsheet!$E$44:$BL$44))</f>
        <v>1193105.2274239121</v>
      </c>
      <c r="Q7" s="393" cm="1">
        <f t="array" aca="1" ref="Q7" ca="1">SUMPRODUCT(Q$55:Q$114,TRANSPOSE(SAP_Speadsheet!$E$44:$BL$44))</f>
        <v>1059347.7106499232</v>
      </c>
      <c r="R7" s="393" cm="1">
        <f t="array" aca="1" ref="R7" ca="1">SUMPRODUCT(R$55:R$114,TRANSPOSE(SAP_Speadsheet!$E$44:$BL$44))</f>
        <v>931797.06516113284</v>
      </c>
      <c r="S7" s="393" cm="1">
        <f t="array" aca="1" ref="S7" ca="1">SUMPRODUCT(S$55:S$114,TRANSPOSE(SAP_Speadsheet!$E$44:$BL$44))</f>
        <v>810406.47796100867</v>
      </c>
      <c r="T7" s="393" cm="1">
        <f t="array" aca="1" ref="T7" ca="1">SUMPRODUCT(T$55:T$114,TRANSPOSE(SAP_Speadsheet!$E$44:$BL$44))</f>
        <v>695028.06240295887</v>
      </c>
      <c r="U7" s="393" cm="1">
        <f t="array" aca="1" ref="U7" ca="1">SUMPRODUCT(U$55:U$114,TRANSPOSE(SAP_Speadsheet!$E$44:$BL$44))</f>
        <v>584518.44186305208</v>
      </c>
      <c r="V7" s="393" cm="1">
        <f t="array" aca="1" ref="V7" ca="1">SUMPRODUCT(V$55:V$114,TRANSPOSE(SAP_Speadsheet!$E$44:$BL$44))</f>
        <v>509070.95100875729</v>
      </c>
      <c r="W7" s="393" cm="1">
        <f t="array" aca="1" ref="W7" ca="1">SUMPRODUCT(W$55:W$114,TRANSPOSE(SAP_Speadsheet!$E$44:$BL$44))</f>
        <v>465110.60583108815</v>
      </c>
      <c r="X7" s="393" cm="1">
        <f t="array" aca="1" ref="X7" ca="1">SUMPRODUCT(X$55:X$114,TRANSPOSE(SAP_Speadsheet!$E$44:$BL$44))</f>
        <v>462729.6254385669</v>
      </c>
      <c r="Y7" s="393" cm="1">
        <f t="array" aca="1" ref="Y7" ca="1">SUMPRODUCT(Y$55:Y$114,TRANSPOSE(SAP_Speadsheet!$E$44:$BL$44))</f>
        <v>461604.10968145425</v>
      </c>
      <c r="Z7" s="393" cm="1">
        <f t="array" aca="1" ref="Z7" ca="1">SUMPRODUCT(Z$55:Z$114,TRANSPOSE(SAP_Speadsheet!$E$44:$BL$44))</f>
        <v>460906.87280464621</v>
      </c>
      <c r="AA7" s="393" cm="1">
        <f t="array" aca="1" ref="AA7" ca="1">SUMPRODUCT(AA$55:AA$114,TRANSPOSE(SAP_Speadsheet!$E$44:$BL$44))</f>
        <v>460460.5789615325</v>
      </c>
      <c r="AB7" s="393" cm="1">
        <f t="array" aca="1" ref="AB7" ca="1">SUMPRODUCT(AB$55:AB$114,TRANSPOSE(SAP_Speadsheet!$E$44:$BL$44))</f>
        <v>316290.91832582001</v>
      </c>
      <c r="AC7" s="393" cm="1">
        <f t="array" aca="1" ref="AC7" ca="1">SUMPRODUCT(AC$55:AC$114,TRANSPOSE(SAP_Speadsheet!$E$44:$BL$44))</f>
        <v>182705.22349564961</v>
      </c>
      <c r="AD7" s="393" cm="1">
        <f t="array" aca="1" ref="AD7" ca="1">SUMPRODUCT(AD$55:AD$114,TRANSPOSE(SAP_Speadsheet!$E$44:$BL$44))</f>
        <v>0</v>
      </c>
      <c r="AE7" s="393" cm="1">
        <f t="array" aca="1" ref="AE7" ca="1">SUMPRODUCT(AE$55:AE$114,TRANSPOSE(SAP_Speadsheet!$E$44:$BL$44))</f>
        <v>0</v>
      </c>
      <c r="AF7" s="393" cm="1">
        <f t="array" aca="1" ref="AF7" ca="1">SUMPRODUCT(AF$55:AF$114,TRANSPOSE(SAP_Speadsheet!$E$44:$BL$44))</f>
        <v>0</v>
      </c>
      <c r="AG7" s="393" cm="1">
        <f t="array" aca="1" ref="AG7" ca="1">SUMPRODUCT(AG$55:AG$114,TRANSPOSE(SAP_Speadsheet!$E$44:$BL$44))</f>
        <v>0</v>
      </c>
      <c r="AH7" s="393" cm="1">
        <f t="array" aca="1" ref="AH7" ca="1">SUMPRODUCT(AH$55:AH$114,TRANSPOSE(SAP_Speadsheet!$E$44:$BL$44))</f>
        <v>0</v>
      </c>
      <c r="AI7" s="393" cm="1">
        <f t="array" aca="1" ref="AI7" ca="1">SUMPRODUCT(AI$55:AI$114,TRANSPOSE(SAP_Speadsheet!$E$44:$BL$44))</f>
        <v>0</v>
      </c>
      <c r="AJ7" s="393" cm="1">
        <f t="array" aca="1" ref="AJ7" ca="1">SUMPRODUCT(AJ$55:AJ$114,TRANSPOSE(SAP_Speadsheet!$E$44:$BL$44))</f>
        <v>0</v>
      </c>
      <c r="AK7" s="393" cm="1">
        <f t="array" aca="1" ref="AK7" ca="1">SUMPRODUCT(AK$55:AK$114,TRANSPOSE(SAP_Speadsheet!$E$44:$BL$44))</f>
        <v>0</v>
      </c>
      <c r="AL7" s="393" cm="1">
        <f t="array" aca="1" ref="AL7" ca="1">SUMPRODUCT(AL$55:AL$114,TRANSPOSE(SAP_Speadsheet!$E$44:$BL$44))</f>
        <v>0</v>
      </c>
      <c r="AM7" s="393" cm="1">
        <f t="array" aca="1" ref="AM7" ca="1">SUMPRODUCT(AM$55:AM$114,TRANSPOSE(SAP_Speadsheet!$E$44:$BL$44))</f>
        <v>0</v>
      </c>
      <c r="AN7" s="393" cm="1">
        <f t="array" aca="1" ref="AN7" ca="1">SUMPRODUCT(AN$55:AN$114,TRANSPOSE(SAP_Speadsheet!$E$44:$BL$44))</f>
        <v>0</v>
      </c>
      <c r="AO7" s="393" cm="1">
        <f t="array" aca="1" ref="AO7" ca="1">SUMPRODUCT(AO$55:AO$114,TRANSPOSE(SAP_Speadsheet!$E$44:$BL$44))</f>
        <v>0</v>
      </c>
      <c r="AP7" s="393" cm="1">
        <f t="array" aca="1" ref="AP7" ca="1">SUMPRODUCT(AP$55:AP$114,TRANSPOSE(SAP_Speadsheet!$E$44:$BL$44))</f>
        <v>0</v>
      </c>
      <c r="AQ7" s="393" cm="1">
        <f t="array" aca="1" ref="AQ7" ca="1">SUMPRODUCT(AQ$55:AQ$114,TRANSPOSE(SAP_Speadsheet!$E$44:$BL$44))</f>
        <v>0</v>
      </c>
      <c r="AR7" s="393" cm="1">
        <f t="array" aca="1" ref="AR7" ca="1">SUMPRODUCT(AR$55:AR$114,TRANSPOSE(SAP_Speadsheet!$E$44:$BL$44))</f>
        <v>0</v>
      </c>
      <c r="AS7" s="393" cm="1">
        <f t="array" aca="1" ref="AS7" ca="1">SUMPRODUCT(AS$55:AS$114,TRANSPOSE(SAP_Speadsheet!$E$44:$BL$44))</f>
        <v>0</v>
      </c>
      <c r="AT7" s="393" cm="1">
        <f t="array" aca="1" ref="AT7" ca="1">SUMPRODUCT(AT$55:AT$114,TRANSPOSE(SAP_Speadsheet!$E$44:$BL$44))</f>
        <v>0</v>
      </c>
      <c r="AU7" s="393" cm="1">
        <f t="array" aca="1" ref="AU7" ca="1">SUMPRODUCT(AU$55:AU$114,TRANSPOSE(SAP_Speadsheet!$E$44:$BL$44))</f>
        <v>0</v>
      </c>
      <c r="AV7" s="393" cm="1">
        <f t="array" aca="1" ref="AV7" ca="1">SUMPRODUCT(AV$55:AV$114,TRANSPOSE(SAP_Speadsheet!$E$44:$BL$44))</f>
        <v>0</v>
      </c>
      <c r="AW7" s="393" cm="1">
        <f t="array" aca="1" ref="AW7" ca="1">SUMPRODUCT(AW$55:AW$114,TRANSPOSE(SAP_Speadsheet!$E$44:$BL$44))</f>
        <v>0</v>
      </c>
      <c r="AX7" s="393" cm="1">
        <f t="array" aca="1" ref="AX7" ca="1">SUMPRODUCT(AX$55:AX$114,TRANSPOSE(SAP_Speadsheet!$E$44:$BL$44))</f>
        <v>0</v>
      </c>
      <c r="AY7" s="393" cm="1">
        <f t="array" aca="1" ref="AY7" ca="1">SUMPRODUCT(AY$55:AY$114,TRANSPOSE(SAP_Speadsheet!$E$44:$BL$44))</f>
        <v>0</v>
      </c>
      <c r="AZ7" s="393" cm="1">
        <f t="array" aca="1" ref="AZ7" ca="1">SUMPRODUCT(AZ$55:AZ$114,TRANSPOSE(SAP_Speadsheet!$E$44:$BL$44))</f>
        <v>0</v>
      </c>
      <c r="BA7" s="393" cm="1">
        <f t="array" aca="1" ref="BA7" ca="1">SUMPRODUCT(BA$55:BA$114,TRANSPOSE(SAP_Speadsheet!$E$44:$BL$44))</f>
        <v>0</v>
      </c>
      <c r="BB7" s="393" cm="1">
        <f t="array" aca="1" ref="BB7" ca="1">SUMPRODUCT(BB$55:BB$114,TRANSPOSE(SAP_Speadsheet!$E$44:$BL$44))</f>
        <v>0</v>
      </c>
      <c r="BC7" s="393" cm="1">
        <f t="array" aca="1" ref="BC7" ca="1">SUMPRODUCT(BC$55:BC$114,TRANSPOSE(SAP_Speadsheet!$E$44:$BL$44))</f>
        <v>0</v>
      </c>
      <c r="BD7" s="393" cm="1">
        <f t="array" aca="1" ref="BD7" ca="1">SUMPRODUCT(BD$55:BD$114,TRANSPOSE(SAP_Speadsheet!$E$44:$BL$44))</f>
        <v>0</v>
      </c>
      <c r="BE7" s="393" cm="1">
        <f t="array" aca="1" ref="BE7" ca="1">SUMPRODUCT(BE$55:BE$114,TRANSPOSE(SAP_Speadsheet!$E$44:$BL$44))</f>
        <v>0</v>
      </c>
      <c r="BF7" s="393" cm="1">
        <f t="array" aca="1" ref="BF7" ca="1">SUMPRODUCT(BF$55:BF$114,TRANSPOSE(SAP_Speadsheet!$E$44:$BL$44))</f>
        <v>0</v>
      </c>
      <c r="BG7" s="393" cm="1">
        <f t="array" aca="1" ref="BG7" ca="1">SUMPRODUCT(BG$55:BG$114,TRANSPOSE(SAP_Speadsheet!$E$44:$BL$44))</f>
        <v>0</v>
      </c>
      <c r="BH7" s="393" cm="1">
        <f t="array" aca="1" ref="BH7" ca="1">SUMPRODUCT(BH$55:BH$114,TRANSPOSE(SAP_Speadsheet!$E$44:$BL$44))</f>
        <v>0</v>
      </c>
      <c r="BI7" s="393" cm="1">
        <f t="array" aca="1" ref="BI7" ca="1">SUMPRODUCT(BI$55:BI$114,TRANSPOSE(SAP_Speadsheet!$E$44:$BL$44))</f>
        <v>0</v>
      </c>
    </row>
    <row r="8" spans="1:61" s="386" customFormat="1" x14ac:dyDescent="0.15">
      <c r="A8" s="386" t="s">
        <v>228</v>
      </c>
      <c r="B8" s="393" cm="1">
        <f t="array" aca="1" ref="B8" ca="1">SUMPRODUCT(B$55:B$114,TRANSPOSE(SAP_Speadsheet!$E$50:$BL$50))</f>
        <v>0</v>
      </c>
      <c r="C8" s="393" cm="1">
        <f t="array" aca="1" ref="C8" ca="1">SUMPRODUCT(C$55:C$114,TRANSPOSE(SAP_Speadsheet!$E$50:$BL$50))</f>
        <v>0</v>
      </c>
      <c r="D8" s="393" cm="1">
        <f t="array" aca="1" ref="D8" ca="1">SUMPRODUCT(D$55:D$114,TRANSPOSE(SAP_Speadsheet!$E$50:$BL$50))</f>
        <v>0</v>
      </c>
      <c r="E8" s="393" cm="1">
        <f t="array" aca="1" ref="E8" ca="1">SUMPRODUCT(E$55:E$114,TRANSPOSE(SAP_Speadsheet!$E$50:$BL$50))</f>
        <v>0</v>
      </c>
      <c r="F8" s="393" cm="1">
        <f t="array" aca="1" ref="F8" ca="1">SUMPRODUCT(F$55:F$114,TRANSPOSE(SAP_Speadsheet!$E$50:$BL$50))</f>
        <v>0</v>
      </c>
      <c r="G8" s="393" cm="1">
        <f t="array" aca="1" ref="G8" ca="1">SUMPRODUCT(G$55:G$114,TRANSPOSE(SAP_Speadsheet!$E$50:$BL$50))</f>
        <v>0</v>
      </c>
      <c r="H8" s="393" cm="1">
        <f t="array" aca="1" ref="H8" ca="1">SUMPRODUCT(H$55:H$114,TRANSPOSE(SAP_Speadsheet!$E$50:$BL$50))</f>
        <v>837321.24107526056</v>
      </c>
      <c r="I8" s="393" cm="1">
        <f t="array" aca="1" ref="I8" ca="1">SUMPRODUCT(I$55:I$114,TRANSPOSE(SAP_Speadsheet!$E$50:$BL$50))</f>
        <v>1497848.370757008</v>
      </c>
      <c r="J8" s="393" cm="1">
        <f t="array" aca="1" ref="J8" ca="1">SUMPRODUCT(J$55:J$114,TRANSPOSE(SAP_Speadsheet!$E$50:$BL$50))</f>
        <v>2376716.5666381023</v>
      </c>
      <c r="K8" s="393" cm="1">
        <f t="array" aca="1" ref="K8" ca="1">SUMPRODUCT(K$55:K$114,TRANSPOSE(SAP_Speadsheet!$E$50:$BL$50))</f>
        <v>2095832.4566915277</v>
      </c>
      <c r="L8" s="393" cm="1">
        <f t="array" aca="1" ref="L8" ca="1">SUMPRODUCT(L$55:L$114,TRANSPOSE(SAP_Speadsheet!$E$50:$BL$50))</f>
        <v>1889568.8968264475</v>
      </c>
      <c r="M8" s="393" cm="1">
        <f t="array" aca="1" ref="M8" ca="1">SUMPRODUCT(M$55:M$114,TRANSPOSE(SAP_Speadsheet!$E$50:$BL$50))</f>
        <v>1713474.6712120252</v>
      </c>
      <c r="N8" s="393" cm="1">
        <f t="array" aca="1" ref="N8" ca="1">SUMPRODUCT(N$55:N$114,TRANSPOSE(SAP_Speadsheet!$E$50:$BL$50))</f>
        <v>1556554.0089540724</v>
      </c>
      <c r="O8" s="393" cm="1">
        <f t="array" aca="1" ref="O8" ca="1">SUMPRODUCT(O$55:O$114,TRANSPOSE(SAP_Speadsheet!$E$50:$BL$50))</f>
        <v>1393403.1361447023</v>
      </c>
      <c r="P8" s="393" cm="1">
        <f t="array" aca="1" ref="P8" ca="1">SUMPRODUCT(P$55:P$114,TRANSPOSE(SAP_Speadsheet!$E$50:$BL$50))</f>
        <v>1214518.9368432106</v>
      </c>
      <c r="Q8" s="393" cm="1">
        <f t="array" aca="1" ref="Q8" ca="1">SUMPRODUCT(Q$55:Q$114,TRANSPOSE(SAP_Speadsheet!$E$50:$BL$50))</f>
        <v>1020238.3622981136</v>
      </c>
      <c r="R8" s="393" cm="1">
        <f t="array" aca="1" ref="R8" ca="1">SUMPRODUCT(R$55:R$114,TRANSPOSE(SAP_Speadsheet!$E$50:$BL$50))</f>
        <v>825932.80688930384</v>
      </c>
      <c r="S8" s="393" cm="1">
        <f t="array" aca="1" ref="S8" ca="1">SUMPRODUCT(S$55:S$114,TRANSPOSE(SAP_Speadsheet!$E$50:$BL$50))</f>
        <v>648042.04444114107</v>
      </c>
      <c r="T8" s="393" cm="1">
        <f t="array" aca="1" ref="T8" ca="1">SUMPRODUCT(T$55:T$114,TRANSPOSE(SAP_Speadsheet!$E$50:$BL$50))</f>
        <v>483619.80102732364</v>
      </c>
      <c r="U8" s="393" cm="1">
        <f t="array" aca="1" ref="U8" ca="1">SUMPRODUCT(U$55:U$114,TRANSPOSE(SAP_Speadsheet!$E$50:$BL$50))</f>
        <v>330910.20594606875</v>
      </c>
      <c r="V8" s="393" cm="1">
        <f t="array" aca="1" ref="V8" ca="1">SUMPRODUCT(V$55:V$114,TRANSPOSE(SAP_Speadsheet!$E$50:$BL$50))</f>
        <v>203693.04259634472</v>
      </c>
      <c r="W8" s="393" cm="1">
        <f t="array" aca="1" ref="W8" ca="1">SUMPRODUCT(W$55:W$114,TRANSPOSE(SAP_Speadsheet!$E$50:$BL$50))</f>
        <v>114893.9989851077</v>
      </c>
      <c r="X8" s="393" cm="1">
        <f t="array" aca="1" ref="X8" ca="1">SUMPRODUCT(X$55:X$114,TRANSPOSE(SAP_Speadsheet!$E$50:$BL$50))</f>
        <v>67406.438258917973</v>
      </c>
      <c r="Y8" s="393" cm="1">
        <f t="array" aca="1" ref="Y8" ca="1">SUMPRODUCT(Y$55:Y$114,TRANSPOSE(SAP_Speadsheet!$E$50:$BL$50))</f>
        <v>45777.531980250933</v>
      </c>
      <c r="Z8" s="393" cm="1">
        <f t="array" aca="1" ref="Z8" ca="1">SUMPRODUCT(Z$55:Z$114,TRANSPOSE(SAP_Speadsheet!$E$50:$BL$50))</f>
        <v>29132.92386816314</v>
      </c>
      <c r="AA8" s="393" cm="1">
        <f t="array" aca="1" ref="AA8" ca="1">SUMPRODUCT(AA$55:AA$114,TRANSPOSE(SAP_Speadsheet!$E$50:$BL$50))</f>
        <v>16207.045800084281</v>
      </c>
      <c r="AB8" s="393" cm="1">
        <f t="array" aca="1" ref="AB8" ca="1">SUMPRODUCT(AB$55:AB$114,TRANSPOSE(SAP_Speadsheet!$E$50:$BL$50))</f>
        <v>7132.5913470173355</v>
      </c>
      <c r="AC8" s="393" cm="1">
        <f t="array" aca="1" ref="AC8" ca="1">SUMPRODUCT(AC$55:AC$114,TRANSPOSE(SAP_Speadsheet!$E$50:$BL$50))</f>
        <v>1884.4266959187378</v>
      </c>
      <c r="AD8" s="393" cm="1">
        <f t="array" aca="1" ref="AD8" ca="1">SUMPRODUCT(AD$55:AD$114,TRANSPOSE(SAP_Speadsheet!$E$50:$BL$50))</f>
        <v>0</v>
      </c>
      <c r="AE8" s="393" cm="1">
        <f t="array" aca="1" ref="AE8" ca="1">SUMPRODUCT(AE$55:AE$114,TRANSPOSE(SAP_Speadsheet!$E$50:$BL$50))</f>
        <v>0</v>
      </c>
      <c r="AF8" s="393" cm="1">
        <f t="array" aca="1" ref="AF8" ca="1">SUMPRODUCT(AF$55:AF$114,TRANSPOSE(SAP_Speadsheet!$E$50:$BL$50))</f>
        <v>0</v>
      </c>
      <c r="AG8" s="393" cm="1">
        <f t="array" aca="1" ref="AG8" ca="1">SUMPRODUCT(AG$55:AG$114,TRANSPOSE(SAP_Speadsheet!$E$50:$BL$50))</f>
        <v>0</v>
      </c>
      <c r="AH8" s="393" cm="1">
        <f t="array" aca="1" ref="AH8" ca="1">SUMPRODUCT(AH$55:AH$114,TRANSPOSE(SAP_Speadsheet!$E$50:$BL$50))</f>
        <v>0</v>
      </c>
      <c r="AI8" s="393" cm="1">
        <f t="array" aca="1" ref="AI8" ca="1">SUMPRODUCT(AI$55:AI$114,TRANSPOSE(SAP_Speadsheet!$E$50:$BL$50))</f>
        <v>0</v>
      </c>
      <c r="AJ8" s="393" cm="1">
        <f t="array" aca="1" ref="AJ8" ca="1">SUMPRODUCT(AJ$55:AJ$114,TRANSPOSE(SAP_Speadsheet!$E$50:$BL$50))</f>
        <v>0</v>
      </c>
      <c r="AK8" s="393" cm="1">
        <f t="array" aca="1" ref="AK8" ca="1">SUMPRODUCT(AK$55:AK$114,TRANSPOSE(SAP_Speadsheet!$E$50:$BL$50))</f>
        <v>0</v>
      </c>
      <c r="AL8" s="393" cm="1">
        <f t="array" aca="1" ref="AL8" ca="1">SUMPRODUCT(AL$55:AL$114,TRANSPOSE(SAP_Speadsheet!$E$50:$BL$50))</f>
        <v>0</v>
      </c>
      <c r="AM8" s="393" cm="1">
        <f t="array" aca="1" ref="AM8" ca="1">SUMPRODUCT(AM$55:AM$114,TRANSPOSE(SAP_Speadsheet!$E$50:$BL$50))</f>
        <v>0</v>
      </c>
      <c r="AN8" s="393" cm="1">
        <f t="array" aca="1" ref="AN8" ca="1">SUMPRODUCT(AN$55:AN$114,TRANSPOSE(SAP_Speadsheet!$E$50:$BL$50))</f>
        <v>0</v>
      </c>
      <c r="AO8" s="393" cm="1">
        <f t="array" aca="1" ref="AO8" ca="1">SUMPRODUCT(AO$55:AO$114,TRANSPOSE(SAP_Speadsheet!$E$50:$BL$50))</f>
        <v>0</v>
      </c>
      <c r="AP8" s="393" cm="1">
        <f t="array" aca="1" ref="AP8" ca="1">SUMPRODUCT(AP$55:AP$114,TRANSPOSE(SAP_Speadsheet!$E$50:$BL$50))</f>
        <v>0</v>
      </c>
      <c r="AQ8" s="393" cm="1">
        <f t="array" aca="1" ref="AQ8" ca="1">SUMPRODUCT(AQ$55:AQ$114,TRANSPOSE(SAP_Speadsheet!$E$50:$BL$50))</f>
        <v>0</v>
      </c>
      <c r="AR8" s="393" cm="1">
        <f t="array" aca="1" ref="AR8" ca="1">SUMPRODUCT(AR$55:AR$114,TRANSPOSE(SAP_Speadsheet!$E$50:$BL$50))</f>
        <v>0</v>
      </c>
      <c r="AS8" s="393" cm="1">
        <f t="array" aca="1" ref="AS8" ca="1">SUMPRODUCT(AS$55:AS$114,TRANSPOSE(SAP_Speadsheet!$E$50:$BL$50))</f>
        <v>0</v>
      </c>
      <c r="AT8" s="393" cm="1">
        <f t="array" aca="1" ref="AT8" ca="1">SUMPRODUCT(AT$55:AT$114,TRANSPOSE(SAP_Speadsheet!$E$50:$BL$50))</f>
        <v>0</v>
      </c>
      <c r="AU8" s="393" cm="1">
        <f t="array" aca="1" ref="AU8" ca="1">SUMPRODUCT(AU$55:AU$114,TRANSPOSE(SAP_Speadsheet!$E$50:$BL$50))</f>
        <v>0</v>
      </c>
      <c r="AV8" s="393" cm="1">
        <f t="array" aca="1" ref="AV8" ca="1">SUMPRODUCT(AV$55:AV$114,TRANSPOSE(SAP_Speadsheet!$E$50:$BL$50))</f>
        <v>0</v>
      </c>
      <c r="AW8" s="393" cm="1">
        <f t="array" aca="1" ref="AW8" ca="1">SUMPRODUCT(AW$55:AW$114,TRANSPOSE(SAP_Speadsheet!$E$50:$BL$50))</f>
        <v>0</v>
      </c>
      <c r="AX8" s="393" cm="1">
        <f t="array" aca="1" ref="AX8" ca="1">SUMPRODUCT(AX$55:AX$114,TRANSPOSE(SAP_Speadsheet!$E$50:$BL$50))</f>
        <v>0</v>
      </c>
      <c r="AY8" s="393" cm="1">
        <f t="array" aca="1" ref="AY8" ca="1">SUMPRODUCT(AY$55:AY$114,TRANSPOSE(SAP_Speadsheet!$E$50:$BL$50))</f>
        <v>0</v>
      </c>
      <c r="AZ8" s="393" cm="1">
        <f t="array" aca="1" ref="AZ8" ca="1">SUMPRODUCT(AZ$55:AZ$114,TRANSPOSE(SAP_Speadsheet!$E$50:$BL$50))</f>
        <v>0</v>
      </c>
      <c r="BA8" s="393" cm="1">
        <f t="array" aca="1" ref="BA8" ca="1">SUMPRODUCT(BA$55:BA$114,TRANSPOSE(SAP_Speadsheet!$E$50:$BL$50))</f>
        <v>0</v>
      </c>
      <c r="BB8" s="393" cm="1">
        <f t="array" aca="1" ref="BB8" ca="1">SUMPRODUCT(BB$55:BB$114,TRANSPOSE(SAP_Speadsheet!$E$50:$BL$50))</f>
        <v>0</v>
      </c>
      <c r="BC8" s="393" cm="1">
        <f t="array" aca="1" ref="BC8" ca="1">SUMPRODUCT(BC$55:BC$114,TRANSPOSE(SAP_Speadsheet!$E$50:$BL$50))</f>
        <v>0</v>
      </c>
      <c r="BD8" s="393" cm="1">
        <f t="array" aca="1" ref="BD8" ca="1">SUMPRODUCT(BD$55:BD$114,TRANSPOSE(SAP_Speadsheet!$E$50:$BL$50))</f>
        <v>0</v>
      </c>
      <c r="BE8" s="393" cm="1">
        <f t="array" aca="1" ref="BE8" ca="1">SUMPRODUCT(BE$55:BE$114,TRANSPOSE(SAP_Speadsheet!$E$50:$BL$50))</f>
        <v>0</v>
      </c>
      <c r="BF8" s="393" cm="1">
        <f t="array" aca="1" ref="BF8" ca="1">SUMPRODUCT(BF$55:BF$114,TRANSPOSE(SAP_Speadsheet!$E$50:$BL$50))</f>
        <v>0</v>
      </c>
      <c r="BG8" s="393" cm="1">
        <f t="array" aca="1" ref="BG8" ca="1">SUMPRODUCT(BG$55:BG$114,TRANSPOSE(SAP_Speadsheet!$E$50:$BL$50))</f>
        <v>0</v>
      </c>
      <c r="BH8" s="393" cm="1">
        <f t="array" aca="1" ref="BH8" ca="1">SUMPRODUCT(BH$55:BH$114,TRANSPOSE(SAP_Speadsheet!$E$50:$BL$50))</f>
        <v>0</v>
      </c>
      <c r="BI8" s="393" cm="1">
        <f t="array" aca="1" ref="BI8" ca="1">SUMPRODUCT(BI$55:BI$114,TRANSPOSE(SAP_Speadsheet!$E$50:$BL$50))</f>
        <v>0</v>
      </c>
    </row>
    <row r="9" spans="1:61" s="386" customFormat="1" x14ac:dyDescent="0.15">
      <c r="A9" s="386" t="s">
        <v>229</v>
      </c>
      <c r="B9" s="393" cm="1">
        <f t="array" aca="1" ref="B9" ca="1">SUMPRODUCT(B$55:B$114,TRANSPOSE(SAP_Speadsheet!$E$55:$BL$55))</f>
        <v>0</v>
      </c>
      <c r="C9" s="393" cm="1">
        <f t="array" aca="1" ref="C9" ca="1">SUMPRODUCT(C$55:C$114,TRANSPOSE(SAP_Speadsheet!$E$55:$BL$55))</f>
        <v>0</v>
      </c>
      <c r="D9" s="393" cm="1">
        <f t="array" aca="1" ref="D9" ca="1">SUMPRODUCT(D$55:D$114,TRANSPOSE(SAP_Speadsheet!$E$55:$BL$55))</f>
        <v>0</v>
      </c>
      <c r="E9" s="393" cm="1">
        <f t="array" aca="1" ref="E9" ca="1">SUMPRODUCT(E$55:E$114,TRANSPOSE(SAP_Speadsheet!$E$55:$BL$55))</f>
        <v>0</v>
      </c>
      <c r="F9" s="393" cm="1">
        <f t="array" aca="1" ref="F9" ca="1">SUMPRODUCT(F$55:F$114,TRANSPOSE(SAP_Speadsheet!$E$55:$BL$55))</f>
        <v>0</v>
      </c>
      <c r="G9" s="393" cm="1">
        <f t="array" aca="1" ref="G9" ca="1">SUMPRODUCT(G$55:G$114,TRANSPOSE(SAP_Speadsheet!$E$55:$BL$55))</f>
        <v>0</v>
      </c>
      <c r="H9" s="393" cm="1">
        <f t="array" aca="1" ref="H9" ca="1">SUMPRODUCT(H$55:H$114,TRANSPOSE(SAP_Speadsheet!$E$55:$BL$55))</f>
        <v>78916.985587871852</v>
      </c>
      <c r="I9" s="393" cm="1">
        <f t="array" aca="1" ref="I9" ca="1">SUMPRODUCT(I$55:I$114,TRANSPOSE(SAP_Speadsheet!$E$55:$BL$55))</f>
        <v>100352.74324219028</v>
      </c>
      <c r="J9" s="393" cm="1">
        <f t="array" aca="1" ref="J9" ca="1">SUMPRODUCT(J$55:J$114,TRANSPOSE(SAP_Speadsheet!$E$55:$BL$55))</f>
        <v>148666.55009560447</v>
      </c>
      <c r="K9" s="393" cm="1">
        <f t="array" aca="1" ref="K9" ca="1">SUMPRODUCT(K$55:K$114,TRANSPOSE(SAP_Speadsheet!$E$55:$BL$55))</f>
        <v>74296.546258460279</v>
      </c>
      <c r="L9" s="393" cm="1">
        <f t="array" aca="1" ref="L9" ca="1">SUMPRODUCT(L$55:L$114,TRANSPOSE(SAP_Speadsheet!$E$55:$BL$55))</f>
        <v>62241.371912507813</v>
      </c>
      <c r="M9" s="393" cm="1">
        <f t="array" aca="1" ref="M9" ca="1">SUMPRODUCT(M$55:M$114,TRANSPOSE(SAP_Speadsheet!$E$55:$BL$55))</f>
        <v>51270.280660085817</v>
      </c>
      <c r="N9" s="393" cm="1">
        <f t="array" aca="1" ref="N9" ca="1">SUMPRODUCT(N$55:N$114,TRANSPOSE(SAP_Speadsheet!$E$55:$BL$55))</f>
        <v>44016.879436885749</v>
      </c>
      <c r="O9" s="393" cm="1">
        <f t="array" aca="1" ref="O9" ca="1">SUMPRODUCT(O$55:O$114,TRANSPOSE(SAP_Speadsheet!$E$55:$BL$55))</f>
        <v>37370.213042476433</v>
      </c>
      <c r="P9" s="393" cm="1">
        <f t="array" aca="1" ref="P9" ca="1">SUMPRODUCT(P$55:P$114,TRANSPOSE(SAP_Speadsheet!$E$55:$BL$55))</f>
        <v>31330.533484077459</v>
      </c>
      <c r="Q9" s="393" cm="1">
        <f t="array" aca="1" ref="Q9" ca="1">SUMPRODUCT(Q$55:Q$114,TRANSPOSE(SAP_Speadsheet!$E$55:$BL$55))</f>
        <v>25882.627547520584</v>
      </c>
      <c r="R9" s="393" cm="1">
        <f t="array" aca="1" ref="R9" ca="1">SUMPRODUCT(R$55:R$114,TRANSPOSE(SAP_Speadsheet!$E$55:$BL$55))</f>
        <v>20871.544876902208</v>
      </c>
      <c r="S9" s="393" cm="1">
        <f t="array" aca="1" ref="S9" ca="1">SUMPRODUCT(S$55:S$114,TRANSPOSE(SAP_Speadsheet!$E$55:$BL$55))</f>
        <v>16160.720236916663</v>
      </c>
      <c r="T9" s="393" cm="1">
        <f t="array" aca="1" ref="T9" ca="1">SUMPRODUCT(T$55:T$114,TRANSPOSE(SAP_Speadsheet!$E$55:$BL$55))</f>
        <v>11758.960744917176</v>
      </c>
      <c r="U9" s="393" cm="1">
        <f t="array" aca="1" ref="U9" ca="1">SUMPRODUCT(U$55:U$114,TRANSPOSE(SAP_Speadsheet!$E$55:$BL$55))</f>
        <v>7594.4558384556958</v>
      </c>
      <c r="V9" s="393" cm="1">
        <f t="array" aca="1" ref="V9" ca="1">SUMPRODUCT(V$55:V$114,TRANSPOSE(SAP_Speadsheet!$E$55:$BL$55))</f>
        <v>3669.5736937762217</v>
      </c>
      <c r="W9" s="393" cm="1">
        <f t="array" aca="1" ref="W9" ca="1">SUMPRODUCT(W$55:W$114,TRANSPOSE(SAP_Speadsheet!$E$55:$BL$55))</f>
        <v>1042.8616133846749</v>
      </c>
      <c r="X9" s="393" cm="1">
        <f t="array" aca="1" ref="X9" ca="1">SUMPRODUCT(X$55:X$114,TRANSPOSE(SAP_Speadsheet!$E$55:$BL$55))</f>
        <v>-359.16973958340986</v>
      </c>
      <c r="Y9" s="393" cm="1">
        <f t="array" aca="1" ref="Y9" ca="1">SUMPRODUCT(Y$55:Y$114,TRANSPOSE(SAP_Speadsheet!$E$55:$BL$55))</f>
        <v>-263.46083122181165</v>
      </c>
      <c r="Z9" s="393" cm="1">
        <f t="array" aca="1" ref="Z9" ca="1">SUMPRODUCT(Z$55:Z$114,TRANSPOSE(SAP_Speadsheet!$E$55:$BL$55))</f>
        <v>-167.66706299368181</v>
      </c>
      <c r="AA9" s="393" cm="1">
        <f t="array" aca="1" ref="AA9" ca="1">SUMPRODUCT(AA$55:AA$114,TRANSPOSE(SAP_Speadsheet!$E$55:$BL$55))</f>
        <v>-93.275490692295932</v>
      </c>
      <c r="AB9" s="393" cm="1">
        <f t="array" aca="1" ref="AB9" ca="1">SUMPRODUCT(AB$55:AB$114,TRANSPOSE(SAP_Speadsheet!$E$55:$BL$55))</f>
        <v>-41.049798094431637</v>
      </c>
      <c r="AC9" s="393" cm="1">
        <f t="array" aca="1" ref="AC9" ca="1">SUMPRODUCT(AC$55:AC$114,TRANSPOSE(SAP_Speadsheet!$E$55:$BL$55))</f>
        <v>-10.845333992612531</v>
      </c>
      <c r="AD9" s="393" cm="1">
        <f t="array" aca="1" ref="AD9" ca="1">SUMPRODUCT(AD$55:AD$114,TRANSPOSE(SAP_Speadsheet!$E$55:$BL$55))</f>
        <v>0</v>
      </c>
      <c r="AE9" s="393" cm="1">
        <f t="array" aca="1" ref="AE9" ca="1">SUMPRODUCT(AE$55:AE$114,TRANSPOSE(SAP_Speadsheet!$E$55:$BL$55))</f>
        <v>0</v>
      </c>
      <c r="AF9" s="393" cm="1">
        <f t="array" aca="1" ref="AF9" ca="1">SUMPRODUCT(AF$55:AF$114,TRANSPOSE(SAP_Speadsheet!$E$55:$BL$55))</f>
        <v>0</v>
      </c>
      <c r="AG9" s="393" cm="1">
        <f t="array" aca="1" ref="AG9" ca="1">SUMPRODUCT(AG$55:AG$114,TRANSPOSE(SAP_Speadsheet!$E$55:$BL$55))</f>
        <v>0</v>
      </c>
      <c r="AH9" s="393" cm="1">
        <f t="array" aca="1" ref="AH9" ca="1">SUMPRODUCT(AH$55:AH$114,TRANSPOSE(SAP_Speadsheet!$E$55:$BL$55))</f>
        <v>0</v>
      </c>
      <c r="AI9" s="393" cm="1">
        <f t="array" aca="1" ref="AI9" ca="1">SUMPRODUCT(AI$55:AI$114,TRANSPOSE(SAP_Speadsheet!$E$55:$BL$55))</f>
        <v>0</v>
      </c>
      <c r="AJ9" s="393" cm="1">
        <f t="array" aca="1" ref="AJ9" ca="1">SUMPRODUCT(AJ$55:AJ$114,TRANSPOSE(SAP_Speadsheet!$E$55:$BL$55))</f>
        <v>0</v>
      </c>
      <c r="AK9" s="393" cm="1">
        <f t="array" aca="1" ref="AK9" ca="1">SUMPRODUCT(AK$55:AK$114,TRANSPOSE(SAP_Speadsheet!$E$55:$BL$55))</f>
        <v>0</v>
      </c>
      <c r="AL9" s="393" cm="1">
        <f t="array" aca="1" ref="AL9" ca="1">SUMPRODUCT(AL$55:AL$114,TRANSPOSE(SAP_Speadsheet!$E$55:$BL$55))</f>
        <v>0</v>
      </c>
      <c r="AM9" s="393" cm="1">
        <f t="array" aca="1" ref="AM9" ca="1">SUMPRODUCT(AM$55:AM$114,TRANSPOSE(SAP_Speadsheet!$E$55:$BL$55))</f>
        <v>0</v>
      </c>
      <c r="AN9" s="393" cm="1">
        <f t="array" aca="1" ref="AN9" ca="1">SUMPRODUCT(AN$55:AN$114,TRANSPOSE(SAP_Speadsheet!$E$55:$BL$55))</f>
        <v>0</v>
      </c>
      <c r="AO9" s="393" cm="1">
        <f t="array" aca="1" ref="AO9" ca="1">SUMPRODUCT(AO$55:AO$114,TRANSPOSE(SAP_Speadsheet!$E$55:$BL$55))</f>
        <v>0</v>
      </c>
      <c r="AP9" s="393" cm="1">
        <f t="array" aca="1" ref="AP9" ca="1">SUMPRODUCT(AP$55:AP$114,TRANSPOSE(SAP_Speadsheet!$E$55:$BL$55))</f>
        <v>0</v>
      </c>
      <c r="AQ9" s="393" cm="1">
        <f t="array" aca="1" ref="AQ9" ca="1">SUMPRODUCT(AQ$55:AQ$114,TRANSPOSE(SAP_Speadsheet!$E$55:$BL$55))</f>
        <v>0</v>
      </c>
      <c r="AR9" s="393" cm="1">
        <f t="array" aca="1" ref="AR9" ca="1">SUMPRODUCT(AR$55:AR$114,TRANSPOSE(SAP_Speadsheet!$E$55:$BL$55))</f>
        <v>0</v>
      </c>
      <c r="AS9" s="393" cm="1">
        <f t="array" aca="1" ref="AS9" ca="1">SUMPRODUCT(AS$55:AS$114,TRANSPOSE(SAP_Speadsheet!$E$55:$BL$55))</f>
        <v>0</v>
      </c>
      <c r="AT9" s="393" cm="1">
        <f t="array" aca="1" ref="AT9" ca="1">SUMPRODUCT(AT$55:AT$114,TRANSPOSE(SAP_Speadsheet!$E$55:$BL$55))</f>
        <v>0</v>
      </c>
      <c r="AU9" s="393" cm="1">
        <f t="array" aca="1" ref="AU9" ca="1">SUMPRODUCT(AU$55:AU$114,TRANSPOSE(SAP_Speadsheet!$E$55:$BL$55))</f>
        <v>0</v>
      </c>
      <c r="AV9" s="393" cm="1">
        <f t="array" aca="1" ref="AV9" ca="1">SUMPRODUCT(AV$55:AV$114,TRANSPOSE(SAP_Speadsheet!$E$55:$BL$55))</f>
        <v>0</v>
      </c>
      <c r="AW9" s="393" cm="1">
        <f t="array" aca="1" ref="AW9" ca="1">SUMPRODUCT(AW$55:AW$114,TRANSPOSE(SAP_Speadsheet!$E$55:$BL$55))</f>
        <v>0</v>
      </c>
      <c r="AX9" s="393" cm="1">
        <f t="array" aca="1" ref="AX9" ca="1">SUMPRODUCT(AX$55:AX$114,TRANSPOSE(SAP_Speadsheet!$E$55:$BL$55))</f>
        <v>0</v>
      </c>
      <c r="AY9" s="393" cm="1">
        <f t="array" aca="1" ref="AY9" ca="1">SUMPRODUCT(AY$55:AY$114,TRANSPOSE(SAP_Speadsheet!$E$55:$BL$55))</f>
        <v>0</v>
      </c>
      <c r="AZ9" s="393" cm="1">
        <f t="array" aca="1" ref="AZ9" ca="1">SUMPRODUCT(AZ$55:AZ$114,TRANSPOSE(SAP_Speadsheet!$E$55:$BL$55))</f>
        <v>0</v>
      </c>
      <c r="BA9" s="393" cm="1">
        <f t="array" aca="1" ref="BA9" ca="1">SUMPRODUCT(BA$55:BA$114,TRANSPOSE(SAP_Speadsheet!$E$55:$BL$55))</f>
        <v>0</v>
      </c>
      <c r="BB9" s="393" cm="1">
        <f t="array" aca="1" ref="BB9" ca="1">SUMPRODUCT(BB$55:BB$114,TRANSPOSE(SAP_Speadsheet!$E$55:$BL$55))</f>
        <v>0</v>
      </c>
      <c r="BC9" s="393" cm="1">
        <f t="array" aca="1" ref="BC9" ca="1">SUMPRODUCT(BC$55:BC$114,TRANSPOSE(SAP_Speadsheet!$E$55:$BL$55))</f>
        <v>0</v>
      </c>
      <c r="BD9" s="393" cm="1">
        <f t="array" aca="1" ref="BD9" ca="1">SUMPRODUCT(BD$55:BD$114,TRANSPOSE(SAP_Speadsheet!$E$55:$BL$55))</f>
        <v>0</v>
      </c>
      <c r="BE9" s="393" cm="1">
        <f t="array" aca="1" ref="BE9" ca="1">SUMPRODUCT(BE$55:BE$114,TRANSPOSE(SAP_Speadsheet!$E$55:$BL$55))</f>
        <v>0</v>
      </c>
      <c r="BF9" s="393" cm="1">
        <f t="array" aca="1" ref="BF9" ca="1">SUMPRODUCT(BF$55:BF$114,TRANSPOSE(SAP_Speadsheet!$E$55:$BL$55))</f>
        <v>0</v>
      </c>
      <c r="BG9" s="393" cm="1">
        <f t="array" aca="1" ref="BG9" ca="1">SUMPRODUCT(BG$55:BG$114,TRANSPOSE(SAP_Speadsheet!$E$55:$BL$55))</f>
        <v>0</v>
      </c>
      <c r="BH9" s="393" cm="1">
        <f t="array" aca="1" ref="BH9" ca="1">SUMPRODUCT(BH$55:BH$114,TRANSPOSE(SAP_Speadsheet!$E$55:$BL$55))</f>
        <v>0</v>
      </c>
      <c r="BI9" s="393" cm="1">
        <f t="array" aca="1" ref="BI9" ca="1">SUMPRODUCT(BI$55:BI$114,TRANSPOSE(SAP_Speadsheet!$E$55:$BL$55))</f>
        <v>0</v>
      </c>
    </row>
    <row r="10" spans="1:61" s="396" customFormat="1" x14ac:dyDescent="0.15">
      <c r="A10" s="394" t="s">
        <v>464</v>
      </c>
      <c r="B10" s="395">
        <f t="shared" ref="B10:BI10" ca="1" si="2">B9-B11-B14</f>
        <v>0</v>
      </c>
      <c r="C10" s="395">
        <f t="shared" ca="1" si="2"/>
        <v>0</v>
      </c>
      <c r="D10" s="395">
        <f t="shared" ca="1" si="2"/>
        <v>0</v>
      </c>
      <c r="E10" s="395">
        <f t="shared" ca="1" si="2"/>
        <v>0</v>
      </c>
      <c r="F10" s="395">
        <f t="shared" ca="1" si="2"/>
        <v>0</v>
      </c>
      <c r="G10" s="395">
        <f t="shared" ca="1" si="2"/>
        <v>0</v>
      </c>
      <c r="H10" s="395">
        <f t="shared" ca="1" si="2"/>
        <v>0</v>
      </c>
      <c r="I10" s="395">
        <f t="shared" ca="1" si="2"/>
        <v>0</v>
      </c>
      <c r="J10" s="395">
        <f t="shared" ca="1" si="2"/>
        <v>0</v>
      </c>
      <c r="K10" s="395">
        <f t="shared" ca="1" si="2"/>
        <v>0</v>
      </c>
      <c r="L10" s="395">
        <f t="shared" ca="1" si="2"/>
        <v>0</v>
      </c>
      <c r="M10" s="395">
        <f t="shared" ca="1" si="2"/>
        <v>-4.0927261579781771E-12</v>
      </c>
      <c r="N10" s="395">
        <f t="shared" ca="1" si="2"/>
        <v>0</v>
      </c>
      <c r="O10" s="395">
        <f t="shared" ca="1" si="2"/>
        <v>-3.637978807091713E-12</v>
      </c>
      <c r="P10" s="395">
        <f t="shared" ca="1" si="2"/>
        <v>3.1832314562052488E-12</v>
      </c>
      <c r="Q10" s="395">
        <f t="shared" ca="1" si="2"/>
        <v>0</v>
      </c>
      <c r="R10" s="395">
        <f t="shared" ca="1" si="2"/>
        <v>-2.7284841053187847E-12</v>
      </c>
      <c r="S10" s="395">
        <f t="shared" ca="1" si="2"/>
        <v>1.1368683772161603E-12</v>
      </c>
      <c r="T10" s="395">
        <f t="shared" ca="1" si="2"/>
        <v>-1.8189894035458565E-12</v>
      </c>
      <c r="U10" s="395">
        <f t="shared" ca="1" si="2"/>
        <v>0</v>
      </c>
      <c r="V10" s="395">
        <f t="shared" ca="1" si="2"/>
        <v>0</v>
      </c>
      <c r="W10" s="395">
        <f t="shared" ca="1" si="2"/>
        <v>0</v>
      </c>
      <c r="X10" s="395">
        <f t="shared" ca="1" si="2"/>
        <v>0</v>
      </c>
      <c r="Y10" s="395">
        <f t="shared" ca="1" si="2"/>
        <v>0</v>
      </c>
      <c r="Z10" s="395">
        <f t="shared" ca="1" si="2"/>
        <v>0</v>
      </c>
      <c r="AA10" s="395">
        <f t="shared" ca="1" si="2"/>
        <v>0</v>
      </c>
      <c r="AB10" s="395">
        <f t="shared" ca="1" si="2"/>
        <v>0</v>
      </c>
      <c r="AC10" s="395">
        <f t="shared" ca="1" si="2"/>
        <v>0</v>
      </c>
      <c r="AD10" s="395">
        <f t="shared" ca="1" si="2"/>
        <v>0</v>
      </c>
      <c r="AE10" s="395">
        <f t="shared" ca="1" si="2"/>
        <v>0</v>
      </c>
      <c r="AF10" s="395">
        <f t="shared" ca="1" si="2"/>
        <v>0</v>
      </c>
      <c r="AG10" s="395">
        <f t="shared" ca="1" si="2"/>
        <v>0</v>
      </c>
      <c r="AH10" s="395">
        <f t="shared" ca="1" si="2"/>
        <v>0</v>
      </c>
      <c r="AI10" s="395">
        <f t="shared" ca="1" si="2"/>
        <v>0</v>
      </c>
      <c r="AJ10" s="395">
        <f t="shared" ca="1" si="2"/>
        <v>0</v>
      </c>
      <c r="AK10" s="395">
        <f t="shared" ca="1" si="2"/>
        <v>0</v>
      </c>
      <c r="AL10" s="395">
        <f t="shared" ca="1" si="2"/>
        <v>0</v>
      </c>
      <c r="AM10" s="395">
        <f t="shared" ca="1" si="2"/>
        <v>0</v>
      </c>
      <c r="AN10" s="395">
        <f t="shared" ca="1" si="2"/>
        <v>0</v>
      </c>
      <c r="AO10" s="395">
        <f t="shared" ca="1" si="2"/>
        <v>0</v>
      </c>
      <c r="AP10" s="395">
        <f t="shared" ca="1" si="2"/>
        <v>0</v>
      </c>
      <c r="AQ10" s="395">
        <f t="shared" ca="1" si="2"/>
        <v>0</v>
      </c>
      <c r="AR10" s="395">
        <f t="shared" ca="1" si="2"/>
        <v>0</v>
      </c>
      <c r="AS10" s="395">
        <f t="shared" ca="1" si="2"/>
        <v>0</v>
      </c>
      <c r="AT10" s="395">
        <f t="shared" ca="1" si="2"/>
        <v>0</v>
      </c>
      <c r="AU10" s="395">
        <f t="shared" ca="1" si="2"/>
        <v>0</v>
      </c>
      <c r="AV10" s="395">
        <f t="shared" ca="1" si="2"/>
        <v>0</v>
      </c>
      <c r="AW10" s="395">
        <f t="shared" ca="1" si="2"/>
        <v>0</v>
      </c>
      <c r="AX10" s="395">
        <f t="shared" ca="1" si="2"/>
        <v>0</v>
      </c>
      <c r="AY10" s="395">
        <f t="shared" ca="1" si="2"/>
        <v>0</v>
      </c>
      <c r="AZ10" s="395">
        <f t="shared" ca="1" si="2"/>
        <v>0</v>
      </c>
      <c r="BA10" s="395">
        <f t="shared" ca="1" si="2"/>
        <v>0</v>
      </c>
      <c r="BB10" s="395">
        <f t="shared" ca="1" si="2"/>
        <v>0</v>
      </c>
      <c r="BC10" s="395">
        <f t="shared" ca="1" si="2"/>
        <v>0</v>
      </c>
      <c r="BD10" s="395">
        <f t="shared" ca="1" si="2"/>
        <v>0</v>
      </c>
      <c r="BE10" s="395">
        <f t="shared" ca="1" si="2"/>
        <v>0</v>
      </c>
      <c r="BF10" s="395">
        <f t="shared" ca="1" si="2"/>
        <v>0</v>
      </c>
      <c r="BG10" s="395">
        <f t="shared" ca="1" si="2"/>
        <v>0</v>
      </c>
      <c r="BH10" s="395">
        <f t="shared" ca="1" si="2"/>
        <v>0</v>
      </c>
      <c r="BI10" s="395">
        <f t="shared" ca="1" si="2"/>
        <v>0</v>
      </c>
    </row>
    <row r="11" spans="1:61" s="386" customFormat="1" x14ac:dyDescent="0.15">
      <c r="A11" s="386" t="s">
        <v>230</v>
      </c>
      <c r="B11" s="393" cm="1">
        <f t="array" aca="1" ref="B11" ca="1">SUMPRODUCT(B$55:B$114,TRANSPOSE(SAP_Speadsheet!$E$57:$BL$57))</f>
        <v>0</v>
      </c>
      <c r="C11" s="393" cm="1">
        <f t="array" aca="1" ref="C11" ca="1">SUMPRODUCT(C$55:C$114,TRANSPOSE(SAP_Speadsheet!$E$57:$BL$57))</f>
        <v>0</v>
      </c>
      <c r="D11" s="393" cm="1">
        <f t="array" aca="1" ref="D11" ca="1">SUMPRODUCT(D$55:D$114,TRANSPOSE(SAP_Speadsheet!$E$57:$BL$57))</f>
        <v>0</v>
      </c>
      <c r="E11" s="393" cm="1">
        <f t="array" aca="1" ref="E11" ca="1">SUMPRODUCT(E$55:E$114,TRANSPOSE(SAP_Speadsheet!$E$57:$BL$57))</f>
        <v>0</v>
      </c>
      <c r="F11" s="393" cm="1">
        <f t="array" aca="1" ref="F11" ca="1">SUMPRODUCT(F$55:F$114,TRANSPOSE(SAP_Speadsheet!$E$57:$BL$57))</f>
        <v>0</v>
      </c>
      <c r="G11" s="393" cm="1">
        <f t="array" aca="1" ref="G11" ca="1">SUMPRODUCT(G$55:G$114,TRANSPOSE(SAP_Speadsheet!$E$57:$BL$57))</f>
        <v>0</v>
      </c>
      <c r="H11" s="393" cm="1">
        <f t="array" aca="1" ref="H11" ca="1">SUMPRODUCT(H$55:H$114,TRANSPOSE(SAP_Speadsheet!$E$57:$BL$57))</f>
        <v>30715.575056130332</v>
      </c>
      <c r="I11" s="393" cm="1">
        <f t="array" aca="1" ref="I11" ca="1">SUMPRODUCT(I$55:I$114,TRANSPOSE(SAP_Speadsheet!$E$57:$BL$57))</f>
        <v>52737.802824636383</v>
      </c>
      <c r="J11" s="393" cm="1">
        <f t="array" aca="1" ref="J11" ca="1">SUMPRODUCT(J$55:J$114,TRANSPOSE(SAP_Speadsheet!$E$57:$BL$57))</f>
        <v>82138.172217007334</v>
      </c>
      <c r="K11" s="393" cm="1">
        <f t="array" aca="1" ref="K11" ca="1">SUMPRODUCT(K$55:K$114,TRANSPOSE(SAP_Speadsheet!$E$57:$BL$57))</f>
        <v>67394.823506094108</v>
      </c>
      <c r="L11" s="393" cm="1">
        <f t="array" aca="1" ref="L11" ca="1">SUMPRODUCT(L$55:L$114,TRANSPOSE(SAP_Speadsheet!$E$57:$BL$57))</f>
        <v>57513.11712675367</v>
      </c>
      <c r="M11" s="393" cm="1">
        <f t="array" aca="1" ref="M11" ca="1">SUMPRODUCT(M$55:M$114,TRANSPOSE(SAP_Speadsheet!$E$57:$BL$57))</f>
        <v>49095.039629704668</v>
      </c>
      <c r="N11" s="393" cm="1">
        <f t="array" aca="1" ref="N11" ca="1">SUMPRODUCT(N$55:N$114,TRANSPOSE(SAP_Speadsheet!$E$57:$BL$57))</f>
        <v>42075.308647366197</v>
      </c>
      <c r="O11" s="393" cm="1">
        <f t="array" aca="1" ref="O11" ca="1">SUMPRODUCT(O$55:O$114,TRANSPOSE(SAP_Speadsheet!$E$57:$BL$57))</f>
        <v>35655.807235964065</v>
      </c>
      <c r="P11" s="393" cm="1">
        <f t="array" aca="1" ref="P11" ca="1">SUMPRODUCT(P$55:P$114,TRANSPOSE(SAP_Speadsheet!$E$57:$BL$57))</f>
        <v>29837.656992710152</v>
      </c>
      <c r="Q11" s="393" cm="1">
        <f t="array" aca="1" ref="Q11" ca="1">SUMPRODUCT(Q$55:Q$114,TRANSPOSE(SAP_Speadsheet!$E$57:$BL$57))</f>
        <v>24605.704424955344</v>
      </c>
      <c r="R11" s="393" cm="1">
        <f t="array" aca="1" ref="R11" ca="1">SUMPRODUCT(R$55:R$114,TRANSPOSE(SAP_Speadsheet!$E$57:$BL$57))</f>
        <v>19807.209418695049</v>
      </c>
      <c r="S11" s="393" cm="1">
        <f t="array" aca="1" ref="S11" ca="1">SUMPRODUCT(S$55:S$114,TRANSPOSE(SAP_Speadsheet!$E$57:$BL$57))</f>
        <v>15307.006378630856</v>
      </c>
      <c r="T11" s="393" cm="1">
        <f t="array" aca="1" ref="T11" ca="1">SUMPRODUCT(T$55:T$114,TRANSPOSE(SAP_Speadsheet!$E$57:$BL$57))</f>
        <v>11114.034267342462</v>
      </c>
      <c r="U11" s="393" cm="1">
        <f t="array" aca="1" ref="U11" ca="1">SUMPRODUCT(U$55:U$114,TRANSPOSE(SAP_Speadsheet!$E$57:$BL$57))</f>
        <v>7223.7263955771396</v>
      </c>
      <c r="V11" s="393" cm="1">
        <f t="array" aca="1" ref="V11" ca="1">SUMPRODUCT(V$55:V$114,TRANSPOSE(SAP_Speadsheet!$E$57:$BL$57))</f>
        <v>3502.8653025086951</v>
      </c>
      <c r="W11" s="393" cm="1">
        <f t="array" aca="1" ref="W11" ca="1">SUMPRODUCT(W$55:W$114,TRANSPOSE(SAP_Speadsheet!$E$57:$BL$57))</f>
        <v>1042.8616133846749</v>
      </c>
      <c r="X11" s="393" cm="1">
        <f t="array" aca="1" ref="X11" ca="1">SUMPRODUCT(X$55:X$114,TRANSPOSE(SAP_Speadsheet!$E$57:$BL$57))</f>
        <v>-359.16973958340986</v>
      </c>
      <c r="Y11" s="393" cm="1">
        <f t="array" aca="1" ref="Y11" ca="1">SUMPRODUCT(Y$55:Y$114,TRANSPOSE(SAP_Speadsheet!$E$57:$BL$57))</f>
        <v>-263.46083122181165</v>
      </c>
      <c r="Z11" s="393" cm="1">
        <f t="array" aca="1" ref="Z11" ca="1">SUMPRODUCT(Z$55:Z$114,TRANSPOSE(SAP_Speadsheet!$E$57:$BL$57))</f>
        <v>-167.66706299368181</v>
      </c>
      <c r="AA11" s="393" cm="1">
        <f t="array" aca="1" ref="AA11" ca="1">SUMPRODUCT(AA$55:AA$114,TRANSPOSE(SAP_Speadsheet!$E$57:$BL$57))</f>
        <v>-93.275490692295932</v>
      </c>
      <c r="AB11" s="393" cm="1">
        <f t="array" aca="1" ref="AB11" ca="1">SUMPRODUCT(AB$55:AB$114,TRANSPOSE(SAP_Speadsheet!$E$57:$BL$57))</f>
        <v>-41.049798094431637</v>
      </c>
      <c r="AC11" s="393" cm="1">
        <f t="array" aca="1" ref="AC11" ca="1">SUMPRODUCT(AC$55:AC$114,TRANSPOSE(SAP_Speadsheet!$E$57:$BL$57))</f>
        <v>-10.845333992612531</v>
      </c>
      <c r="AD11" s="393" cm="1">
        <f t="array" aca="1" ref="AD11" ca="1">SUMPRODUCT(AD$55:AD$114,TRANSPOSE(SAP_Speadsheet!$E$57:$BL$57))</f>
        <v>0</v>
      </c>
      <c r="AE11" s="393" cm="1">
        <f t="array" aca="1" ref="AE11" ca="1">SUMPRODUCT(AE$55:AE$114,TRANSPOSE(SAP_Speadsheet!$E$57:$BL$57))</f>
        <v>0</v>
      </c>
      <c r="AF11" s="393" cm="1">
        <f t="array" aca="1" ref="AF11" ca="1">SUMPRODUCT(AF$55:AF$114,TRANSPOSE(SAP_Speadsheet!$E$57:$BL$57))</f>
        <v>0</v>
      </c>
      <c r="AG11" s="393" cm="1">
        <f t="array" aca="1" ref="AG11" ca="1">SUMPRODUCT(AG$55:AG$114,TRANSPOSE(SAP_Speadsheet!$E$57:$BL$57))</f>
        <v>0</v>
      </c>
      <c r="AH11" s="393" cm="1">
        <f t="array" aca="1" ref="AH11" ca="1">SUMPRODUCT(AH$55:AH$114,TRANSPOSE(SAP_Speadsheet!$E$57:$BL$57))</f>
        <v>0</v>
      </c>
      <c r="AI11" s="393" cm="1">
        <f t="array" aca="1" ref="AI11" ca="1">SUMPRODUCT(AI$55:AI$114,TRANSPOSE(SAP_Speadsheet!$E$57:$BL$57))</f>
        <v>0</v>
      </c>
      <c r="AJ11" s="393" cm="1">
        <f t="array" aca="1" ref="AJ11" ca="1">SUMPRODUCT(AJ$55:AJ$114,TRANSPOSE(SAP_Speadsheet!$E$57:$BL$57))</f>
        <v>0</v>
      </c>
      <c r="AK11" s="393" cm="1">
        <f t="array" aca="1" ref="AK11" ca="1">SUMPRODUCT(AK$55:AK$114,TRANSPOSE(SAP_Speadsheet!$E$57:$BL$57))</f>
        <v>0</v>
      </c>
      <c r="AL11" s="393" cm="1">
        <f t="array" aca="1" ref="AL11" ca="1">SUMPRODUCT(AL$55:AL$114,TRANSPOSE(SAP_Speadsheet!$E$57:$BL$57))</f>
        <v>0</v>
      </c>
      <c r="AM11" s="393" cm="1">
        <f t="array" aca="1" ref="AM11" ca="1">SUMPRODUCT(AM$55:AM$114,TRANSPOSE(SAP_Speadsheet!$E$57:$BL$57))</f>
        <v>0</v>
      </c>
      <c r="AN11" s="393" cm="1">
        <f t="array" aca="1" ref="AN11" ca="1">SUMPRODUCT(AN$55:AN$114,TRANSPOSE(SAP_Speadsheet!$E$57:$BL$57))</f>
        <v>0</v>
      </c>
      <c r="AO11" s="393" cm="1">
        <f t="array" aca="1" ref="AO11" ca="1">SUMPRODUCT(AO$55:AO$114,TRANSPOSE(SAP_Speadsheet!$E$57:$BL$57))</f>
        <v>0</v>
      </c>
      <c r="AP11" s="393" cm="1">
        <f t="array" aca="1" ref="AP11" ca="1">SUMPRODUCT(AP$55:AP$114,TRANSPOSE(SAP_Speadsheet!$E$57:$BL$57))</f>
        <v>0</v>
      </c>
      <c r="AQ11" s="393" cm="1">
        <f t="array" aca="1" ref="AQ11" ca="1">SUMPRODUCT(AQ$55:AQ$114,TRANSPOSE(SAP_Speadsheet!$E$57:$BL$57))</f>
        <v>0</v>
      </c>
      <c r="AR11" s="393" cm="1">
        <f t="array" aca="1" ref="AR11" ca="1">SUMPRODUCT(AR$55:AR$114,TRANSPOSE(SAP_Speadsheet!$E$57:$BL$57))</f>
        <v>0</v>
      </c>
      <c r="AS11" s="393" cm="1">
        <f t="array" aca="1" ref="AS11" ca="1">SUMPRODUCT(AS$55:AS$114,TRANSPOSE(SAP_Speadsheet!$E$57:$BL$57))</f>
        <v>0</v>
      </c>
      <c r="AT11" s="393" cm="1">
        <f t="array" aca="1" ref="AT11" ca="1">SUMPRODUCT(AT$55:AT$114,TRANSPOSE(SAP_Speadsheet!$E$57:$BL$57))</f>
        <v>0</v>
      </c>
      <c r="AU11" s="393" cm="1">
        <f t="array" aca="1" ref="AU11" ca="1">SUMPRODUCT(AU$55:AU$114,TRANSPOSE(SAP_Speadsheet!$E$57:$BL$57))</f>
        <v>0</v>
      </c>
      <c r="AV11" s="393" cm="1">
        <f t="array" aca="1" ref="AV11" ca="1">SUMPRODUCT(AV$55:AV$114,TRANSPOSE(SAP_Speadsheet!$E$57:$BL$57))</f>
        <v>0</v>
      </c>
      <c r="AW11" s="393" cm="1">
        <f t="array" aca="1" ref="AW11" ca="1">SUMPRODUCT(AW$55:AW$114,TRANSPOSE(SAP_Speadsheet!$E$57:$BL$57))</f>
        <v>0</v>
      </c>
      <c r="AX11" s="393" cm="1">
        <f t="array" aca="1" ref="AX11" ca="1">SUMPRODUCT(AX$55:AX$114,TRANSPOSE(SAP_Speadsheet!$E$57:$BL$57))</f>
        <v>0</v>
      </c>
      <c r="AY11" s="393" cm="1">
        <f t="array" aca="1" ref="AY11" ca="1">SUMPRODUCT(AY$55:AY$114,TRANSPOSE(SAP_Speadsheet!$E$57:$BL$57))</f>
        <v>0</v>
      </c>
      <c r="AZ11" s="393" cm="1">
        <f t="array" aca="1" ref="AZ11" ca="1">SUMPRODUCT(AZ$55:AZ$114,TRANSPOSE(SAP_Speadsheet!$E$57:$BL$57))</f>
        <v>0</v>
      </c>
      <c r="BA11" s="393" cm="1">
        <f t="array" aca="1" ref="BA11" ca="1">SUMPRODUCT(BA$55:BA$114,TRANSPOSE(SAP_Speadsheet!$E$57:$BL$57))</f>
        <v>0</v>
      </c>
      <c r="BB11" s="393" cm="1">
        <f t="array" aca="1" ref="BB11" ca="1">SUMPRODUCT(BB$55:BB$114,TRANSPOSE(SAP_Speadsheet!$E$57:$BL$57))</f>
        <v>0</v>
      </c>
      <c r="BC11" s="393" cm="1">
        <f t="array" aca="1" ref="BC11" ca="1">SUMPRODUCT(BC$55:BC$114,TRANSPOSE(SAP_Speadsheet!$E$57:$BL$57))</f>
        <v>0</v>
      </c>
      <c r="BD11" s="393" cm="1">
        <f t="array" aca="1" ref="BD11" ca="1">SUMPRODUCT(BD$55:BD$114,TRANSPOSE(SAP_Speadsheet!$E$57:$BL$57))</f>
        <v>0</v>
      </c>
      <c r="BE11" s="393" cm="1">
        <f t="array" aca="1" ref="BE11" ca="1">SUMPRODUCT(BE$55:BE$114,TRANSPOSE(SAP_Speadsheet!$E$57:$BL$57))</f>
        <v>0</v>
      </c>
      <c r="BF11" s="393" cm="1">
        <f t="array" aca="1" ref="BF11" ca="1">SUMPRODUCT(BF$55:BF$114,TRANSPOSE(SAP_Speadsheet!$E$57:$BL$57))</f>
        <v>0</v>
      </c>
      <c r="BG11" s="393" cm="1">
        <f t="array" aca="1" ref="BG11" ca="1">SUMPRODUCT(BG$55:BG$114,TRANSPOSE(SAP_Speadsheet!$E$57:$BL$57))</f>
        <v>0</v>
      </c>
      <c r="BH11" s="393" cm="1">
        <f t="array" aca="1" ref="BH11" ca="1">SUMPRODUCT(BH$55:BH$114,TRANSPOSE(SAP_Speadsheet!$E$57:$BL$57))</f>
        <v>0</v>
      </c>
      <c r="BI11" s="393" cm="1">
        <f t="array" aca="1" ref="BI11" ca="1">SUMPRODUCT(BI$55:BI$114,TRANSPOSE(SAP_Speadsheet!$E$57:$BL$57))</f>
        <v>0</v>
      </c>
    </row>
    <row r="12" spans="1:61" x14ac:dyDescent="0.15">
      <c r="A12" s="397" t="s">
        <v>244</v>
      </c>
      <c r="B12" s="398" cm="1">
        <f t="array" aca="1" ref="B12" ca="1">SUMPRODUCT(B$55:B$114,TRANSPOSE(SAP_Speadsheet!$E$58:$BL$58))</f>
        <v>0</v>
      </c>
      <c r="C12" s="398" cm="1">
        <f t="array" aca="1" ref="C12" ca="1">SUMPRODUCT(C$55:C$114,TRANSPOSE(SAP_Speadsheet!$E$58:$BL$58))</f>
        <v>0</v>
      </c>
      <c r="D12" s="398" cm="1">
        <f t="array" aca="1" ref="D12" ca="1">SUMPRODUCT(D$55:D$114,TRANSPOSE(SAP_Speadsheet!$E$58:$BL$58))</f>
        <v>0</v>
      </c>
      <c r="E12" s="398" cm="1">
        <f t="array" aca="1" ref="E12" ca="1">SUMPRODUCT(E$55:E$114,TRANSPOSE(SAP_Speadsheet!$E$58:$BL$58))</f>
        <v>0</v>
      </c>
      <c r="F12" s="398" cm="1">
        <f t="array" aca="1" ref="F12" ca="1">SUMPRODUCT(F$55:F$114,TRANSPOSE(SAP_Speadsheet!$E$58:$BL$58))</f>
        <v>0</v>
      </c>
      <c r="G12" s="398" cm="1">
        <f t="array" aca="1" ref="G12" ca="1">SUMPRODUCT(G$55:G$114,TRANSPOSE(SAP_Speadsheet!$E$58:$BL$58))</f>
        <v>0</v>
      </c>
      <c r="H12" s="398" cm="1">
        <f t="array" aca="1" ref="H12" ca="1">SUMPRODUCT(H$55:H$114,TRANSPOSE(SAP_Speadsheet!$E$58:$BL$58))</f>
        <v>35534.562463938542</v>
      </c>
      <c r="I12" s="398" cm="1">
        <f t="array" aca="1" ref="I12" ca="1">SUMPRODUCT(I$55:I$114,TRANSPOSE(SAP_Speadsheet!$E$58:$BL$58))</f>
        <v>61358.284526754447</v>
      </c>
      <c r="J12" s="398" cm="1">
        <f t="array" aca="1" ref="J12" ca="1">SUMPRODUCT(J$55:J$114,TRANSPOSE(SAP_Speadsheet!$E$58:$BL$58))</f>
        <v>95816.754157494288</v>
      </c>
      <c r="K12" s="398" cm="1">
        <f t="array" aca="1" ref="K12" ca="1">SUMPRODUCT(K$55:K$114,TRANSPOSE(SAP_Speadsheet!$E$58:$BL$58))</f>
        <v>79456.849073130259</v>
      </c>
      <c r="L12" s="398" cm="1">
        <f t="array" aca="1" ref="L12" ca="1">SUMPRODUCT(L$55:L$114,TRANSPOSE(SAP_Speadsheet!$E$58:$BL$58))</f>
        <v>68388.045736350774</v>
      </c>
      <c r="M12" s="398" cm="1">
        <f t="array" aca="1" ref="M12" ca="1">SUMPRODUCT(M$55:M$114,TRANSPOSE(SAP_Speadsheet!$E$58:$BL$58))</f>
        <v>58956.503138698448</v>
      </c>
      <c r="N12" s="398" cm="1">
        <f t="array" aca="1" ref="N12" ca="1">SUMPRODUCT(N$55:N$114,TRANSPOSE(SAP_Speadsheet!$E$58:$BL$58))</f>
        <v>51033.655576545381</v>
      </c>
      <c r="O12" s="398" cm="1">
        <f t="array" aca="1" ref="O12" ca="1">SUMPRODUCT(O$55:O$114,TRANSPOSE(SAP_Speadsheet!$E$58:$BL$58))</f>
        <v>43675.181208203052</v>
      </c>
      <c r="P12" s="398" cm="1">
        <f t="array" aca="1" ref="P12" ca="1">SUMPRODUCT(P$55:P$114,TRANSPOSE(SAP_Speadsheet!$E$58:$BL$58))</f>
        <v>36827.50888715886</v>
      </c>
      <c r="Q12" s="398" cm="1">
        <f t="array" aca="1" ref="Q12" ca="1">SUMPRODUCT(Q$55:Q$114,TRANSPOSE(SAP_Speadsheet!$E$58:$BL$58))</f>
        <v>30477.424357157059</v>
      </c>
      <c r="R12" s="398" cm="1">
        <f t="array" aca="1" ref="R12" ca="1">SUMPRODUCT(R$55:R$114,TRANSPOSE(SAP_Speadsheet!$E$58:$BL$58))</f>
        <v>24560.653617702894</v>
      </c>
      <c r="S12" s="398" cm="1">
        <f t="array" aca="1" ref="S12" ca="1">SUMPRODUCT(S$55:S$114,TRANSPOSE(SAP_Speadsheet!$E$58:$BL$58))</f>
        <v>19036.64597057745</v>
      </c>
      <c r="T12" s="398" cm="1">
        <f t="array" aca="1" ref="T12" ca="1">SUMPRODUCT(T$55:T$114,TRANSPOSE(SAP_Speadsheet!$E$58:$BL$58))</f>
        <v>13897.383855279058</v>
      </c>
      <c r="U12" s="398" cm="1">
        <f t="array" aca="1" ref="U12" ca="1">SUMPRODUCT(U$55:U$114,TRANSPOSE(SAP_Speadsheet!$E$58:$BL$58))</f>
        <v>9128.1951195778929</v>
      </c>
      <c r="V12" s="398" cm="1">
        <f t="array" aca="1" ref="V12" ca="1">SUMPRODUCT(V$55:V$114,TRANSPOSE(SAP_Speadsheet!$E$58:$BL$58))</f>
        <v>4675.1683078276528</v>
      </c>
      <c r="W12" s="398" cm="1">
        <f t="array" aca="1" ref="W12" ca="1">SUMPRODUCT(W$55:W$114,TRANSPOSE(SAP_Speadsheet!$E$58:$BL$58))</f>
        <v>1704.1045237292822</v>
      </c>
      <c r="X12" s="398" cm="1">
        <f t="array" aca="1" ref="X12" ca="1">SUMPRODUCT(X$55:X$114,TRANSPOSE(SAP_Speadsheet!$E$58:$BL$58))</f>
        <v>28.770708168507337</v>
      </c>
      <c r="Y12" s="398" cm="1">
        <f t="array" aca="1" ref="Y12" ca="1">SUMPRODUCT(Y$55:Y$114,TRANSPOSE(SAP_Speadsheet!$E$58:$BL$58))</f>
        <v>0</v>
      </c>
      <c r="Z12" s="398" cm="1">
        <f t="array" aca="1" ref="Z12" ca="1">SUMPRODUCT(Z$55:Z$114,TRANSPOSE(SAP_Speadsheet!$E$58:$BL$58))</f>
        <v>0</v>
      </c>
      <c r="AA12" s="398" cm="1">
        <f t="array" aca="1" ref="AA12" ca="1">SUMPRODUCT(AA$55:AA$114,TRANSPOSE(SAP_Speadsheet!$E$58:$BL$58))</f>
        <v>0</v>
      </c>
      <c r="AB12" s="398" cm="1">
        <f t="array" aca="1" ref="AB12" ca="1">SUMPRODUCT(AB$55:AB$114,TRANSPOSE(SAP_Speadsheet!$E$58:$BL$58))</f>
        <v>0</v>
      </c>
      <c r="AC12" s="398" cm="1">
        <f t="array" aca="1" ref="AC12" ca="1">SUMPRODUCT(AC$55:AC$114,TRANSPOSE(SAP_Speadsheet!$E$58:$BL$58))</f>
        <v>0</v>
      </c>
      <c r="AD12" s="398" cm="1">
        <f t="array" aca="1" ref="AD12" ca="1">SUMPRODUCT(AD$55:AD$114,TRANSPOSE(SAP_Speadsheet!$E$58:$BL$58))</f>
        <v>0</v>
      </c>
      <c r="AE12" s="398" cm="1">
        <f t="array" aca="1" ref="AE12" ca="1">SUMPRODUCT(AE$55:AE$114,TRANSPOSE(SAP_Speadsheet!$E$58:$BL$58))</f>
        <v>0</v>
      </c>
      <c r="AF12" s="398" cm="1">
        <f t="array" aca="1" ref="AF12" ca="1">SUMPRODUCT(AF$55:AF$114,TRANSPOSE(SAP_Speadsheet!$E$58:$BL$58))</f>
        <v>0</v>
      </c>
      <c r="AG12" s="398" cm="1">
        <f t="array" aca="1" ref="AG12" ca="1">SUMPRODUCT(AG$55:AG$114,TRANSPOSE(SAP_Speadsheet!$E$58:$BL$58))</f>
        <v>0</v>
      </c>
      <c r="AH12" s="398" cm="1">
        <f t="array" aca="1" ref="AH12" ca="1">SUMPRODUCT(AH$55:AH$114,TRANSPOSE(SAP_Speadsheet!$E$58:$BL$58))</f>
        <v>0</v>
      </c>
      <c r="AI12" s="398" cm="1">
        <f t="array" aca="1" ref="AI12" ca="1">SUMPRODUCT(AI$55:AI$114,TRANSPOSE(SAP_Speadsheet!$E$58:$BL$58))</f>
        <v>0</v>
      </c>
      <c r="AJ12" s="398" cm="1">
        <f t="array" aca="1" ref="AJ12" ca="1">SUMPRODUCT(AJ$55:AJ$114,TRANSPOSE(SAP_Speadsheet!$E$58:$BL$58))</f>
        <v>0</v>
      </c>
      <c r="AK12" s="398" cm="1">
        <f t="array" aca="1" ref="AK12" ca="1">SUMPRODUCT(AK$55:AK$114,TRANSPOSE(SAP_Speadsheet!$E$58:$BL$58))</f>
        <v>0</v>
      </c>
      <c r="AL12" s="398" cm="1">
        <f t="array" aca="1" ref="AL12" ca="1">SUMPRODUCT(AL$55:AL$114,TRANSPOSE(SAP_Speadsheet!$E$58:$BL$58))</f>
        <v>0</v>
      </c>
      <c r="AM12" s="398" cm="1">
        <f t="array" aca="1" ref="AM12" ca="1">SUMPRODUCT(AM$55:AM$114,TRANSPOSE(SAP_Speadsheet!$E$58:$BL$58))</f>
        <v>0</v>
      </c>
      <c r="AN12" s="398" cm="1">
        <f t="array" aca="1" ref="AN12" ca="1">SUMPRODUCT(AN$55:AN$114,TRANSPOSE(SAP_Speadsheet!$E$58:$BL$58))</f>
        <v>0</v>
      </c>
      <c r="AO12" s="398" cm="1">
        <f t="array" aca="1" ref="AO12" ca="1">SUMPRODUCT(AO$55:AO$114,TRANSPOSE(SAP_Speadsheet!$E$58:$BL$58))</f>
        <v>0</v>
      </c>
      <c r="AP12" s="398" cm="1">
        <f t="array" aca="1" ref="AP12" ca="1">SUMPRODUCT(AP$55:AP$114,TRANSPOSE(SAP_Speadsheet!$E$58:$BL$58))</f>
        <v>0</v>
      </c>
      <c r="AQ12" s="398" cm="1">
        <f t="array" aca="1" ref="AQ12" ca="1">SUMPRODUCT(AQ$55:AQ$114,TRANSPOSE(SAP_Speadsheet!$E$58:$BL$58))</f>
        <v>0</v>
      </c>
      <c r="AR12" s="398" cm="1">
        <f t="array" aca="1" ref="AR12" ca="1">SUMPRODUCT(AR$55:AR$114,TRANSPOSE(SAP_Speadsheet!$E$58:$BL$58))</f>
        <v>0</v>
      </c>
      <c r="AS12" s="398" cm="1">
        <f t="array" aca="1" ref="AS12" ca="1">SUMPRODUCT(AS$55:AS$114,TRANSPOSE(SAP_Speadsheet!$E$58:$BL$58))</f>
        <v>0</v>
      </c>
      <c r="AT12" s="398" cm="1">
        <f t="array" aca="1" ref="AT12" ca="1">SUMPRODUCT(AT$55:AT$114,TRANSPOSE(SAP_Speadsheet!$E$58:$BL$58))</f>
        <v>0</v>
      </c>
      <c r="AU12" s="398" cm="1">
        <f t="array" aca="1" ref="AU12" ca="1">SUMPRODUCT(AU$55:AU$114,TRANSPOSE(SAP_Speadsheet!$E$58:$BL$58))</f>
        <v>0</v>
      </c>
      <c r="AV12" s="398" cm="1">
        <f t="array" aca="1" ref="AV12" ca="1">SUMPRODUCT(AV$55:AV$114,TRANSPOSE(SAP_Speadsheet!$E$58:$BL$58))</f>
        <v>0</v>
      </c>
      <c r="AW12" s="398" cm="1">
        <f t="array" aca="1" ref="AW12" ca="1">SUMPRODUCT(AW$55:AW$114,TRANSPOSE(SAP_Speadsheet!$E$58:$BL$58))</f>
        <v>0</v>
      </c>
      <c r="AX12" s="398" cm="1">
        <f t="array" aca="1" ref="AX12" ca="1">SUMPRODUCT(AX$55:AX$114,TRANSPOSE(SAP_Speadsheet!$E$58:$BL$58))</f>
        <v>0</v>
      </c>
      <c r="AY12" s="398" cm="1">
        <f t="array" aca="1" ref="AY12" ca="1">SUMPRODUCT(AY$55:AY$114,TRANSPOSE(SAP_Speadsheet!$E$58:$BL$58))</f>
        <v>0</v>
      </c>
      <c r="AZ12" s="398" cm="1">
        <f t="array" aca="1" ref="AZ12" ca="1">SUMPRODUCT(AZ$55:AZ$114,TRANSPOSE(SAP_Speadsheet!$E$58:$BL$58))</f>
        <v>0</v>
      </c>
      <c r="BA12" s="398" cm="1">
        <f t="array" aca="1" ref="BA12" ca="1">SUMPRODUCT(BA$55:BA$114,TRANSPOSE(SAP_Speadsheet!$E$58:$BL$58))</f>
        <v>0</v>
      </c>
      <c r="BB12" s="398" cm="1">
        <f t="array" aca="1" ref="BB12" ca="1">SUMPRODUCT(BB$55:BB$114,TRANSPOSE(SAP_Speadsheet!$E$58:$BL$58))</f>
        <v>0</v>
      </c>
      <c r="BC12" s="398" cm="1">
        <f t="array" aca="1" ref="BC12" ca="1">SUMPRODUCT(BC$55:BC$114,TRANSPOSE(SAP_Speadsheet!$E$58:$BL$58))</f>
        <v>0</v>
      </c>
      <c r="BD12" s="398" cm="1">
        <f t="array" aca="1" ref="BD12" ca="1">SUMPRODUCT(BD$55:BD$114,TRANSPOSE(SAP_Speadsheet!$E$58:$BL$58))</f>
        <v>0</v>
      </c>
      <c r="BE12" s="398" cm="1">
        <f t="array" aca="1" ref="BE12" ca="1">SUMPRODUCT(BE$55:BE$114,TRANSPOSE(SAP_Speadsheet!$E$58:$BL$58))</f>
        <v>0</v>
      </c>
      <c r="BF12" s="398" cm="1">
        <f t="array" aca="1" ref="BF12" ca="1">SUMPRODUCT(BF$55:BF$114,TRANSPOSE(SAP_Speadsheet!$E$58:$BL$58))</f>
        <v>0</v>
      </c>
      <c r="BG12" s="398" cm="1">
        <f t="array" aca="1" ref="BG12" ca="1">SUMPRODUCT(BG$55:BG$114,TRANSPOSE(SAP_Speadsheet!$E$58:$BL$58))</f>
        <v>0</v>
      </c>
      <c r="BH12" s="398" cm="1">
        <f t="array" aca="1" ref="BH12" ca="1">SUMPRODUCT(BH$55:BH$114,TRANSPOSE(SAP_Speadsheet!$E$58:$BL$58))</f>
        <v>0</v>
      </c>
      <c r="BI12" s="398" cm="1">
        <f t="array" aca="1" ref="BI12" ca="1">SUMPRODUCT(BI$55:BI$114,TRANSPOSE(SAP_Speadsheet!$E$58:$BL$58))</f>
        <v>0</v>
      </c>
    </row>
    <row r="13" spans="1:61" x14ac:dyDescent="0.15">
      <c r="A13" s="397" t="s">
        <v>246</v>
      </c>
      <c r="B13" s="398" cm="1">
        <f t="array" aca="1" ref="B13" ca="1">SUMPRODUCT(B$55:B$114,TRANSPOSE(SAP_Speadsheet!$E$59:$BL$59))</f>
        <v>0</v>
      </c>
      <c r="C13" s="398" cm="1">
        <f t="array" aca="1" ref="C13" ca="1">SUMPRODUCT(C$55:C$114,TRANSPOSE(SAP_Speadsheet!$E$59:$BL$59))</f>
        <v>0</v>
      </c>
      <c r="D13" s="398" cm="1">
        <f t="array" aca="1" ref="D13" ca="1">SUMPRODUCT(D$55:D$114,TRANSPOSE(SAP_Speadsheet!$E$59:$BL$59))</f>
        <v>0</v>
      </c>
      <c r="E13" s="398" cm="1">
        <f t="array" aca="1" ref="E13" ca="1">SUMPRODUCT(E$55:E$114,TRANSPOSE(SAP_Speadsheet!$E$59:$BL$59))</f>
        <v>0</v>
      </c>
      <c r="F13" s="398" cm="1">
        <f t="array" aca="1" ref="F13" ca="1">SUMPRODUCT(F$55:F$114,TRANSPOSE(SAP_Speadsheet!$E$59:$BL$59))</f>
        <v>0</v>
      </c>
      <c r="G13" s="398" cm="1">
        <f t="array" aca="1" ref="G13" ca="1">SUMPRODUCT(G$55:G$114,TRANSPOSE(SAP_Speadsheet!$E$59:$BL$59))</f>
        <v>0</v>
      </c>
      <c r="H13" s="398" cm="1">
        <f t="array" aca="1" ref="H13" ca="1">SUMPRODUCT(H$55:H$114,TRANSPOSE(SAP_Speadsheet!$E$59:$BL$59))</f>
        <v>-4818.987407808213</v>
      </c>
      <c r="I13" s="398" cm="1">
        <f t="array" aca="1" ref="I13" ca="1">SUMPRODUCT(I$55:I$114,TRANSPOSE(SAP_Speadsheet!$E$59:$BL$59))</f>
        <v>-8620.4817021180606</v>
      </c>
      <c r="J13" s="398" cm="1">
        <f t="array" aca="1" ref="J13" ca="1">SUMPRODUCT(J$55:J$114,TRANSPOSE(SAP_Speadsheet!$E$59:$BL$59))</f>
        <v>-13678.581940486958</v>
      </c>
      <c r="K13" s="398" cm="1">
        <f t="array" aca="1" ref="K13" ca="1">SUMPRODUCT(K$55:K$114,TRANSPOSE(SAP_Speadsheet!$E$59:$BL$59))</f>
        <v>-12062.025567036144</v>
      </c>
      <c r="L13" s="398" cm="1">
        <f t="array" aca="1" ref="L13" ca="1">SUMPRODUCT(L$55:L$114,TRANSPOSE(SAP_Speadsheet!$E$59:$BL$59))</f>
        <v>-10874.928609597107</v>
      </c>
      <c r="M13" s="398" cm="1">
        <f t="array" aca="1" ref="M13" ca="1">SUMPRODUCT(M$55:M$114,TRANSPOSE(SAP_Speadsheet!$E$59:$BL$59))</f>
        <v>-9861.4635089937838</v>
      </c>
      <c r="N13" s="398" cm="1">
        <f t="array" aca="1" ref="N13" ca="1">SUMPRODUCT(N$55:N$114,TRANSPOSE(SAP_Speadsheet!$E$59:$BL$59))</f>
        <v>-8958.3469291791916</v>
      </c>
      <c r="O13" s="398" cm="1">
        <f t="array" aca="1" ref="O13" ca="1">SUMPRODUCT(O$55:O$114,TRANSPOSE(SAP_Speadsheet!$E$59:$BL$59))</f>
        <v>-8019.3739722389928</v>
      </c>
      <c r="P13" s="398" cm="1">
        <f t="array" aca="1" ref="P13" ca="1">SUMPRODUCT(P$55:P$114,TRANSPOSE(SAP_Speadsheet!$E$59:$BL$59))</f>
        <v>-6989.8518944487059</v>
      </c>
      <c r="Q13" s="398" cm="1">
        <f t="array" aca="1" ref="Q13" ca="1">SUMPRODUCT(Q$55:Q$114,TRANSPOSE(SAP_Speadsheet!$E$59:$BL$59))</f>
        <v>-5871.719932201715</v>
      </c>
      <c r="R13" s="398" cm="1">
        <f t="array" aca="1" ref="R13" ca="1">SUMPRODUCT(R$55:R$114,TRANSPOSE(SAP_Speadsheet!$E$59:$BL$59))</f>
        <v>-4753.4441990078476</v>
      </c>
      <c r="S13" s="398" cm="1">
        <f t="array" aca="1" ref="S13" ca="1">SUMPRODUCT(S$55:S$114,TRANSPOSE(SAP_Speadsheet!$E$59:$BL$59))</f>
        <v>-3729.639591946594</v>
      </c>
      <c r="T13" s="398" cm="1">
        <f t="array" aca="1" ref="T13" ca="1">SUMPRODUCT(T$55:T$114,TRANSPOSE(SAP_Speadsheet!$E$59:$BL$59))</f>
        <v>-2783.3495879365964</v>
      </c>
      <c r="U13" s="398" cm="1">
        <f t="array" aca="1" ref="U13" ca="1">SUMPRODUCT(U$55:U$114,TRANSPOSE(SAP_Speadsheet!$E$59:$BL$59))</f>
        <v>-1904.4687240007527</v>
      </c>
      <c r="V13" s="398" cm="1">
        <f t="array" aca="1" ref="V13" ca="1">SUMPRODUCT(V$55:V$114,TRANSPOSE(SAP_Speadsheet!$E$59:$BL$59))</f>
        <v>-1172.3030053189577</v>
      </c>
      <c r="W13" s="398" cm="1">
        <f t="array" aca="1" ref="W13" ca="1">SUMPRODUCT(W$55:W$114,TRANSPOSE(SAP_Speadsheet!$E$59:$BL$59))</f>
        <v>-661.24291034460725</v>
      </c>
      <c r="X13" s="398" cm="1">
        <f t="array" aca="1" ref="X13" ca="1">SUMPRODUCT(X$55:X$114,TRANSPOSE(SAP_Speadsheet!$E$59:$BL$59))</f>
        <v>-387.94044775191719</v>
      </c>
      <c r="Y13" s="398" cm="1">
        <f t="array" aca="1" ref="Y13" ca="1">SUMPRODUCT(Y$55:Y$114,TRANSPOSE(SAP_Speadsheet!$E$59:$BL$59))</f>
        <v>-263.46083122181165</v>
      </c>
      <c r="Z13" s="398" cm="1">
        <f t="array" aca="1" ref="Z13" ca="1">SUMPRODUCT(Z$55:Z$114,TRANSPOSE(SAP_Speadsheet!$E$59:$BL$59))</f>
        <v>-167.66706299368181</v>
      </c>
      <c r="AA13" s="398" cm="1">
        <f t="array" aca="1" ref="AA13" ca="1">SUMPRODUCT(AA$55:AA$114,TRANSPOSE(SAP_Speadsheet!$E$59:$BL$59))</f>
        <v>-93.275490692295932</v>
      </c>
      <c r="AB13" s="398" cm="1">
        <f t="array" aca="1" ref="AB13" ca="1">SUMPRODUCT(AB$55:AB$114,TRANSPOSE(SAP_Speadsheet!$E$59:$BL$59))</f>
        <v>-41.049798094431637</v>
      </c>
      <c r="AC13" s="398" cm="1">
        <f t="array" aca="1" ref="AC13" ca="1">SUMPRODUCT(AC$55:AC$114,TRANSPOSE(SAP_Speadsheet!$E$59:$BL$59))</f>
        <v>-10.845333992612531</v>
      </c>
      <c r="AD13" s="398" cm="1">
        <f t="array" aca="1" ref="AD13" ca="1">SUMPRODUCT(AD$55:AD$114,TRANSPOSE(SAP_Speadsheet!$E$59:$BL$59))</f>
        <v>0</v>
      </c>
      <c r="AE13" s="398" cm="1">
        <f t="array" aca="1" ref="AE13" ca="1">SUMPRODUCT(AE$55:AE$114,TRANSPOSE(SAP_Speadsheet!$E$59:$BL$59))</f>
        <v>0</v>
      </c>
      <c r="AF13" s="398" cm="1">
        <f t="array" aca="1" ref="AF13" ca="1">SUMPRODUCT(AF$55:AF$114,TRANSPOSE(SAP_Speadsheet!$E$59:$BL$59))</f>
        <v>0</v>
      </c>
      <c r="AG13" s="398" cm="1">
        <f t="array" aca="1" ref="AG13" ca="1">SUMPRODUCT(AG$55:AG$114,TRANSPOSE(SAP_Speadsheet!$E$59:$BL$59))</f>
        <v>0</v>
      </c>
      <c r="AH13" s="398" cm="1">
        <f t="array" aca="1" ref="AH13" ca="1">SUMPRODUCT(AH$55:AH$114,TRANSPOSE(SAP_Speadsheet!$E$59:$BL$59))</f>
        <v>0</v>
      </c>
      <c r="AI13" s="398" cm="1">
        <f t="array" aca="1" ref="AI13" ca="1">SUMPRODUCT(AI$55:AI$114,TRANSPOSE(SAP_Speadsheet!$E$59:$BL$59))</f>
        <v>0</v>
      </c>
      <c r="AJ13" s="398" cm="1">
        <f t="array" aca="1" ref="AJ13" ca="1">SUMPRODUCT(AJ$55:AJ$114,TRANSPOSE(SAP_Speadsheet!$E$59:$BL$59))</f>
        <v>0</v>
      </c>
      <c r="AK13" s="398" cm="1">
        <f t="array" aca="1" ref="AK13" ca="1">SUMPRODUCT(AK$55:AK$114,TRANSPOSE(SAP_Speadsheet!$E$59:$BL$59))</f>
        <v>0</v>
      </c>
      <c r="AL13" s="398" cm="1">
        <f t="array" aca="1" ref="AL13" ca="1">SUMPRODUCT(AL$55:AL$114,TRANSPOSE(SAP_Speadsheet!$E$59:$BL$59))</f>
        <v>0</v>
      </c>
      <c r="AM13" s="398" cm="1">
        <f t="array" aca="1" ref="AM13" ca="1">SUMPRODUCT(AM$55:AM$114,TRANSPOSE(SAP_Speadsheet!$E$59:$BL$59))</f>
        <v>0</v>
      </c>
      <c r="AN13" s="398" cm="1">
        <f t="array" aca="1" ref="AN13" ca="1">SUMPRODUCT(AN$55:AN$114,TRANSPOSE(SAP_Speadsheet!$E$59:$BL$59))</f>
        <v>0</v>
      </c>
      <c r="AO13" s="398" cm="1">
        <f t="array" aca="1" ref="AO13" ca="1">SUMPRODUCT(AO$55:AO$114,TRANSPOSE(SAP_Speadsheet!$E$59:$BL$59))</f>
        <v>0</v>
      </c>
      <c r="AP13" s="398" cm="1">
        <f t="array" aca="1" ref="AP13" ca="1">SUMPRODUCT(AP$55:AP$114,TRANSPOSE(SAP_Speadsheet!$E$59:$BL$59))</f>
        <v>0</v>
      </c>
      <c r="AQ13" s="398" cm="1">
        <f t="array" aca="1" ref="AQ13" ca="1">SUMPRODUCT(AQ$55:AQ$114,TRANSPOSE(SAP_Speadsheet!$E$59:$BL$59))</f>
        <v>0</v>
      </c>
      <c r="AR13" s="398" cm="1">
        <f t="array" aca="1" ref="AR13" ca="1">SUMPRODUCT(AR$55:AR$114,TRANSPOSE(SAP_Speadsheet!$E$59:$BL$59))</f>
        <v>0</v>
      </c>
      <c r="AS13" s="398" cm="1">
        <f t="array" aca="1" ref="AS13" ca="1">SUMPRODUCT(AS$55:AS$114,TRANSPOSE(SAP_Speadsheet!$E$59:$BL$59))</f>
        <v>0</v>
      </c>
      <c r="AT13" s="398" cm="1">
        <f t="array" aca="1" ref="AT13" ca="1">SUMPRODUCT(AT$55:AT$114,TRANSPOSE(SAP_Speadsheet!$E$59:$BL$59))</f>
        <v>0</v>
      </c>
      <c r="AU13" s="398" cm="1">
        <f t="array" aca="1" ref="AU13" ca="1">SUMPRODUCT(AU$55:AU$114,TRANSPOSE(SAP_Speadsheet!$E$59:$BL$59))</f>
        <v>0</v>
      </c>
      <c r="AV13" s="398" cm="1">
        <f t="array" aca="1" ref="AV13" ca="1">SUMPRODUCT(AV$55:AV$114,TRANSPOSE(SAP_Speadsheet!$E$59:$BL$59))</f>
        <v>0</v>
      </c>
      <c r="AW13" s="398" cm="1">
        <f t="array" aca="1" ref="AW13" ca="1">SUMPRODUCT(AW$55:AW$114,TRANSPOSE(SAP_Speadsheet!$E$59:$BL$59))</f>
        <v>0</v>
      </c>
      <c r="AX13" s="398" cm="1">
        <f t="array" aca="1" ref="AX13" ca="1">SUMPRODUCT(AX$55:AX$114,TRANSPOSE(SAP_Speadsheet!$E$59:$BL$59))</f>
        <v>0</v>
      </c>
      <c r="AY13" s="398" cm="1">
        <f t="array" aca="1" ref="AY13" ca="1">SUMPRODUCT(AY$55:AY$114,TRANSPOSE(SAP_Speadsheet!$E$59:$BL$59))</f>
        <v>0</v>
      </c>
      <c r="AZ13" s="398" cm="1">
        <f t="array" aca="1" ref="AZ13" ca="1">SUMPRODUCT(AZ$55:AZ$114,TRANSPOSE(SAP_Speadsheet!$E$59:$BL$59))</f>
        <v>0</v>
      </c>
      <c r="BA13" s="398" cm="1">
        <f t="array" aca="1" ref="BA13" ca="1">SUMPRODUCT(BA$55:BA$114,TRANSPOSE(SAP_Speadsheet!$E$59:$BL$59))</f>
        <v>0</v>
      </c>
      <c r="BB13" s="398" cm="1">
        <f t="array" aca="1" ref="BB13" ca="1">SUMPRODUCT(BB$55:BB$114,TRANSPOSE(SAP_Speadsheet!$E$59:$BL$59))</f>
        <v>0</v>
      </c>
      <c r="BC13" s="398" cm="1">
        <f t="array" aca="1" ref="BC13" ca="1">SUMPRODUCT(BC$55:BC$114,TRANSPOSE(SAP_Speadsheet!$E$59:$BL$59))</f>
        <v>0</v>
      </c>
      <c r="BD13" s="398" cm="1">
        <f t="array" aca="1" ref="BD13" ca="1">SUMPRODUCT(BD$55:BD$114,TRANSPOSE(SAP_Speadsheet!$E$59:$BL$59))</f>
        <v>0</v>
      </c>
      <c r="BE13" s="398" cm="1">
        <f t="array" aca="1" ref="BE13" ca="1">SUMPRODUCT(BE$55:BE$114,TRANSPOSE(SAP_Speadsheet!$E$59:$BL$59))</f>
        <v>0</v>
      </c>
      <c r="BF13" s="398" cm="1">
        <f t="array" aca="1" ref="BF13" ca="1">SUMPRODUCT(BF$55:BF$114,TRANSPOSE(SAP_Speadsheet!$E$59:$BL$59))</f>
        <v>0</v>
      </c>
      <c r="BG13" s="398" cm="1">
        <f t="array" aca="1" ref="BG13" ca="1">SUMPRODUCT(BG$55:BG$114,TRANSPOSE(SAP_Speadsheet!$E$59:$BL$59))</f>
        <v>0</v>
      </c>
      <c r="BH13" s="398" cm="1">
        <f t="array" aca="1" ref="BH13" ca="1">SUMPRODUCT(BH$55:BH$114,TRANSPOSE(SAP_Speadsheet!$E$59:$BL$59))</f>
        <v>0</v>
      </c>
      <c r="BI13" s="398" cm="1">
        <f t="array" aca="1" ref="BI13" ca="1">SUMPRODUCT(BI$55:BI$114,TRANSPOSE(SAP_Speadsheet!$E$59:$BL$59))</f>
        <v>0</v>
      </c>
    </row>
    <row r="14" spans="1:61" x14ac:dyDescent="0.15">
      <c r="A14" s="386" t="s">
        <v>231</v>
      </c>
      <c r="B14" s="393" cm="1">
        <f t="array" aca="1" ref="B14" ca="1">SUMPRODUCT(B$55:B$114,TRANSPOSE(SAP_Speadsheet!$E$61:$BL$61))</f>
        <v>0</v>
      </c>
      <c r="C14" s="393" cm="1">
        <f t="array" aca="1" ref="C14" ca="1">SUMPRODUCT(C$55:C$114,TRANSPOSE(SAP_Speadsheet!$E$61:$BL$61))</f>
        <v>0</v>
      </c>
      <c r="D14" s="393" cm="1">
        <f t="array" aca="1" ref="D14" ca="1">SUMPRODUCT(D$55:D$114,TRANSPOSE(SAP_Speadsheet!$E$61:$BL$61))</f>
        <v>0</v>
      </c>
      <c r="E14" s="393" cm="1">
        <f t="array" aca="1" ref="E14" ca="1">SUMPRODUCT(E$55:E$114,TRANSPOSE(SAP_Speadsheet!$E$61:$BL$61))</f>
        <v>0</v>
      </c>
      <c r="F14" s="393" cm="1">
        <f t="array" aca="1" ref="F14" ca="1">SUMPRODUCT(F$55:F$114,TRANSPOSE(SAP_Speadsheet!$E$61:$BL$61))</f>
        <v>0</v>
      </c>
      <c r="G14" s="393" cm="1">
        <f t="array" aca="1" ref="G14" ca="1">SUMPRODUCT(G$55:G$114,TRANSPOSE(SAP_Speadsheet!$E$61:$BL$61))</f>
        <v>0</v>
      </c>
      <c r="H14" s="393" cm="1">
        <f t="array" aca="1" ref="H14" ca="1">SUMPRODUCT(H$55:H$114,TRANSPOSE(SAP_Speadsheet!$E$61:$BL$61))</f>
        <v>48201.410531741523</v>
      </c>
      <c r="I14" s="393" cm="1">
        <f t="array" aca="1" ref="I14" ca="1">SUMPRODUCT(I$55:I$114,TRANSPOSE(SAP_Speadsheet!$E$61:$BL$61))</f>
        <v>47614.940417553909</v>
      </c>
      <c r="J14" s="393" cm="1">
        <f t="array" aca="1" ref="J14" ca="1">SUMPRODUCT(J$55:J$114,TRANSPOSE(SAP_Speadsheet!$E$61:$BL$61))</f>
        <v>66528.377878597123</v>
      </c>
      <c r="K14" s="393" cm="1">
        <f t="array" aca="1" ref="K14" ca="1">SUMPRODUCT(K$55:K$114,TRANSPOSE(SAP_Speadsheet!$E$61:$BL$61))</f>
        <v>6901.7227523661659</v>
      </c>
      <c r="L14" s="393" cm="1">
        <f t="array" aca="1" ref="L14" ca="1">SUMPRODUCT(L$55:L$114,TRANSPOSE(SAP_Speadsheet!$E$61:$BL$61))</f>
        <v>4728.2547857541413</v>
      </c>
      <c r="M14" s="393" cm="1">
        <f t="array" aca="1" ref="M14" ca="1">SUMPRODUCT(M$55:M$114,TRANSPOSE(SAP_Speadsheet!$E$61:$BL$61))</f>
        <v>2175.2410303811525</v>
      </c>
      <c r="N14" s="393" cm="1">
        <f t="array" aca="1" ref="N14" ca="1">SUMPRODUCT(N$55:N$114,TRANSPOSE(SAP_Speadsheet!$E$61:$BL$61))</f>
        <v>1941.5707895195519</v>
      </c>
      <c r="O14" s="393" cm="1">
        <f t="array" aca="1" ref="O14" ca="1">SUMPRODUCT(O$55:O$114,TRANSPOSE(SAP_Speadsheet!$E$61:$BL$61))</f>
        <v>1714.4058065123718</v>
      </c>
      <c r="P14" s="393" cm="1">
        <f t="array" aca="1" ref="P14" ca="1">SUMPRODUCT(P$55:P$114,TRANSPOSE(SAP_Speadsheet!$E$61:$BL$61))</f>
        <v>1492.8764913673044</v>
      </c>
      <c r="Q14" s="393" cm="1">
        <f t="array" aca="1" ref="Q14" ca="1">SUMPRODUCT(Q$55:Q$114,TRANSPOSE(SAP_Speadsheet!$E$61:$BL$61))</f>
        <v>1276.92312256524</v>
      </c>
      <c r="R14" s="393" cm="1">
        <f t="array" aca="1" ref="R14" ca="1">SUMPRODUCT(R$55:R$114,TRANSPOSE(SAP_Speadsheet!$E$61:$BL$61))</f>
        <v>1064.3354582071615</v>
      </c>
      <c r="S14" s="393" cm="1">
        <f t="array" aca="1" ref="S14" ca="1">SUMPRODUCT(S$55:S$114,TRANSPOSE(SAP_Speadsheet!$E$61:$BL$61))</f>
        <v>853.71385828580492</v>
      </c>
      <c r="T14" s="393" cm="1">
        <f t="array" aca="1" ref="T14" ca="1">SUMPRODUCT(T$55:T$114,TRANSPOSE(SAP_Speadsheet!$E$61:$BL$61))</f>
        <v>644.92647757471605</v>
      </c>
      <c r="U14" s="393" cm="1">
        <f t="array" aca="1" ref="U14" ca="1">SUMPRODUCT(U$55:U$114,TRANSPOSE(SAP_Speadsheet!$E$61:$BL$61))</f>
        <v>370.72944287855654</v>
      </c>
      <c r="V14" s="393" cm="1">
        <f t="array" aca="1" ref="V14" ca="1">SUMPRODUCT(V$55:V$114,TRANSPOSE(SAP_Speadsheet!$E$61:$BL$61))</f>
        <v>166.70839126752648</v>
      </c>
      <c r="W14" s="393" cm="1">
        <f t="array" aca="1" ref="W14" ca="1">SUMPRODUCT(W$55:W$114,TRANSPOSE(SAP_Speadsheet!$E$61:$BL$61))</f>
        <v>0</v>
      </c>
      <c r="X14" s="393" cm="1">
        <f t="array" aca="1" ref="X14" ca="1">SUMPRODUCT(X$55:X$114,TRANSPOSE(SAP_Speadsheet!$E$61:$BL$61))</f>
        <v>0</v>
      </c>
      <c r="Y14" s="393" cm="1">
        <f t="array" aca="1" ref="Y14" ca="1">SUMPRODUCT(Y$55:Y$114,TRANSPOSE(SAP_Speadsheet!$E$61:$BL$61))</f>
        <v>0</v>
      </c>
      <c r="Z14" s="393" cm="1">
        <f t="array" aca="1" ref="Z14" ca="1">SUMPRODUCT(Z$55:Z$114,TRANSPOSE(SAP_Speadsheet!$E$61:$BL$61))</f>
        <v>0</v>
      </c>
      <c r="AA14" s="393" cm="1">
        <f t="array" aca="1" ref="AA14" ca="1">SUMPRODUCT(AA$55:AA$114,TRANSPOSE(SAP_Speadsheet!$E$61:$BL$61))</f>
        <v>0</v>
      </c>
      <c r="AB14" s="393" cm="1">
        <f t="array" aca="1" ref="AB14" ca="1">SUMPRODUCT(AB$55:AB$114,TRANSPOSE(SAP_Speadsheet!$E$61:$BL$61))</f>
        <v>0</v>
      </c>
      <c r="AC14" s="393" cm="1">
        <f t="array" aca="1" ref="AC14" ca="1">SUMPRODUCT(AC$55:AC$114,TRANSPOSE(SAP_Speadsheet!$E$61:$BL$61))</f>
        <v>0</v>
      </c>
      <c r="AD14" s="393" cm="1">
        <f t="array" aca="1" ref="AD14" ca="1">SUMPRODUCT(AD$55:AD$114,TRANSPOSE(SAP_Speadsheet!$E$61:$BL$61))</f>
        <v>0</v>
      </c>
      <c r="AE14" s="393" cm="1">
        <f t="array" aca="1" ref="AE14" ca="1">SUMPRODUCT(AE$55:AE$114,TRANSPOSE(SAP_Speadsheet!$E$61:$BL$61))</f>
        <v>0</v>
      </c>
      <c r="AF14" s="393" cm="1">
        <f t="array" aca="1" ref="AF14" ca="1">SUMPRODUCT(AF$55:AF$114,TRANSPOSE(SAP_Speadsheet!$E$61:$BL$61))</f>
        <v>0</v>
      </c>
      <c r="AG14" s="393" cm="1">
        <f t="array" aca="1" ref="AG14" ca="1">SUMPRODUCT(AG$55:AG$114,TRANSPOSE(SAP_Speadsheet!$E$61:$BL$61))</f>
        <v>0</v>
      </c>
      <c r="AH14" s="393" cm="1">
        <f t="array" aca="1" ref="AH14" ca="1">SUMPRODUCT(AH$55:AH$114,TRANSPOSE(SAP_Speadsheet!$E$61:$BL$61))</f>
        <v>0</v>
      </c>
      <c r="AI14" s="393" cm="1">
        <f t="array" aca="1" ref="AI14" ca="1">SUMPRODUCT(AI$55:AI$114,TRANSPOSE(SAP_Speadsheet!$E$61:$BL$61))</f>
        <v>0</v>
      </c>
      <c r="AJ14" s="393" cm="1">
        <f t="array" aca="1" ref="AJ14" ca="1">SUMPRODUCT(AJ$55:AJ$114,TRANSPOSE(SAP_Speadsheet!$E$61:$BL$61))</f>
        <v>0</v>
      </c>
      <c r="AK14" s="393" cm="1">
        <f t="array" aca="1" ref="AK14" ca="1">SUMPRODUCT(AK$55:AK$114,TRANSPOSE(SAP_Speadsheet!$E$61:$BL$61))</f>
        <v>0</v>
      </c>
      <c r="AL14" s="393" cm="1">
        <f t="array" aca="1" ref="AL14" ca="1">SUMPRODUCT(AL$55:AL$114,TRANSPOSE(SAP_Speadsheet!$E$61:$BL$61))</f>
        <v>0</v>
      </c>
      <c r="AM14" s="393" cm="1">
        <f t="array" aca="1" ref="AM14" ca="1">SUMPRODUCT(AM$55:AM$114,TRANSPOSE(SAP_Speadsheet!$E$61:$BL$61))</f>
        <v>0</v>
      </c>
      <c r="AN14" s="393" cm="1">
        <f t="array" aca="1" ref="AN14" ca="1">SUMPRODUCT(AN$55:AN$114,TRANSPOSE(SAP_Speadsheet!$E$61:$BL$61))</f>
        <v>0</v>
      </c>
      <c r="AO14" s="393" cm="1">
        <f t="array" aca="1" ref="AO14" ca="1">SUMPRODUCT(AO$55:AO$114,TRANSPOSE(SAP_Speadsheet!$E$61:$BL$61))</f>
        <v>0</v>
      </c>
      <c r="AP14" s="393" cm="1">
        <f t="array" aca="1" ref="AP14" ca="1">SUMPRODUCT(AP$55:AP$114,TRANSPOSE(SAP_Speadsheet!$E$61:$BL$61))</f>
        <v>0</v>
      </c>
      <c r="AQ14" s="393" cm="1">
        <f t="array" aca="1" ref="AQ14" ca="1">SUMPRODUCT(AQ$55:AQ$114,TRANSPOSE(SAP_Speadsheet!$E$61:$BL$61))</f>
        <v>0</v>
      </c>
      <c r="AR14" s="393" cm="1">
        <f t="array" aca="1" ref="AR14" ca="1">SUMPRODUCT(AR$55:AR$114,TRANSPOSE(SAP_Speadsheet!$E$61:$BL$61))</f>
        <v>0</v>
      </c>
      <c r="AS14" s="393" cm="1">
        <f t="array" aca="1" ref="AS14" ca="1">SUMPRODUCT(AS$55:AS$114,TRANSPOSE(SAP_Speadsheet!$E$61:$BL$61))</f>
        <v>0</v>
      </c>
      <c r="AT14" s="393" cm="1">
        <f t="array" aca="1" ref="AT14" ca="1">SUMPRODUCT(AT$55:AT$114,TRANSPOSE(SAP_Speadsheet!$E$61:$BL$61))</f>
        <v>0</v>
      </c>
      <c r="AU14" s="393" cm="1">
        <f t="array" aca="1" ref="AU14" ca="1">SUMPRODUCT(AU$55:AU$114,TRANSPOSE(SAP_Speadsheet!$E$61:$BL$61))</f>
        <v>0</v>
      </c>
      <c r="AV14" s="393" cm="1">
        <f t="array" aca="1" ref="AV14" ca="1">SUMPRODUCT(AV$55:AV$114,TRANSPOSE(SAP_Speadsheet!$E$61:$BL$61))</f>
        <v>0</v>
      </c>
      <c r="AW14" s="393" cm="1">
        <f t="array" aca="1" ref="AW14" ca="1">SUMPRODUCT(AW$55:AW$114,TRANSPOSE(SAP_Speadsheet!$E$61:$BL$61))</f>
        <v>0</v>
      </c>
      <c r="AX14" s="393" cm="1">
        <f t="array" aca="1" ref="AX14" ca="1">SUMPRODUCT(AX$55:AX$114,TRANSPOSE(SAP_Speadsheet!$E$61:$BL$61))</f>
        <v>0</v>
      </c>
      <c r="AY14" s="393" cm="1">
        <f t="array" aca="1" ref="AY14" ca="1">SUMPRODUCT(AY$55:AY$114,TRANSPOSE(SAP_Speadsheet!$E$61:$BL$61))</f>
        <v>0</v>
      </c>
      <c r="AZ14" s="393" cm="1">
        <f t="array" aca="1" ref="AZ14" ca="1">SUMPRODUCT(AZ$55:AZ$114,TRANSPOSE(SAP_Speadsheet!$E$61:$BL$61))</f>
        <v>0</v>
      </c>
      <c r="BA14" s="393" cm="1">
        <f t="array" aca="1" ref="BA14" ca="1">SUMPRODUCT(BA$55:BA$114,TRANSPOSE(SAP_Speadsheet!$E$61:$BL$61))</f>
        <v>0</v>
      </c>
      <c r="BB14" s="393" cm="1">
        <f t="array" aca="1" ref="BB14" ca="1">SUMPRODUCT(BB$55:BB$114,TRANSPOSE(SAP_Speadsheet!$E$61:$BL$61))</f>
        <v>0</v>
      </c>
      <c r="BC14" s="393" cm="1">
        <f t="array" aca="1" ref="BC14" ca="1">SUMPRODUCT(BC$55:BC$114,TRANSPOSE(SAP_Speadsheet!$E$61:$BL$61))</f>
        <v>0</v>
      </c>
      <c r="BD14" s="393" cm="1">
        <f t="array" aca="1" ref="BD14" ca="1">SUMPRODUCT(BD$55:BD$114,TRANSPOSE(SAP_Speadsheet!$E$61:$BL$61))</f>
        <v>0</v>
      </c>
      <c r="BE14" s="393" cm="1">
        <f t="array" aca="1" ref="BE14" ca="1">SUMPRODUCT(BE$55:BE$114,TRANSPOSE(SAP_Speadsheet!$E$61:$BL$61))</f>
        <v>0</v>
      </c>
      <c r="BF14" s="393" cm="1">
        <f t="array" aca="1" ref="BF14" ca="1">SUMPRODUCT(BF$55:BF$114,TRANSPOSE(SAP_Speadsheet!$E$61:$BL$61))</f>
        <v>0</v>
      </c>
      <c r="BG14" s="393" cm="1">
        <f t="array" aca="1" ref="BG14" ca="1">SUMPRODUCT(BG$55:BG$114,TRANSPOSE(SAP_Speadsheet!$E$61:$BL$61))</f>
        <v>0</v>
      </c>
      <c r="BH14" s="393" cm="1">
        <f t="array" aca="1" ref="BH14" ca="1">SUMPRODUCT(BH$55:BH$114,TRANSPOSE(SAP_Speadsheet!$E$61:$BL$61))</f>
        <v>0</v>
      </c>
      <c r="BI14" s="393" cm="1">
        <f t="array" aca="1" ref="BI14" ca="1">SUMPRODUCT(BI$55:BI$114,TRANSPOSE(SAP_Speadsheet!$E$61:$BL$61))</f>
        <v>0</v>
      </c>
    </row>
    <row r="15" spans="1:61" x14ac:dyDescent="0.15">
      <c r="A15" s="397" t="s">
        <v>492</v>
      </c>
      <c r="B15" s="398" cm="1">
        <f t="array" aca="1" ref="B15" ca="1">SUMPRODUCT(B$55:B$114,TRANSPOSE(SAP_Speadsheet!$E$62:$BL$62))</f>
        <v>0</v>
      </c>
      <c r="C15" s="398" cm="1">
        <f t="array" aca="1" ref="C15" ca="1">SUMPRODUCT(C$55:C$114,TRANSPOSE(SAP_Speadsheet!$E$62:$BL$62))</f>
        <v>0</v>
      </c>
      <c r="D15" s="398" cm="1">
        <f t="array" aca="1" ref="D15" ca="1">SUMPRODUCT(D$55:D$114,TRANSPOSE(SAP_Speadsheet!$E$62:$BL$62))</f>
        <v>0</v>
      </c>
      <c r="E15" s="398" cm="1">
        <f t="array" aca="1" ref="E15" ca="1">SUMPRODUCT(E$55:E$114,TRANSPOSE(SAP_Speadsheet!$E$62:$BL$62))</f>
        <v>0</v>
      </c>
      <c r="F15" s="398" cm="1">
        <f t="array" aca="1" ref="F15" ca="1">SUMPRODUCT(F$55:F$114,TRANSPOSE(SAP_Speadsheet!$E$62:$BL$62))</f>
        <v>0</v>
      </c>
      <c r="G15" s="398" cm="1">
        <f t="array" aca="1" ref="G15" ca="1">SUMPRODUCT(G$55:G$114,TRANSPOSE(SAP_Speadsheet!$E$62:$BL$62))</f>
        <v>0</v>
      </c>
      <c r="H15" s="398" cm="1">
        <f t="array" aca="1" ref="H15" ca="1">SUMPRODUCT(H$55:H$114,TRANSPOSE(SAP_Speadsheet!$E$62:$BL$62))</f>
        <v>8006.6582165718737</v>
      </c>
      <c r="I15" s="398" cm="1">
        <f t="array" aca="1" ref="I15" ca="1">SUMPRODUCT(I$55:I$114,TRANSPOSE(SAP_Speadsheet!$E$62:$BL$62))</f>
        <v>10338.719958696411</v>
      </c>
      <c r="J15" s="398" cm="1">
        <f t="array" aca="1" ref="J15" ca="1">SUMPRODUCT(J$55:J$114,TRANSPOSE(SAP_Speadsheet!$E$62:$BL$62))</f>
        <v>15512.070965260516</v>
      </c>
      <c r="K15" s="398" cm="1">
        <f t="array" aca="1" ref="K15" ca="1">SUMPRODUCT(K$55:K$114,TRANSPOSE(SAP_Speadsheet!$E$62:$BL$62))</f>
        <v>6901.7227523661659</v>
      </c>
      <c r="L15" s="398" cm="1">
        <f t="array" aca="1" ref="L15" ca="1">SUMPRODUCT(L$55:L$114,TRANSPOSE(SAP_Speadsheet!$E$62:$BL$62))</f>
        <v>4728.2547857541413</v>
      </c>
      <c r="M15" s="398" cm="1">
        <f t="array" aca="1" ref="M15" ca="1">SUMPRODUCT(M$55:M$114,TRANSPOSE(SAP_Speadsheet!$E$62:$BL$62))</f>
        <v>2175.2410303811525</v>
      </c>
      <c r="N15" s="398" cm="1">
        <f t="array" aca="1" ref="N15" ca="1">SUMPRODUCT(N$55:N$114,TRANSPOSE(SAP_Speadsheet!$E$62:$BL$62))</f>
        <v>1941.5707895195519</v>
      </c>
      <c r="O15" s="398" cm="1">
        <f t="array" aca="1" ref="O15" ca="1">SUMPRODUCT(O$55:O$114,TRANSPOSE(SAP_Speadsheet!$E$62:$BL$62))</f>
        <v>1714.4058065123718</v>
      </c>
      <c r="P15" s="398" cm="1">
        <f t="array" aca="1" ref="P15" ca="1">SUMPRODUCT(P$55:P$114,TRANSPOSE(SAP_Speadsheet!$E$62:$BL$62))</f>
        <v>1492.8764913673044</v>
      </c>
      <c r="Q15" s="398" cm="1">
        <f t="array" aca="1" ref="Q15" ca="1">SUMPRODUCT(Q$55:Q$114,TRANSPOSE(SAP_Speadsheet!$E$62:$BL$62))</f>
        <v>1276.92312256524</v>
      </c>
      <c r="R15" s="398" cm="1">
        <f t="array" aca="1" ref="R15" ca="1">SUMPRODUCT(R$55:R$114,TRANSPOSE(SAP_Speadsheet!$E$62:$BL$62))</f>
        <v>1064.3354582071615</v>
      </c>
      <c r="S15" s="398" cm="1">
        <f t="array" aca="1" ref="S15" ca="1">SUMPRODUCT(S$55:S$114,TRANSPOSE(SAP_Speadsheet!$E$62:$BL$62))</f>
        <v>853.71385828580492</v>
      </c>
      <c r="T15" s="398" cm="1">
        <f t="array" aca="1" ref="T15" ca="1">SUMPRODUCT(T$55:T$114,TRANSPOSE(SAP_Speadsheet!$E$62:$BL$62))</f>
        <v>644.92647757471605</v>
      </c>
      <c r="U15" s="398" cm="1">
        <f t="array" aca="1" ref="U15" ca="1">SUMPRODUCT(U$55:U$114,TRANSPOSE(SAP_Speadsheet!$E$62:$BL$62))</f>
        <v>370.72944287855654</v>
      </c>
      <c r="V15" s="398" cm="1">
        <f t="array" aca="1" ref="V15" ca="1">SUMPRODUCT(V$55:V$114,TRANSPOSE(SAP_Speadsheet!$E$62:$BL$62))</f>
        <v>166.70839126752648</v>
      </c>
      <c r="W15" s="398" cm="1">
        <f t="array" aca="1" ref="W15" ca="1">SUMPRODUCT(W$55:W$114,TRANSPOSE(SAP_Speadsheet!$E$62:$BL$62))</f>
        <v>0</v>
      </c>
      <c r="X15" s="398" cm="1">
        <f t="array" aca="1" ref="X15" ca="1">SUMPRODUCT(X$55:X$114,TRANSPOSE(SAP_Speadsheet!$E$62:$BL$62))</f>
        <v>0</v>
      </c>
      <c r="Y15" s="398" cm="1">
        <f t="array" aca="1" ref="Y15" ca="1">SUMPRODUCT(Y$55:Y$114,TRANSPOSE(SAP_Speadsheet!$E$62:$BL$62))</f>
        <v>0</v>
      </c>
      <c r="Z15" s="398" cm="1">
        <f t="array" aca="1" ref="Z15" ca="1">SUMPRODUCT(Z$55:Z$114,TRANSPOSE(SAP_Speadsheet!$E$62:$BL$62))</f>
        <v>0</v>
      </c>
      <c r="AA15" s="398" cm="1">
        <f t="array" aca="1" ref="AA15" ca="1">SUMPRODUCT(AA$55:AA$114,TRANSPOSE(SAP_Speadsheet!$E$62:$BL$62))</f>
        <v>0</v>
      </c>
      <c r="AB15" s="398" cm="1">
        <f t="array" aca="1" ref="AB15" ca="1">SUMPRODUCT(AB$55:AB$114,TRANSPOSE(SAP_Speadsheet!$E$62:$BL$62))</f>
        <v>0</v>
      </c>
      <c r="AC15" s="398" cm="1">
        <f t="array" aca="1" ref="AC15" ca="1">SUMPRODUCT(AC$55:AC$114,TRANSPOSE(SAP_Speadsheet!$E$62:$BL$62))</f>
        <v>0</v>
      </c>
      <c r="AD15" s="398" cm="1">
        <f t="array" aca="1" ref="AD15" ca="1">SUMPRODUCT(AD$55:AD$114,TRANSPOSE(SAP_Speadsheet!$E$62:$BL$62))</f>
        <v>0</v>
      </c>
      <c r="AE15" s="398" cm="1">
        <f t="array" aca="1" ref="AE15" ca="1">SUMPRODUCT(AE$55:AE$114,TRANSPOSE(SAP_Speadsheet!$E$62:$BL$62))</f>
        <v>0</v>
      </c>
      <c r="AF15" s="398" cm="1">
        <f t="array" aca="1" ref="AF15" ca="1">SUMPRODUCT(AF$55:AF$114,TRANSPOSE(SAP_Speadsheet!$E$62:$BL$62))</f>
        <v>0</v>
      </c>
      <c r="AG15" s="398" cm="1">
        <f t="array" aca="1" ref="AG15" ca="1">SUMPRODUCT(AG$55:AG$114,TRANSPOSE(SAP_Speadsheet!$E$62:$BL$62))</f>
        <v>0</v>
      </c>
      <c r="AH15" s="398" cm="1">
        <f t="array" aca="1" ref="AH15" ca="1">SUMPRODUCT(AH$55:AH$114,TRANSPOSE(SAP_Speadsheet!$E$62:$BL$62))</f>
        <v>0</v>
      </c>
      <c r="AI15" s="398" cm="1">
        <f t="array" aca="1" ref="AI15" ca="1">SUMPRODUCT(AI$55:AI$114,TRANSPOSE(SAP_Speadsheet!$E$62:$BL$62))</f>
        <v>0</v>
      </c>
      <c r="AJ15" s="398" cm="1">
        <f t="array" aca="1" ref="AJ15" ca="1">SUMPRODUCT(AJ$55:AJ$114,TRANSPOSE(SAP_Speadsheet!$E$62:$BL$62))</f>
        <v>0</v>
      </c>
      <c r="AK15" s="398" cm="1">
        <f t="array" aca="1" ref="AK15" ca="1">SUMPRODUCT(AK$55:AK$114,TRANSPOSE(SAP_Speadsheet!$E$62:$BL$62))</f>
        <v>0</v>
      </c>
      <c r="AL15" s="398" cm="1">
        <f t="array" aca="1" ref="AL15" ca="1">SUMPRODUCT(AL$55:AL$114,TRANSPOSE(SAP_Speadsheet!$E$62:$BL$62))</f>
        <v>0</v>
      </c>
      <c r="AM15" s="398" cm="1">
        <f t="array" aca="1" ref="AM15" ca="1">SUMPRODUCT(AM$55:AM$114,TRANSPOSE(SAP_Speadsheet!$E$62:$BL$62))</f>
        <v>0</v>
      </c>
      <c r="AN15" s="398" cm="1">
        <f t="array" aca="1" ref="AN15" ca="1">SUMPRODUCT(AN$55:AN$114,TRANSPOSE(SAP_Speadsheet!$E$62:$BL$62))</f>
        <v>0</v>
      </c>
      <c r="AO15" s="398" cm="1">
        <f t="array" aca="1" ref="AO15" ca="1">SUMPRODUCT(AO$55:AO$114,TRANSPOSE(SAP_Speadsheet!$E$62:$BL$62))</f>
        <v>0</v>
      </c>
      <c r="AP15" s="398" cm="1">
        <f t="array" aca="1" ref="AP15" ca="1">SUMPRODUCT(AP$55:AP$114,TRANSPOSE(SAP_Speadsheet!$E$62:$BL$62))</f>
        <v>0</v>
      </c>
      <c r="AQ15" s="398" cm="1">
        <f t="array" aca="1" ref="AQ15" ca="1">SUMPRODUCT(AQ$55:AQ$114,TRANSPOSE(SAP_Speadsheet!$E$62:$BL$62))</f>
        <v>0</v>
      </c>
      <c r="AR15" s="398" cm="1">
        <f t="array" aca="1" ref="AR15" ca="1">SUMPRODUCT(AR$55:AR$114,TRANSPOSE(SAP_Speadsheet!$E$62:$BL$62))</f>
        <v>0</v>
      </c>
      <c r="AS15" s="398" cm="1">
        <f t="array" aca="1" ref="AS15" ca="1">SUMPRODUCT(AS$55:AS$114,TRANSPOSE(SAP_Speadsheet!$E$62:$BL$62))</f>
        <v>0</v>
      </c>
      <c r="AT15" s="398" cm="1">
        <f t="array" aca="1" ref="AT15" ca="1">SUMPRODUCT(AT$55:AT$114,TRANSPOSE(SAP_Speadsheet!$E$62:$BL$62))</f>
        <v>0</v>
      </c>
      <c r="AU15" s="398" cm="1">
        <f t="array" aca="1" ref="AU15" ca="1">SUMPRODUCT(AU$55:AU$114,TRANSPOSE(SAP_Speadsheet!$E$62:$BL$62))</f>
        <v>0</v>
      </c>
      <c r="AV15" s="398" cm="1">
        <f t="array" aca="1" ref="AV15" ca="1">SUMPRODUCT(AV$55:AV$114,TRANSPOSE(SAP_Speadsheet!$E$62:$BL$62))</f>
        <v>0</v>
      </c>
      <c r="AW15" s="398" cm="1">
        <f t="array" aca="1" ref="AW15" ca="1">SUMPRODUCT(AW$55:AW$114,TRANSPOSE(SAP_Speadsheet!$E$62:$BL$62))</f>
        <v>0</v>
      </c>
      <c r="AX15" s="398" cm="1">
        <f t="array" aca="1" ref="AX15" ca="1">SUMPRODUCT(AX$55:AX$114,TRANSPOSE(SAP_Speadsheet!$E$62:$BL$62))</f>
        <v>0</v>
      </c>
      <c r="AY15" s="398" cm="1">
        <f t="array" aca="1" ref="AY15" ca="1">SUMPRODUCT(AY$55:AY$114,TRANSPOSE(SAP_Speadsheet!$E$62:$BL$62))</f>
        <v>0</v>
      </c>
      <c r="AZ15" s="398" cm="1">
        <f t="array" aca="1" ref="AZ15" ca="1">SUMPRODUCT(AZ$55:AZ$114,TRANSPOSE(SAP_Speadsheet!$E$62:$BL$62))</f>
        <v>0</v>
      </c>
      <c r="BA15" s="398" cm="1">
        <f t="array" aca="1" ref="BA15" ca="1">SUMPRODUCT(BA$55:BA$114,TRANSPOSE(SAP_Speadsheet!$E$62:$BL$62))</f>
        <v>0</v>
      </c>
      <c r="BB15" s="398" cm="1">
        <f t="array" aca="1" ref="BB15" ca="1">SUMPRODUCT(BB$55:BB$114,TRANSPOSE(SAP_Speadsheet!$E$62:$BL$62))</f>
        <v>0</v>
      </c>
      <c r="BC15" s="398" cm="1">
        <f t="array" aca="1" ref="BC15" ca="1">SUMPRODUCT(BC$55:BC$114,TRANSPOSE(SAP_Speadsheet!$E$62:$BL$62))</f>
        <v>0</v>
      </c>
      <c r="BD15" s="398" cm="1">
        <f t="array" aca="1" ref="BD15" ca="1">SUMPRODUCT(BD$55:BD$114,TRANSPOSE(SAP_Speadsheet!$E$62:$BL$62))</f>
        <v>0</v>
      </c>
      <c r="BE15" s="398" cm="1">
        <f t="array" aca="1" ref="BE15" ca="1">SUMPRODUCT(BE$55:BE$114,TRANSPOSE(SAP_Speadsheet!$E$62:$BL$62))</f>
        <v>0</v>
      </c>
      <c r="BF15" s="398" cm="1">
        <f t="array" aca="1" ref="BF15" ca="1">SUMPRODUCT(BF$55:BF$114,TRANSPOSE(SAP_Speadsheet!$E$62:$BL$62))</f>
        <v>0</v>
      </c>
      <c r="BG15" s="398" cm="1">
        <f t="array" aca="1" ref="BG15" ca="1">SUMPRODUCT(BG$55:BG$114,TRANSPOSE(SAP_Speadsheet!$E$62:$BL$62))</f>
        <v>0</v>
      </c>
      <c r="BH15" s="398" cm="1">
        <f t="array" aca="1" ref="BH15" ca="1">SUMPRODUCT(BH$55:BH$114,TRANSPOSE(SAP_Speadsheet!$E$62:$BL$62))</f>
        <v>0</v>
      </c>
      <c r="BI15" s="398" cm="1">
        <f t="array" aca="1" ref="BI15" ca="1">SUMPRODUCT(BI$55:BI$114,TRANSPOSE(SAP_Speadsheet!$E$62:$BL$62))</f>
        <v>0</v>
      </c>
    </row>
    <row r="16" spans="1:61" x14ac:dyDescent="0.15">
      <c r="A16" s="397" t="s">
        <v>493</v>
      </c>
      <c r="B16" s="398" cm="1">
        <f t="array" aca="1" ref="B16" ca="1">SUMPRODUCT(B$55:B$114,TRANSPOSE(SAP_Speadsheet!$E$63:$BL$63))</f>
        <v>0</v>
      </c>
      <c r="C16" s="398" cm="1">
        <f t="array" aca="1" ref="C16" ca="1">SUMPRODUCT(C$55:C$114,TRANSPOSE(SAP_Speadsheet!$E$63:$BL$63))</f>
        <v>0</v>
      </c>
      <c r="D16" s="398" cm="1">
        <f t="array" aca="1" ref="D16" ca="1">SUMPRODUCT(D$55:D$114,TRANSPOSE(SAP_Speadsheet!$E$63:$BL$63))</f>
        <v>0</v>
      </c>
      <c r="E16" s="398" cm="1">
        <f t="array" aca="1" ref="E16" ca="1">SUMPRODUCT(E$55:E$114,TRANSPOSE(SAP_Speadsheet!$E$63:$BL$63))</f>
        <v>0</v>
      </c>
      <c r="F16" s="398" cm="1">
        <f t="array" aca="1" ref="F16" ca="1">SUMPRODUCT(F$55:F$114,TRANSPOSE(SAP_Speadsheet!$E$63:$BL$63))</f>
        <v>0</v>
      </c>
      <c r="G16" s="398" cm="1">
        <f t="array" aca="1" ref="G16" ca="1">SUMPRODUCT(G$55:G$114,TRANSPOSE(SAP_Speadsheet!$E$63:$BL$63))</f>
        <v>0</v>
      </c>
      <c r="H16" s="398" cm="1">
        <f t="array" aca="1" ref="H16" ca="1">SUMPRODUCT(H$55:H$114,TRANSPOSE(SAP_Speadsheet!$E$63:$BL$63))</f>
        <v>40194.752315169651</v>
      </c>
      <c r="I16" s="398" cm="1">
        <f t="array" aca="1" ref="I16" ca="1">SUMPRODUCT(I$55:I$114,TRANSPOSE(SAP_Speadsheet!$E$63:$BL$63))</f>
        <v>37276.220458857497</v>
      </c>
      <c r="J16" s="398" cm="1">
        <f t="array" aca="1" ref="J16" ca="1">SUMPRODUCT(J$55:J$114,TRANSPOSE(SAP_Speadsheet!$E$63:$BL$63))</f>
        <v>51016.306913336615</v>
      </c>
      <c r="K16" s="398" cm="1">
        <f t="array" aca="1" ref="K16" ca="1">SUMPRODUCT(K$55:K$114,TRANSPOSE(SAP_Speadsheet!$E$63:$BL$63))</f>
        <v>0</v>
      </c>
      <c r="L16" s="398" cm="1">
        <f t="array" aca="1" ref="L16" ca="1">SUMPRODUCT(L$55:L$114,TRANSPOSE(SAP_Speadsheet!$E$63:$BL$63))</f>
        <v>0</v>
      </c>
      <c r="M16" s="398" cm="1">
        <f t="array" aca="1" ref="M16" ca="1">SUMPRODUCT(M$55:M$114,TRANSPOSE(SAP_Speadsheet!$E$63:$BL$63))</f>
        <v>0</v>
      </c>
      <c r="N16" s="398" cm="1">
        <f t="array" aca="1" ref="N16" ca="1">SUMPRODUCT(N$55:N$114,TRANSPOSE(SAP_Speadsheet!$E$63:$BL$63))</f>
        <v>0</v>
      </c>
      <c r="O16" s="398" cm="1">
        <f t="array" aca="1" ref="O16" ca="1">SUMPRODUCT(O$55:O$114,TRANSPOSE(SAP_Speadsheet!$E$63:$BL$63))</f>
        <v>0</v>
      </c>
      <c r="P16" s="398" cm="1">
        <f t="array" aca="1" ref="P16" ca="1">SUMPRODUCT(P$55:P$114,TRANSPOSE(SAP_Speadsheet!$E$63:$BL$63))</f>
        <v>0</v>
      </c>
      <c r="Q16" s="398" cm="1">
        <f t="array" aca="1" ref="Q16" ca="1">SUMPRODUCT(Q$55:Q$114,TRANSPOSE(SAP_Speadsheet!$E$63:$BL$63))</f>
        <v>0</v>
      </c>
      <c r="R16" s="398" cm="1">
        <f t="array" aca="1" ref="R16" ca="1">SUMPRODUCT(R$55:R$114,TRANSPOSE(SAP_Speadsheet!$E$63:$BL$63))</f>
        <v>0</v>
      </c>
      <c r="S16" s="398" cm="1">
        <f t="array" aca="1" ref="S16" ca="1">SUMPRODUCT(S$55:S$114,TRANSPOSE(SAP_Speadsheet!$E$63:$BL$63))</f>
        <v>0</v>
      </c>
      <c r="T16" s="398" cm="1">
        <f t="array" aca="1" ref="T16" ca="1">SUMPRODUCT(T$55:T$114,TRANSPOSE(SAP_Speadsheet!$E$63:$BL$63))</f>
        <v>0</v>
      </c>
      <c r="U16" s="398" cm="1">
        <f t="array" aca="1" ref="U16" ca="1">SUMPRODUCT(U$55:U$114,TRANSPOSE(SAP_Speadsheet!$E$63:$BL$63))</f>
        <v>0</v>
      </c>
      <c r="V16" s="398" cm="1">
        <f t="array" aca="1" ref="V16" ca="1">SUMPRODUCT(V$55:V$114,TRANSPOSE(SAP_Speadsheet!$E$63:$BL$63))</f>
        <v>0</v>
      </c>
      <c r="W16" s="398" cm="1">
        <f t="array" aca="1" ref="W16" ca="1">SUMPRODUCT(W$55:W$114,TRANSPOSE(SAP_Speadsheet!$E$63:$BL$63))</f>
        <v>0</v>
      </c>
      <c r="X16" s="398" cm="1">
        <f t="array" aca="1" ref="X16" ca="1">SUMPRODUCT(X$55:X$114,TRANSPOSE(SAP_Speadsheet!$E$63:$BL$63))</f>
        <v>0</v>
      </c>
      <c r="Y16" s="398" cm="1">
        <f t="array" aca="1" ref="Y16" ca="1">SUMPRODUCT(Y$55:Y$114,TRANSPOSE(SAP_Speadsheet!$E$63:$BL$63))</f>
        <v>0</v>
      </c>
      <c r="Z16" s="398" cm="1">
        <f t="array" aca="1" ref="Z16" ca="1">SUMPRODUCT(Z$55:Z$114,TRANSPOSE(SAP_Speadsheet!$E$63:$BL$63))</f>
        <v>0</v>
      </c>
      <c r="AA16" s="398" cm="1">
        <f t="array" aca="1" ref="AA16" ca="1">SUMPRODUCT(AA$55:AA$114,TRANSPOSE(SAP_Speadsheet!$E$63:$BL$63))</f>
        <v>0</v>
      </c>
      <c r="AB16" s="398" cm="1">
        <f t="array" aca="1" ref="AB16" ca="1">SUMPRODUCT(AB$55:AB$114,TRANSPOSE(SAP_Speadsheet!$E$63:$BL$63))</f>
        <v>0</v>
      </c>
      <c r="AC16" s="398" cm="1">
        <f t="array" aca="1" ref="AC16" ca="1">SUMPRODUCT(AC$55:AC$114,TRANSPOSE(SAP_Speadsheet!$E$63:$BL$63))</f>
        <v>0</v>
      </c>
      <c r="AD16" s="398" cm="1">
        <f t="array" aca="1" ref="AD16" ca="1">SUMPRODUCT(AD$55:AD$114,TRANSPOSE(SAP_Speadsheet!$E$63:$BL$63))</f>
        <v>0</v>
      </c>
      <c r="AE16" s="398" cm="1">
        <f t="array" aca="1" ref="AE16" ca="1">SUMPRODUCT(AE$55:AE$114,TRANSPOSE(SAP_Speadsheet!$E$63:$BL$63))</f>
        <v>0</v>
      </c>
      <c r="AF16" s="398" cm="1">
        <f t="array" aca="1" ref="AF16" ca="1">SUMPRODUCT(AF$55:AF$114,TRANSPOSE(SAP_Speadsheet!$E$63:$BL$63))</f>
        <v>0</v>
      </c>
      <c r="AG16" s="398" cm="1">
        <f t="array" aca="1" ref="AG16" ca="1">SUMPRODUCT(AG$55:AG$114,TRANSPOSE(SAP_Speadsheet!$E$63:$BL$63))</f>
        <v>0</v>
      </c>
      <c r="AH16" s="398" cm="1">
        <f t="array" aca="1" ref="AH16" ca="1">SUMPRODUCT(AH$55:AH$114,TRANSPOSE(SAP_Speadsheet!$E$63:$BL$63))</f>
        <v>0</v>
      </c>
      <c r="AI16" s="398" cm="1">
        <f t="array" aca="1" ref="AI16" ca="1">SUMPRODUCT(AI$55:AI$114,TRANSPOSE(SAP_Speadsheet!$E$63:$BL$63))</f>
        <v>0</v>
      </c>
      <c r="AJ16" s="398" cm="1">
        <f t="array" aca="1" ref="AJ16" ca="1">SUMPRODUCT(AJ$55:AJ$114,TRANSPOSE(SAP_Speadsheet!$E$63:$BL$63))</f>
        <v>0</v>
      </c>
      <c r="AK16" s="398" cm="1">
        <f t="array" aca="1" ref="AK16" ca="1">SUMPRODUCT(AK$55:AK$114,TRANSPOSE(SAP_Speadsheet!$E$63:$BL$63))</f>
        <v>0</v>
      </c>
      <c r="AL16" s="398" cm="1">
        <f t="array" aca="1" ref="AL16" ca="1">SUMPRODUCT(AL$55:AL$114,TRANSPOSE(SAP_Speadsheet!$E$63:$BL$63))</f>
        <v>0</v>
      </c>
      <c r="AM16" s="398" cm="1">
        <f t="array" aca="1" ref="AM16" ca="1">SUMPRODUCT(AM$55:AM$114,TRANSPOSE(SAP_Speadsheet!$E$63:$BL$63))</f>
        <v>0</v>
      </c>
      <c r="AN16" s="398" cm="1">
        <f t="array" aca="1" ref="AN16" ca="1">SUMPRODUCT(AN$55:AN$114,TRANSPOSE(SAP_Speadsheet!$E$63:$BL$63))</f>
        <v>0</v>
      </c>
      <c r="AO16" s="398" cm="1">
        <f t="array" aca="1" ref="AO16" ca="1">SUMPRODUCT(AO$55:AO$114,TRANSPOSE(SAP_Speadsheet!$E$63:$BL$63))</f>
        <v>0</v>
      </c>
      <c r="AP16" s="398" cm="1">
        <f t="array" aca="1" ref="AP16" ca="1">SUMPRODUCT(AP$55:AP$114,TRANSPOSE(SAP_Speadsheet!$E$63:$BL$63))</f>
        <v>0</v>
      </c>
      <c r="AQ16" s="398" cm="1">
        <f t="array" aca="1" ref="AQ16" ca="1">SUMPRODUCT(AQ$55:AQ$114,TRANSPOSE(SAP_Speadsheet!$E$63:$BL$63))</f>
        <v>0</v>
      </c>
      <c r="AR16" s="398" cm="1">
        <f t="array" aca="1" ref="AR16" ca="1">SUMPRODUCT(AR$55:AR$114,TRANSPOSE(SAP_Speadsheet!$E$63:$BL$63))</f>
        <v>0</v>
      </c>
      <c r="AS16" s="398" cm="1">
        <f t="array" aca="1" ref="AS16" ca="1">SUMPRODUCT(AS$55:AS$114,TRANSPOSE(SAP_Speadsheet!$E$63:$BL$63))</f>
        <v>0</v>
      </c>
      <c r="AT16" s="398" cm="1">
        <f t="array" aca="1" ref="AT16" ca="1">SUMPRODUCT(AT$55:AT$114,TRANSPOSE(SAP_Speadsheet!$E$63:$BL$63))</f>
        <v>0</v>
      </c>
      <c r="AU16" s="398" cm="1">
        <f t="array" aca="1" ref="AU16" ca="1">SUMPRODUCT(AU$55:AU$114,TRANSPOSE(SAP_Speadsheet!$E$63:$BL$63))</f>
        <v>0</v>
      </c>
      <c r="AV16" s="398" cm="1">
        <f t="array" aca="1" ref="AV16" ca="1">SUMPRODUCT(AV$55:AV$114,TRANSPOSE(SAP_Speadsheet!$E$63:$BL$63))</f>
        <v>0</v>
      </c>
      <c r="AW16" s="398" cm="1">
        <f t="array" aca="1" ref="AW16" ca="1">SUMPRODUCT(AW$55:AW$114,TRANSPOSE(SAP_Speadsheet!$E$63:$BL$63))</f>
        <v>0</v>
      </c>
      <c r="AX16" s="398" cm="1">
        <f t="array" aca="1" ref="AX16" ca="1">SUMPRODUCT(AX$55:AX$114,TRANSPOSE(SAP_Speadsheet!$E$63:$BL$63))</f>
        <v>0</v>
      </c>
      <c r="AY16" s="398" cm="1">
        <f t="array" aca="1" ref="AY16" ca="1">SUMPRODUCT(AY$55:AY$114,TRANSPOSE(SAP_Speadsheet!$E$63:$BL$63))</f>
        <v>0</v>
      </c>
      <c r="AZ16" s="398" cm="1">
        <f t="array" aca="1" ref="AZ16" ca="1">SUMPRODUCT(AZ$55:AZ$114,TRANSPOSE(SAP_Speadsheet!$E$63:$BL$63))</f>
        <v>0</v>
      </c>
      <c r="BA16" s="398" cm="1">
        <f t="array" aca="1" ref="BA16" ca="1">SUMPRODUCT(BA$55:BA$114,TRANSPOSE(SAP_Speadsheet!$E$63:$BL$63))</f>
        <v>0</v>
      </c>
      <c r="BB16" s="398" cm="1">
        <f t="array" aca="1" ref="BB16" ca="1">SUMPRODUCT(BB$55:BB$114,TRANSPOSE(SAP_Speadsheet!$E$63:$BL$63))</f>
        <v>0</v>
      </c>
      <c r="BC16" s="398" cm="1">
        <f t="array" aca="1" ref="BC16" ca="1">SUMPRODUCT(BC$55:BC$114,TRANSPOSE(SAP_Speadsheet!$E$63:$BL$63))</f>
        <v>0</v>
      </c>
      <c r="BD16" s="398" cm="1">
        <f t="array" aca="1" ref="BD16" ca="1">SUMPRODUCT(BD$55:BD$114,TRANSPOSE(SAP_Speadsheet!$E$63:$BL$63))</f>
        <v>0</v>
      </c>
      <c r="BE16" s="398" cm="1">
        <f t="array" aca="1" ref="BE16" ca="1">SUMPRODUCT(BE$55:BE$114,TRANSPOSE(SAP_Speadsheet!$E$63:$BL$63))</f>
        <v>0</v>
      </c>
      <c r="BF16" s="398" cm="1">
        <f t="array" aca="1" ref="BF16" ca="1">SUMPRODUCT(BF$55:BF$114,TRANSPOSE(SAP_Speadsheet!$E$63:$BL$63))</f>
        <v>0</v>
      </c>
      <c r="BG16" s="398" cm="1">
        <f t="array" aca="1" ref="BG16" ca="1">SUMPRODUCT(BG$55:BG$114,TRANSPOSE(SAP_Speadsheet!$E$63:$BL$63))</f>
        <v>0</v>
      </c>
      <c r="BH16" s="398" cm="1">
        <f t="array" aca="1" ref="BH16" ca="1">SUMPRODUCT(BH$55:BH$114,TRANSPOSE(SAP_Speadsheet!$E$63:$BL$63))</f>
        <v>0</v>
      </c>
      <c r="BI16" s="398" cm="1">
        <f t="array" aca="1" ref="BI16" ca="1">SUMPRODUCT(BI$55:BI$114,TRANSPOSE(SAP_Speadsheet!$E$63:$BL$63))</f>
        <v>0</v>
      </c>
    </row>
    <row r="17" spans="1:61" x14ac:dyDescent="0.15">
      <c r="A17" s="397" t="s">
        <v>125</v>
      </c>
      <c r="B17" s="398" cm="1">
        <f t="array" aca="1" ref="B17" ca="1">SUMPRODUCT(B$55:B$114,TRANSPOSE(SAP_Speadsheet!$E$64:$BL$64))</f>
        <v>0</v>
      </c>
      <c r="C17" s="398" cm="1">
        <f t="array" aca="1" ref="C17" ca="1">SUMPRODUCT(C$55:C$114,TRANSPOSE(SAP_Speadsheet!$E$64:$BL$64))</f>
        <v>0</v>
      </c>
      <c r="D17" s="398" cm="1">
        <f t="array" aca="1" ref="D17" ca="1">SUMPRODUCT(D$55:D$114,TRANSPOSE(SAP_Speadsheet!$E$64:$BL$64))</f>
        <v>0</v>
      </c>
      <c r="E17" s="398" cm="1">
        <f t="array" aca="1" ref="E17" ca="1">SUMPRODUCT(E$55:E$114,TRANSPOSE(SAP_Speadsheet!$E$64:$BL$64))</f>
        <v>0</v>
      </c>
      <c r="F17" s="398" cm="1">
        <f t="array" aca="1" ref="F17" ca="1">SUMPRODUCT(F$55:F$114,TRANSPOSE(SAP_Speadsheet!$E$64:$BL$64))</f>
        <v>0</v>
      </c>
      <c r="G17" s="398" cm="1">
        <f t="array" aca="1" ref="G17" ca="1">SUMPRODUCT(G$55:G$114,TRANSPOSE(SAP_Speadsheet!$E$64:$BL$64))</f>
        <v>0</v>
      </c>
      <c r="H17" s="398" cm="1">
        <f t="array" aca="1" ref="H17" ca="1">SUMPRODUCT(H$55:H$114,TRANSPOSE(SAP_Speadsheet!$E$64:$BL$64))</f>
        <v>0</v>
      </c>
      <c r="I17" s="398" cm="1">
        <f t="array" aca="1" ref="I17" ca="1">SUMPRODUCT(I$55:I$114,TRANSPOSE(SAP_Speadsheet!$E$64:$BL$64))</f>
        <v>0</v>
      </c>
      <c r="J17" s="398" cm="1">
        <f t="array" aca="1" ref="J17" ca="1">SUMPRODUCT(J$55:J$114,TRANSPOSE(SAP_Speadsheet!$E$64:$BL$64))</f>
        <v>0</v>
      </c>
      <c r="K17" s="398" cm="1">
        <f t="array" aca="1" ref="K17" ca="1">SUMPRODUCT(K$55:K$114,TRANSPOSE(SAP_Speadsheet!$E$64:$BL$64))</f>
        <v>0</v>
      </c>
      <c r="L17" s="398" cm="1">
        <f t="array" aca="1" ref="L17" ca="1">SUMPRODUCT(L$55:L$114,TRANSPOSE(SAP_Speadsheet!$E$64:$BL$64))</f>
        <v>0</v>
      </c>
      <c r="M17" s="398" cm="1">
        <f t="array" aca="1" ref="M17" ca="1">SUMPRODUCT(M$55:M$114,TRANSPOSE(SAP_Speadsheet!$E$64:$BL$64))</f>
        <v>0</v>
      </c>
      <c r="N17" s="398" cm="1">
        <f t="array" aca="1" ref="N17" ca="1">SUMPRODUCT(N$55:N$114,TRANSPOSE(SAP_Speadsheet!$E$64:$BL$64))</f>
        <v>0</v>
      </c>
      <c r="O17" s="398" cm="1">
        <f t="array" aca="1" ref="O17" ca="1">SUMPRODUCT(O$55:O$114,TRANSPOSE(SAP_Speadsheet!$E$64:$BL$64))</f>
        <v>0</v>
      </c>
      <c r="P17" s="398" cm="1">
        <f t="array" aca="1" ref="P17" ca="1">SUMPRODUCT(P$55:P$114,TRANSPOSE(SAP_Speadsheet!$E$64:$BL$64))</f>
        <v>0</v>
      </c>
      <c r="Q17" s="398" cm="1">
        <f t="array" aca="1" ref="Q17" ca="1">SUMPRODUCT(Q$55:Q$114,TRANSPOSE(SAP_Speadsheet!$E$64:$BL$64))</f>
        <v>0</v>
      </c>
      <c r="R17" s="398" cm="1">
        <f t="array" aca="1" ref="R17" ca="1">SUMPRODUCT(R$55:R$114,TRANSPOSE(SAP_Speadsheet!$E$64:$BL$64))</f>
        <v>0</v>
      </c>
      <c r="S17" s="398" cm="1">
        <f t="array" aca="1" ref="S17" ca="1">SUMPRODUCT(S$55:S$114,TRANSPOSE(SAP_Speadsheet!$E$64:$BL$64))</f>
        <v>0</v>
      </c>
      <c r="T17" s="398" cm="1">
        <f t="array" aca="1" ref="T17" ca="1">SUMPRODUCT(T$55:T$114,TRANSPOSE(SAP_Speadsheet!$E$64:$BL$64))</f>
        <v>0</v>
      </c>
      <c r="U17" s="398" cm="1">
        <f t="array" aca="1" ref="U17" ca="1">SUMPRODUCT(U$55:U$114,TRANSPOSE(SAP_Speadsheet!$E$64:$BL$64))</f>
        <v>0</v>
      </c>
      <c r="V17" s="398" cm="1">
        <f t="array" aca="1" ref="V17" ca="1">SUMPRODUCT(V$55:V$114,TRANSPOSE(SAP_Speadsheet!$E$64:$BL$64))</f>
        <v>0</v>
      </c>
      <c r="W17" s="398" cm="1">
        <f t="array" aca="1" ref="W17" ca="1">SUMPRODUCT(W$55:W$114,TRANSPOSE(SAP_Speadsheet!$E$64:$BL$64))</f>
        <v>0</v>
      </c>
      <c r="X17" s="398" cm="1">
        <f t="array" aca="1" ref="X17" ca="1">SUMPRODUCT(X$55:X$114,TRANSPOSE(SAP_Speadsheet!$E$64:$BL$64))</f>
        <v>0</v>
      </c>
      <c r="Y17" s="398" cm="1">
        <f t="array" aca="1" ref="Y17" ca="1">SUMPRODUCT(Y$55:Y$114,TRANSPOSE(SAP_Speadsheet!$E$64:$BL$64))</f>
        <v>0</v>
      </c>
      <c r="Z17" s="398" cm="1">
        <f t="array" aca="1" ref="Z17" ca="1">SUMPRODUCT(Z$55:Z$114,TRANSPOSE(SAP_Speadsheet!$E$64:$BL$64))</f>
        <v>0</v>
      </c>
      <c r="AA17" s="398" cm="1">
        <f t="array" aca="1" ref="AA17" ca="1">SUMPRODUCT(AA$55:AA$114,TRANSPOSE(SAP_Speadsheet!$E$64:$BL$64))</f>
        <v>0</v>
      </c>
      <c r="AB17" s="398" cm="1">
        <f t="array" aca="1" ref="AB17" ca="1">SUMPRODUCT(AB$55:AB$114,TRANSPOSE(SAP_Speadsheet!$E$64:$BL$64))</f>
        <v>0</v>
      </c>
      <c r="AC17" s="398" cm="1">
        <f t="array" aca="1" ref="AC17" ca="1">SUMPRODUCT(AC$55:AC$114,TRANSPOSE(SAP_Speadsheet!$E$64:$BL$64))</f>
        <v>0</v>
      </c>
      <c r="AD17" s="398" cm="1">
        <f t="array" aca="1" ref="AD17" ca="1">SUMPRODUCT(AD$55:AD$114,TRANSPOSE(SAP_Speadsheet!$E$64:$BL$64))</f>
        <v>0</v>
      </c>
      <c r="AE17" s="398" cm="1">
        <f t="array" aca="1" ref="AE17" ca="1">SUMPRODUCT(AE$55:AE$114,TRANSPOSE(SAP_Speadsheet!$E$64:$BL$64))</f>
        <v>0</v>
      </c>
      <c r="AF17" s="398" cm="1">
        <f t="array" aca="1" ref="AF17" ca="1">SUMPRODUCT(AF$55:AF$114,TRANSPOSE(SAP_Speadsheet!$E$64:$BL$64))</f>
        <v>0</v>
      </c>
      <c r="AG17" s="398" cm="1">
        <f t="array" aca="1" ref="AG17" ca="1">SUMPRODUCT(AG$55:AG$114,TRANSPOSE(SAP_Speadsheet!$E$64:$BL$64))</f>
        <v>0</v>
      </c>
      <c r="AH17" s="398" cm="1">
        <f t="array" aca="1" ref="AH17" ca="1">SUMPRODUCT(AH$55:AH$114,TRANSPOSE(SAP_Speadsheet!$E$64:$BL$64))</f>
        <v>0</v>
      </c>
      <c r="AI17" s="398" cm="1">
        <f t="array" aca="1" ref="AI17" ca="1">SUMPRODUCT(AI$55:AI$114,TRANSPOSE(SAP_Speadsheet!$E$64:$BL$64))</f>
        <v>0</v>
      </c>
      <c r="AJ17" s="398" cm="1">
        <f t="array" aca="1" ref="AJ17" ca="1">SUMPRODUCT(AJ$55:AJ$114,TRANSPOSE(SAP_Speadsheet!$E$64:$BL$64))</f>
        <v>0</v>
      </c>
      <c r="AK17" s="398" cm="1">
        <f t="array" aca="1" ref="AK17" ca="1">SUMPRODUCT(AK$55:AK$114,TRANSPOSE(SAP_Speadsheet!$E$64:$BL$64))</f>
        <v>0</v>
      </c>
      <c r="AL17" s="398" cm="1">
        <f t="array" aca="1" ref="AL17" ca="1">SUMPRODUCT(AL$55:AL$114,TRANSPOSE(SAP_Speadsheet!$E$64:$BL$64))</f>
        <v>0</v>
      </c>
      <c r="AM17" s="398" cm="1">
        <f t="array" aca="1" ref="AM17" ca="1">SUMPRODUCT(AM$55:AM$114,TRANSPOSE(SAP_Speadsheet!$E$64:$BL$64))</f>
        <v>0</v>
      </c>
      <c r="AN17" s="398" cm="1">
        <f t="array" aca="1" ref="AN17" ca="1">SUMPRODUCT(AN$55:AN$114,TRANSPOSE(SAP_Speadsheet!$E$64:$BL$64))</f>
        <v>0</v>
      </c>
      <c r="AO17" s="398" cm="1">
        <f t="array" aca="1" ref="AO17" ca="1">SUMPRODUCT(AO$55:AO$114,TRANSPOSE(SAP_Speadsheet!$E$64:$BL$64))</f>
        <v>0</v>
      </c>
      <c r="AP17" s="398" cm="1">
        <f t="array" aca="1" ref="AP17" ca="1">SUMPRODUCT(AP$55:AP$114,TRANSPOSE(SAP_Speadsheet!$E$64:$BL$64))</f>
        <v>0</v>
      </c>
      <c r="AQ17" s="398" cm="1">
        <f t="array" aca="1" ref="AQ17" ca="1">SUMPRODUCT(AQ$55:AQ$114,TRANSPOSE(SAP_Speadsheet!$E$64:$BL$64))</f>
        <v>0</v>
      </c>
      <c r="AR17" s="398" cm="1">
        <f t="array" aca="1" ref="AR17" ca="1">SUMPRODUCT(AR$55:AR$114,TRANSPOSE(SAP_Speadsheet!$E$64:$BL$64))</f>
        <v>0</v>
      </c>
      <c r="AS17" s="398" cm="1">
        <f t="array" aca="1" ref="AS17" ca="1">SUMPRODUCT(AS$55:AS$114,TRANSPOSE(SAP_Speadsheet!$E$64:$BL$64))</f>
        <v>0</v>
      </c>
      <c r="AT17" s="398" cm="1">
        <f t="array" aca="1" ref="AT17" ca="1">SUMPRODUCT(AT$55:AT$114,TRANSPOSE(SAP_Speadsheet!$E$64:$BL$64))</f>
        <v>0</v>
      </c>
      <c r="AU17" s="398" cm="1">
        <f t="array" aca="1" ref="AU17" ca="1">SUMPRODUCT(AU$55:AU$114,TRANSPOSE(SAP_Speadsheet!$E$64:$BL$64))</f>
        <v>0</v>
      </c>
      <c r="AV17" s="398" cm="1">
        <f t="array" aca="1" ref="AV17" ca="1">SUMPRODUCT(AV$55:AV$114,TRANSPOSE(SAP_Speadsheet!$E$64:$BL$64))</f>
        <v>0</v>
      </c>
      <c r="AW17" s="398" cm="1">
        <f t="array" aca="1" ref="AW17" ca="1">SUMPRODUCT(AW$55:AW$114,TRANSPOSE(SAP_Speadsheet!$E$64:$BL$64))</f>
        <v>0</v>
      </c>
      <c r="AX17" s="398" cm="1">
        <f t="array" aca="1" ref="AX17" ca="1">SUMPRODUCT(AX$55:AX$114,TRANSPOSE(SAP_Speadsheet!$E$64:$BL$64))</f>
        <v>0</v>
      </c>
      <c r="AY17" s="398" cm="1">
        <f t="array" aca="1" ref="AY17" ca="1">SUMPRODUCT(AY$55:AY$114,TRANSPOSE(SAP_Speadsheet!$E$64:$BL$64))</f>
        <v>0</v>
      </c>
      <c r="AZ17" s="398" cm="1">
        <f t="array" aca="1" ref="AZ17" ca="1">SUMPRODUCT(AZ$55:AZ$114,TRANSPOSE(SAP_Speadsheet!$E$64:$BL$64))</f>
        <v>0</v>
      </c>
      <c r="BA17" s="398" cm="1">
        <f t="array" aca="1" ref="BA17" ca="1">SUMPRODUCT(BA$55:BA$114,TRANSPOSE(SAP_Speadsheet!$E$64:$BL$64))</f>
        <v>0</v>
      </c>
      <c r="BB17" s="398" cm="1">
        <f t="array" aca="1" ref="BB17" ca="1">SUMPRODUCT(BB$55:BB$114,TRANSPOSE(SAP_Speadsheet!$E$64:$BL$64))</f>
        <v>0</v>
      </c>
      <c r="BC17" s="398" cm="1">
        <f t="array" aca="1" ref="BC17" ca="1">SUMPRODUCT(BC$55:BC$114,TRANSPOSE(SAP_Speadsheet!$E$64:$BL$64))</f>
        <v>0</v>
      </c>
      <c r="BD17" s="398" cm="1">
        <f t="array" aca="1" ref="BD17" ca="1">SUMPRODUCT(BD$55:BD$114,TRANSPOSE(SAP_Speadsheet!$E$64:$BL$64))</f>
        <v>0</v>
      </c>
      <c r="BE17" s="398" cm="1">
        <f t="array" aca="1" ref="BE17" ca="1">SUMPRODUCT(BE$55:BE$114,TRANSPOSE(SAP_Speadsheet!$E$64:$BL$64))</f>
        <v>0</v>
      </c>
      <c r="BF17" s="398" cm="1">
        <f t="array" aca="1" ref="BF17" ca="1">SUMPRODUCT(BF$55:BF$114,TRANSPOSE(SAP_Speadsheet!$E$64:$BL$64))</f>
        <v>0</v>
      </c>
      <c r="BG17" s="398" cm="1">
        <f t="array" aca="1" ref="BG17" ca="1">SUMPRODUCT(BG$55:BG$114,TRANSPOSE(SAP_Speadsheet!$E$64:$BL$64))</f>
        <v>0</v>
      </c>
      <c r="BH17" s="398" cm="1">
        <f t="array" aca="1" ref="BH17" ca="1">SUMPRODUCT(BH$55:BH$114,TRANSPOSE(SAP_Speadsheet!$E$64:$BL$64))</f>
        <v>0</v>
      </c>
      <c r="BI17" s="398" cm="1">
        <f t="array" aca="1" ref="BI17" ca="1">SUMPRODUCT(BI$55:BI$114,TRANSPOSE(SAP_Speadsheet!$E$64:$BL$64))</f>
        <v>0</v>
      </c>
    </row>
    <row r="18" spans="1:61" x14ac:dyDescent="0.15">
      <c r="A18" s="386" t="s">
        <v>232</v>
      </c>
      <c r="B18" s="398" cm="1">
        <f t="array" aca="1" ref="B18" ca="1">SUMPRODUCT(B$55:B$114,TRANSPOSE(SAP_Speadsheet!$E$68:$BL$68))</f>
        <v>0</v>
      </c>
      <c r="C18" s="398" cm="1">
        <f t="array" aca="1" ref="C18" ca="1">SUMPRODUCT(C$55:C$114,TRANSPOSE(SAP_Speadsheet!$E$68:$BL$68))</f>
        <v>0</v>
      </c>
      <c r="D18" s="398" cm="1">
        <f t="array" aca="1" ref="D18" ca="1">SUMPRODUCT(D$55:D$114,TRANSPOSE(SAP_Speadsheet!$E$68:$BL$68))</f>
        <v>0</v>
      </c>
      <c r="E18" s="398" cm="1">
        <f t="array" aca="1" ref="E18" ca="1">SUMPRODUCT(E$55:E$114,TRANSPOSE(SAP_Speadsheet!$E$68:$BL$68))</f>
        <v>0</v>
      </c>
      <c r="F18" s="398" cm="1">
        <f t="array" aca="1" ref="F18" ca="1">SUMPRODUCT(F$55:F$114,TRANSPOSE(SAP_Speadsheet!$E$68:$BL$68))</f>
        <v>0</v>
      </c>
      <c r="G18" s="398" cm="1">
        <f t="array" aca="1" ref="G18" ca="1">SUMPRODUCT(G$55:G$114,TRANSPOSE(SAP_Speadsheet!$E$68:$BL$68))</f>
        <v>0</v>
      </c>
      <c r="H18" s="398" cm="1">
        <f t="array" aca="1" ref="H18" ca="1">SUMPRODUCT(H$55:H$114,TRANSPOSE(SAP_Speadsheet!$E$68:$BL$68))</f>
        <v>0</v>
      </c>
      <c r="I18" s="398" cm="1">
        <f t="array" aca="1" ref="I18" ca="1">SUMPRODUCT(I$55:I$114,TRANSPOSE(SAP_Speadsheet!$E$68:$BL$68))</f>
        <v>0</v>
      </c>
      <c r="J18" s="398" cm="1">
        <f t="array" aca="1" ref="J18" ca="1">SUMPRODUCT(J$55:J$114,TRANSPOSE(SAP_Speadsheet!$E$68:$BL$68))</f>
        <v>0</v>
      </c>
      <c r="K18" s="398" cm="1">
        <f t="array" aca="1" ref="K18" ca="1">SUMPRODUCT(K$55:K$114,TRANSPOSE(SAP_Speadsheet!$E$68:$BL$68))</f>
        <v>0</v>
      </c>
      <c r="L18" s="398" cm="1">
        <f t="array" aca="1" ref="L18" ca="1">SUMPRODUCT(L$55:L$114,TRANSPOSE(SAP_Speadsheet!$E$68:$BL$68))</f>
        <v>0</v>
      </c>
      <c r="M18" s="398" cm="1">
        <f t="array" aca="1" ref="M18" ca="1">SUMPRODUCT(M$55:M$114,TRANSPOSE(SAP_Speadsheet!$E$68:$BL$68))</f>
        <v>0</v>
      </c>
      <c r="N18" s="398" cm="1">
        <f t="array" aca="1" ref="N18" ca="1">SUMPRODUCT(N$55:N$114,TRANSPOSE(SAP_Speadsheet!$E$68:$BL$68))</f>
        <v>0</v>
      </c>
      <c r="O18" s="398" cm="1">
        <f t="array" aca="1" ref="O18" ca="1">SUMPRODUCT(O$55:O$114,TRANSPOSE(SAP_Speadsheet!$E$68:$BL$68))</f>
        <v>0</v>
      </c>
      <c r="P18" s="398" cm="1">
        <f t="array" aca="1" ref="P18" ca="1">SUMPRODUCT(P$55:P$114,TRANSPOSE(SAP_Speadsheet!$E$68:$BL$68))</f>
        <v>0</v>
      </c>
      <c r="Q18" s="398" cm="1">
        <f t="array" aca="1" ref="Q18" ca="1">SUMPRODUCT(Q$55:Q$114,TRANSPOSE(SAP_Speadsheet!$E$68:$BL$68))</f>
        <v>0</v>
      </c>
      <c r="R18" s="398" cm="1">
        <f t="array" aca="1" ref="R18" ca="1">SUMPRODUCT(R$55:R$114,TRANSPOSE(SAP_Speadsheet!$E$68:$BL$68))</f>
        <v>0</v>
      </c>
      <c r="S18" s="398" cm="1">
        <f t="array" aca="1" ref="S18" ca="1">SUMPRODUCT(S$55:S$114,TRANSPOSE(SAP_Speadsheet!$E$68:$BL$68))</f>
        <v>0</v>
      </c>
      <c r="T18" s="398" cm="1">
        <f t="array" aca="1" ref="T18" ca="1">SUMPRODUCT(T$55:T$114,TRANSPOSE(SAP_Speadsheet!$E$68:$BL$68))</f>
        <v>0</v>
      </c>
      <c r="U18" s="398" cm="1">
        <f t="array" aca="1" ref="U18" ca="1">SUMPRODUCT(U$55:U$114,TRANSPOSE(SAP_Speadsheet!$E$68:$BL$68))</f>
        <v>0</v>
      </c>
      <c r="V18" s="398" cm="1">
        <f t="array" aca="1" ref="V18" ca="1">SUMPRODUCT(V$55:V$114,TRANSPOSE(SAP_Speadsheet!$E$68:$BL$68))</f>
        <v>0</v>
      </c>
      <c r="W18" s="398" cm="1">
        <f t="array" aca="1" ref="W18" ca="1">SUMPRODUCT(W$55:W$114,TRANSPOSE(SAP_Speadsheet!$E$68:$BL$68))</f>
        <v>0</v>
      </c>
      <c r="X18" s="398" cm="1">
        <f t="array" aca="1" ref="X18" ca="1">SUMPRODUCT(X$55:X$114,TRANSPOSE(SAP_Speadsheet!$E$68:$BL$68))</f>
        <v>0</v>
      </c>
      <c r="Y18" s="398" cm="1">
        <f t="array" aca="1" ref="Y18" ca="1">SUMPRODUCT(Y$55:Y$114,TRANSPOSE(SAP_Speadsheet!$E$68:$BL$68))</f>
        <v>0</v>
      </c>
      <c r="Z18" s="398" cm="1">
        <f t="array" aca="1" ref="Z18" ca="1">SUMPRODUCT(Z$55:Z$114,TRANSPOSE(SAP_Speadsheet!$E$68:$BL$68))</f>
        <v>0</v>
      </c>
      <c r="AA18" s="398" cm="1">
        <f t="array" aca="1" ref="AA18" ca="1">SUMPRODUCT(AA$55:AA$114,TRANSPOSE(SAP_Speadsheet!$E$68:$BL$68))</f>
        <v>0</v>
      </c>
      <c r="AB18" s="398" cm="1">
        <f t="array" aca="1" ref="AB18" ca="1">SUMPRODUCT(AB$55:AB$114,TRANSPOSE(SAP_Speadsheet!$E$68:$BL$68))</f>
        <v>0</v>
      </c>
      <c r="AC18" s="398" cm="1">
        <f t="array" aca="1" ref="AC18" ca="1">SUMPRODUCT(AC$55:AC$114,TRANSPOSE(SAP_Speadsheet!$E$68:$BL$68))</f>
        <v>0</v>
      </c>
      <c r="AD18" s="398" cm="1">
        <f t="array" aca="1" ref="AD18" ca="1">SUMPRODUCT(AD$55:AD$114,TRANSPOSE(SAP_Speadsheet!$E$68:$BL$68))</f>
        <v>0</v>
      </c>
      <c r="AE18" s="398" cm="1">
        <f t="array" aca="1" ref="AE18" ca="1">SUMPRODUCT(AE$55:AE$114,TRANSPOSE(SAP_Speadsheet!$E$68:$BL$68))</f>
        <v>0</v>
      </c>
      <c r="AF18" s="398" cm="1">
        <f t="array" aca="1" ref="AF18" ca="1">SUMPRODUCT(AF$55:AF$114,TRANSPOSE(SAP_Speadsheet!$E$68:$BL$68))</f>
        <v>0</v>
      </c>
      <c r="AG18" s="398" cm="1">
        <f t="array" aca="1" ref="AG18" ca="1">SUMPRODUCT(AG$55:AG$114,TRANSPOSE(SAP_Speadsheet!$E$68:$BL$68))</f>
        <v>0</v>
      </c>
      <c r="AH18" s="398" cm="1">
        <f t="array" aca="1" ref="AH18" ca="1">SUMPRODUCT(AH$55:AH$114,TRANSPOSE(SAP_Speadsheet!$E$68:$BL$68))</f>
        <v>0</v>
      </c>
      <c r="AI18" s="398" cm="1">
        <f t="array" aca="1" ref="AI18" ca="1">SUMPRODUCT(AI$55:AI$114,TRANSPOSE(SAP_Speadsheet!$E$68:$BL$68))</f>
        <v>0</v>
      </c>
      <c r="AJ18" s="398" cm="1">
        <f t="array" aca="1" ref="AJ18" ca="1">SUMPRODUCT(AJ$55:AJ$114,TRANSPOSE(SAP_Speadsheet!$E$68:$BL$68))</f>
        <v>0</v>
      </c>
      <c r="AK18" s="398" cm="1">
        <f t="array" aca="1" ref="AK18" ca="1">SUMPRODUCT(AK$55:AK$114,TRANSPOSE(SAP_Speadsheet!$E$68:$BL$68))</f>
        <v>0</v>
      </c>
      <c r="AL18" s="398" cm="1">
        <f t="array" aca="1" ref="AL18" ca="1">SUMPRODUCT(AL$55:AL$114,TRANSPOSE(SAP_Speadsheet!$E$68:$BL$68))</f>
        <v>0</v>
      </c>
      <c r="AM18" s="398" cm="1">
        <f t="array" aca="1" ref="AM18" ca="1">SUMPRODUCT(AM$55:AM$114,TRANSPOSE(SAP_Speadsheet!$E$68:$BL$68))</f>
        <v>0</v>
      </c>
      <c r="AN18" s="398" cm="1">
        <f t="array" aca="1" ref="AN18" ca="1">SUMPRODUCT(AN$55:AN$114,TRANSPOSE(SAP_Speadsheet!$E$68:$BL$68))</f>
        <v>0</v>
      </c>
      <c r="AO18" s="398" cm="1">
        <f t="array" aca="1" ref="AO18" ca="1">SUMPRODUCT(AO$55:AO$114,TRANSPOSE(SAP_Speadsheet!$E$68:$BL$68))</f>
        <v>0</v>
      </c>
      <c r="AP18" s="398" cm="1">
        <f t="array" aca="1" ref="AP18" ca="1">SUMPRODUCT(AP$55:AP$114,TRANSPOSE(SAP_Speadsheet!$E$68:$BL$68))</f>
        <v>0</v>
      </c>
      <c r="AQ18" s="398" cm="1">
        <f t="array" aca="1" ref="AQ18" ca="1">SUMPRODUCT(AQ$55:AQ$114,TRANSPOSE(SAP_Speadsheet!$E$68:$BL$68))</f>
        <v>0</v>
      </c>
      <c r="AR18" s="398" cm="1">
        <f t="array" aca="1" ref="AR18" ca="1">SUMPRODUCT(AR$55:AR$114,TRANSPOSE(SAP_Speadsheet!$E$68:$BL$68))</f>
        <v>0</v>
      </c>
      <c r="AS18" s="398" cm="1">
        <f t="array" aca="1" ref="AS18" ca="1">SUMPRODUCT(AS$55:AS$114,TRANSPOSE(SAP_Speadsheet!$E$68:$BL$68))</f>
        <v>0</v>
      </c>
      <c r="AT18" s="398" cm="1">
        <f t="array" aca="1" ref="AT18" ca="1">SUMPRODUCT(AT$55:AT$114,TRANSPOSE(SAP_Speadsheet!$E$68:$BL$68))</f>
        <v>0</v>
      </c>
      <c r="AU18" s="398" cm="1">
        <f t="array" aca="1" ref="AU18" ca="1">SUMPRODUCT(AU$55:AU$114,TRANSPOSE(SAP_Speadsheet!$E$68:$BL$68))</f>
        <v>0</v>
      </c>
      <c r="AV18" s="398" cm="1">
        <f t="array" aca="1" ref="AV18" ca="1">SUMPRODUCT(AV$55:AV$114,TRANSPOSE(SAP_Speadsheet!$E$68:$BL$68))</f>
        <v>0</v>
      </c>
      <c r="AW18" s="398" cm="1">
        <f t="array" aca="1" ref="AW18" ca="1">SUMPRODUCT(AW$55:AW$114,TRANSPOSE(SAP_Speadsheet!$E$68:$BL$68))</f>
        <v>0</v>
      </c>
      <c r="AX18" s="398" cm="1">
        <f t="array" aca="1" ref="AX18" ca="1">SUMPRODUCT(AX$55:AX$114,TRANSPOSE(SAP_Speadsheet!$E$68:$BL$68))</f>
        <v>0</v>
      </c>
      <c r="AY18" s="398" cm="1">
        <f t="array" aca="1" ref="AY18" ca="1">SUMPRODUCT(AY$55:AY$114,TRANSPOSE(SAP_Speadsheet!$E$68:$BL$68))</f>
        <v>0</v>
      </c>
      <c r="AZ18" s="398" cm="1">
        <f t="array" aca="1" ref="AZ18" ca="1">SUMPRODUCT(AZ$55:AZ$114,TRANSPOSE(SAP_Speadsheet!$E$68:$BL$68))</f>
        <v>0</v>
      </c>
      <c r="BA18" s="398" cm="1">
        <f t="array" aca="1" ref="BA18" ca="1">SUMPRODUCT(BA$55:BA$114,TRANSPOSE(SAP_Speadsheet!$E$68:$BL$68))</f>
        <v>0</v>
      </c>
      <c r="BB18" s="398" cm="1">
        <f t="array" aca="1" ref="BB18" ca="1">SUMPRODUCT(BB$55:BB$114,TRANSPOSE(SAP_Speadsheet!$E$68:$BL$68))</f>
        <v>0</v>
      </c>
      <c r="BC18" s="398" cm="1">
        <f t="array" aca="1" ref="BC18" ca="1">SUMPRODUCT(BC$55:BC$114,TRANSPOSE(SAP_Speadsheet!$E$68:$BL$68))</f>
        <v>0</v>
      </c>
      <c r="BD18" s="398" cm="1">
        <f t="array" aca="1" ref="BD18" ca="1">SUMPRODUCT(BD$55:BD$114,TRANSPOSE(SAP_Speadsheet!$E$68:$BL$68))</f>
        <v>0</v>
      </c>
      <c r="BE18" s="398" cm="1">
        <f t="array" aca="1" ref="BE18" ca="1">SUMPRODUCT(BE$55:BE$114,TRANSPOSE(SAP_Speadsheet!$E$68:$BL$68))</f>
        <v>0</v>
      </c>
      <c r="BF18" s="398" cm="1">
        <f t="array" aca="1" ref="BF18" ca="1">SUMPRODUCT(BF$55:BF$114,TRANSPOSE(SAP_Speadsheet!$E$68:$BL$68))</f>
        <v>0</v>
      </c>
      <c r="BG18" s="398" cm="1">
        <f t="array" aca="1" ref="BG18" ca="1">SUMPRODUCT(BG$55:BG$114,TRANSPOSE(SAP_Speadsheet!$E$68:$BL$68))</f>
        <v>0</v>
      </c>
      <c r="BH18" s="398" cm="1">
        <f t="array" aca="1" ref="BH18" ca="1">SUMPRODUCT(BH$55:BH$114,TRANSPOSE(SAP_Speadsheet!$E$68:$BL$68))</f>
        <v>0</v>
      </c>
      <c r="BI18" s="398" cm="1">
        <f t="array" aca="1" ref="BI18" ca="1">SUMPRODUCT(BI$55:BI$114,TRANSPOSE(SAP_Speadsheet!$E$68:$BL$68))</f>
        <v>0</v>
      </c>
    </row>
    <row r="19" spans="1:61" s="386" customFormat="1" x14ac:dyDescent="0.15">
      <c r="A19" s="386" t="s">
        <v>236</v>
      </c>
      <c r="B19" s="393">
        <f t="shared" ref="B19:BI19" ca="1" si="3">B20+B24+B28+B29+B30</f>
        <v>0</v>
      </c>
      <c r="C19" s="393">
        <f t="shared" ca="1" si="3"/>
        <v>0</v>
      </c>
      <c r="D19" s="393">
        <f t="shared" ca="1" si="3"/>
        <v>0</v>
      </c>
      <c r="E19" s="393">
        <f t="shared" ca="1" si="3"/>
        <v>0</v>
      </c>
      <c r="F19" s="393">
        <f t="shared" ca="1" si="3"/>
        <v>0</v>
      </c>
      <c r="G19" s="393">
        <f t="shared" ca="1" si="3"/>
        <v>0</v>
      </c>
      <c r="H19" s="393">
        <f t="shared" ca="1" si="3"/>
        <v>-28889.880732727375</v>
      </c>
      <c r="I19" s="393">
        <f t="shared" ca="1" si="3"/>
        <v>-35950.526401920026</v>
      </c>
      <c r="J19" s="393">
        <f t="shared" ca="1" si="3"/>
        <v>-53273.124803118939</v>
      </c>
      <c r="K19" s="393">
        <f t="shared" ca="1" si="3"/>
        <v>-19376.298490642057</v>
      </c>
      <c r="L19" s="393">
        <f t="shared" ca="1" si="3"/>
        <v>-11709.232626222463</v>
      </c>
      <c r="M19" s="393">
        <f t="shared" ca="1" si="3"/>
        <v>-2690.3620838911525</v>
      </c>
      <c r="N19" s="393">
        <f t="shared" ca="1" si="3"/>
        <v>-4257.5726523972298</v>
      </c>
      <c r="O19" s="393">
        <f t="shared" ca="1" si="3"/>
        <v>-4637.7742224641524</v>
      </c>
      <c r="P19" s="393">
        <f t="shared" ca="1" si="3"/>
        <v>-4918.9867245544519</v>
      </c>
      <c r="Q19" s="393">
        <f t="shared" ca="1" si="3"/>
        <v>-4827.9490700039714</v>
      </c>
      <c r="R19" s="393">
        <f t="shared" ca="1" si="3"/>
        <v>-4602.0306165161401</v>
      </c>
      <c r="S19" s="393">
        <f t="shared" ca="1" si="3"/>
        <v>-4453.1344979317992</v>
      </c>
      <c r="T19" s="393">
        <f t="shared" ca="1" si="3"/>
        <v>-4293.8179868010775</v>
      </c>
      <c r="U19" s="393">
        <f t="shared" ca="1" si="3"/>
        <v>-4143.5256706559367</v>
      </c>
      <c r="V19" s="393">
        <f t="shared" ca="1" si="3"/>
        <v>-2172.7530019586275</v>
      </c>
      <c r="W19" s="393">
        <f t="shared" ca="1" si="3"/>
        <v>-642.54261772575433</v>
      </c>
      <c r="X19" s="393">
        <f t="shared" ca="1" si="3"/>
        <v>1183.3515064667392</v>
      </c>
      <c r="Y19" s="393">
        <f t="shared" ca="1" si="3"/>
        <v>429.17567128911696</v>
      </c>
      <c r="Z19" s="393">
        <f t="shared" ca="1" si="3"/>
        <v>-58.078803920580015</v>
      </c>
      <c r="AA19" s="393">
        <f t="shared" ca="1" si="3"/>
        <v>-317.18839506690261</v>
      </c>
      <c r="AB19" s="393">
        <f t="shared" ca="1" si="3"/>
        <v>-203.15078969928362</v>
      </c>
      <c r="AC19" s="393">
        <f t="shared" ca="1" si="3"/>
        <v>-111.32011719763139</v>
      </c>
      <c r="AD19" s="393">
        <f t="shared" ca="1" si="3"/>
        <v>0</v>
      </c>
      <c r="AE19" s="393">
        <f t="shared" ca="1" si="3"/>
        <v>0</v>
      </c>
      <c r="AF19" s="393">
        <f t="shared" ca="1" si="3"/>
        <v>0</v>
      </c>
      <c r="AG19" s="393">
        <f t="shared" ca="1" si="3"/>
        <v>0</v>
      </c>
      <c r="AH19" s="393">
        <f t="shared" ca="1" si="3"/>
        <v>0</v>
      </c>
      <c r="AI19" s="393">
        <f t="shared" ca="1" si="3"/>
        <v>0</v>
      </c>
      <c r="AJ19" s="393">
        <f t="shared" ca="1" si="3"/>
        <v>0</v>
      </c>
      <c r="AK19" s="393">
        <f t="shared" ca="1" si="3"/>
        <v>0</v>
      </c>
      <c r="AL19" s="393">
        <f t="shared" ca="1" si="3"/>
        <v>0</v>
      </c>
      <c r="AM19" s="393">
        <f t="shared" ca="1" si="3"/>
        <v>0</v>
      </c>
      <c r="AN19" s="393">
        <f t="shared" ca="1" si="3"/>
        <v>0</v>
      </c>
      <c r="AO19" s="393">
        <f t="shared" ca="1" si="3"/>
        <v>0</v>
      </c>
      <c r="AP19" s="393">
        <f t="shared" ca="1" si="3"/>
        <v>0</v>
      </c>
      <c r="AQ19" s="393">
        <f t="shared" ca="1" si="3"/>
        <v>0</v>
      </c>
      <c r="AR19" s="393">
        <f t="shared" ca="1" si="3"/>
        <v>0</v>
      </c>
      <c r="AS19" s="393">
        <f t="shared" ca="1" si="3"/>
        <v>0</v>
      </c>
      <c r="AT19" s="393">
        <f t="shared" ca="1" si="3"/>
        <v>0</v>
      </c>
      <c r="AU19" s="393">
        <f t="shared" ca="1" si="3"/>
        <v>0</v>
      </c>
      <c r="AV19" s="393">
        <f t="shared" ca="1" si="3"/>
        <v>0</v>
      </c>
      <c r="AW19" s="393">
        <f t="shared" ca="1" si="3"/>
        <v>0</v>
      </c>
      <c r="AX19" s="393">
        <f t="shared" ca="1" si="3"/>
        <v>0</v>
      </c>
      <c r="AY19" s="393">
        <f t="shared" ca="1" si="3"/>
        <v>0</v>
      </c>
      <c r="AZ19" s="393">
        <f t="shared" ca="1" si="3"/>
        <v>0</v>
      </c>
      <c r="BA19" s="393">
        <f t="shared" ca="1" si="3"/>
        <v>0</v>
      </c>
      <c r="BB19" s="393">
        <f t="shared" ca="1" si="3"/>
        <v>0</v>
      </c>
      <c r="BC19" s="393">
        <f t="shared" ca="1" si="3"/>
        <v>0</v>
      </c>
      <c r="BD19" s="393">
        <f t="shared" ca="1" si="3"/>
        <v>0</v>
      </c>
      <c r="BE19" s="393">
        <f t="shared" ca="1" si="3"/>
        <v>0</v>
      </c>
      <c r="BF19" s="393">
        <f t="shared" ca="1" si="3"/>
        <v>0</v>
      </c>
      <c r="BG19" s="393">
        <f t="shared" ca="1" si="3"/>
        <v>0</v>
      </c>
      <c r="BH19" s="393">
        <f t="shared" ca="1" si="3"/>
        <v>0</v>
      </c>
      <c r="BI19" s="393">
        <f t="shared" ca="1" si="3"/>
        <v>0</v>
      </c>
    </row>
    <row r="20" spans="1:61" x14ac:dyDescent="0.15">
      <c r="A20" s="399" t="s">
        <v>494</v>
      </c>
      <c r="B20" s="393">
        <f ca="1">SUM(B21:B23)</f>
        <v>0</v>
      </c>
      <c r="C20" s="393">
        <f t="shared" ref="C20:BI20" ca="1" si="4">SUM(C21:C23)</f>
        <v>0</v>
      </c>
      <c r="D20" s="393">
        <f t="shared" ca="1" si="4"/>
        <v>0</v>
      </c>
      <c r="E20" s="393">
        <f t="shared" ca="1" si="4"/>
        <v>0</v>
      </c>
      <c r="F20" s="393">
        <f t="shared" ca="1" si="4"/>
        <v>0</v>
      </c>
      <c r="G20" s="393">
        <f t="shared" ca="1" si="4"/>
        <v>0</v>
      </c>
      <c r="H20" s="393">
        <f t="shared" ca="1" si="4"/>
        <v>-21861.463333301712</v>
      </c>
      <c r="I20" s="393">
        <f t="shared" ca="1" si="4"/>
        <v>-26548.776304037925</v>
      </c>
      <c r="J20" s="393">
        <f t="shared" ca="1" si="4"/>
        <v>-38950.183390356135</v>
      </c>
      <c r="K20" s="393">
        <f t="shared" ca="1" si="4"/>
        <v>-10612.655260074216</v>
      </c>
      <c r="L20" s="393">
        <f t="shared" ca="1" si="4"/>
        <v>-3362.4590144378526</v>
      </c>
      <c r="M20" s="393">
        <f t="shared" ca="1" si="4"/>
        <v>5313.7137308975434</v>
      </c>
      <c r="N20" s="393">
        <f t="shared" ca="1" si="4"/>
        <v>3502.9286853055664</v>
      </c>
      <c r="O20" s="393">
        <f t="shared" ca="1" si="4"/>
        <v>2879.1526381527451</v>
      </c>
      <c r="P20" s="393">
        <f t="shared" ca="1" si="4"/>
        <v>2354.3656589765474</v>
      </c>
      <c r="Q20" s="393">
        <f t="shared" ca="1" si="4"/>
        <v>2201.8288364411283</v>
      </c>
      <c r="R20" s="393">
        <f t="shared" ca="1" si="4"/>
        <v>2184.1728128430605</v>
      </c>
      <c r="S20" s="393">
        <f t="shared" ca="1" si="4"/>
        <v>2157.0946339290408</v>
      </c>
      <c r="T20" s="393">
        <f t="shared" ca="1" si="4"/>
        <v>2132.9076398459383</v>
      </c>
      <c r="U20" s="393">
        <f t="shared" ca="1" si="4"/>
        <v>2121.6925603972959</v>
      </c>
      <c r="V20" s="393">
        <f t="shared" ca="1" si="4"/>
        <v>2119.4379964216523</v>
      </c>
      <c r="W20" s="393">
        <f t="shared" ca="1" si="4"/>
        <v>1880.6882325282736</v>
      </c>
      <c r="X20" s="393">
        <f t="shared" ca="1" si="4"/>
        <v>1420.1623961657356</v>
      </c>
      <c r="Y20" s="393">
        <f t="shared" ca="1" si="4"/>
        <v>665.41055639891181</v>
      </c>
      <c r="Z20" s="393">
        <f t="shared" ca="1" si="4"/>
        <v>177.79925665054088</v>
      </c>
      <c r="AA20" s="393">
        <f t="shared" ca="1" si="4"/>
        <v>-81.538734054065358</v>
      </c>
      <c r="AB20" s="393">
        <f t="shared" ca="1" si="4"/>
        <v>-41.282757797371048</v>
      </c>
      <c r="AC20" s="393">
        <f t="shared" ca="1" si="4"/>
        <v>-17.817163960843398</v>
      </c>
      <c r="AD20" s="393">
        <f t="shared" ca="1" si="4"/>
        <v>0</v>
      </c>
      <c r="AE20" s="393">
        <f t="shared" ca="1" si="4"/>
        <v>0</v>
      </c>
      <c r="AF20" s="393">
        <f t="shared" ca="1" si="4"/>
        <v>0</v>
      </c>
      <c r="AG20" s="393">
        <f t="shared" ca="1" si="4"/>
        <v>0</v>
      </c>
      <c r="AH20" s="393">
        <f t="shared" ca="1" si="4"/>
        <v>0</v>
      </c>
      <c r="AI20" s="393">
        <f t="shared" ca="1" si="4"/>
        <v>0</v>
      </c>
      <c r="AJ20" s="393">
        <f t="shared" ca="1" si="4"/>
        <v>0</v>
      </c>
      <c r="AK20" s="393">
        <f t="shared" ca="1" si="4"/>
        <v>0</v>
      </c>
      <c r="AL20" s="393">
        <f t="shared" ca="1" si="4"/>
        <v>0</v>
      </c>
      <c r="AM20" s="393">
        <f t="shared" ca="1" si="4"/>
        <v>0</v>
      </c>
      <c r="AN20" s="393">
        <f t="shared" ca="1" si="4"/>
        <v>0</v>
      </c>
      <c r="AO20" s="393">
        <f t="shared" ca="1" si="4"/>
        <v>0</v>
      </c>
      <c r="AP20" s="393">
        <f t="shared" ca="1" si="4"/>
        <v>0</v>
      </c>
      <c r="AQ20" s="393">
        <f t="shared" ca="1" si="4"/>
        <v>0</v>
      </c>
      <c r="AR20" s="393">
        <f t="shared" ca="1" si="4"/>
        <v>0</v>
      </c>
      <c r="AS20" s="393">
        <f t="shared" ca="1" si="4"/>
        <v>0</v>
      </c>
      <c r="AT20" s="393">
        <f t="shared" ca="1" si="4"/>
        <v>0</v>
      </c>
      <c r="AU20" s="393">
        <f t="shared" ca="1" si="4"/>
        <v>0</v>
      </c>
      <c r="AV20" s="393">
        <f t="shared" ca="1" si="4"/>
        <v>0</v>
      </c>
      <c r="AW20" s="393">
        <f t="shared" ca="1" si="4"/>
        <v>0</v>
      </c>
      <c r="AX20" s="393">
        <f t="shared" ca="1" si="4"/>
        <v>0</v>
      </c>
      <c r="AY20" s="393">
        <f t="shared" ca="1" si="4"/>
        <v>0</v>
      </c>
      <c r="AZ20" s="393">
        <f t="shared" ca="1" si="4"/>
        <v>0</v>
      </c>
      <c r="BA20" s="393">
        <f t="shared" ca="1" si="4"/>
        <v>0</v>
      </c>
      <c r="BB20" s="393">
        <f t="shared" ca="1" si="4"/>
        <v>0</v>
      </c>
      <c r="BC20" s="393">
        <f t="shared" ca="1" si="4"/>
        <v>0</v>
      </c>
      <c r="BD20" s="393">
        <f t="shared" ca="1" si="4"/>
        <v>0</v>
      </c>
      <c r="BE20" s="393">
        <f t="shared" ca="1" si="4"/>
        <v>0</v>
      </c>
      <c r="BF20" s="393">
        <f t="shared" ca="1" si="4"/>
        <v>0</v>
      </c>
      <c r="BG20" s="393">
        <f t="shared" ca="1" si="4"/>
        <v>0</v>
      </c>
      <c r="BH20" s="393">
        <f t="shared" ca="1" si="4"/>
        <v>0</v>
      </c>
      <c r="BI20" s="393">
        <f t="shared" ca="1" si="4"/>
        <v>0</v>
      </c>
    </row>
    <row r="21" spans="1:61" x14ac:dyDescent="0.15">
      <c r="A21" s="387" t="s">
        <v>255</v>
      </c>
      <c r="B21" s="398" cm="1">
        <f t="array" aca="1" ref="B21" ca="1">SUMPRODUCT(B$55:B$114,TRANSPOSE(SAP_Speadsheet!$E$73:$BL$73))</f>
        <v>0</v>
      </c>
      <c r="C21" s="398" cm="1">
        <f t="array" aca="1" ref="C21" ca="1">SUMPRODUCT(C$55:C$114,TRANSPOSE(SAP_Speadsheet!$E$73:$BL$73))</f>
        <v>0</v>
      </c>
      <c r="D21" s="398" cm="1">
        <f t="array" aca="1" ref="D21" ca="1">SUMPRODUCT(D$55:D$114,TRANSPOSE(SAP_Speadsheet!$E$73:$BL$73))</f>
        <v>0</v>
      </c>
      <c r="E21" s="398" cm="1">
        <f t="array" aca="1" ref="E21" ca="1">SUMPRODUCT(E$55:E$114,TRANSPOSE(SAP_Speadsheet!$E$73:$BL$73))</f>
        <v>0</v>
      </c>
      <c r="F21" s="398" cm="1">
        <f t="array" aca="1" ref="F21" ca="1">SUMPRODUCT(F$55:F$114,TRANSPOSE(SAP_Speadsheet!$E$73:$BL$73))</f>
        <v>0</v>
      </c>
      <c r="G21" s="398" cm="1">
        <f t="array" aca="1" ref="G21" ca="1">SUMPRODUCT(G$55:G$114,TRANSPOSE(SAP_Speadsheet!$E$73:$BL$73))</f>
        <v>0</v>
      </c>
      <c r="H21" s="398" cm="1">
        <f t="array" aca="1" ref="H21" ca="1">SUMPRODUCT(H$55:H$114,TRANSPOSE(SAP_Speadsheet!$E$73:$BL$73))</f>
        <v>0</v>
      </c>
      <c r="I21" s="398" cm="1">
        <f t="array" aca="1" ref="I21" ca="1">SUMPRODUCT(I$55:I$114,TRANSPOSE(SAP_Speadsheet!$E$73:$BL$73))</f>
        <v>0</v>
      </c>
      <c r="J21" s="398" cm="1">
        <f t="array" aca="1" ref="J21" ca="1">SUMPRODUCT(J$55:J$114,TRANSPOSE(SAP_Speadsheet!$E$73:$BL$73))</f>
        <v>0</v>
      </c>
      <c r="K21" s="398" cm="1">
        <f t="array" aca="1" ref="K21" ca="1">SUMPRODUCT(K$55:K$114,TRANSPOSE(SAP_Speadsheet!$E$73:$BL$73))</f>
        <v>0</v>
      </c>
      <c r="L21" s="398" cm="1">
        <f t="array" aca="1" ref="L21" ca="1">SUMPRODUCT(L$55:L$114,TRANSPOSE(SAP_Speadsheet!$E$73:$BL$73))</f>
        <v>0</v>
      </c>
      <c r="M21" s="398" cm="1">
        <f t="array" aca="1" ref="M21" ca="1">SUMPRODUCT(M$55:M$114,TRANSPOSE(SAP_Speadsheet!$E$73:$BL$73))</f>
        <v>0</v>
      </c>
      <c r="N21" s="398" cm="1">
        <f t="array" aca="1" ref="N21" ca="1">SUMPRODUCT(N$55:N$114,TRANSPOSE(SAP_Speadsheet!$E$73:$BL$73))</f>
        <v>0</v>
      </c>
      <c r="O21" s="398" cm="1">
        <f t="array" aca="1" ref="O21" ca="1">SUMPRODUCT(O$55:O$114,TRANSPOSE(SAP_Speadsheet!$E$73:$BL$73))</f>
        <v>0</v>
      </c>
      <c r="P21" s="398" cm="1">
        <f t="array" aca="1" ref="P21" ca="1">SUMPRODUCT(P$55:P$114,TRANSPOSE(SAP_Speadsheet!$E$73:$BL$73))</f>
        <v>0</v>
      </c>
      <c r="Q21" s="398" cm="1">
        <f t="array" aca="1" ref="Q21" ca="1">SUMPRODUCT(Q$55:Q$114,TRANSPOSE(SAP_Speadsheet!$E$73:$BL$73))</f>
        <v>0</v>
      </c>
      <c r="R21" s="398" cm="1">
        <f t="array" aca="1" ref="R21" ca="1">SUMPRODUCT(R$55:R$114,TRANSPOSE(SAP_Speadsheet!$E$73:$BL$73))</f>
        <v>0</v>
      </c>
      <c r="S21" s="398" cm="1">
        <f t="array" aca="1" ref="S21" ca="1">SUMPRODUCT(S$55:S$114,TRANSPOSE(SAP_Speadsheet!$E$73:$BL$73))</f>
        <v>0</v>
      </c>
      <c r="T21" s="398" cm="1">
        <f t="array" aca="1" ref="T21" ca="1">SUMPRODUCT(T$55:T$114,TRANSPOSE(SAP_Speadsheet!$E$73:$BL$73))</f>
        <v>0</v>
      </c>
      <c r="U21" s="398" cm="1">
        <f t="array" aca="1" ref="U21" ca="1">SUMPRODUCT(U$55:U$114,TRANSPOSE(SAP_Speadsheet!$E$73:$BL$73))</f>
        <v>0</v>
      </c>
      <c r="V21" s="398" cm="1">
        <f t="array" aca="1" ref="V21" ca="1">SUMPRODUCT(V$55:V$114,TRANSPOSE(SAP_Speadsheet!$E$73:$BL$73))</f>
        <v>0</v>
      </c>
      <c r="W21" s="398" cm="1">
        <f t="array" aca="1" ref="W21" ca="1">SUMPRODUCT(W$55:W$114,TRANSPOSE(SAP_Speadsheet!$E$73:$BL$73))</f>
        <v>0</v>
      </c>
      <c r="X21" s="398" cm="1">
        <f t="array" aca="1" ref="X21" ca="1">SUMPRODUCT(X$55:X$114,TRANSPOSE(SAP_Speadsheet!$E$73:$BL$73))</f>
        <v>0</v>
      </c>
      <c r="Y21" s="398" cm="1">
        <f t="array" aca="1" ref="Y21" ca="1">SUMPRODUCT(Y$55:Y$114,TRANSPOSE(SAP_Speadsheet!$E$73:$BL$73))</f>
        <v>0</v>
      </c>
      <c r="Z21" s="398" cm="1">
        <f t="array" aca="1" ref="Z21" ca="1">SUMPRODUCT(Z$55:Z$114,TRANSPOSE(SAP_Speadsheet!$E$73:$BL$73))</f>
        <v>0</v>
      </c>
      <c r="AA21" s="398" cm="1">
        <f t="array" aca="1" ref="AA21" ca="1">SUMPRODUCT(AA$55:AA$114,TRANSPOSE(SAP_Speadsheet!$E$73:$BL$73))</f>
        <v>0</v>
      </c>
      <c r="AB21" s="398" cm="1">
        <f t="array" aca="1" ref="AB21" ca="1">SUMPRODUCT(AB$55:AB$114,TRANSPOSE(SAP_Speadsheet!$E$73:$BL$73))</f>
        <v>0</v>
      </c>
      <c r="AC21" s="398" cm="1">
        <f t="array" aca="1" ref="AC21" ca="1">SUMPRODUCT(AC$55:AC$114,TRANSPOSE(SAP_Speadsheet!$E$73:$BL$73))</f>
        <v>0</v>
      </c>
      <c r="AD21" s="398" cm="1">
        <f t="array" aca="1" ref="AD21" ca="1">SUMPRODUCT(AD$55:AD$114,TRANSPOSE(SAP_Speadsheet!$E$73:$BL$73))</f>
        <v>0</v>
      </c>
      <c r="AE21" s="398" cm="1">
        <f t="array" aca="1" ref="AE21" ca="1">SUMPRODUCT(AE$55:AE$114,TRANSPOSE(SAP_Speadsheet!$E$73:$BL$73))</f>
        <v>0</v>
      </c>
      <c r="AF21" s="398" cm="1">
        <f t="array" aca="1" ref="AF21" ca="1">SUMPRODUCT(AF$55:AF$114,TRANSPOSE(SAP_Speadsheet!$E$73:$BL$73))</f>
        <v>0</v>
      </c>
      <c r="AG21" s="398" cm="1">
        <f t="array" aca="1" ref="AG21" ca="1">SUMPRODUCT(AG$55:AG$114,TRANSPOSE(SAP_Speadsheet!$E$73:$BL$73))</f>
        <v>0</v>
      </c>
      <c r="AH21" s="398" cm="1">
        <f t="array" aca="1" ref="AH21" ca="1">SUMPRODUCT(AH$55:AH$114,TRANSPOSE(SAP_Speadsheet!$E$73:$BL$73))</f>
        <v>0</v>
      </c>
      <c r="AI21" s="398" cm="1">
        <f t="array" aca="1" ref="AI21" ca="1">SUMPRODUCT(AI$55:AI$114,TRANSPOSE(SAP_Speadsheet!$E$73:$BL$73))</f>
        <v>0</v>
      </c>
      <c r="AJ21" s="398" cm="1">
        <f t="array" aca="1" ref="AJ21" ca="1">SUMPRODUCT(AJ$55:AJ$114,TRANSPOSE(SAP_Speadsheet!$E$73:$BL$73))</f>
        <v>0</v>
      </c>
      <c r="AK21" s="398" cm="1">
        <f t="array" aca="1" ref="AK21" ca="1">SUMPRODUCT(AK$55:AK$114,TRANSPOSE(SAP_Speadsheet!$E$73:$BL$73))</f>
        <v>0</v>
      </c>
      <c r="AL21" s="398" cm="1">
        <f t="array" aca="1" ref="AL21" ca="1">SUMPRODUCT(AL$55:AL$114,TRANSPOSE(SAP_Speadsheet!$E$73:$BL$73))</f>
        <v>0</v>
      </c>
      <c r="AM21" s="398" cm="1">
        <f t="array" aca="1" ref="AM21" ca="1">SUMPRODUCT(AM$55:AM$114,TRANSPOSE(SAP_Speadsheet!$E$73:$BL$73))</f>
        <v>0</v>
      </c>
      <c r="AN21" s="398" cm="1">
        <f t="array" aca="1" ref="AN21" ca="1">SUMPRODUCT(AN$55:AN$114,TRANSPOSE(SAP_Speadsheet!$E$73:$BL$73))</f>
        <v>0</v>
      </c>
      <c r="AO21" s="398" cm="1">
        <f t="array" aca="1" ref="AO21" ca="1">SUMPRODUCT(AO$55:AO$114,TRANSPOSE(SAP_Speadsheet!$E$73:$BL$73))</f>
        <v>0</v>
      </c>
      <c r="AP21" s="398" cm="1">
        <f t="array" aca="1" ref="AP21" ca="1">SUMPRODUCT(AP$55:AP$114,TRANSPOSE(SAP_Speadsheet!$E$73:$BL$73))</f>
        <v>0</v>
      </c>
      <c r="AQ21" s="398" cm="1">
        <f t="array" aca="1" ref="AQ21" ca="1">SUMPRODUCT(AQ$55:AQ$114,TRANSPOSE(SAP_Speadsheet!$E$73:$BL$73))</f>
        <v>0</v>
      </c>
      <c r="AR21" s="398" cm="1">
        <f t="array" aca="1" ref="AR21" ca="1">SUMPRODUCT(AR$55:AR$114,TRANSPOSE(SAP_Speadsheet!$E$73:$BL$73))</f>
        <v>0</v>
      </c>
      <c r="AS21" s="398" cm="1">
        <f t="array" aca="1" ref="AS21" ca="1">SUMPRODUCT(AS$55:AS$114,TRANSPOSE(SAP_Speadsheet!$E$73:$BL$73))</f>
        <v>0</v>
      </c>
      <c r="AT21" s="398" cm="1">
        <f t="array" aca="1" ref="AT21" ca="1">SUMPRODUCT(AT$55:AT$114,TRANSPOSE(SAP_Speadsheet!$E$73:$BL$73))</f>
        <v>0</v>
      </c>
      <c r="AU21" s="398" cm="1">
        <f t="array" aca="1" ref="AU21" ca="1">SUMPRODUCT(AU$55:AU$114,TRANSPOSE(SAP_Speadsheet!$E$73:$BL$73))</f>
        <v>0</v>
      </c>
      <c r="AV21" s="398" cm="1">
        <f t="array" aca="1" ref="AV21" ca="1">SUMPRODUCT(AV$55:AV$114,TRANSPOSE(SAP_Speadsheet!$E$73:$BL$73))</f>
        <v>0</v>
      </c>
      <c r="AW21" s="398" cm="1">
        <f t="array" aca="1" ref="AW21" ca="1">SUMPRODUCT(AW$55:AW$114,TRANSPOSE(SAP_Speadsheet!$E$73:$BL$73))</f>
        <v>0</v>
      </c>
      <c r="AX21" s="398" cm="1">
        <f t="array" aca="1" ref="AX21" ca="1">SUMPRODUCT(AX$55:AX$114,TRANSPOSE(SAP_Speadsheet!$E$73:$BL$73))</f>
        <v>0</v>
      </c>
      <c r="AY21" s="398" cm="1">
        <f t="array" aca="1" ref="AY21" ca="1">SUMPRODUCT(AY$55:AY$114,TRANSPOSE(SAP_Speadsheet!$E$73:$BL$73))</f>
        <v>0</v>
      </c>
      <c r="AZ21" s="398" cm="1">
        <f t="array" aca="1" ref="AZ21" ca="1">SUMPRODUCT(AZ$55:AZ$114,TRANSPOSE(SAP_Speadsheet!$E$73:$BL$73))</f>
        <v>0</v>
      </c>
      <c r="BA21" s="398" cm="1">
        <f t="array" aca="1" ref="BA21" ca="1">SUMPRODUCT(BA$55:BA$114,TRANSPOSE(SAP_Speadsheet!$E$73:$BL$73))</f>
        <v>0</v>
      </c>
      <c r="BB21" s="398" cm="1">
        <f t="array" aca="1" ref="BB21" ca="1">SUMPRODUCT(BB$55:BB$114,TRANSPOSE(SAP_Speadsheet!$E$73:$BL$73))</f>
        <v>0</v>
      </c>
      <c r="BC21" s="398" cm="1">
        <f t="array" aca="1" ref="BC21" ca="1">SUMPRODUCT(BC$55:BC$114,TRANSPOSE(SAP_Speadsheet!$E$73:$BL$73))</f>
        <v>0</v>
      </c>
      <c r="BD21" s="398" cm="1">
        <f t="array" aca="1" ref="BD21" ca="1">SUMPRODUCT(BD$55:BD$114,TRANSPOSE(SAP_Speadsheet!$E$73:$BL$73))</f>
        <v>0</v>
      </c>
      <c r="BE21" s="398" cm="1">
        <f t="array" aca="1" ref="BE21" ca="1">SUMPRODUCT(BE$55:BE$114,TRANSPOSE(SAP_Speadsheet!$E$73:$BL$73))</f>
        <v>0</v>
      </c>
      <c r="BF21" s="398" cm="1">
        <f t="array" aca="1" ref="BF21" ca="1">SUMPRODUCT(BF$55:BF$114,TRANSPOSE(SAP_Speadsheet!$E$73:$BL$73))</f>
        <v>0</v>
      </c>
      <c r="BG21" s="398" cm="1">
        <f t="array" aca="1" ref="BG21" ca="1">SUMPRODUCT(BG$55:BG$114,TRANSPOSE(SAP_Speadsheet!$E$73:$BL$73))</f>
        <v>0</v>
      </c>
      <c r="BH21" s="398" cm="1">
        <f t="array" aca="1" ref="BH21" ca="1">SUMPRODUCT(BH$55:BH$114,TRANSPOSE(SAP_Speadsheet!$E$73:$BL$73))</f>
        <v>0</v>
      </c>
      <c r="BI21" s="398" cm="1">
        <f t="array" aca="1" ref="BI21" ca="1">SUMPRODUCT(BI$55:BI$114,TRANSPOSE(SAP_Speadsheet!$E$73:$BL$73))</f>
        <v>0</v>
      </c>
    </row>
    <row r="22" spans="1:61" x14ac:dyDescent="0.15">
      <c r="A22" s="387" t="s">
        <v>257</v>
      </c>
      <c r="B22" s="398" cm="1">
        <f t="array" aca="1" ref="B22" ca="1">SUMPRODUCT(B$55:B$114,TRANSPOSE(SAP_Speadsheet!$E$74:$BL$74))</f>
        <v>0</v>
      </c>
      <c r="C22" s="398" cm="1">
        <f t="array" aca="1" ref="C22" ca="1">SUMPRODUCT(C$55:C$114,TRANSPOSE(SAP_Speadsheet!$E$74:$BL$74))</f>
        <v>0</v>
      </c>
      <c r="D22" s="398" cm="1">
        <f t="array" aca="1" ref="D22" ca="1">SUMPRODUCT(D$55:D$114,TRANSPOSE(SAP_Speadsheet!$E$74:$BL$74))</f>
        <v>0</v>
      </c>
      <c r="E22" s="398" cm="1">
        <f t="array" aca="1" ref="E22" ca="1">SUMPRODUCT(E$55:E$114,TRANSPOSE(SAP_Speadsheet!$E$74:$BL$74))</f>
        <v>0</v>
      </c>
      <c r="F22" s="398" cm="1">
        <f t="array" aca="1" ref="F22" ca="1">SUMPRODUCT(F$55:F$114,TRANSPOSE(SAP_Speadsheet!$E$74:$BL$74))</f>
        <v>0</v>
      </c>
      <c r="G22" s="398" cm="1">
        <f t="array" aca="1" ref="G22" ca="1">SUMPRODUCT(G$55:G$114,TRANSPOSE(SAP_Speadsheet!$E$74:$BL$74))</f>
        <v>0</v>
      </c>
      <c r="H22" s="398" cm="1">
        <f t="array" aca="1" ref="H22" ca="1">SUMPRODUCT(H$55:H$114,TRANSPOSE(SAP_Speadsheet!$E$74:$BL$74))</f>
        <v>-18227.922305062482</v>
      </c>
      <c r="I22" s="398" cm="1">
        <f t="array" aca="1" ref="I22" ca="1">SUMPRODUCT(I$55:I$114,TRANSPOSE(SAP_Speadsheet!$E$74:$BL$74))</f>
        <v>-23179.065866393757</v>
      </c>
      <c r="J22" s="398" cm="1">
        <f t="array" aca="1" ref="J22" ca="1">SUMPRODUCT(J$55:J$114,TRANSPOSE(SAP_Speadsheet!$E$74:$BL$74))</f>
        <v>-34338.391213473034</v>
      </c>
      <c r="K22" s="398" cm="1">
        <f t="array" aca="1" ref="K22" ca="1">SUMPRODUCT(K$55:K$114,TRANSPOSE(SAP_Speadsheet!$E$74:$BL$74))</f>
        <v>-10612.655260074216</v>
      </c>
      <c r="L22" s="398" cm="1">
        <f t="array" aca="1" ref="L22" ca="1">SUMPRODUCT(L$55:L$114,TRANSPOSE(SAP_Speadsheet!$E$74:$BL$74))</f>
        <v>-3362.4590144378526</v>
      </c>
      <c r="M22" s="398" cm="1">
        <f t="array" aca="1" ref="M22" ca="1">SUMPRODUCT(M$55:M$114,TRANSPOSE(SAP_Speadsheet!$E$74:$BL$74))</f>
        <v>5313.7137308975434</v>
      </c>
      <c r="N22" s="398" cm="1">
        <f t="array" aca="1" ref="N22" ca="1">SUMPRODUCT(N$55:N$114,TRANSPOSE(SAP_Speadsheet!$E$74:$BL$74))</f>
        <v>3502.9286853055664</v>
      </c>
      <c r="O22" s="398" cm="1">
        <f t="array" aca="1" ref="O22" ca="1">SUMPRODUCT(O$55:O$114,TRANSPOSE(SAP_Speadsheet!$E$74:$BL$74))</f>
        <v>2879.1526381527451</v>
      </c>
      <c r="P22" s="398" cm="1">
        <f t="array" aca="1" ref="P22" ca="1">SUMPRODUCT(P$55:P$114,TRANSPOSE(SAP_Speadsheet!$E$74:$BL$74))</f>
        <v>2354.3656589765474</v>
      </c>
      <c r="Q22" s="398" cm="1">
        <f t="array" aca="1" ref="Q22" ca="1">SUMPRODUCT(Q$55:Q$114,TRANSPOSE(SAP_Speadsheet!$E$74:$BL$74))</f>
        <v>2201.8288364411283</v>
      </c>
      <c r="R22" s="398" cm="1">
        <f t="array" aca="1" ref="R22" ca="1">SUMPRODUCT(R$55:R$114,TRANSPOSE(SAP_Speadsheet!$E$74:$BL$74))</f>
        <v>2184.1728128430605</v>
      </c>
      <c r="S22" s="398" cm="1">
        <f t="array" aca="1" ref="S22" ca="1">SUMPRODUCT(S$55:S$114,TRANSPOSE(SAP_Speadsheet!$E$74:$BL$74))</f>
        <v>2157.0946339290408</v>
      </c>
      <c r="T22" s="398" cm="1">
        <f t="array" aca="1" ref="T22" ca="1">SUMPRODUCT(T$55:T$114,TRANSPOSE(SAP_Speadsheet!$E$74:$BL$74))</f>
        <v>2132.9076398459383</v>
      </c>
      <c r="U22" s="398" cm="1">
        <f t="array" aca="1" ref="U22" ca="1">SUMPRODUCT(U$55:U$114,TRANSPOSE(SAP_Speadsheet!$E$74:$BL$74))</f>
        <v>2121.6925603972959</v>
      </c>
      <c r="V22" s="398" cm="1">
        <f t="array" aca="1" ref="V22" ca="1">SUMPRODUCT(V$55:V$114,TRANSPOSE(SAP_Speadsheet!$E$74:$BL$74))</f>
        <v>2119.4379964216523</v>
      </c>
      <c r="W22" s="398" cm="1">
        <f t="array" aca="1" ref="W22" ca="1">SUMPRODUCT(W$55:W$114,TRANSPOSE(SAP_Speadsheet!$E$74:$BL$74))</f>
        <v>1880.6882325282736</v>
      </c>
      <c r="X22" s="398" cm="1">
        <f t="array" aca="1" ref="X22" ca="1">SUMPRODUCT(X$55:X$114,TRANSPOSE(SAP_Speadsheet!$E$74:$BL$74))</f>
        <v>1420.1623961657356</v>
      </c>
      <c r="Y22" s="398" cm="1">
        <f t="array" aca="1" ref="Y22" ca="1">SUMPRODUCT(Y$55:Y$114,TRANSPOSE(SAP_Speadsheet!$E$74:$BL$74))</f>
        <v>665.41055639891181</v>
      </c>
      <c r="Z22" s="398" cm="1">
        <f t="array" aca="1" ref="Z22" ca="1">SUMPRODUCT(Z$55:Z$114,TRANSPOSE(SAP_Speadsheet!$E$74:$BL$74))</f>
        <v>177.79925665054088</v>
      </c>
      <c r="AA22" s="398" cm="1">
        <f t="array" aca="1" ref="AA22" ca="1">SUMPRODUCT(AA$55:AA$114,TRANSPOSE(SAP_Speadsheet!$E$74:$BL$74))</f>
        <v>-81.538734054065358</v>
      </c>
      <c r="AB22" s="398" cm="1">
        <f t="array" aca="1" ref="AB22" ca="1">SUMPRODUCT(AB$55:AB$114,TRANSPOSE(SAP_Speadsheet!$E$74:$BL$74))</f>
        <v>-41.282757797371048</v>
      </c>
      <c r="AC22" s="398" cm="1">
        <f t="array" aca="1" ref="AC22" ca="1">SUMPRODUCT(AC$55:AC$114,TRANSPOSE(SAP_Speadsheet!$E$74:$BL$74))</f>
        <v>-17.817163960843398</v>
      </c>
      <c r="AD22" s="398" cm="1">
        <f t="array" aca="1" ref="AD22" ca="1">SUMPRODUCT(AD$55:AD$114,TRANSPOSE(SAP_Speadsheet!$E$74:$BL$74))</f>
        <v>0</v>
      </c>
      <c r="AE22" s="398" cm="1">
        <f t="array" aca="1" ref="AE22" ca="1">SUMPRODUCT(AE$55:AE$114,TRANSPOSE(SAP_Speadsheet!$E$74:$BL$74))</f>
        <v>0</v>
      </c>
      <c r="AF22" s="398" cm="1">
        <f t="array" aca="1" ref="AF22" ca="1">SUMPRODUCT(AF$55:AF$114,TRANSPOSE(SAP_Speadsheet!$E$74:$BL$74))</f>
        <v>0</v>
      </c>
      <c r="AG22" s="398" cm="1">
        <f t="array" aca="1" ref="AG22" ca="1">SUMPRODUCT(AG$55:AG$114,TRANSPOSE(SAP_Speadsheet!$E$74:$BL$74))</f>
        <v>0</v>
      </c>
      <c r="AH22" s="398" cm="1">
        <f t="array" aca="1" ref="AH22" ca="1">SUMPRODUCT(AH$55:AH$114,TRANSPOSE(SAP_Speadsheet!$E$74:$BL$74))</f>
        <v>0</v>
      </c>
      <c r="AI22" s="398" cm="1">
        <f t="array" aca="1" ref="AI22" ca="1">SUMPRODUCT(AI$55:AI$114,TRANSPOSE(SAP_Speadsheet!$E$74:$BL$74))</f>
        <v>0</v>
      </c>
      <c r="AJ22" s="398" cm="1">
        <f t="array" aca="1" ref="AJ22" ca="1">SUMPRODUCT(AJ$55:AJ$114,TRANSPOSE(SAP_Speadsheet!$E$74:$BL$74))</f>
        <v>0</v>
      </c>
      <c r="AK22" s="398" cm="1">
        <f t="array" aca="1" ref="AK22" ca="1">SUMPRODUCT(AK$55:AK$114,TRANSPOSE(SAP_Speadsheet!$E$74:$BL$74))</f>
        <v>0</v>
      </c>
      <c r="AL22" s="398" cm="1">
        <f t="array" aca="1" ref="AL22" ca="1">SUMPRODUCT(AL$55:AL$114,TRANSPOSE(SAP_Speadsheet!$E$74:$BL$74))</f>
        <v>0</v>
      </c>
      <c r="AM22" s="398" cm="1">
        <f t="array" aca="1" ref="AM22" ca="1">SUMPRODUCT(AM$55:AM$114,TRANSPOSE(SAP_Speadsheet!$E$74:$BL$74))</f>
        <v>0</v>
      </c>
      <c r="AN22" s="398" cm="1">
        <f t="array" aca="1" ref="AN22" ca="1">SUMPRODUCT(AN$55:AN$114,TRANSPOSE(SAP_Speadsheet!$E$74:$BL$74))</f>
        <v>0</v>
      </c>
      <c r="AO22" s="398" cm="1">
        <f t="array" aca="1" ref="AO22" ca="1">SUMPRODUCT(AO$55:AO$114,TRANSPOSE(SAP_Speadsheet!$E$74:$BL$74))</f>
        <v>0</v>
      </c>
      <c r="AP22" s="398" cm="1">
        <f t="array" aca="1" ref="AP22" ca="1">SUMPRODUCT(AP$55:AP$114,TRANSPOSE(SAP_Speadsheet!$E$74:$BL$74))</f>
        <v>0</v>
      </c>
      <c r="AQ22" s="398" cm="1">
        <f t="array" aca="1" ref="AQ22" ca="1">SUMPRODUCT(AQ$55:AQ$114,TRANSPOSE(SAP_Speadsheet!$E$74:$BL$74))</f>
        <v>0</v>
      </c>
      <c r="AR22" s="398" cm="1">
        <f t="array" aca="1" ref="AR22" ca="1">SUMPRODUCT(AR$55:AR$114,TRANSPOSE(SAP_Speadsheet!$E$74:$BL$74))</f>
        <v>0</v>
      </c>
      <c r="AS22" s="398" cm="1">
        <f t="array" aca="1" ref="AS22" ca="1">SUMPRODUCT(AS$55:AS$114,TRANSPOSE(SAP_Speadsheet!$E$74:$BL$74))</f>
        <v>0</v>
      </c>
      <c r="AT22" s="398" cm="1">
        <f t="array" aca="1" ref="AT22" ca="1">SUMPRODUCT(AT$55:AT$114,TRANSPOSE(SAP_Speadsheet!$E$74:$BL$74))</f>
        <v>0</v>
      </c>
      <c r="AU22" s="398" cm="1">
        <f t="array" aca="1" ref="AU22" ca="1">SUMPRODUCT(AU$55:AU$114,TRANSPOSE(SAP_Speadsheet!$E$74:$BL$74))</f>
        <v>0</v>
      </c>
      <c r="AV22" s="398" cm="1">
        <f t="array" aca="1" ref="AV22" ca="1">SUMPRODUCT(AV$55:AV$114,TRANSPOSE(SAP_Speadsheet!$E$74:$BL$74))</f>
        <v>0</v>
      </c>
      <c r="AW22" s="398" cm="1">
        <f t="array" aca="1" ref="AW22" ca="1">SUMPRODUCT(AW$55:AW$114,TRANSPOSE(SAP_Speadsheet!$E$74:$BL$74))</f>
        <v>0</v>
      </c>
      <c r="AX22" s="398" cm="1">
        <f t="array" aca="1" ref="AX22" ca="1">SUMPRODUCT(AX$55:AX$114,TRANSPOSE(SAP_Speadsheet!$E$74:$BL$74))</f>
        <v>0</v>
      </c>
      <c r="AY22" s="398" cm="1">
        <f t="array" aca="1" ref="AY22" ca="1">SUMPRODUCT(AY$55:AY$114,TRANSPOSE(SAP_Speadsheet!$E$74:$BL$74))</f>
        <v>0</v>
      </c>
      <c r="AZ22" s="398" cm="1">
        <f t="array" aca="1" ref="AZ22" ca="1">SUMPRODUCT(AZ$55:AZ$114,TRANSPOSE(SAP_Speadsheet!$E$74:$BL$74))</f>
        <v>0</v>
      </c>
      <c r="BA22" s="398" cm="1">
        <f t="array" aca="1" ref="BA22" ca="1">SUMPRODUCT(BA$55:BA$114,TRANSPOSE(SAP_Speadsheet!$E$74:$BL$74))</f>
        <v>0</v>
      </c>
      <c r="BB22" s="398" cm="1">
        <f t="array" aca="1" ref="BB22" ca="1">SUMPRODUCT(BB$55:BB$114,TRANSPOSE(SAP_Speadsheet!$E$74:$BL$74))</f>
        <v>0</v>
      </c>
      <c r="BC22" s="398" cm="1">
        <f t="array" aca="1" ref="BC22" ca="1">SUMPRODUCT(BC$55:BC$114,TRANSPOSE(SAP_Speadsheet!$E$74:$BL$74))</f>
        <v>0</v>
      </c>
      <c r="BD22" s="398" cm="1">
        <f t="array" aca="1" ref="BD22" ca="1">SUMPRODUCT(BD$55:BD$114,TRANSPOSE(SAP_Speadsheet!$E$74:$BL$74))</f>
        <v>0</v>
      </c>
      <c r="BE22" s="398" cm="1">
        <f t="array" aca="1" ref="BE22" ca="1">SUMPRODUCT(BE$55:BE$114,TRANSPOSE(SAP_Speadsheet!$E$74:$BL$74))</f>
        <v>0</v>
      </c>
      <c r="BF22" s="398" cm="1">
        <f t="array" aca="1" ref="BF22" ca="1">SUMPRODUCT(BF$55:BF$114,TRANSPOSE(SAP_Speadsheet!$E$74:$BL$74))</f>
        <v>0</v>
      </c>
      <c r="BG22" s="398" cm="1">
        <f t="array" aca="1" ref="BG22" ca="1">SUMPRODUCT(BG$55:BG$114,TRANSPOSE(SAP_Speadsheet!$E$74:$BL$74))</f>
        <v>0</v>
      </c>
      <c r="BH22" s="398" cm="1">
        <f t="array" aca="1" ref="BH22" ca="1">SUMPRODUCT(BH$55:BH$114,TRANSPOSE(SAP_Speadsheet!$E$74:$BL$74))</f>
        <v>0</v>
      </c>
      <c r="BI22" s="398" cm="1">
        <f t="array" aca="1" ref="BI22" ca="1">SUMPRODUCT(BI$55:BI$114,TRANSPOSE(SAP_Speadsheet!$E$74:$BL$74))</f>
        <v>0</v>
      </c>
    </row>
    <row r="23" spans="1:61" s="386" customFormat="1" x14ac:dyDescent="0.15">
      <c r="A23" s="387" t="s">
        <v>258</v>
      </c>
      <c r="B23" s="398" cm="1">
        <f t="array" aca="1" ref="B23" ca="1">SUMPRODUCT(B$55:B$114,TRANSPOSE(SAP_Speadsheet!$E$86:$BL$86))</f>
        <v>0</v>
      </c>
      <c r="C23" s="398" cm="1">
        <f t="array" aca="1" ref="C23" ca="1">SUMPRODUCT(C$55:C$114,TRANSPOSE(SAP_Speadsheet!$E$86:$BL$86))</f>
        <v>0</v>
      </c>
      <c r="D23" s="398" cm="1">
        <f t="array" aca="1" ref="D23" ca="1">SUMPRODUCT(D$55:D$114,TRANSPOSE(SAP_Speadsheet!$E$86:$BL$86))</f>
        <v>0</v>
      </c>
      <c r="E23" s="398" cm="1">
        <f t="array" aca="1" ref="E23" ca="1">SUMPRODUCT(E$55:E$114,TRANSPOSE(SAP_Speadsheet!$E$86:$BL$86))</f>
        <v>0</v>
      </c>
      <c r="F23" s="398" cm="1">
        <f t="array" aca="1" ref="F23" ca="1">SUMPRODUCT(F$55:F$114,TRANSPOSE(SAP_Speadsheet!$E$86:$BL$86))</f>
        <v>0</v>
      </c>
      <c r="G23" s="398" cm="1">
        <f t="array" aca="1" ref="G23" ca="1">SUMPRODUCT(G$55:G$114,TRANSPOSE(SAP_Speadsheet!$E$86:$BL$86))</f>
        <v>0</v>
      </c>
      <c r="H23" s="398" cm="1">
        <f t="array" aca="1" ref="H23" ca="1">SUMPRODUCT(H$55:H$114,TRANSPOSE(SAP_Speadsheet!$E$86:$BL$86))</f>
        <v>-3633.5410282392295</v>
      </c>
      <c r="I23" s="398" cm="1">
        <f t="array" aca="1" ref="I23" ca="1">SUMPRODUCT(I$55:I$114,TRANSPOSE(SAP_Speadsheet!$E$86:$BL$86))</f>
        <v>-3369.710437644168</v>
      </c>
      <c r="J23" s="398" cm="1">
        <f t="array" aca="1" ref="J23" ca="1">SUMPRODUCT(J$55:J$114,TRANSPOSE(SAP_Speadsheet!$E$86:$BL$86))</f>
        <v>-4611.7921768830984</v>
      </c>
      <c r="K23" s="398" cm="1">
        <f t="array" aca="1" ref="K23" ca="1">SUMPRODUCT(K$55:K$114,TRANSPOSE(SAP_Speadsheet!$E$86:$BL$86))</f>
        <v>0</v>
      </c>
      <c r="L23" s="398" cm="1">
        <f t="array" aca="1" ref="L23" ca="1">SUMPRODUCT(L$55:L$114,TRANSPOSE(SAP_Speadsheet!$E$86:$BL$86))</f>
        <v>0</v>
      </c>
      <c r="M23" s="398" cm="1">
        <f t="array" aca="1" ref="M23" ca="1">SUMPRODUCT(M$55:M$114,TRANSPOSE(SAP_Speadsheet!$E$86:$BL$86))</f>
        <v>0</v>
      </c>
      <c r="N23" s="398" cm="1">
        <f t="array" aca="1" ref="N23" ca="1">SUMPRODUCT(N$55:N$114,TRANSPOSE(SAP_Speadsheet!$E$86:$BL$86))</f>
        <v>0</v>
      </c>
      <c r="O23" s="398" cm="1">
        <f t="array" aca="1" ref="O23" ca="1">SUMPRODUCT(O$55:O$114,TRANSPOSE(SAP_Speadsheet!$E$86:$BL$86))</f>
        <v>0</v>
      </c>
      <c r="P23" s="398" cm="1">
        <f t="array" aca="1" ref="P23" ca="1">SUMPRODUCT(P$55:P$114,TRANSPOSE(SAP_Speadsheet!$E$86:$BL$86))</f>
        <v>0</v>
      </c>
      <c r="Q23" s="398" cm="1">
        <f t="array" aca="1" ref="Q23" ca="1">SUMPRODUCT(Q$55:Q$114,TRANSPOSE(SAP_Speadsheet!$E$86:$BL$86))</f>
        <v>0</v>
      </c>
      <c r="R23" s="398" cm="1">
        <f t="array" aca="1" ref="R23" ca="1">SUMPRODUCT(R$55:R$114,TRANSPOSE(SAP_Speadsheet!$E$86:$BL$86))</f>
        <v>0</v>
      </c>
      <c r="S23" s="398" cm="1">
        <f t="array" aca="1" ref="S23" ca="1">SUMPRODUCT(S$55:S$114,TRANSPOSE(SAP_Speadsheet!$E$86:$BL$86))</f>
        <v>0</v>
      </c>
      <c r="T23" s="398" cm="1">
        <f t="array" aca="1" ref="T23" ca="1">SUMPRODUCT(T$55:T$114,TRANSPOSE(SAP_Speadsheet!$E$86:$BL$86))</f>
        <v>0</v>
      </c>
      <c r="U23" s="398" cm="1">
        <f t="array" aca="1" ref="U23" ca="1">SUMPRODUCT(U$55:U$114,TRANSPOSE(SAP_Speadsheet!$E$86:$BL$86))</f>
        <v>0</v>
      </c>
      <c r="V23" s="398" cm="1">
        <f t="array" aca="1" ref="V23" ca="1">SUMPRODUCT(V$55:V$114,TRANSPOSE(SAP_Speadsheet!$E$86:$BL$86))</f>
        <v>0</v>
      </c>
      <c r="W23" s="398" cm="1">
        <f t="array" aca="1" ref="W23" ca="1">SUMPRODUCT(W$55:W$114,TRANSPOSE(SAP_Speadsheet!$E$86:$BL$86))</f>
        <v>0</v>
      </c>
      <c r="X23" s="398" cm="1">
        <f t="array" aca="1" ref="X23" ca="1">SUMPRODUCT(X$55:X$114,TRANSPOSE(SAP_Speadsheet!$E$86:$BL$86))</f>
        <v>0</v>
      </c>
      <c r="Y23" s="398" cm="1">
        <f t="array" aca="1" ref="Y23" ca="1">SUMPRODUCT(Y$55:Y$114,TRANSPOSE(SAP_Speadsheet!$E$86:$BL$86))</f>
        <v>0</v>
      </c>
      <c r="Z23" s="398" cm="1">
        <f t="array" aca="1" ref="Z23" ca="1">SUMPRODUCT(Z$55:Z$114,TRANSPOSE(SAP_Speadsheet!$E$86:$BL$86))</f>
        <v>0</v>
      </c>
      <c r="AA23" s="398" cm="1">
        <f t="array" aca="1" ref="AA23" ca="1">SUMPRODUCT(AA$55:AA$114,TRANSPOSE(SAP_Speadsheet!$E$86:$BL$86))</f>
        <v>0</v>
      </c>
      <c r="AB23" s="398" cm="1">
        <f t="array" aca="1" ref="AB23" ca="1">SUMPRODUCT(AB$55:AB$114,TRANSPOSE(SAP_Speadsheet!$E$86:$BL$86))</f>
        <v>0</v>
      </c>
      <c r="AC23" s="398" cm="1">
        <f t="array" aca="1" ref="AC23" ca="1">SUMPRODUCT(AC$55:AC$114,TRANSPOSE(SAP_Speadsheet!$E$86:$BL$86))</f>
        <v>0</v>
      </c>
      <c r="AD23" s="398" cm="1">
        <f t="array" aca="1" ref="AD23" ca="1">SUMPRODUCT(AD$55:AD$114,TRANSPOSE(SAP_Speadsheet!$E$86:$BL$86))</f>
        <v>0</v>
      </c>
      <c r="AE23" s="398" cm="1">
        <f t="array" aca="1" ref="AE23" ca="1">SUMPRODUCT(AE$55:AE$114,TRANSPOSE(SAP_Speadsheet!$E$86:$BL$86))</f>
        <v>0</v>
      </c>
      <c r="AF23" s="398" cm="1">
        <f t="array" aca="1" ref="AF23" ca="1">SUMPRODUCT(AF$55:AF$114,TRANSPOSE(SAP_Speadsheet!$E$86:$BL$86))</f>
        <v>0</v>
      </c>
      <c r="AG23" s="398" cm="1">
        <f t="array" aca="1" ref="AG23" ca="1">SUMPRODUCT(AG$55:AG$114,TRANSPOSE(SAP_Speadsheet!$E$86:$BL$86))</f>
        <v>0</v>
      </c>
      <c r="AH23" s="398" cm="1">
        <f t="array" aca="1" ref="AH23" ca="1">SUMPRODUCT(AH$55:AH$114,TRANSPOSE(SAP_Speadsheet!$E$86:$BL$86))</f>
        <v>0</v>
      </c>
      <c r="AI23" s="398" cm="1">
        <f t="array" aca="1" ref="AI23" ca="1">SUMPRODUCT(AI$55:AI$114,TRANSPOSE(SAP_Speadsheet!$E$86:$BL$86))</f>
        <v>0</v>
      </c>
      <c r="AJ23" s="398" cm="1">
        <f t="array" aca="1" ref="AJ23" ca="1">SUMPRODUCT(AJ$55:AJ$114,TRANSPOSE(SAP_Speadsheet!$E$86:$BL$86))</f>
        <v>0</v>
      </c>
      <c r="AK23" s="398" cm="1">
        <f t="array" aca="1" ref="AK23" ca="1">SUMPRODUCT(AK$55:AK$114,TRANSPOSE(SAP_Speadsheet!$E$86:$BL$86))</f>
        <v>0</v>
      </c>
      <c r="AL23" s="398" cm="1">
        <f t="array" aca="1" ref="AL23" ca="1">SUMPRODUCT(AL$55:AL$114,TRANSPOSE(SAP_Speadsheet!$E$86:$BL$86))</f>
        <v>0</v>
      </c>
      <c r="AM23" s="398" cm="1">
        <f t="array" aca="1" ref="AM23" ca="1">SUMPRODUCT(AM$55:AM$114,TRANSPOSE(SAP_Speadsheet!$E$86:$BL$86))</f>
        <v>0</v>
      </c>
      <c r="AN23" s="398" cm="1">
        <f t="array" aca="1" ref="AN23" ca="1">SUMPRODUCT(AN$55:AN$114,TRANSPOSE(SAP_Speadsheet!$E$86:$BL$86))</f>
        <v>0</v>
      </c>
      <c r="AO23" s="398" cm="1">
        <f t="array" aca="1" ref="AO23" ca="1">SUMPRODUCT(AO$55:AO$114,TRANSPOSE(SAP_Speadsheet!$E$86:$BL$86))</f>
        <v>0</v>
      </c>
      <c r="AP23" s="398" cm="1">
        <f t="array" aca="1" ref="AP23" ca="1">SUMPRODUCT(AP$55:AP$114,TRANSPOSE(SAP_Speadsheet!$E$86:$BL$86))</f>
        <v>0</v>
      </c>
      <c r="AQ23" s="398" cm="1">
        <f t="array" aca="1" ref="AQ23" ca="1">SUMPRODUCT(AQ$55:AQ$114,TRANSPOSE(SAP_Speadsheet!$E$86:$BL$86))</f>
        <v>0</v>
      </c>
      <c r="AR23" s="398" cm="1">
        <f t="array" aca="1" ref="AR23" ca="1">SUMPRODUCT(AR$55:AR$114,TRANSPOSE(SAP_Speadsheet!$E$86:$BL$86))</f>
        <v>0</v>
      </c>
      <c r="AS23" s="398" cm="1">
        <f t="array" aca="1" ref="AS23" ca="1">SUMPRODUCT(AS$55:AS$114,TRANSPOSE(SAP_Speadsheet!$E$86:$BL$86))</f>
        <v>0</v>
      </c>
      <c r="AT23" s="398" cm="1">
        <f t="array" aca="1" ref="AT23" ca="1">SUMPRODUCT(AT$55:AT$114,TRANSPOSE(SAP_Speadsheet!$E$86:$BL$86))</f>
        <v>0</v>
      </c>
      <c r="AU23" s="398" cm="1">
        <f t="array" aca="1" ref="AU23" ca="1">SUMPRODUCT(AU$55:AU$114,TRANSPOSE(SAP_Speadsheet!$E$86:$BL$86))</f>
        <v>0</v>
      </c>
      <c r="AV23" s="398" cm="1">
        <f t="array" aca="1" ref="AV23" ca="1">SUMPRODUCT(AV$55:AV$114,TRANSPOSE(SAP_Speadsheet!$E$86:$BL$86))</f>
        <v>0</v>
      </c>
      <c r="AW23" s="398">
        <v>0</v>
      </c>
      <c r="AX23" s="398" cm="1">
        <f t="array" aca="1" ref="AX23" ca="1">SUMPRODUCT(AX$55:AX$114,TRANSPOSE(SAP_Speadsheet!$E$86:$BL$86))</f>
        <v>0</v>
      </c>
      <c r="AY23" s="398" cm="1">
        <f t="array" aca="1" ref="AY23" ca="1">SUMPRODUCT(AY$55:AY$114,TRANSPOSE(SAP_Speadsheet!$E$86:$BL$86))</f>
        <v>0</v>
      </c>
      <c r="AZ23" s="398" cm="1">
        <f t="array" aca="1" ref="AZ23" ca="1">SUMPRODUCT(AZ$55:AZ$114,TRANSPOSE(SAP_Speadsheet!$E$86:$BL$86))</f>
        <v>0</v>
      </c>
      <c r="BA23" s="398" cm="1">
        <f t="array" aca="1" ref="BA23" ca="1">SUMPRODUCT(BA$55:BA$114,TRANSPOSE(SAP_Speadsheet!$E$86:$BL$86))</f>
        <v>0</v>
      </c>
      <c r="BB23" s="398" cm="1">
        <f t="array" aca="1" ref="BB23" ca="1">SUMPRODUCT(BB$55:BB$114,TRANSPOSE(SAP_Speadsheet!$E$86:$BL$86))</f>
        <v>0</v>
      </c>
      <c r="BC23" s="398" cm="1">
        <f t="array" aca="1" ref="BC23" ca="1">SUMPRODUCT(BC$55:BC$114,TRANSPOSE(SAP_Speadsheet!$E$86:$BL$86))</f>
        <v>0</v>
      </c>
      <c r="BD23" s="398" cm="1">
        <f t="array" aca="1" ref="BD23" ca="1">SUMPRODUCT(BD$55:BD$114,TRANSPOSE(SAP_Speadsheet!$E$86:$BL$86))</f>
        <v>0</v>
      </c>
      <c r="BE23" s="398" cm="1">
        <f t="array" aca="1" ref="BE23" ca="1">SUMPRODUCT(BE$55:BE$114,TRANSPOSE(SAP_Speadsheet!$E$86:$BL$86))</f>
        <v>0</v>
      </c>
      <c r="BF23" s="398" cm="1">
        <f t="array" aca="1" ref="BF23" ca="1">SUMPRODUCT(BF$55:BF$114,TRANSPOSE(SAP_Speadsheet!$E$86:$BL$86))</f>
        <v>0</v>
      </c>
      <c r="BG23" s="398" cm="1">
        <f t="array" aca="1" ref="BG23" ca="1">SUMPRODUCT(BG$55:BG$114,TRANSPOSE(SAP_Speadsheet!$E$86:$BL$86))</f>
        <v>0</v>
      </c>
      <c r="BH23" s="398" cm="1">
        <f t="array" aca="1" ref="BH23" ca="1">SUMPRODUCT(BH$55:BH$114,TRANSPOSE(SAP_Speadsheet!$E$86:$BL$86))</f>
        <v>0</v>
      </c>
      <c r="BI23" s="398" cm="1">
        <f t="array" aca="1" ref="BI23" ca="1">SUMPRODUCT(BI$55:BI$114,TRANSPOSE(SAP_Speadsheet!$E$86:$BL$86))</f>
        <v>0</v>
      </c>
    </row>
    <row r="24" spans="1:61" x14ac:dyDescent="0.15">
      <c r="A24" s="399" t="s">
        <v>237</v>
      </c>
      <c r="B24" s="393" cm="1">
        <f t="array" aca="1" ref="B24" ca="1">SUMPRODUCT(B$55:B$114,TRANSPOSE(SAP_Speadsheet!$E$88:$BL$88))</f>
        <v>0</v>
      </c>
      <c r="C24" s="393" cm="1">
        <f t="array" aca="1" ref="C24" ca="1">SUMPRODUCT(C$55:C$114,TRANSPOSE(SAP_Speadsheet!$E$88:$BL$88))</f>
        <v>0</v>
      </c>
      <c r="D24" s="393" cm="1">
        <f t="array" aca="1" ref="D24" ca="1">SUMPRODUCT(D$55:D$114,TRANSPOSE(SAP_Speadsheet!$E$88:$BL$88))</f>
        <v>0</v>
      </c>
      <c r="E24" s="393" cm="1">
        <f t="array" aca="1" ref="E24" ca="1">SUMPRODUCT(E$55:E$114,TRANSPOSE(SAP_Speadsheet!$E$88:$BL$88))</f>
        <v>0</v>
      </c>
      <c r="F24" s="393" cm="1">
        <f t="array" aca="1" ref="F24" ca="1">SUMPRODUCT(F$55:F$114,TRANSPOSE(SAP_Speadsheet!$E$88:$BL$88))</f>
        <v>0</v>
      </c>
      <c r="G24" s="393" cm="1">
        <f t="array" aca="1" ref="G24" ca="1">SUMPRODUCT(G$55:G$114,TRANSPOSE(SAP_Speadsheet!$E$88:$BL$88))</f>
        <v>0</v>
      </c>
      <c r="H24" s="393" cm="1">
        <f t="array" aca="1" ref="H24" ca="1">SUMPRODUCT(H$55:H$114,TRANSPOSE(SAP_Speadsheet!$E$88:$BL$88))</f>
        <v>-3770.4046670313505</v>
      </c>
      <c r="I24" s="393" cm="1">
        <f t="array" aca="1" ref="I24" ca="1">SUMPRODUCT(I$55:I$114,TRANSPOSE(SAP_Speadsheet!$E$88:$BL$88))</f>
        <v>-3496.6364386408482</v>
      </c>
      <c r="J24" s="393" cm="1">
        <f t="array" aca="1" ref="J24" ca="1">SUMPRODUCT(J$55:J$114,TRANSPOSE(SAP_Speadsheet!$E$88:$BL$88))</f>
        <v>-4785.5033456233959</v>
      </c>
      <c r="K24" s="393" cm="1">
        <f t="array" aca="1" ref="K24" ca="1">SUMPRODUCT(K$55:K$114,TRANSPOSE(SAP_Speadsheet!$E$88:$BL$88))</f>
        <v>0</v>
      </c>
      <c r="L24" s="393" cm="1">
        <f t="array" aca="1" ref="L24" ca="1">SUMPRODUCT(L$55:L$114,TRANSPOSE(SAP_Speadsheet!$E$88:$BL$88))</f>
        <v>0</v>
      </c>
      <c r="M24" s="393" cm="1">
        <f t="array" aca="1" ref="M24" ca="1">SUMPRODUCT(M$55:M$114,TRANSPOSE(SAP_Speadsheet!$E$88:$BL$88))</f>
        <v>0</v>
      </c>
      <c r="N24" s="393" cm="1">
        <f t="array" aca="1" ref="N24" ca="1">SUMPRODUCT(N$55:N$114,TRANSPOSE(SAP_Speadsheet!$E$88:$BL$88))</f>
        <v>0</v>
      </c>
      <c r="O24" s="393" cm="1">
        <f t="array" aca="1" ref="O24" ca="1">SUMPRODUCT(O$55:O$114,TRANSPOSE(SAP_Speadsheet!$E$88:$BL$88))</f>
        <v>0</v>
      </c>
      <c r="P24" s="393" cm="1">
        <f t="array" aca="1" ref="P24" ca="1">SUMPRODUCT(P$55:P$114,TRANSPOSE(SAP_Speadsheet!$E$88:$BL$88))</f>
        <v>0</v>
      </c>
      <c r="Q24" s="393" cm="1">
        <f t="array" aca="1" ref="Q24" ca="1">SUMPRODUCT(Q$55:Q$114,TRANSPOSE(SAP_Speadsheet!$E$88:$BL$88))</f>
        <v>0</v>
      </c>
      <c r="R24" s="393" cm="1">
        <f t="array" aca="1" ref="R24" ca="1">SUMPRODUCT(R$55:R$114,TRANSPOSE(SAP_Speadsheet!$E$88:$BL$88))</f>
        <v>0</v>
      </c>
      <c r="S24" s="393" cm="1">
        <f t="array" aca="1" ref="S24" ca="1">SUMPRODUCT(S$55:S$114,TRANSPOSE(SAP_Speadsheet!$E$88:$BL$88))</f>
        <v>0</v>
      </c>
      <c r="T24" s="393" cm="1">
        <f t="array" aca="1" ref="T24" ca="1">SUMPRODUCT(T$55:T$114,TRANSPOSE(SAP_Speadsheet!$E$88:$BL$88))</f>
        <v>0</v>
      </c>
      <c r="U24" s="393" cm="1">
        <f t="array" aca="1" ref="U24" ca="1">SUMPRODUCT(U$55:U$114,TRANSPOSE(SAP_Speadsheet!$E$88:$BL$88))</f>
        <v>0</v>
      </c>
      <c r="V24" s="393" cm="1">
        <f t="array" aca="1" ref="V24" ca="1">SUMPRODUCT(V$55:V$114,TRANSPOSE(SAP_Speadsheet!$E$88:$BL$88))</f>
        <v>0</v>
      </c>
      <c r="W24" s="393" cm="1">
        <f t="array" aca="1" ref="W24" ca="1">SUMPRODUCT(W$55:W$114,TRANSPOSE(SAP_Speadsheet!$E$88:$BL$88))</f>
        <v>0</v>
      </c>
      <c r="X24" s="393" cm="1">
        <f t="array" aca="1" ref="X24" ca="1">SUMPRODUCT(X$55:X$114,TRANSPOSE(SAP_Speadsheet!$E$88:$BL$88))</f>
        <v>0</v>
      </c>
      <c r="Y24" s="393" cm="1">
        <f t="array" aca="1" ref="Y24" ca="1">SUMPRODUCT(Y$55:Y$114,TRANSPOSE(SAP_Speadsheet!$E$88:$BL$88))</f>
        <v>0</v>
      </c>
      <c r="Z24" s="393" cm="1">
        <f t="array" aca="1" ref="Z24" ca="1">SUMPRODUCT(Z$55:Z$114,TRANSPOSE(SAP_Speadsheet!$E$88:$BL$88))</f>
        <v>0</v>
      </c>
      <c r="AA24" s="393" cm="1">
        <f t="array" aca="1" ref="AA24" ca="1">SUMPRODUCT(AA$55:AA$114,TRANSPOSE(SAP_Speadsheet!$E$88:$BL$88))</f>
        <v>0</v>
      </c>
      <c r="AB24" s="393" cm="1">
        <f t="array" aca="1" ref="AB24" ca="1">SUMPRODUCT(AB$55:AB$114,TRANSPOSE(SAP_Speadsheet!$E$88:$BL$88))</f>
        <v>0</v>
      </c>
      <c r="AC24" s="393" cm="1">
        <f t="array" aca="1" ref="AC24" ca="1">SUMPRODUCT(AC$55:AC$114,TRANSPOSE(SAP_Speadsheet!$E$88:$BL$88))</f>
        <v>0</v>
      </c>
      <c r="AD24" s="393" cm="1">
        <f t="array" aca="1" ref="AD24" ca="1">SUMPRODUCT(AD$55:AD$114,TRANSPOSE(SAP_Speadsheet!$E$88:$BL$88))</f>
        <v>0</v>
      </c>
      <c r="AE24" s="393" cm="1">
        <f t="array" aca="1" ref="AE24" ca="1">SUMPRODUCT(AE$55:AE$114,TRANSPOSE(SAP_Speadsheet!$E$88:$BL$88))</f>
        <v>0</v>
      </c>
      <c r="AF24" s="393" cm="1">
        <f t="array" aca="1" ref="AF24" ca="1">SUMPRODUCT(AF$55:AF$114,TRANSPOSE(SAP_Speadsheet!$E$88:$BL$88))</f>
        <v>0</v>
      </c>
      <c r="AG24" s="393" cm="1">
        <f t="array" aca="1" ref="AG24" ca="1">SUMPRODUCT(AG$55:AG$114,TRANSPOSE(SAP_Speadsheet!$E$88:$BL$88))</f>
        <v>0</v>
      </c>
      <c r="AH24" s="393" cm="1">
        <f t="array" aca="1" ref="AH24" ca="1">SUMPRODUCT(AH$55:AH$114,TRANSPOSE(SAP_Speadsheet!$E$88:$BL$88))</f>
        <v>0</v>
      </c>
      <c r="AI24" s="393" cm="1">
        <f t="array" aca="1" ref="AI24" ca="1">SUMPRODUCT(AI$55:AI$114,TRANSPOSE(SAP_Speadsheet!$E$88:$BL$88))</f>
        <v>0</v>
      </c>
      <c r="AJ24" s="393" cm="1">
        <f t="array" aca="1" ref="AJ24" ca="1">SUMPRODUCT(AJ$55:AJ$114,TRANSPOSE(SAP_Speadsheet!$E$88:$BL$88))</f>
        <v>0</v>
      </c>
      <c r="AK24" s="393" cm="1">
        <f t="array" aca="1" ref="AK24" ca="1">SUMPRODUCT(AK$55:AK$114,TRANSPOSE(SAP_Speadsheet!$E$88:$BL$88))</f>
        <v>0</v>
      </c>
      <c r="AL24" s="393" cm="1">
        <f t="array" aca="1" ref="AL24" ca="1">SUMPRODUCT(AL$55:AL$114,TRANSPOSE(SAP_Speadsheet!$E$88:$BL$88))</f>
        <v>0</v>
      </c>
      <c r="AM24" s="393" cm="1">
        <f t="array" aca="1" ref="AM24" ca="1">SUMPRODUCT(AM$55:AM$114,TRANSPOSE(SAP_Speadsheet!$E$88:$BL$88))</f>
        <v>0</v>
      </c>
      <c r="AN24" s="393" cm="1">
        <f t="array" aca="1" ref="AN24" ca="1">SUMPRODUCT(AN$55:AN$114,TRANSPOSE(SAP_Speadsheet!$E$88:$BL$88))</f>
        <v>0</v>
      </c>
      <c r="AO24" s="393" cm="1">
        <f t="array" aca="1" ref="AO24" ca="1">SUMPRODUCT(AO$55:AO$114,TRANSPOSE(SAP_Speadsheet!$E$88:$BL$88))</f>
        <v>0</v>
      </c>
      <c r="AP24" s="393" cm="1">
        <f t="array" aca="1" ref="AP24" ca="1">SUMPRODUCT(AP$55:AP$114,TRANSPOSE(SAP_Speadsheet!$E$88:$BL$88))</f>
        <v>0</v>
      </c>
      <c r="AQ24" s="393" cm="1">
        <f t="array" aca="1" ref="AQ24" ca="1">SUMPRODUCT(AQ$55:AQ$114,TRANSPOSE(SAP_Speadsheet!$E$88:$BL$88))</f>
        <v>0</v>
      </c>
      <c r="AR24" s="393" cm="1">
        <f t="array" aca="1" ref="AR24" ca="1">SUMPRODUCT(AR$55:AR$114,TRANSPOSE(SAP_Speadsheet!$E$88:$BL$88))</f>
        <v>0</v>
      </c>
      <c r="AS24" s="393" cm="1">
        <f t="array" aca="1" ref="AS24" ca="1">SUMPRODUCT(AS$55:AS$114,TRANSPOSE(SAP_Speadsheet!$E$88:$BL$88))</f>
        <v>0</v>
      </c>
      <c r="AT24" s="393" cm="1">
        <f t="array" aca="1" ref="AT24" ca="1">SUMPRODUCT(AT$55:AT$114,TRANSPOSE(SAP_Speadsheet!$E$88:$BL$88))</f>
        <v>0</v>
      </c>
      <c r="AU24" s="393" cm="1">
        <f t="array" aca="1" ref="AU24" ca="1">SUMPRODUCT(AU$55:AU$114,TRANSPOSE(SAP_Speadsheet!$E$88:$BL$88))</f>
        <v>0</v>
      </c>
      <c r="AV24" s="393" cm="1">
        <f t="array" aca="1" ref="AV24" ca="1">SUMPRODUCT(AV$55:AV$114,TRANSPOSE(SAP_Speadsheet!$E$88:$BL$88))</f>
        <v>0</v>
      </c>
      <c r="AW24" s="393" cm="1">
        <f t="array" aca="1" ref="AW24" ca="1">SUMPRODUCT(AW$55:AW$114,TRANSPOSE(SAP_Speadsheet!$E$88:$BL$88))</f>
        <v>0</v>
      </c>
      <c r="AX24" s="393" cm="1">
        <f t="array" aca="1" ref="AX24" ca="1">SUMPRODUCT(AX$55:AX$114,TRANSPOSE(SAP_Speadsheet!$E$88:$BL$88))</f>
        <v>0</v>
      </c>
      <c r="AY24" s="393" cm="1">
        <f t="array" aca="1" ref="AY24" ca="1">SUMPRODUCT(AY$55:AY$114,TRANSPOSE(SAP_Speadsheet!$E$88:$BL$88))</f>
        <v>0</v>
      </c>
      <c r="AZ24" s="393" cm="1">
        <f t="array" aca="1" ref="AZ24" ca="1">SUMPRODUCT(AZ$55:AZ$114,TRANSPOSE(SAP_Speadsheet!$E$88:$BL$88))</f>
        <v>0</v>
      </c>
      <c r="BA24" s="393" cm="1">
        <f t="array" aca="1" ref="BA24" ca="1">SUMPRODUCT(BA$55:BA$114,TRANSPOSE(SAP_Speadsheet!$E$88:$BL$88))</f>
        <v>0</v>
      </c>
      <c r="BB24" s="393" cm="1">
        <f t="array" aca="1" ref="BB24" ca="1">SUMPRODUCT(BB$55:BB$114,TRANSPOSE(SAP_Speadsheet!$E$88:$BL$88))</f>
        <v>0</v>
      </c>
      <c r="BC24" s="393" cm="1">
        <f t="array" aca="1" ref="BC24" ca="1">SUMPRODUCT(BC$55:BC$114,TRANSPOSE(SAP_Speadsheet!$E$88:$BL$88))</f>
        <v>0</v>
      </c>
      <c r="BD24" s="393" cm="1">
        <f t="array" aca="1" ref="BD24" ca="1">SUMPRODUCT(BD$55:BD$114,TRANSPOSE(SAP_Speadsheet!$E$88:$BL$88))</f>
        <v>0</v>
      </c>
      <c r="BE24" s="393" cm="1">
        <f t="array" aca="1" ref="BE24" ca="1">SUMPRODUCT(BE$55:BE$114,TRANSPOSE(SAP_Speadsheet!$E$88:$BL$88))</f>
        <v>0</v>
      </c>
      <c r="BF24" s="393" cm="1">
        <f t="array" aca="1" ref="BF24" ca="1">SUMPRODUCT(BF$55:BF$114,TRANSPOSE(SAP_Speadsheet!$E$88:$BL$88))</f>
        <v>0</v>
      </c>
      <c r="BG24" s="393" cm="1">
        <f t="array" aca="1" ref="BG24" ca="1">SUMPRODUCT(BG$55:BG$114,TRANSPOSE(SAP_Speadsheet!$E$88:$BL$88))</f>
        <v>0</v>
      </c>
      <c r="BH24" s="393" cm="1">
        <f t="array" aca="1" ref="BH24" ca="1">SUMPRODUCT(BH$55:BH$114,TRANSPOSE(SAP_Speadsheet!$E$88:$BL$88))</f>
        <v>0</v>
      </c>
      <c r="BI24" s="393" cm="1">
        <f t="array" aca="1" ref="BI24" ca="1">SUMPRODUCT(BI$55:BI$114,TRANSPOSE(SAP_Speadsheet!$E$88:$BL$88))</f>
        <v>0</v>
      </c>
    </row>
    <row r="25" spans="1:61" x14ac:dyDescent="0.15">
      <c r="A25" s="387" t="s">
        <v>260</v>
      </c>
      <c r="B25" s="398" cm="1">
        <f t="array" aca="1" ref="B25" ca="1">SUMPRODUCT(B$55:B$114,TRANSPOSE(SAP_Speadsheet!$E$89:$BL$89))</f>
        <v>0</v>
      </c>
      <c r="C25" s="398" cm="1">
        <f t="array" aca="1" ref="C25" ca="1">SUMPRODUCT(C$55:C$114,TRANSPOSE(SAP_Speadsheet!$E$89:$BL$89))</f>
        <v>0</v>
      </c>
      <c r="D25" s="398" cm="1">
        <f t="array" aca="1" ref="D25" ca="1">SUMPRODUCT(D$55:D$114,TRANSPOSE(SAP_Speadsheet!$E$89:$BL$89))</f>
        <v>0</v>
      </c>
      <c r="E25" s="398" cm="1">
        <f t="array" aca="1" ref="E25" ca="1">SUMPRODUCT(E$55:E$114,TRANSPOSE(SAP_Speadsheet!$E$89:$BL$89))</f>
        <v>0</v>
      </c>
      <c r="F25" s="398" cm="1">
        <f t="array" aca="1" ref="F25" ca="1">SUMPRODUCT(F$55:F$114,TRANSPOSE(SAP_Speadsheet!$E$89:$BL$89))</f>
        <v>0</v>
      </c>
      <c r="G25" s="398" cm="1">
        <f t="array" aca="1" ref="G25" ca="1">SUMPRODUCT(G$55:G$114,TRANSPOSE(SAP_Speadsheet!$E$89:$BL$89))</f>
        <v>0</v>
      </c>
      <c r="H25" s="398" cm="1">
        <f t="array" aca="1" ref="H25" ca="1">SUMPRODUCT(H$55:H$114,TRANSPOSE(SAP_Speadsheet!$E$89:$BL$89))</f>
        <v>-3544.4846670313505</v>
      </c>
      <c r="I25" s="398" cm="1">
        <f t="array" aca="1" ref="I25" ca="1">SUMPRODUCT(I$55:I$114,TRANSPOSE(SAP_Speadsheet!$E$89:$BL$89))</f>
        <v>-3287.1204386408481</v>
      </c>
      <c r="J25" s="398" cm="1">
        <f t="array" aca="1" ref="J25" ca="1">SUMPRODUCT(J$55:J$114,TRANSPOSE(SAP_Speadsheet!$E$89:$BL$89))</f>
        <v>-4498.7593456233953</v>
      </c>
      <c r="K25" s="398" cm="1">
        <f t="array" aca="1" ref="K25" ca="1">SUMPRODUCT(K$55:K$114,TRANSPOSE(SAP_Speadsheet!$E$89:$BL$89))</f>
        <v>0</v>
      </c>
      <c r="L25" s="398" cm="1">
        <f t="array" aca="1" ref="L25" ca="1">SUMPRODUCT(L$55:L$114,TRANSPOSE(SAP_Speadsheet!$E$89:$BL$89))</f>
        <v>0</v>
      </c>
      <c r="M25" s="398" cm="1">
        <f t="array" aca="1" ref="M25" ca="1">SUMPRODUCT(M$55:M$114,TRANSPOSE(SAP_Speadsheet!$E$89:$BL$89))</f>
        <v>0</v>
      </c>
      <c r="N25" s="398" cm="1">
        <f t="array" aca="1" ref="N25" ca="1">SUMPRODUCT(N$55:N$114,TRANSPOSE(SAP_Speadsheet!$E$89:$BL$89))</f>
        <v>0</v>
      </c>
      <c r="O25" s="398" cm="1">
        <f t="array" aca="1" ref="O25" ca="1">SUMPRODUCT(O$55:O$114,TRANSPOSE(SAP_Speadsheet!$E$89:$BL$89))</f>
        <v>0</v>
      </c>
      <c r="P25" s="398" cm="1">
        <f t="array" aca="1" ref="P25" ca="1">SUMPRODUCT(P$55:P$114,TRANSPOSE(SAP_Speadsheet!$E$89:$BL$89))</f>
        <v>0</v>
      </c>
      <c r="Q25" s="398" cm="1">
        <f t="array" aca="1" ref="Q25" ca="1">SUMPRODUCT(Q$55:Q$114,TRANSPOSE(SAP_Speadsheet!$E$89:$BL$89))</f>
        <v>0</v>
      </c>
      <c r="R25" s="398" cm="1">
        <f t="array" aca="1" ref="R25" ca="1">SUMPRODUCT(R$55:R$114,TRANSPOSE(SAP_Speadsheet!$E$89:$BL$89))</f>
        <v>0</v>
      </c>
      <c r="S25" s="398" cm="1">
        <f t="array" aca="1" ref="S25" ca="1">SUMPRODUCT(S$55:S$114,TRANSPOSE(SAP_Speadsheet!$E$89:$BL$89))</f>
        <v>0</v>
      </c>
      <c r="T25" s="398" cm="1">
        <f t="array" aca="1" ref="T25" ca="1">SUMPRODUCT(T$55:T$114,TRANSPOSE(SAP_Speadsheet!$E$89:$BL$89))</f>
        <v>0</v>
      </c>
      <c r="U25" s="398" cm="1">
        <f t="array" aca="1" ref="U25" ca="1">SUMPRODUCT(U$55:U$114,TRANSPOSE(SAP_Speadsheet!$E$89:$BL$89))</f>
        <v>0</v>
      </c>
      <c r="V25" s="398" cm="1">
        <f t="array" aca="1" ref="V25" ca="1">SUMPRODUCT(V$55:V$114,TRANSPOSE(SAP_Speadsheet!$E$89:$BL$89))</f>
        <v>0</v>
      </c>
      <c r="W25" s="398" cm="1">
        <f t="array" aca="1" ref="W25" ca="1">SUMPRODUCT(W$55:W$114,TRANSPOSE(SAP_Speadsheet!$E$89:$BL$89))</f>
        <v>0</v>
      </c>
      <c r="X25" s="398" cm="1">
        <f t="array" aca="1" ref="X25" ca="1">SUMPRODUCT(X$55:X$114,TRANSPOSE(SAP_Speadsheet!$E$89:$BL$89))</f>
        <v>0</v>
      </c>
      <c r="Y25" s="398" cm="1">
        <f t="array" aca="1" ref="Y25" ca="1">SUMPRODUCT(Y$55:Y$114,TRANSPOSE(SAP_Speadsheet!$E$89:$BL$89))</f>
        <v>0</v>
      </c>
      <c r="Z25" s="398" cm="1">
        <f t="array" aca="1" ref="Z25" ca="1">SUMPRODUCT(Z$55:Z$114,TRANSPOSE(SAP_Speadsheet!$E$89:$BL$89))</f>
        <v>0</v>
      </c>
      <c r="AA25" s="398" cm="1">
        <f t="array" aca="1" ref="AA25" ca="1">SUMPRODUCT(AA$55:AA$114,TRANSPOSE(SAP_Speadsheet!$E$89:$BL$89))</f>
        <v>0</v>
      </c>
      <c r="AB25" s="398" cm="1">
        <f t="array" aca="1" ref="AB25" ca="1">SUMPRODUCT(AB$55:AB$114,TRANSPOSE(SAP_Speadsheet!$E$89:$BL$89))</f>
        <v>0</v>
      </c>
      <c r="AC25" s="398" cm="1">
        <f t="array" aca="1" ref="AC25" ca="1">SUMPRODUCT(AC$55:AC$114,TRANSPOSE(SAP_Speadsheet!$E$89:$BL$89))</f>
        <v>0</v>
      </c>
      <c r="AD25" s="398" cm="1">
        <f t="array" aca="1" ref="AD25" ca="1">SUMPRODUCT(AD$55:AD$114,TRANSPOSE(SAP_Speadsheet!$E$89:$BL$89))</f>
        <v>0</v>
      </c>
      <c r="AE25" s="398" cm="1">
        <f t="array" aca="1" ref="AE25" ca="1">SUMPRODUCT(AE$55:AE$114,TRANSPOSE(SAP_Speadsheet!$E$89:$BL$89))</f>
        <v>0</v>
      </c>
      <c r="AF25" s="398" cm="1">
        <f t="array" aca="1" ref="AF25" ca="1">SUMPRODUCT(AF$55:AF$114,TRANSPOSE(SAP_Speadsheet!$E$89:$BL$89))</f>
        <v>0</v>
      </c>
      <c r="AG25" s="398" cm="1">
        <f t="array" aca="1" ref="AG25" ca="1">SUMPRODUCT(AG$55:AG$114,TRANSPOSE(SAP_Speadsheet!$E$89:$BL$89))</f>
        <v>0</v>
      </c>
      <c r="AH25" s="398" cm="1">
        <f t="array" aca="1" ref="AH25" ca="1">SUMPRODUCT(AH$55:AH$114,TRANSPOSE(SAP_Speadsheet!$E$89:$BL$89))</f>
        <v>0</v>
      </c>
      <c r="AI25" s="398" cm="1">
        <f t="array" aca="1" ref="AI25" ca="1">SUMPRODUCT(AI$55:AI$114,TRANSPOSE(SAP_Speadsheet!$E$89:$BL$89))</f>
        <v>0</v>
      </c>
      <c r="AJ25" s="398" cm="1">
        <f t="array" aca="1" ref="AJ25" ca="1">SUMPRODUCT(AJ$55:AJ$114,TRANSPOSE(SAP_Speadsheet!$E$89:$BL$89))</f>
        <v>0</v>
      </c>
      <c r="AK25" s="398" cm="1">
        <f t="array" aca="1" ref="AK25" ca="1">SUMPRODUCT(AK$55:AK$114,TRANSPOSE(SAP_Speadsheet!$E$89:$BL$89))</f>
        <v>0</v>
      </c>
      <c r="AL25" s="398" cm="1">
        <f t="array" aca="1" ref="AL25" ca="1">SUMPRODUCT(AL$55:AL$114,TRANSPOSE(SAP_Speadsheet!$E$89:$BL$89))</f>
        <v>0</v>
      </c>
      <c r="AM25" s="398" cm="1">
        <f t="array" aca="1" ref="AM25" ca="1">SUMPRODUCT(AM$55:AM$114,TRANSPOSE(SAP_Speadsheet!$E$89:$BL$89))</f>
        <v>0</v>
      </c>
      <c r="AN25" s="398" cm="1">
        <f t="array" aca="1" ref="AN25" ca="1">SUMPRODUCT(AN$55:AN$114,TRANSPOSE(SAP_Speadsheet!$E$89:$BL$89))</f>
        <v>0</v>
      </c>
      <c r="AO25" s="398" cm="1">
        <f t="array" aca="1" ref="AO25" ca="1">SUMPRODUCT(AO$55:AO$114,TRANSPOSE(SAP_Speadsheet!$E$89:$BL$89))</f>
        <v>0</v>
      </c>
      <c r="AP25" s="398" cm="1">
        <f t="array" aca="1" ref="AP25" ca="1">SUMPRODUCT(AP$55:AP$114,TRANSPOSE(SAP_Speadsheet!$E$89:$BL$89))</f>
        <v>0</v>
      </c>
      <c r="AQ25" s="398" cm="1">
        <f t="array" aca="1" ref="AQ25" ca="1">SUMPRODUCT(AQ$55:AQ$114,TRANSPOSE(SAP_Speadsheet!$E$89:$BL$89))</f>
        <v>0</v>
      </c>
      <c r="AR25" s="398" cm="1">
        <f t="array" aca="1" ref="AR25" ca="1">SUMPRODUCT(AR$55:AR$114,TRANSPOSE(SAP_Speadsheet!$E$89:$BL$89))</f>
        <v>0</v>
      </c>
      <c r="AS25" s="398" cm="1">
        <f t="array" aca="1" ref="AS25" ca="1">SUMPRODUCT(AS$55:AS$114,TRANSPOSE(SAP_Speadsheet!$E$89:$BL$89))</f>
        <v>0</v>
      </c>
      <c r="AT25" s="398" cm="1">
        <f t="array" aca="1" ref="AT25" ca="1">SUMPRODUCT(AT$55:AT$114,TRANSPOSE(SAP_Speadsheet!$E$89:$BL$89))</f>
        <v>0</v>
      </c>
      <c r="AU25" s="398" cm="1">
        <f t="array" aca="1" ref="AU25" ca="1">SUMPRODUCT(AU$55:AU$114,TRANSPOSE(SAP_Speadsheet!$E$89:$BL$89))</f>
        <v>0</v>
      </c>
      <c r="AV25" s="398" cm="1">
        <f t="array" aca="1" ref="AV25" ca="1">SUMPRODUCT(AV$55:AV$114,TRANSPOSE(SAP_Speadsheet!$E$89:$BL$89))</f>
        <v>0</v>
      </c>
      <c r="AW25" s="398" cm="1">
        <f t="array" aca="1" ref="AW25" ca="1">SUMPRODUCT(AW$55:AW$114,TRANSPOSE(SAP_Speadsheet!$E$89:$BL$89))</f>
        <v>0</v>
      </c>
      <c r="AX25" s="398" cm="1">
        <f t="array" aca="1" ref="AX25" ca="1">SUMPRODUCT(AX$55:AX$114,TRANSPOSE(SAP_Speadsheet!$E$89:$BL$89))</f>
        <v>0</v>
      </c>
      <c r="AY25" s="398" cm="1">
        <f t="array" aca="1" ref="AY25" ca="1">SUMPRODUCT(AY$55:AY$114,TRANSPOSE(SAP_Speadsheet!$E$89:$BL$89))</f>
        <v>0</v>
      </c>
      <c r="AZ25" s="398" cm="1">
        <f t="array" aca="1" ref="AZ25" ca="1">SUMPRODUCT(AZ$55:AZ$114,TRANSPOSE(SAP_Speadsheet!$E$89:$BL$89))</f>
        <v>0</v>
      </c>
      <c r="BA25" s="398" cm="1">
        <f t="array" aca="1" ref="BA25" ca="1">SUMPRODUCT(BA$55:BA$114,TRANSPOSE(SAP_Speadsheet!$E$89:$BL$89))</f>
        <v>0</v>
      </c>
      <c r="BB25" s="398" cm="1">
        <f t="array" aca="1" ref="BB25" ca="1">SUMPRODUCT(BB$55:BB$114,TRANSPOSE(SAP_Speadsheet!$E$89:$BL$89))</f>
        <v>0</v>
      </c>
      <c r="BC25" s="398" cm="1">
        <f t="array" aca="1" ref="BC25" ca="1">SUMPRODUCT(BC$55:BC$114,TRANSPOSE(SAP_Speadsheet!$E$89:$BL$89))</f>
        <v>0</v>
      </c>
      <c r="BD25" s="398" cm="1">
        <f t="array" aca="1" ref="BD25" ca="1">SUMPRODUCT(BD$55:BD$114,TRANSPOSE(SAP_Speadsheet!$E$89:$BL$89))</f>
        <v>0</v>
      </c>
      <c r="BE25" s="398" cm="1">
        <f t="array" aca="1" ref="BE25" ca="1">SUMPRODUCT(BE$55:BE$114,TRANSPOSE(SAP_Speadsheet!$E$89:$BL$89))</f>
        <v>0</v>
      </c>
      <c r="BF25" s="398" cm="1">
        <f t="array" aca="1" ref="BF25" ca="1">SUMPRODUCT(BF$55:BF$114,TRANSPOSE(SAP_Speadsheet!$E$89:$BL$89))</f>
        <v>0</v>
      </c>
      <c r="BG25" s="398" cm="1">
        <f t="array" aca="1" ref="BG25" ca="1">SUMPRODUCT(BG$55:BG$114,TRANSPOSE(SAP_Speadsheet!$E$89:$BL$89))</f>
        <v>0</v>
      </c>
      <c r="BH25" s="398" cm="1">
        <f t="array" aca="1" ref="BH25" ca="1">SUMPRODUCT(BH$55:BH$114,TRANSPOSE(SAP_Speadsheet!$E$89:$BL$89))</f>
        <v>0</v>
      </c>
      <c r="BI25" s="398" cm="1">
        <f t="array" aca="1" ref="BI25" ca="1">SUMPRODUCT(BI$55:BI$114,TRANSPOSE(SAP_Speadsheet!$E$89:$BL$89))</f>
        <v>0</v>
      </c>
    </row>
    <row r="26" spans="1:61" x14ac:dyDescent="0.15">
      <c r="A26" s="387" t="s">
        <v>262</v>
      </c>
      <c r="B26" s="398" cm="1">
        <f t="array" aca="1" ref="B26" ca="1">SUMPRODUCT(B$55:B$114,TRANSPOSE(SAP_Speadsheet!$E$90:$BL$90))</f>
        <v>0</v>
      </c>
      <c r="C26" s="398" cm="1">
        <f t="array" aca="1" ref="C26" ca="1">SUMPRODUCT(C$55:C$114,TRANSPOSE(SAP_Speadsheet!$E$90:$BL$90))</f>
        <v>0</v>
      </c>
      <c r="D26" s="398" cm="1">
        <f t="array" aca="1" ref="D26" ca="1">SUMPRODUCT(D$55:D$114,TRANSPOSE(SAP_Speadsheet!$E$90:$BL$90))</f>
        <v>0</v>
      </c>
      <c r="E26" s="398" cm="1">
        <f t="array" aca="1" ref="E26" ca="1">SUMPRODUCT(E$55:E$114,TRANSPOSE(SAP_Speadsheet!$E$90:$BL$90))</f>
        <v>0</v>
      </c>
      <c r="F26" s="398" cm="1">
        <f t="array" aca="1" ref="F26" ca="1">SUMPRODUCT(F$55:F$114,TRANSPOSE(SAP_Speadsheet!$E$90:$BL$90))</f>
        <v>0</v>
      </c>
      <c r="G26" s="398" cm="1">
        <f t="array" aca="1" ref="G26" ca="1">SUMPRODUCT(G$55:G$114,TRANSPOSE(SAP_Speadsheet!$E$90:$BL$90))</f>
        <v>0</v>
      </c>
      <c r="H26" s="398" cm="1">
        <f t="array" aca="1" ref="H26" ca="1">SUMPRODUCT(H$55:H$114,TRANSPOSE(SAP_Speadsheet!$E$90:$BL$90))</f>
        <v>-225.92000000000002</v>
      </c>
      <c r="I26" s="398" cm="1">
        <f t="array" aca="1" ref="I26" ca="1">SUMPRODUCT(I$55:I$114,TRANSPOSE(SAP_Speadsheet!$E$90:$BL$90))</f>
        <v>-209.51599999999999</v>
      </c>
      <c r="J26" s="398" cm="1">
        <f t="array" aca="1" ref="J26" ca="1">SUMPRODUCT(J$55:J$114,TRANSPOSE(SAP_Speadsheet!$E$90:$BL$90))</f>
        <v>-286.74400000000003</v>
      </c>
      <c r="K26" s="398" cm="1">
        <f t="array" aca="1" ref="K26" ca="1">SUMPRODUCT(K$55:K$114,TRANSPOSE(SAP_Speadsheet!$E$90:$BL$90))</f>
        <v>0</v>
      </c>
      <c r="L26" s="398" cm="1">
        <f t="array" aca="1" ref="L26" ca="1">SUMPRODUCT(L$55:L$114,TRANSPOSE(SAP_Speadsheet!$E$90:$BL$90))</f>
        <v>0</v>
      </c>
      <c r="M26" s="398" cm="1">
        <f t="array" aca="1" ref="M26" ca="1">SUMPRODUCT(M$55:M$114,TRANSPOSE(SAP_Speadsheet!$E$90:$BL$90))</f>
        <v>0</v>
      </c>
      <c r="N26" s="398" cm="1">
        <f t="array" aca="1" ref="N26" ca="1">SUMPRODUCT(N$55:N$114,TRANSPOSE(SAP_Speadsheet!$E$90:$BL$90))</f>
        <v>0</v>
      </c>
      <c r="O26" s="398" cm="1">
        <f t="array" aca="1" ref="O26" ca="1">SUMPRODUCT(O$55:O$114,TRANSPOSE(SAP_Speadsheet!$E$90:$BL$90))</f>
        <v>0</v>
      </c>
      <c r="P26" s="398" cm="1">
        <f t="array" aca="1" ref="P26" ca="1">SUMPRODUCT(P$55:P$114,TRANSPOSE(SAP_Speadsheet!$E$90:$BL$90))</f>
        <v>0</v>
      </c>
      <c r="Q26" s="398" cm="1">
        <f t="array" aca="1" ref="Q26" ca="1">SUMPRODUCT(Q$55:Q$114,TRANSPOSE(SAP_Speadsheet!$E$90:$BL$90))</f>
        <v>0</v>
      </c>
      <c r="R26" s="398" cm="1">
        <f t="array" aca="1" ref="R26" ca="1">SUMPRODUCT(R$55:R$114,TRANSPOSE(SAP_Speadsheet!$E$90:$BL$90))</f>
        <v>0</v>
      </c>
      <c r="S26" s="398" cm="1">
        <f t="array" aca="1" ref="S26" ca="1">SUMPRODUCT(S$55:S$114,TRANSPOSE(SAP_Speadsheet!$E$90:$BL$90))</f>
        <v>0</v>
      </c>
      <c r="T26" s="398" cm="1">
        <f t="array" aca="1" ref="T26" ca="1">SUMPRODUCT(T$55:T$114,TRANSPOSE(SAP_Speadsheet!$E$90:$BL$90))</f>
        <v>0</v>
      </c>
      <c r="U26" s="398" cm="1">
        <f t="array" aca="1" ref="U26" ca="1">SUMPRODUCT(U$55:U$114,TRANSPOSE(SAP_Speadsheet!$E$90:$BL$90))</f>
        <v>0</v>
      </c>
      <c r="V26" s="398" cm="1">
        <f t="array" aca="1" ref="V26" ca="1">SUMPRODUCT(V$55:V$114,TRANSPOSE(SAP_Speadsheet!$E$90:$BL$90))</f>
        <v>0</v>
      </c>
      <c r="W26" s="398" cm="1">
        <f t="array" aca="1" ref="W26" ca="1">SUMPRODUCT(W$55:W$114,TRANSPOSE(SAP_Speadsheet!$E$90:$BL$90))</f>
        <v>0</v>
      </c>
      <c r="X26" s="398" cm="1">
        <f t="array" aca="1" ref="X26" ca="1">SUMPRODUCT(X$55:X$114,TRANSPOSE(SAP_Speadsheet!$E$90:$BL$90))</f>
        <v>0</v>
      </c>
      <c r="Y26" s="398" cm="1">
        <f t="array" aca="1" ref="Y26" ca="1">SUMPRODUCT(Y$55:Y$114,TRANSPOSE(SAP_Speadsheet!$E$90:$BL$90))</f>
        <v>0</v>
      </c>
      <c r="Z26" s="398" cm="1">
        <f t="array" aca="1" ref="Z26" ca="1">SUMPRODUCT(Z$55:Z$114,TRANSPOSE(SAP_Speadsheet!$E$90:$BL$90))</f>
        <v>0</v>
      </c>
      <c r="AA26" s="398" cm="1">
        <f t="array" aca="1" ref="AA26" ca="1">SUMPRODUCT(AA$55:AA$114,TRANSPOSE(SAP_Speadsheet!$E$90:$BL$90))</f>
        <v>0</v>
      </c>
      <c r="AB26" s="398" cm="1">
        <f t="array" aca="1" ref="AB26" ca="1">SUMPRODUCT(AB$55:AB$114,TRANSPOSE(SAP_Speadsheet!$E$90:$BL$90))</f>
        <v>0</v>
      </c>
      <c r="AC26" s="398" cm="1">
        <f t="array" aca="1" ref="AC26" ca="1">SUMPRODUCT(AC$55:AC$114,TRANSPOSE(SAP_Speadsheet!$E$90:$BL$90))</f>
        <v>0</v>
      </c>
      <c r="AD26" s="398" cm="1">
        <f t="array" aca="1" ref="AD26" ca="1">SUMPRODUCT(AD$55:AD$114,TRANSPOSE(SAP_Speadsheet!$E$90:$BL$90))</f>
        <v>0</v>
      </c>
      <c r="AE26" s="398" cm="1">
        <f t="array" aca="1" ref="AE26" ca="1">SUMPRODUCT(AE$55:AE$114,TRANSPOSE(SAP_Speadsheet!$E$90:$BL$90))</f>
        <v>0</v>
      </c>
      <c r="AF26" s="398" cm="1">
        <f t="array" aca="1" ref="AF26" ca="1">SUMPRODUCT(AF$55:AF$114,TRANSPOSE(SAP_Speadsheet!$E$90:$BL$90))</f>
        <v>0</v>
      </c>
      <c r="AG26" s="398" cm="1">
        <f t="array" aca="1" ref="AG26" ca="1">SUMPRODUCT(AG$55:AG$114,TRANSPOSE(SAP_Speadsheet!$E$90:$BL$90))</f>
        <v>0</v>
      </c>
      <c r="AH26" s="398" cm="1">
        <f t="array" aca="1" ref="AH26" ca="1">SUMPRODUCT(AH$55:AH$114,TRANSPOSE(SAP_Speadsheet!$E$90:$BL$90))</f>
        <v>0</v>
      </c>
      <c r="AI26" s="398" cm="1">
        <f t="array" aca="1" ref="AI26" ca="1">SUMPRODUCT(AI$55:AI$114,TRANSPOSE(SAP_Speadsheet!$E$90:$BL$90))</f>
        <v>0</v>
      </c>
      <c r="AJ26" s="398" cm="1">
        <f t="array" aca="1" ref="AJ26" ca="1">SUMPRODUCT(AJ$55:AJ$114,TRANSPOSE(SAP_Speadsheet!$E$90:$BL$90))</f>
        <v>0</v>
      </c>
      <c r="AK26" s="398" cm="1">
        <f t="array" aca="1" ref="AK26" ca="1">SUMPRODUCT(AK$55:AK$114,TRANSPOSE(SAP_Speadsheet!$E$90:$BL$90))</f>
        <v>0</v>
      </c>
      <c r="AL26" s="398" cm="1">
        <f t="array" aca="1" ref="AL26" ca="1">SUMPRODUCT(AL$55:AL$114,TRANSPOSE(SAP_Speadsheet!$E$90:$BL$90))</f>
        <v>0</v>
      </c>
      <c r="AM26" s="398" cm="1">
        <f t="array" aca="1" ref="AM26" ca="1">SUMPRODUCT(AM$55:AM$114,TRANSPOSE(SAP_Speadsheet!$E$90:$BL$90))</f>
        <v>0</v>
      </c>
      <c r="AN26" s="398" cm="1">
        <f t="array" aca="1" ref="AN26" ca="1">SUMPRODUCT(AN$55:AN$114,TRANSPOSE(SAP_Speadsheet!$E$90:$BL$90))</f>
        <v>0</v>
      </c>
      <c r="AO26" s="398" cm="1">
        <f t="array" aca="1" ref="AO26" ca="1">SUMPRODUCT(AO$55:AO$114,TRANSPOSE(SAP_Speadsheet!$E$90:$BL$90))</f>
        <v>0</v>
      </c>
      <c r="AP26" s="398" cm="1">
        <f t="array" aca="1" ref="AP26" ca="1">SUMPRODUCT(AP$55:AP$114,TRANSPOSE(SAP_Speadsheet!$E$90:$BL$90))</f>
        <v>0</v>
      </c>
      <c r="AQ26" s="398" cm="1">
        <f t="array" aca="1" ref="AQ26" ca="1">SUMPRODUCT(AQ$55:AQ$114,TRANSPOSE(SAP_Speadsheet!$E$90:$BL$90))</f>
        <v>0</v>
      </c>
      <c r="AR26" s="398" cm="1">
        <f t="array" aca="1" ref="AR26" ca="1">SUMPRODUCT(AR$55:AR$114,TRANSPOSE(SAP_Speadsheet!$E$90:$BL$90))</f>
        <v>0</v>
      </c>
      <c r="AS26" s="398" cm="1">
        <f t="array" aca="1" ref="AS26" ca="1">SUMPRODUCT(AS$55:AS$114,TRANSPOSE(SAP_Speadsheet!$E$90:$BL$90))</f>
        <v>0</v>
      </c>
      <c r="AT26" s="398" cm="1">
        <f t="array" aca="1" ref="AT26" ca="1">SUMPRODUCT(AT$55:AT$114,TRANSPOSE(SAP_Speadsheet!$E$90:$BL$90))</f>
        <v>0</v>
      </c>
      <c r="AU26" s="398" cm="1">
        <f t="array" aca="1" ref="AU26" ca="1">SUMPRODUCT(AU$55:AU$114,TRANSPOSE(SAP_Speadsheet!$E$90:$BL$90))</f>
        <v>0</v>
      </c>
      <c r="AV26" s="398" cm="1">
        <f t="array" aca="1" ref="AV26" ca="1">SUMPRODUCT(AV$55:AV$114,TRANSPOSE(SAP_Speadsheet!$E$90:$BL$90))</f>
        <v>0</v>
      </c>
      <c r="AW26" s="398" cm="1">
        <f t="array" aca="1" ref="AW26" ca="1">SUMPRODUCT(AW$55:AW$114,TRANSPOSE(SAP_Speadsheet!$E$90:$BL$90))</f>
        <v>0</v>
      </c>
      <c r="AX26" s="398" cm="1">
        <f t="array" aca="1" ref="AX26" ca="1">SUMPRODUCT(AX$55:AX$114,TRANSPOSE(SAP_Speadsheet!$E$90:$BL$90))</f>
        <v>0</v>
      </c>
      <c r="AY26" s="398" cm="1">
        <f t="array" aca="1" ref="AY26" ca="1">SUMPRODUCT(AY$55:AY$114,TRANSPOSE(SAP_Speadsheet!$E$90:$BL$90))</f>
        <v>0</v>
      </c>
      <c r="AZ26" s="398" cm="1">
        <f t="array" aca="1" ref="AZ26" ca="1">SUMPRODUCT(AZ$55:AZ$114,TRANSPOSE(SAP_Speadsheet!$E$90:$BL$90))</f>
        <v>0</v>
      </c>
      <c r="BA26" s="398" cm="1">
        <f t="array" aca="1" ref="BA26" ca="1">SUMPRODUCT(BA$55:BA$114,TRANSPOSE(SAP_Speadsheet!$E$90:$BL$90))</f>
        <v>0</v>
      </c>
      <c r="BB26" s="398" cm="1">
        <f t="array" aca="1" ref="BB26" ca="1">SUMPRODUCT(BB$55:BB$114,TRANSPOSE(SAP_Speadsheet!$E$90:$BL$90))</f>
        <v>0</v>
      </c>
      <c r="BC26" s="398" cm="1">
        <f t="array" aca="1" ref="BC26" ca="1">SUMPRODUCT(BC$55:BC$114,TRANSPOSE(SAP_Speadsheet!$E$90:$BL$90))</f>
        <v>0</v>
      </c>
      <c r="BD26" s="398" cm="1">
        <f t="array" aca="1" ref="BD26" ca="1">SUMPRODUCT(BD$55:BD$114,TRANSPOSE(SAP_Speadsheet!$E$90:$BL$90))</f>
        <v>0</v>
      </c>
      <c r="BE26" s="398" cm="1">
        <f t="array" aca="1" ref="BE26" ca="1">SUMPRODUCT(BE$55:BE$114,TRANSPOSE(SAP_Speadsheet!$E$90:$BL$90))</f>
        <v>0</v>
      </c>
      <c r="BF26" s="398" cm="1">
        <f t="array" aca="1" ref="BF26" ca="1">SUMPRODUCT(BF$55:BF$114,TRANSPOSE(SAP_Speadsheet!$E$90:$BL$90))</f>
        <v>0</v>
      </c>
      <c r="BG26" s="398" cm="1">
        <f t="array" aca="1" ref="BG26" ca="1">SUMPRODUCT(BG$55:BG$114,TRANSPOSE(SAP_Speadsheet!$E$90:$BL$90))</f>
        <v>0</v>
      </c>
      <c r="BH26" s="398" cm="1">
        <f t="array" aca="1" ref="BH26" ca="1">SUMPRODUCT(BH$55:BH$114,TRANSPOSE(SAP_Speadsheet!$E$90:$BL$90))</f>
        <v>0</v>
      </c>
      <c r="BI26" s="398" cm="1">
        <f t="array" aca="1" ref="BI26" ca="1">SUMPRODUCT(BI$55:BI$114,TRANSPOSE(SAP_Speadsheet!$E$90:$BL$90))</f>
        <v>0</v>
      </c>
    </row>
    <row r="27" spans="1:61" x14ac:dyDescent="0.15">
      <c r="A27" s="387" t="s">
        <v>495</v>
      </c>
      <c r="B27" s="398" cm="1">
        <f t="array" aca="1" ref="B27" ca="1">SUMPRODUCT(B$55:B$114,TRANSPOSE(SAP_Speadsheet!$E$91:$BL$91))</f>
        <v>0</v>
      </c>
      <c r="C27" s="398" cm="1">
        <f t="array" aca="1" ref="C27" ca="1">SUMPRODUCT(C$55:C$114,TRANSPOSE(SAP_Speadsheet!$E$91:$BL$91))</f>
        <v>0</v>
      </c>
      <c r="D27" s="398" cm="1">
        <f t="array" aca="1" ref="D27" ca="1">SUMPRODUCT(D$55:D$114,TRANSPOSE(SAP_Speadsheet!$E$91:$BL$91))</f>
        <v>0</v>
      </c>
      <c r="E27" s="398" cm="1">
        <f t="array" aca="1" ref="E27" ca="1">SUMPRODUCT(E$55:E$114,TRANSPOSE(SAP_Speadsheet!$E$91:$BL$91))</f>
        <v>0</v>
      </c>
      <c r="F27" s="398" cm="1">
        <f t="array" aca="1" ref="F27" ca="1">SUMPRODUCT(F$55:F$114,TRANSPOSE(SAP_Speadsheet!$E$91:$BL$91))</f>
        <v>0</v>
      </c>
      <c r="G27" s="398" cm="1">
        <f t="array" aca="1" ref="G27" ca="1">SUMPRODUCT(G$55:G$114,TRANSPOSE(SAP_Speadsheet!$E$91:$BL$91))</f>
        <v>0</v>
      </c>
      <c r="H27" s="398" cm="1">
        <f t="array" aca="1" ref="H27" ca="1">SUMPRODUCT(H$55:H$114,TRANSPOSE(SAP_Speadsheet!$E$91:$BL$91))</f>
        <v>0</v>
      </c>
      <c r="I27" s="398" cm="1">
        <f t="array" aca="1" ref="I27" ca="1">SUMPRODUCT(I$55:I$114,TRANSPOSE(SAP_Speadsheet!$E$91:$BL$91))</f>
        <v>0</v>
      </c>
      <c r="J27" s="398" cm="1">
        <f t="array" aca="1" ref="J27" ca="1">SUMPRODUCT(J$55:J$114,TRANSPOSE(SAP_Speadsheet!$E$91:$BL$91))</f>
        <v>0</v>
      </c>
      <c r="K27" s="398" cm="1">
        <f t="array" aca="1" ref="K27" ca="1">SUMPRODUCT(K$55:K$114,TRANSPOSE(SAP_Speadsheet!$E$91:$BL$91))</f>
        <v>0</v>
      </c>
      <c r="L27" s="398" cm="1">
        <f t="array" aca="1" ref="L27" ca="1">SUMPRODUCT(L$55:L$114,TRANSPOSE(SAP_Speadsheet!$E$91:$BL$91))</f>
        <v>0</v>
      </c>
      <c r="M27" s="398" cm="1">
        <f t="array" aca="1" ref="M27" ca="1">SUMPRODUCT(M$55:M$114,TRANSPOSE(SAP_Speadsheet!$E$91:$BL$91))</f>
        <v>0</v>
      </c>
      <c r="N27" s="398" cm="1">
        <f t="array" aca="1" ref="N27" ca="1">SUMPRODUCT(N$55:N$114,TRANSPOSE(SAP_Speadsheet!$E$91:$BL$91))</f>
        <v>0</v>
      </c>
      <c r="O27" s="398" cm="1">
        <f t="array" aca="1" ref="O27" ca="1">SUMPRODUCT(O$55:O$114,TRANSPOSE(SAP_Speadsheet!$E$91:$BL$91))</f>
        <v>0</v>
      </c>
      <c r="P27" s="398" cm="1">
        <f t="array" aca="1" ref="P27" ca="1">SUMPRODUCT(P$55:P$114,TRANSPOSE(SAP_Speadsheet!$E$91:$BL$91))</f>
        <v>0</v>
      </c>
      <c r="Q27" s="398" cm="1">
        <f t="array" aca="1" ref="Q27" ca="1">SUMPRODUCT(Q$55:Q$114,TRANSPOSE(SAP_Speadsheet!$E$91:$BL$91))</f>
        <v>0</v>
      </c>
      <c r="R27" s="398" cm="1">
        <f t="array" aca="1" ref="R27" ca="1">SUMPRODUCT(R$55:R$114,TRANSPOSE(SAP_Speadsheet!$E$91:$BL$91))</f>
        <v>0</v>
      </c>
      <c r="S27" s="398" cm="1">
        <f t="array" aca="1" ref="S27" ca="1">SUMPRODUCT(S$55:S$114,TRANSPOSE(SAP_Speadsheet!$E$91:$BL$91))</f>
        <v>0</v>
      </c>
      <c r="T27" s="398" cm="1">
        <f t="array" aca="1" ref="T27" ca="1">SUMPRODUCT(T$55:T$114,TRANSPOSE(SAP_Speadsheet!$E$91:$BL$91))</f>
        <v>0</v>
      </c>
      <c r="U27" s="398" cm="1">
        <f t="array" aca="1" ref="U27" ca="1">SUMPRODUCT(U$55:U$114,TRANSPOSE(SAP_Speadsheet!$E$91:$BL$91))</f>
        <v>0</v>
      </c>
      <c r="V27" s="398" cm="1">
        <f t="array" aca="1" ref="V27" ca="1">SUMPRODUCT(V$55:V$114,TRANSPOSE(SAP_Speadsheet!$E$91:$BL$91))</f>
        <v>0</v>
      </c>
      <c r="W27" s="398" cm="1">
        <f t="array" aca="1" ref="W27" ca="1">SUMPRODUCT(W$55:W$114,TRANSPOSE(SAP_Speadsheet!$E$91:$BL$91))</f>
        <v>0</v>
      </c>
      <c r="X27" s="398" cm="1">
        <f t="array" aca="1" ref="X27" ca="1">SUMPRODUCT(X$55:X$114,TRANSPOSE(SAP_Speadsheet!$E$91:$BL$91))</f>
        <v>0</v>
      </c>
      <c r="Y27" s="398" cm="1">
        <f t="array" aca="1" ref="Y27" ca="1">SUMPRODUCT(Y$55:Y$114,TRANSPOSE(SAP_Speadsheet!$E$91:$BL$91))</f>
        <v>0</v>
      </c>
      <c r="Z27" s="398" cm="1">
        <f t="array" aca="1" ref="Z27" ca="1">SUMPRODUCT(Z$55:Z$114,TRANSPOSE(SAP_Speadsheet!$E$91:$BL$91))</f>
        <v>0</v>
      </c>
      <c r="AA27" s="398" cm="1">
        <f t="array" aca="1" ref="AA27" ca="1">SUMPRODUCT(AA$55:AA$114,TRANSPOSE(SAP_Speadsheet!$E$91:$BL$91))</f>
        <v>0</v>
      </c>
      <c r="AB27" s="398" cm="1">
        <f t="array" aca="1" ref="AB27" ca="1">SUMPRODUCT(AB$55:AB$114,TRANSPOSE(SAP_Speadsheet!$E$91:$BL$91))</f>
        <v>0</v>
      </c>
      <c r="AC27" s="398" cm="1">
        <f t="array" aca="1" ref="AC27" ca="1">SUMPRODUCT(AC$55:AC$114,TRANSPOSE(SAP_Speadsheet!$E$91:$BL$91))</f>
        <v>0</v>
      </c>
      <c r="AD27" s="398" cm="1">
        <f t="array" aca="1" ref="AD27" ca="1">SUMPRODUCT(AD$55:AD$114,TRANSPOSE(SAP_Speadsheet!$E$91:$BL$91))</f>
        <v>0</v>
      </c>
      <c r="AE27" s="398" cm="1">
        <f t="array" aca="1" ref="AE27" ca="1">SUMPRODUCT(AE$55:AE$114,TRANSPOSE(SAP_Speadsheet!$E$91:$BL$91))</f>
        <v>0</v>
      </c>
      <c r="AF27" s="398" cm="1">
        <f t="array" aca="1" ref="AF27" ca="1">SUMPRODUCT(AF$55:AF$114,TRANSPOSE(SAP_Speadsheet!$E$91:$BL$91))</f>
        <v>0</v>
      </c>
      <c r="AG27" s="398" cm="1">
        <f t="array" aca="1" ref="AG27" ca="1">SUMPRODUCT(AG$55:AG$114,TRANSPOSE(SAP_Speadsheet!$E$91:$BL$91))</f>
        <v>0</v>
      </c>
      <c r="AH27" s="398" cm="1">
        <f t="array" aca="1" ref="AH27" ca="1">SUMPRODUCT(AH$55:AH$114,TRANSPOSE(SAP_Speadsheet!$E$91:$BL$91))</f>
        <v>0</v>
      </c>
      <c r="AI27" s="398" cm="1">
        <f t="array" aca="1" ref="AI27" ca="1">SUMPRODUCT(AI$55:AI$114,TRANSPOSE(SAP_Speadsheet!$E$91:$BL$91))</f>
        <v>0</v>
      </c>
      <c r="AJ27" s="398" cm="1">
        <f t="array" aca="1" ref="AJ27" ca="1">SUMPRODUCT(AJ$55:AJ$114,TRANSPOSE(SAP_Speadsheet!$E$91:$BL$91))</f>
        <v>0</v>
      </c>
      <c r="AK27" s="398" cm="1">
        <f t="array" aca="1" ref="AK27" ca="1">SUMPRODUCT(AK$55:AK$114,TRANSPOSE(SAP_Speadsheet!$E$91:$BL$91))</f>
        <v>0</v>
      </c>
      <c r="AL27" s="398" cm="1">
        <f t="array" aca="1" ref="AL27" ca="1">SUMPRODUCT(AL$55:AL$114,TRANSPOSE(SAP_Speadsheet!$E$91:$BL$91))</f>
        <v>0</v>
      </c>
      <c r="AM27" s="398" cm="1">
        <f t="array" aca="1" ref="AM27" ca="1">SUMPRODUCT(AM$55:AM$114,TRANSPOSE(SAP_Speadsheet!$E$91:$BL$91))</f>
        <v>0</v>
      </c>
      <c r="AN27" s="398" cm="1">
        <f t="array" aca="1" ref="AN27" ca="1">SUMPRODUCT(AN$55:AN$114,TRANSPOSE(SAP_Speadsheet!$E$91:$BL$91))</f>
        <v>0</v>
      </c>
      <c r="AO27" s="398" cm="1">
        <f t="array" aca="1" ref="AO27" ca="1">SUMPRODUCT(AO$55:AO$114,TRANSPOSE(SAP_Speadsheet!$E$91:$BL$91))</f>
        <v>0</v>
      </c>
      <c r="AP27" s="398" cm="1">
        <f t="array" aca="1" ref="AP27" ca="1">SUMPRODUCT(AP$55:AP$114,TRANSPOSE(SAP_Speadsheet!$E$91:$BL$91))</f>
        <v>0</v>
      </c>
      <c r="AQ27" s="398" cm="1">
        <f t="array" aca="1" ref="AQ27" ca="1">SUMPRODUCT(AQ$55:AQ$114,TRANSPOSE(SAP_Speadsheet!$E$91:$BL$91))</f>
        <v>0</v>
      </c>
      <c r="AR27" s="398" cm="1">
        <f t="array" aca="1" ref="AR27" ca="1">SUMPRODUCT(AR$55:AR$114,TRANSPOSE(SAP_Speadsheet!$E$91:$BL$91))</f>
        <v>0</v>
      </c>
      <c r="AS27" s="398" cm="1">
        <f t="array" aca="1" ref="AS27" ca="1">SUMPRODUCT(AS$55:AS$114,TRANSPOSE(SAP_Speadsheet!$E$91:$BL$91))</f>
        <v>0</v>
      </c>
      <c r="AT27" s="398" cm="1">
        <f t="array" aca="1" ref="AT27" ca="1">SUMPRODUCT(AT$55:AT$114,TRANSPOSE(SAP_Speadsheet!$E$91:$BL$91))</f>
        <v>0</v>
      </c>
      <c r="AU27" s="398" cm="1">
        <f t="array" aca="1" ref="AU27" ca="1">SUMPRODUCT(AU$55:AU$114,TRANSPOSE(SAP_Speadsheet!$E$91:$BL$91))</f>
        <v>0</v>
      </c>
      <c r="AV27" s="398" cm="1">
        <f t="array" aca="1" ref="AV27" ca="1">SUMPRODUCT(AV$55:AV$114,TRANSPOSE(SAP_Speadsheet!$E$91:$BL$91))</f>
        <v>0</v>
      </c>
      <c r="AW27" s="398" cm="1">
        <f t="array" aca="1" ref="AW27" ca="1">SUMPRODUCT(AW$55:AW$114,TRANSPOSE(SAP_Speadsheet!$E$91:$BL$91))</f>
        <v>0</v>
      </c>
      <c r="AX27" s="398" cm="1">
        <f t="array" aca="1" ref="AX27" ca="1">SUMPRODUCT(AX$55:AX$114,TRANSPOSE(SAP_Speadsheet!$E$91:$BL$91))</f>
        <v>0</v>
      </c>
      <c r="AY27" s="398" cm="1">
        <f t="array" aca="1" ref="AY27" ca="1">SUMPRODUCT(AY$55:AY$114,TRANSPOSE(SAP_Speadsheet!$E$91:$BL$91))</f>
        <v>0</v>
      </c>
      <c r="AZ27" s="398" cm="1">
        <f t="array" aca="1" ref="AZ27" ca="1">SUMPRODUCT(AZ$55:AZ$114,TRANSPOSE(SAP_Speadsheet!$E$91:$BL$91))</f>
        <v>0</v>
      </c>
      <c r="BA27" s="398" cm="1">
        <f t="array" aca="1" ref="BA27" ca="1">SUMPRODUCT(BA$55:BA$114,TRANSPOSE(SAP_Speadsheet!$E$91:$BL$91))</f>
        <v>0</v>
      </c>
      <c r="BB27" s="398" cm="1">
        <f t="array" aca="1" ref="BB27" ca="1">SUMPRODUCT(BB$55:BB$114,TRANSPOSE(SAP_Speadsheet!$E$91:$BL$91))</f>
        <v>0</v>
      </c>
      <c r="BC27" s="398" cm="1">
        <f t="array" aca="1" ref="BC27" ca="1">SUMPRODUCT(BC$55:BC$114,TRANSPOSE(SAP_Speadsheet!$E$91:$BL$91))</f>
        <v>0</v>
      </c>
      <c r="BD27" s="398" cm="1">
        <f t="array" aca="1" ref="BD27" ca="1">SUMPRODUCT(BD$55:BD$114,TRANSPOSE(SAP_Speadsheet!$E$91:$BL$91))</f>
        <v>0</v>
      </c>
      <c r="BE27" s="398" cm="1">
        <f t="array" aca="1" ref="BE27" ca="1">SUMPRODUCT(BE$55:BE$114,TRANSPOSE(SAP_Speadsheet!$E$91:$BL$91))</f>
        <v>0</v>
      </c>
      <c r="BF27" s="398" cm="1">
        <f t="array" aca="1" ref="BF27" ca="1">SUMPRODUCT(BF$55:BF$114,TRANSPOSE(SAP_Speadsheet!$E$91:$BL$91))</f>
        <v>0</v>
      </c>
      <c r="BG27" s="398" cm="1">
        <f t="array" aca="1" ref="BG27" ca="1">SUMPRODUCT(BG$55:BG$114,TRANSPOSE(SAP_Speadsheet!$E$91:$BL$91))</f>
        <v>0</v>
      </c>
      <c r="BH27" s="398" cm="1">
        <f t="array" aca="1" ref="BH27" ca="1">SUMPRODUCT(BH$55:BH$114,TRANSPOSE(SAP_Speadsheet!$E$91:$BL$91))</f>
        <v>0</v>
      </c>
      <c r="BI27" s="398" cm="1">
        <f t="array" aca="1" ref="BI27" ca="1">SUMPRODUCT(BI$55:BI$114,TRANSPOSE(SAP_Speadsheet!$E$91:$BL$91))</f>
        <v>0</v>
      </c>
    </row>
    <row r="28" spans="1:61" x14ac:dyDescent="0.15">
      <c r="A28" s="399" t="s">
        <v>362</v>
      </c>
      <c r="B28" s="393" cm="1">
        <f t="array" aca="1" ref="B28" ca="1">SUMPRODUCT(B$55:B$114,TRANSPOSE(SAP_Speadsheet!$E$95:$BL$95))</f>
        <v>0</v>
      </c>
      <c r="C28" s="393" cm="1">
        <f t="array" aca="1" ref="C28" ca="1">SUMPRODUCT(C$55:C$114,TRANSPOSE(SAP_Speadsheet!$E$95:$BL$95))</f>
        <v>0</v>
      </c>
      <c r="D28" s="393" cm="1">
        <f t="array" aca="1" ref="D28" ca="1">SUMPRODUCT(D$55:D$114,TRANSPOSE(SAP_Speadsheet!$E$95:$BL$95))</f>
        <v>0</v>
      </c>
      <c r="E28" s="393" cm="1">
        <f t="array" aca="1" ref="E28" ca="1">SUMPRODUCT(E$55:E$114,TRANSPOSE(SAP_Speadsheet!$E$95:$BL$95))</f>
        <v>0</v>
      </c>
      <c r="F28" s="393" cm="1">
        <f t="array" aca="1" ref="F28" ca="1">SUMPRODUCT(F$55:F$114,TRANSPOSE(SAP_Speadsheet!$E$95:$BL$95))</f>
        <v>0</v>
      </c>
      <c r="G28" s="393" cm="1">
        <f t="array" aca="1" ref="G28" ca="1">SUMPRODUCT(G$55:G$114,TRANSPOSE(SAP_Speadsheet!$E$95:$BL$95))</f>
        <v>0</v>
      </c>
      <c r="H28" s="393" cm="1">
        <f t="array" aca="1" ref="H28" ca="1">SUMPRODUCT(H$55:H$114,TRANSPOSE(SAP_Speadsheet!$E$95:$BL$95))</f>
        <v>-451.84000000000003</v>
      </c>
      <c r="I28" s="393" cm="1">
        <f t="array" aca="1" ref="I28" ca="1">SUMPRODUCT(I$55:I$114,TRANSPOSE(SAP_Speadsheet!$E$95:$BL$95))</f>
        <v>-818.52642005650773</v>
      </c>
      <c r="J28" s="393" cm="1">
        <f t="array" aca="1" ref="J28" ca="1">SUMPRODUCT(J$55:J$114,TRANSPOSE(SAP_Speadsheet!$E$95:$BL$95))</f>
        <v>-1321.9237229373516</v>
      </c>
      <c r="K28" s="393" cm="1">
        <f t="array" aca="1" ref="K28" ca="1">SUMPRODUCT(K$55:K$114,TRANSPOSE(SAP_Speadsheet!$E$95:$BL$95))</f>
        <v>-1213.9578532933324</v>
      </c>
      <c r="L28" s="393" cm="1">
        <f t="array" aca="1" ref="L28" ca="1">SUMPRODUCT(L$55:L$114,TRANSPOSE(SAP_Speadsheet!$E$95:$BL$95))</f>
        <v>-1156.0833613993284</v>
      </c>
      <c r="M28" s="393" cm="1">
        <f t="array" aca="1" ref="M28" ca="1">SUMPRODUCT(M$55:M$114,TRANSPOSE(SAP_Speadsheet!$E$95:$BL$95))</f>
        <v>-1108.409775149235</v>
      </c>
      <c r="N28" s="393" cm="1">
        <f t="array" aca="1" ref="N28" ca="1">SUMPRODUCT(N$55:N$114,TRANSPOSE(SAP_Speadsheet!$E$95:$BL$95))</f>
        <v>-1074.6971679554308</v>
      </c>
      <c r="O28" s="393" cm="1">
        <f t="array" aca="1" ref="O28" ca="1">SUMPRODUCT(O$55:O$114,TRANSPOSE(SAP_Speadsheet!$E$95:$BL$95))</f>
        <v>-1040.9845607616269</v>
      </c>
      <c r="P28" s="393" cm="1">
        <f t="array" aca="1" ref="P28" ca="1">SUMPRODUCT(P$55:P$114,TRANSPOSE(SAP_Speadsheet!$E$95:$BL$95))</f>
        <v>-1007.2719535678228</v>
      </c>
      <c r="Q28" s="393" cm="1">
        <f t="array" aca="1" ref="Q28" ca="1">SUMPRODUCT(Q$55:Q$114,TRANSPOSE(SAP_Speadsheet!$E$95:$BL$95))</f>
        <v>-973.55934637401879</v>
      </c>
      <c r="R28" s="393" cm="1">
        <f t="array" aca="1" ref="R28" ca="1">SUMPRODUCT(R$55:R$114,TRANSPOSE(SAP_Speadsheet!$E$95:$BL$95))</f>
        <v>-939.84673918021485</v>
      </c>
      <c r="S28" s="393" cm="1">
        <f t="array" aca="1" ref="S28" ca="1">SUMPRODUCT(S$55:S$114,TRANSPOSE(SAP_Speadsheet!$E$95:$BL$95))</f>
        <v>-915.65524863463997</v>
      </c>
      <c r="T28" s="393" cm="1">
        <f t="array" aca="1" ref="T28" ca="1">SUMPRODUCT(T$55:T$114,TRANSPOSE(SAP_Speadsheet!$E$95:$BL$95))</f>
        <v>-890.40331024166198</v>
      </c>
      <c r="U28" s="393" cm="1">
        <f t="array" aca="1" ref="U28" ca="1">SUMPRODUCT(U$55:U$114,TRANSPOSE(SAP_Speadsheet!$E$95:$BL$95))</f>
        <v>-868.06372971476048</v>
      </c>
      <c r="V28" s="393" cm="1">
        <f t="array" aca="1" ref="V28" ca="1">SUMPRODUCT(V$55:V$114,TRANSPOSE(SAP_Speadsheet!$E$95:$BL$95))</f>
        <v>-658.64971947960044</v>
      </c>
      <c r="W28" s="393" cm="1">
        <f t="array" aca="1" ref="W28" ca="1">SUMPRODUCT(W$55:W$114,TRANSPOSE(SAP_Speadsheet!$E$95:$BL$95))</f>
        <v>-472.56560281610803</v>
      </c>
      <c r="X28" s="393" cm="1">
        <f t="array" aca="1" ref="X28" ca="1">SUMPRODUCT(X$55:X$114,TRANSPOSE(SAP_Speadsheet!$E$95:$BL$95))</f>
        <v>-236.81088969899631</v>
      </c>
      <c r="Y28" s="393" cm="1">
        <f t="array" aca="1" ref="Y28" ca="1">SUMPRODUCT(Y$55:Y$114,TRANSPOSE(SAP_Speadsheet!$E$95:$BL$95))</f>
        <v>-236.23488510979482</v>
      </c>
      <c r="Z28" s="393" cm="1">
        <f t="array" aca="1" ref="Z28" ca="1">SUMPRODUCT(Z$55:Z$114,TRANSPOSE(SAP_Speadsheet!$E$95:$BL$95))</f>
        <v>-235.8780605711209</v>
      </c>
      <c r="AA28" s="393" cm="1">
        <f t="array" aca="1" ref="AA28" ca="1">SUMPRODUCT(AA$55:AA$114,TRANSPOSE(SAP_Speadsheet!$E$95:$BL$95))</f>
        <v>-235.64966101283724</v>
      </c>
      <c r="AB28" s="393" cm="1">
        <f t="array" aca="1" ref="AB28" ca="1">SUMPRODUCT(AB$55:AB$114,TRANSPOSE(SAP_Speadsheet!$E$95:$BL$95))</f>
        <v>-161.86803190191256</v>
      </c>
      <c r="AC28" s="393" cm="1">
        <f t="array" aca="1" ref="AC28" ca="1">SUMPRODUCT(AC$55:AC$114,TRANSPOSE(SAP_Speadsheet!$E$95:$BL$95))</f>
        <v>-93.502953236787988</v>
      </c>
      <c r="AD28" s="393" cm="1">
        <f t="array" aca="1" ref="AD28" ca="1">SUMPRODUCT(AD$55:AD$114,TRANSPOSE(SAP_Speadsheet!$E$95:$BL$95))</f>
        <v>0</v>
      </c>
      <c r="AE28" s="393" cm="1">
        <f t="array" aca="1" ref="AE28" ca="1">SUMPRODUCT(AE$55:AE$114,TRANSPOSE(SAP_Speadsheet!$E$95:$BL$95))</f>
        <v>0</v>
      </c>
      <c r="AF28" s="393" cm="1">
        <f t="array" aca="1" ref="AF28" ca="1">SUMPRODUCT(AF$55:AF$114,TRANSPOSE(SAP_Speadsheet!$E$95:$BL$95))</f>
        <v>0</v>
      </c>
      <c r="AG28" s="393" cm="1">
        <f t="array" aca="1" ref="AG28" ca="1">SUMPRODUCT(AG$55:AG$114,TRANSPOSE(SAP_Speadsheet!$E$95:$BL$95))</f>
        <v>0</v>
      </c>
      <c r="AH28" s="393" cm="1">
        <f t="array" aca="1" ref="AH28" ca="1">SUMPRODUCT(AH$55:AH$114,TRANSPOSE(SAP_Speadsheet!$E$95:$BL$95))</f>
        <v>0</v>
      </c>
      <c r="AI28" s="393" cm="1">
        <f t="array" aca="1" ref="AI28" ca="1">SUMPRODUCT(AI$55:AI$114,TRANSPOSE(SAP_Speadsheet!$E$95:$BL$95))</f>
        <v>0</v>
      </c>
      <c r="AJ28" s="393" cm="1">
        <f t="array" aca="1" ref="AJ28" ca="1">SUMPRODUCT(AJ$55:AJ$114,TRANSPOSE(SAP_Speadsheet!$E$95:$BL$95))</f>
        <v>0</v>
      </c>
      <c r="AK28" s="393" cm="1">
        <f t="array" aca="1" ref="AK28" ca="1">SUMPRODUCT(AK$55:AK$114,TRANSPOSE(SAP_Speadsheet!$E$95:$BL$95))</f>
        <v>0</v>
      </c>
      <c r="AL28" s="393" cm="1">
        <f t="array" aca="1" ref="AL28" ca="1">SUMPRODUCT(AL$55:AL$114,TRANSPOSE(SAP_Speadsheet!$E$95:$BL$95))</f>
        <v>0</v>
      </c>
      <c r="AM28" s="393" cm="1">
        <f t="array" aca="1" ref="AM28" ca="1">SUMPRODUCT(AM$55:AM$114,TRANSPOSE(SAP_Speadsheet!$E$95:$BL$95))</f>
        <v>0</v>
      </c>
      <c r="AN28" s="393" cm="1">
        <f t="array" aca="1" ref="AN28" ca="1">SUMPRODUCT(AN$55:AN$114,TRANSPOSE(SAP_Speadsheet!$E$95:$BL$95))</f>
        <v>0</v>
      </c>
      <c r="AO28" s="393" cm="1">
        <f t="array" aca="1" ref="AO28" ca="1">SUMPRODUCT(AO$55:AO$114,TRANSPOSE(SAP_Speadsheet!$E$95:$BL$95))</f>
        <v>0</v>
      </c>
      <c r="AP28" s="393" cm="1">
        <f t="array" aca="1" ref="AP28" ca="1">SUMPRODUCT(AP$55:AP$114,TRANSPOSE(SAP_Speadsheet!$E$95:$BL$95))</f>
        <v>0</v>
      </c>
      <c r="AQ28" s="393" cm="1">
        <f t="array" aca="1" ref="AQ28" ca="1">SUMPRODUCT(AQ$55:AQ$114,TRANSPOSE(SAP_Speadsheet!$E$95:$BL$95))</f>
        <v>0</v>
      </c>
      <c r="AR28" s="393" cm="1">
        <f t="array" aca="1" ref="AR28" ca="1">SUMPRODUCT(AR$55:AR$114,TRANSPOSE(SAP_Speadsheet!$E$95:$BL$95))</f>
        <v>0</v>
      </c>
      <c r="AS28" s="393" cm="1">
        <f t="array" aca="1" ref="AS28" ca="1">SUMPRODUCT(AS$55:AS$114,TRANSPOSE(SAP_Speadsheet!$E$95:$BL$95))</f>
        <v>0</v>
      </c>
      <c r="AT28" s="393" cm="1">
        <f t="array" aca="1" ref="AT28" ca="1">SUMPRODUCT(AT$55:AT$114,TRANSPOSE(SAP_Speadsheet!$E$95:$BL$95))</f>
        <v>0</v>
      </c>
      <c r="AU28" s="393" cm="1">
        <f t="array" aca="1" ref="AU28" ca="1">SUMPRODUCT(AU$55:AU$114,TRANSPOSE(SAP_Speadsheet!$E$95:$BL$95))</f>
        <v>0</v>
      </c>
      <c r="AV28" s="393" cm="1">
        <f t="array" aca="1" ref="AV28" ca="1">SUMPRODUCT(AV$55:AV$114,TRANSPOSE(SAP_Speadsheet!$E$95:$BL$95))</f>
        <v>0</v>
      </c>
      <c r="AW28" s="393" cm="1">
        <f t="array" aca="1" ref="AW28" ca="1">SUMPRODUCT(AW$55:AW$114,TRANSPOSE(SAP_Speadsheet!$E$95:$BL$95))</f>
        <v>0</v>
      </c>
      <c r="AX28" s="393" cm="1">
        <f t="array" aca="1" ref="AX28" ca="1">SUMPRODUCT(AX$55:AX$114,TRANSPOSE(SAP_Speadsheet!$E$95:$BL$95))</f>
        <v>0</v>
      </c>
      <c r="AY28" s="393" cm="1">
        <f t="array" aca="1" ref="AY28" ca="1">SUMPRODUCT(AY$55:AY$114,TRANSPOSE(SAP_Speadsheet!$E$95:$BL$95))</f>
        <v>0</v>
      </c>
      <c r="AZ28" s="393" cm="1">
        <f t="array" aca="1" ref="AZ28" ca="1">SUMPRODUCT(AZ$55:AZ$114,TRANSPOSE(SAP_Speadsheet!$E$95:$BL$95))</f>
        <v>0</v>
      </c>
      <c r="BA28" s="393" cm="1">
        <f t="array" aca="1" ref="BA28" ca="1">SUMPRODUCT(BA$55:BA$114,TRANSPOSE(SAP_Speadsheet!$E$95:$BL$95))</f>
        <v>0</v>
      </c>
      <c r="BB28" s="393" cm="1">
        <f t="array" aca="1" ref="BB28" ca="1">SUMPRODUCT(BB$55:BB$114,TRANSPOSE(SAP_Speadsheet!$E$95:$BL$95))</f>
        <v>0</v>
      </c>
      <c r="BC28" s="393" cm="1">
        <f t="array" aca="1" ref="BC28" ca="1">SUMPRODUCT(BC$55:BC$114,TRANSPOSE(SAP_Speadsheet!$E$95:$BL$95))</f>
        <v>0</v>
      </c>
      <c r="BD28" s="393" cm="1">
        <f t="array" aca="1" ref="BD28" ca="1">SUMPRODUCT(BD$55:BD$114,TRANSPOSE(SAP_Speadsheet!$E$95:$BL$95))</f>
        <v>0</v>
      </c>
      <c r="BE28" s="393" cm="1">
        <f t="array" aca="1" ref="BE28" ca="1">SUMPRODUCT(BE$55:BE$114,TRANSPOSE(SAP_Speadsheet!$E$95:$BL$95))</f>
        <v>0</v>
      </c>
      <c r="BF28" s="393" cm="1">
        <f t="array" aca="1" ref="BF28" ca="1">SUMPRODUCT(BF$55:BF$114,TRANSPOSE(SAP_Speadsheet!$E$95:$BL$95))</f>
        <v>0</v>
      </c>
      <c r="BG28" s="393" cm="1">
        <f t="array" aca="1" ref="BG28" ca="1">SUMPRODUCT(BG$55:BG$114,TRANSPOSE(SAP_Speadsheet!$E$95:$BL$95))</f>
        <v>0</v>
      </c>
      <c r="BH28" s="393" cm="1">
        <f t="array" aca="1" ref="BH28" ca="1">SUMPRODUCT(BH$55:BH$114,TRANSPOSE(SAP_Speadsheet!$E$95:$BL$95))</f>
        <v>0</v>
      </c>
      <c r="BI28" s="393" cm="1">
        <f t="array" aca="1" ref="BI28" ca="1">SUMPRODUCT(BI$55:BI$114,TRANSPOSE(SAP_Speadsheet!$E$95:$BL$95))</f>
        <v>0</v>
      </c>
    </row>
    <row r="29" spans="1:61" x14ac:dyDescent="0.15">
      <c r="A29" s="386" t="s">
        <v>486</v>
      </c>
      <c r="B29" s="393" cm="1">
        <f t="array" aca="1" ref="B29" ca="1">SUMPRODUCT(B$55:B$114,TRANSPOSE(SAP_Speadsheet!$E$99:$BL$99))</f>
        <v>0</v>
      </c>
      <c r="C29" s="393" cm="1">
        <f t="array" aca="1" ref="C29" ca="1">SUMPRODUCT(C$55:C$114,TRANSPOSE(SAP_Speadsheet!$E$99:$BL$99))</f>
        <v>0</v>
      </c>
      <c r="D29" s="393" cm="1">
        <f t="array" aca="1" ref="D29" ca="1">SUMPRODUCT(D$55:D$114,TRANSPOSE(SAP_Speadsheet!$E$99:$BL$99))</f>
        <v>0</v>
      </c>
      <c r="E29" s="393" cm="1">
        <f t="array" aca="1" ref="E29" ca="1">SUMPRODUCT(E$55:E$114,TRANSPOSE(SAP_Speadsheet!$E$99:$BL$99))</f>
        <v>0</v>
      </c>
      <c r="F29" s="393" cm="1">
        <f t="array" aca="1" ref="F29" ca="1">SUMPRODUCT(F$55:F$114,TRANSPOSE(SAP_Speadsheet!$E$99:$BL$99))</f>
        <v>0</v>
      </c>
      <c r="G29" s="393" cm="1">
        <f t="array" aca="1" ref="G29" ca="1">SUMPRODUCT(G$55:G$114,TRANSPOSE(SAP_Speadsheet!$E$99:$BL$99))</f>
        <v>0</v>
      </c>
      <c r="H29" s="393" cm="1">
        <f t="array" aca="1" ref="H29" ca="1">SUMPRODUCT(H$55:H$114,TRANSPOSE(SAP_Speadsheet!$E$99:$BL$99))</f>
        <v>-49.936802507063462</v>
      </c>
      <c r="I29" s="393" cm="1">
        <f t="array" aca="1" ref="I29" ca="1">SUMPRODUCT(I$55:I$114,TRANSPOSE(SAP_Speadsheet!$E$99:$BL$99))</f>
        <v>-93.554465367168959</v>
      </c>
      <c r="J29" s="393" cm="1">
        <f t="array" aca="1" ref="J29" ca="1">SUMPRODUCT(J$55:J$114,TRANSPOSE(SAP_Speadsheet!$E$99:$BL$99))</f>
        <v>-151.74473166166655</v>
      </c>
      <c r="K29" s="393" cm="1">
        <f t="array" aca="1" ref="K29" ca="1">SUMPRODUCT(K$55:K$114,TRANSPOSE(SAP_Speadsheet!$E$99:$BL$99))</f>
        <v>-144.51042017491605</v>
      </c>
      <c r="L29" s="393" cm="1">
        <f t="array" aca="1" ref="L29" ca="1">SUMPRODUCT(L$55:L$114,TRANSPOSE(SAP_Speadsheet!$E$99:$BL$99))</f>
        <v>-138.55122189365437</v>
      </c>
      <c r="M29" s="393" cm="1">
        <f t="array" aca="1" ref="M29" ca="1">SUMPRODUCT(M$55:M$114,TRANSPOSE(SAP_Speadsheet!$E$99:$BL$99))</f>
        <v>-134.33714599442885</v>
      </c>
      <c r="N29" s="393" cm="1">
        <f t="array" aca="1" ref="N29" ca="1">SUMPRODUCT(N$55:N$114,TRANSPOSE(SAP_Speadsheet!$E$99:$BL$99))</f>
        <v>-130.12307009520336</v>
      </c>
      <c r="O29" s="393" cm="1">
        <f t="array" aca="1" ref="O29" ca="1">SUMPRODUCT(O$55:O$114,TRANSPOSE(SAP_Speadsheet!$E$99:$BL$99))</f>
        <v>-125.90899419597785</v>
      </c>
      <c r="P29" s="393" cm="1">
        <f t="array" aca="1" ref="P29" ca="1">SUMPRODUCT(P$55:P$114,TRANSPOSE(SAP_Speadsheet!$E$99:$BL$99))</f>
        <v>-121.69491829675235</v>
      </c>
      <c r="Q29" s="393" cm="1">
        <f t="array" aca="1" ref="Q29" ca="1">SUMPRODUCT(Q$55:Q$114,TRANSPOSE(SAP_Speadsheet!$E$99:$BL$99))</f>
        <v>-117.48084239752686</v>
      </c>
      <c r="R29" s="393" cm="1">
        <f t="array" aca="1" ref="R29" ca="1">SUMPRODUCT(R$55:R$114,TRANSPOSE(SAP_Speadsheet!$E$99:$BL$99))</f>
        <v>-113.26676649830134</v>
      </c>
      <c r="S29" s="393" cm="1">
        <f t="array" aca="1" ref="S29" ca="1">SUMPRODUCT(S$55:S$114,TRANSPOSE(SAP_Speadsheet!$E$99:$BL$99))</f>
        <v>-109.05269059907583</v>
      </c>
      <c r="T29" s="393" cm="1">
        <f t="array" aca="1" ref="T29" ca="1">SUMPRODUCT(T$55:T$114,TRANSPOSE(SAP_Speadsheet!$E$99:$BL$99))</f>
        <v>-104.83861469985032</v>
      </c>
      <c r="U29" s="393" cm="1">
        <f t="array" aca="1" ref="U29" ca="1">SUMPRODUCT(U$55:U$114,TRANSPOSE(SAP_Speadsheet!$E$99:$BL$99))</f>
        <v>-101.94283067682329</v>
      </c>
      <c r="V29" s="393" cm="1">
        <f t="array" aca="1" ref="V29" ca="1">SUMPRODUCT(V$55:V$114,TRANSPOSE(SAP_Speadsheet!$E$99:$BL$99))</f>
        <v>-68.902213378633405</v>
      </c>
      <c r="W29" s="393" cm="1">
        <f t="array" aca="1" ref="W29" ca="1">SUMPRODUCT(W$55:W$114,TRANSPOSE(SAP_Speadsheet!$E$99:$BL$99))</f>
        <v>-39.812389217432113</v>
      </c>
      <c r="X29" s="393" cm="1">
        <f t="array" aca="1" ref="X29" ca="1">SUMPRODUCT(X$55:X$114,TRANSPOSE(SAP_Speadsheet!$E$99:$BL$99))</f>
        <v>0</v>
      </c>
      <c r="Y29" s="393" cm="1">
        <f t="array" aca="1" ref="Y29" ca="1">SUMPRODUCT(Y$55:Y$114,TRANSPOSE(SAP_Speadsheet!$E$99:$BL$99))</f>
        <v>0</v>
      </c>
      <c r="Z29" s="393" cm="1">
        <f t="array" aca="1" ref="Z29" ca="1">SUMPRODUCT(Z$55:Z$114,TRANSPOSE(SAP_Speadsheet!$E$99:$BL$99))</f>
        <v>0</v>
      </c>
      <c r="AA29" s="393" cm="1">
        <f t="array" aca="1" ref="AA29" ca="1">SUMPRODUCT(AA$55:AA$114,TRANSPOSE(SAP_Speadsheet!$E$99:$BL$99))</f>
        <v>0</v>
      </c>
      <c r="AB29" s="393" cm="1">
        <f t="array" aca="1" ref="AB29" ca="1">SUMPRODUCT(AB$55:AB$114,TRANSPOSE(SAP_Speadsheet!$E$99:$BL$99))</f>
        <v>0</v>
      </c>
      <c r="AC29" s="393" cm="1">
        <f t="array" aca="1" ref="AC29" ca="1">SUMPRODUCT(AC$55:AC$114,TRANSPOSE(SAP_Speadsheet!$E$99:$BL$99))</f>
        <v>0</v>
      </c>
      <c r="AD29" s="393" cm="1">
        <f t="array" aca="1" ref="AD29" ca="1">SUMPRODUCT(AD$55:AD$114,TRANSPOSE(SAP_Speadsheet!$E$99:$BL$99))</f>
        <v>0</v>
      </c>
      <c r="AE29" s="393" cm="1">
        <f t="array" aca="1" ref="AE29" ca="1">SUMPRODUCT(AE$55:AE$114,TRANSPOSE(SAP_Speadsheet!$E$99:$BL$99))</f>
        <v>0</v>
      </c>
      <c r="AF29" s="393" cm="1">
        <f t="array" aca="1" ref="AF29" ca="1">SUMPRODUCT(AF$55:AF$114,TRANSPOSE(SAP_Speadsheet!$E$99:$BL$99))</f>
        <v>0</v>
      </c>
      <c r="AG29" s="393" cm="1">
        <f t="array" aca="1" ref="AG29" ca="1">SUMPRODUCT(AG$55:AG$114,TRANSPOSE(SAP_Speadsheet!$E$99:$BL$99))</f>
        <v>0</v>
      </c>
      <c r="AH29" s="393" cm="1">
        <f t="array" aca="1" ref="AH29" ca="1">SUMPRODUCT(AH$55:AH$114,TRANSPOSE(SAP_Speadsheet!$E$99:$BL$99))</f>
        <v>0</v>
      </c>
      <c r="AI29" s="393" cm="1">
        <f t="array" aca="1" ref="AI29" ca="1">SUMPRODUCT(AI$55:AI$114,TRANSPOSE(SAP_Speadsheet!$E$99:$BL$99))</f>
        <v>0</v>
      </c>
      <c r="AJ29" s="393" cm="1">
        <f t="array" aca="1" ref="AJ29" ca="1">SUMPRODUCT(AJ$55:AJ$114,TRANSPOSE(SAP_Speadsheet!$E$99:$BL$99))</f>
        <v>0</v>
      </c>
      <c r="AK29" s="393" cm="1">
        <f t="array" aca="1" ref="AK29" ca="1">SUMPRODUCT(AK$55:AK$114,TRANSPOSE(SAP_Speadsheet!$E$99:$BL$99))</f>
        <v>0</v>
      </c>
      <c r="AL29" s="393" cm="1">
        <f t="array" aca="1" ref="AL29" ca="1">SUMPRODUCT(AL$55:AL$114,TRANSPOSE(SAP_Speadsheet!$E$99:$BL$99))</f>
        <v>0</v>
      </c>
      <c r="AM29" s="393" cm="1">
        <f t="array" aca="1" ref="AM29" ca="1">SUMPRODUCT(AM$55:AM$114,TRANSPOSE(SAP_Speadsheet!$E$99:$BL$99))</f>
        <v>0</v>
      </c>
      <c r="AN29" s="393" cm="1">
        <f t="array" aca="1" ref="AN29" ca="1">SUMPRODUCT(AN$55:AN$114,TRANSPOSE(SAP_Speadsheet!$E$99:$BL$99))</f>
        <v>0</v>
      </c>
      <c r="AO29" s="393" cm="1">
        <f t="array" aca="1" ref="AO29" ca="1">SUMPRODUCT(AO$55:AO$114,TRANSPOSE(SAP_Speadsheet!$E$99:$BL$99))</f>
        <v>0</v>
      </c>
      <c r="AP29" s="393" cm="1">
        <f t="array" aca="1" ref="AP29" ca="1">SUMPRODUCT(AP$55:AP$114,TRANSPOSE(SAP_Speadsheet!$E$99:$BL$99))</f>
        <v>0</v>
      </c>
      <c r="AQ29" s="393" cm="1">
        <f t="array" aca="1" ref="AQ29" ca="1">SUMPRODUCT(AQ$55:AQ$114,TRANSPOSE(SAP_Speadsheet!$E$99:$BL$99))</f>
        <v>0</v>
      </c>
      <c r="AR29" s="393" cm="1">
        <f t="array" aca="1" ref="AR29" ca="1">SUMPRODUCT(AR$55:AR$114,TRANSPOSE(SAP_Speadsheet!$E$99:$BL$99))</f>
        <v>0</v>
      </c>
      <c r="AS29" s="393" cm="1">
        <f t="array" aca="1" ref="AS29" ca="1">SUMPRODUCT(AS$55:AS$114,TRANSPOSE(SAP_Speadsheet!$E$99:$BL$99))</f>
        <v>0</v>
      </c>
      <c r="AT29" s="393" cm="1">
        <f t="array" aca="1" ref="AT29" ca="1">SUMPRODUCT(AT$55:AT$114,TRANSPOSE(SAP_Speadsheet!$E$99:$BL$99))</f>
        <v>0</v>
      </c>
      <c r="AU29" s="393" cm="1">
        <f t="array" aca="1" ref="AU29" ca="1">SUMPRODUCT(AU$55:AU$114,TRANSPOSE(SAP_Speadsheet!$E$99:$BL$99))</f>
        <v>0</v>
      </c>
      <c r="AV29" s="393" cm="1">
        <f t="array" aca="1" ref="AV29" ca="1">SUMPRODUCT(AV$55:AV$114,TRANSPOSE(SAP_Speadsheet!$E$99:$BL$99))</f>
        <v>0</v>
      </c>
      <c r="AW29" s="393" cm="1">
        <f t="array" aca="1" ref="AW29" ca="1">SUMPRODUCT(AW$55:AW$114,TRANSPOSE(SAP_Speadsheet!$E$99:$BL$99))</f>
        <v>0</v>
      </c>
      <c r="AX29" s="393" cm="1">
        <f t="array" aca="1" ref="AX29" ca="1">SUMPRODUCT(AX$55:AX$114,TRANSPOSE(SAP_Speadsheet!$E$99:$BL$99))</f>
        <v>0</v>
      </c>
      <c r="AY29" s="393" cm="1">
        <f t="array" aca="1" ref="AY29" ca="1">SUMPRODUCT(AY$55:AY$114,TRANSPOSE(SAP_Speadsheet!$E$99:$BL$99))</f>
        <v>0</v>
      </c>
      <c r="AZ29" s="393" cm="1">
        <f t="array" aca="1" ref="AZ29" ca="1">SUMPRODUCT(AZ$55:AZ$114,TRANSPOSE(SAP_Speadsheet!$E$99:$BL$99))</f>
        <v>0</v>
      </c>
      <c r="BA29" s="393" cm="1">
        <f t="array" aca="1" ref="BA29" ca="1">SUMPRODUCT(BA$55:BA$114,TRANSPOSE(SAP_Speadsheet!$E$99:$BL$99))</f>
        <v>0</v>
      </c>
      <c r="BB29" s="393" cm="1">
        <f t="array" aca="1" ref="BB29" ca="1">SUMPRODUCT(BB$55:BB$114,TRANSPOSE(SAP_Speadsheet!$E$99:$BL$99))</f>
        <v>0</v>
      </c>
      <c r="BC29" s="393" cm="1">
        <f t="array" aca="1" ref="BC29" ca="1">SUMPRODUCT(BC$55:BC$114,TRANSPOSE(SAP_Speadsheet!$E$99:$BL$99))</f>
        <v>0</v>
      </c>
      <c r="BD29" s="393" cm="1">
        <f t="array" aca="1" ref="BD29" ca="1">SUMPRODUCT(BD$55:BD$114,TRANSPOSE(SAP_Speadsheet!$E$99:$BL$99))</f>
        <v>0</v>
      </c>
      <c r="BE29" s="393" cm="1">
        <f t="array" aca="1" ref="BE29" ca="1">SUMPRODUCT(BE$55:BE$114,TRANSPOSE(SAP_Speadsheet!$E$99:$BL$99))</f>
        <v>0</v>
      </c>
      <c r="BF29" s="393" cm="1">
        <f t="array" aca="1" ref="BF29" ca="1">SUMPRODUCT(BF$55:BF$114,TRANSPOSE(SAP_Speadsheet!$E$99:$BL$99))</f>
        <v>0</v>
      </c>
      <c r="BG29" s="393" cm="1">
        <f t="array" aca="1" ref="BG29" ca="1">SUMPRODUCT(BG$55:BG$114,TRANSPOSE(SAP_Speadsheet!$E$99:$BL$99))</f>
        <v>0</v>
      </c>
      <c r="BH29" s="393" cm="1">
        <f t="array" aca="1" ref="BH29" ca="1">SUMPRODUCT(BH$55:BH$114,TRANSPOSE(SAP_Speadsheet!$E$99:$BL$99))</f>
        <v>0</v>
      </c>
      <c r="BI29" s="393" cm="1">
        <f t="array" aca="1" ref="BI29" ca="1">SUMPRODUCT(BI$55:BI$114,TRANSPOSE(SAP_Speadsheet!$E$99:$BL$99))</f>
        <v>0</v>
      </c>
    </row>
    <row r="30" spans="1:61" x14ac:dyDescent="0.15">
      <c r="A30" s="386" t="s">
        <v>272</v>
      </c>
      <c r="B30" s="393" cm="1">
        <f t="array" aca="1" ref="B30" ca="1">SUMPRODUCT(B$55:B$114,TRANSPOSE(SAP_Speadsheet!$E$103:$BL$103))</f>
        <v>0</v>
      </c>
      <c r="C30" s="393" cm="1">
        <f t="array" aca="1" ref="C30" ca="1">SUMPRODUCT(C$55:C$114,TRANSPOSE(SAP_Speadsheet!$E$103:$BL$103))</f>
        <v>0</v>
      </c>
      <c r="D30" s="393" cm="1">
        <f t="array" aca="1" ref="D30" ca="1">SUMPRODUCT(D$55:D$114,TRANSPOSE(SAP_Speadsheet!$E$103:$BL$103))</f>
        <v>0</v>
      </c>
      <c r="E30" s="393" cm="1">
        <f t="array" aca="1" ref="E30" ca="1">SUMPRODUCT(E$55:E$114,TRANSPOSE(SAP_Speadsheet!$E$103:$BL$103))</f>
        <v>0</v>
      </c>
      <c r="F30" s="393" cm="1">
        <f t="array" aca="1" ref="F30" ca="1">SUMPRODUCT(F$55:F$114,TRANSPOSE(SAP_Speadsheet!$E$103:$BL$103))</f>
        <v>0</v>
      </c>
      <c r="G30" s="393" cm="1">
        <f t="array" aca="1" ref="G30" ca="1">SUMPRODUCT(G$55:G$114,TRANSPOSE(SAP_Speadsheet!$E$103:$BL$103))</f>
        <v>0</v>
      </c>
      <c r="H30" s="393" cm="1">
        <f t="array" aca="1" ref="H30" ca="1">SUMPRODUCT(H$55:H$114,TRANSPOSE(SAP_Speadsheet!$E$103:$BL$103))</f>
        <v>-2756.2359298872516</v>
      </c>
      <c r="I30" s="393" cm="1">
        <f t="array" aca="1" ref="I30" ca="1">SUMPRODUCT(I$55:I$114,TRANSPOSE(SAP_Speadsheet!$E$103:$BL$103))</f>
        <v>-4993.0327738175729</v>
      </c>
      <c r="J30" s="393" cm="1">
        <f t="array" aca="1" ref="J30" ca="1">SUMPRODUCT(J$55:J$114,TRANSPOSE(SAP_Speadsheet!$E$103:$BL$103))</f>
        <v>-8063.7696125403882</v>
      </c>
      <c r="K30" s="393" cm="1">
        <f t="array" aca="1" ref="K30" ca="1">SUMPRODUCT(K$55:K$114,TRANSPOSE(SAP_Speadsheet!$E$103:$BL$103))</f>
        <v>-7405.1749570995926</v>
      </c>
      <c r="L30" s="393" cm="1">
        <f t="array" aca="1" ref="L30" ca="1">SUMPRODUCT(L$55:L$114,TRANSPOSE(SAP_Speadsheet!$E$103:$BL$103))</f>
        <v>-7052.1390284916288</v>
      </c>
      <c r="M30" s="393" cm="1">
        <f t="array" aca="1" ref="M30" ca="1">SUMPRODUCT(M$55:M$114,TRANSPOSE(SAP_Speadsheet!$E$103:$BL$103))</f>
        <v>-6761.3288936450317</v>
      </c>
      <c r="N30" s="393" cm="1">
        <f t="array" aca="1" ref="N30" ca="1">SUMPRODUCT(N$55:N$114,TRANSPOSE(SAP_Speadsheet!$E$103:$BL$103))</f>
        <v>-6555.6810996521626</v>
      </c>
      <c r="O30" s="393" cm="1">
        <f t="array" aca="1" ref="O30" ca="1">SUMPRODUCT(O$55:O$114,TRANSPOSE(SAP_Speadsheet!$E$103:$BL$103))</f>
        <v>-6350.0333056592926</v>
      </c>
      <c r="P30" s="393" cm="1">
        <f t="array" aca="1" ref="P30" ca="1">SUMPRODUCT(P$55:P$114,TRANSPOSE(SAP_Speadsheet!$E$103:$BL$103))</f>
        <v>-6144.3855116664236</v>
      </c>
      <c r="Q30" s="393" cm="1">
        <f t="array" aca="1" ref="Q30" ca="1">SUMPRODUCT(Q$55:Q$114,TRANSPOSE(SAP_Speadsheet!$E$103:$BL$103))</f>
        <v>-5938.7377176735545</v>
      </c>
      <c r="R30" s="393" cm="1">
        <f t="array" aca="1" ref="R30" ca="1">SUMPRODUCT(R$55:R$114,TRANSPOSE(SAP_Speadsheet!$E$103:$BL$103))</f>
        <v>-5733.0899236806845</v>
      </c>
      <c r="S30" s="393" cm="1">
        <f t="array" aca="1" ref="S30" ca="1">SUMPRODUCT(S$55:S$114,TRANSPOSE(SAP_Speadsheet!$E$103:$BL$103))</f>
        <v>-5585.521192627124</v>
      </c>
      <c r="T30" s="393" cm="1">
        <f t="array" aca="1" ref="T30" ca="1">SUMPRODUCT(T$55:T$114,TRANSPOSE(SAP_Speadsheet!$E$103:$BL$103))</f>
        <v>-5431.4837017055033</v>
      </c>
      <c r="U30" s="393" cm="1">
        <f t="array" aca="1" ref="U30" ca="1">SUMPRODUCT(U$55:U$114,TRANSPOSE(SAP_Speadsheet!$E$103:$BL$103))</f>
        <v>-5295.2116706616489</v>
      </c>
      <c r="V30" s="393" cm="1">
        <f t="array" aca="1" ref="V30" ca="1">SUMPRODUCT(V$55:V$114,TRANSPOSE(SAP_Speadsheet!$E$103:$BL$103))</f>
        <v>-3564.6390655220462</v>
      </c>
      <c r="W30" s="393" cm="1">
        <f t="array" aca="1" ref="W30" ca="1">SUMPRODUCT(W$55:W$114,TRANSPOSE(SAP_Speadsheet!$E$103:$BL$103))</f>
        <v>-2010.8528582204879</v>
      </c>
      <c r="X30" s="393" cm="1">
        <f t="array" aca="1" ref="X30" ca="1">SUMPRODUCT(X$55:X$114,TRANSPOSE(SAP_Speadsheet!$E$103:$BL$103))</f>
        <v>0</v>
      </c>
      <c r="Y30" s="393" cm="1">
        <f t="array" aca="1" ref="Y30" ca="1">SUMPRODUCT(Y$55:Y$114,TRANSPOSE(SAP_Speadsheet!$E$103:$BL$103))</f>
        <v>0</v>
      </c>
      <c r="Z30" s="393" cm="1">
        <f t="array" aca="1" ref="Z30" ca="1">SUMPRODUCT(Z$55:Z$114,TRANSPOSE(SAP_Speadsheet!$E$103:$BL$103))</f>
        <v>0</v>
      </c>
      <c r="AA30" s="393" cm="1">
        <f t="array" aca="1" ref="AA30" ca="1">SUMPRODUCT(AA$55:AA$114,TRANSPOSE(SAP_Speadsheet!$E$103:$BL$103))</f>
        <v>0</v>
      </c>
      <c r="AB30" s="393" cm="1">
        <f t="array" aca="1" ref="AB30" ca="1">SUMPRODUCT(AB$55:AB$114,TRANSPOSE(SAP_Speadsheet!$E$103:$BL$103))</f>
        <v>0</v>
      </c>
      <c r="AC30" s="393" cm="1">
        <f t="array" aca="1" ref="AC30" ca="1">SUMPRODUCT(AC$55:AC$114,TRANSPOSE(SAP_Speadsheet!$E$103:$BL$103))</f>
        <v>0</v>
      </c>
      <c r="AD30" s="393" cm="1">
        <f t="array" aca="1" ref="AD30" ca="1">SUMPRODUCT(AD$55:AD$114,TRANSPOSE(SAP_Speadsheet!$E$103:$BL$103))</f>
        <v>0</v>
      </c>
      <c r="AE30" s="393" cm="1">
        <f t="array" aca="1" ref="AE30" ca="1">SUMPRODUCT(AE$55:AE$114,TRANSPOSE(SAP_Speadsheet!$E$103:$BL$103))</f>
        <v>0</v>
      </c>
      <c r="AF30" s="393" cm="1">
        <f t="array" aca="1" ref="AF30" ca="1">SUMPRODUCT(AF$55:AF$114,TRANSPOSE(SAP_Speadsheet!$E$103:$BL$103))</f>
        <v>0</v>
      </c>
      <c r="AG30" s="393" cm="1">
        <f t="array" aca="1" ref="AG30" ca="1">SUMPRODUCT(AG$55:AG$114,TRANSPOSE(SAP_Speadsheet!$E$103:$BL$103))</f>
        <v>0</v>
      </c>
      <c r="AH30" s="393" cm="1">
        <f t="array" aca="1" ref="AH30" ca="1">SUMPRODUCT(AH$55:AH$114,TRANSPOSE(SAP_Speadsheet!$E$103:$BL$103))</f>
        <v>0</v>
      </c>
      <c r="AI30" s="393" cm="1">
        <f t="array" aca="1" ref="AI30" ca="1">SUMPRODUCT(AI$55:AI$114,TRANSPOSE(SAP_Speadsheet!$E$103:$BL$103))</f>
        <v>0</v>
      </c>
      <c r="AJ30" s="393" cm="1">
        <f t="array" aca="1" ref="AJ30" ca="1">SUMPRODUCT(AJ$55:AJ$114,TRANSPOSE(SAP_Speadsheet!$E$103:$BL$103))</f>
        <v>0</v>
      </c>
      <c r="AK30" s="393" cm="1">
        <f t="array" aca="1" ref="AK30" ca="1">SUMPRODUCT(AK$55:AK$114,TRANSPOSE(SAP_Speadsheet!$E$103:$BL$103))</f>
        <v>0</v>
      </c>
      <c r="AL30" s="393" cm="1">
        <f t="array" aca="1" ref="AL30" ca="1">SUMPRODUCT(AL$55:AL$114,TRANSPOSE(SAP_Speadsheet!$E$103:$BL$103))</f>
        <v>0</v>
      </c>
      <c r="AM30" s="393" cm="1">
        <f t="array" aca="1" ref="AM30" ca="1">SUMPRODUCT(AM$55:AM$114,TRANSPOSE(SAP_Speadsheet!$E$103:$BL$103))</f>
        <v>0</v>
      </c>
      <c r="AN30" s="393" cm="1">
        <f t="array" aca="1" ref="AN30" ca="1">SUMPRODUCT(AN$55:AN$114,TRANSPOSE(SAP_Speadsheet!$E$103:$BL$103))</f>
        <v>0</v>
      </c>
      <c r="AO30" s="393" cm="1">
        <f t="array" aca="1" ref="AO30" ca="1">SUMPRODUCT(AO$55:AO$114,TRANSPOSE(SAP_Speadsheet!$E$103:$BL$103))</f>
        <v>0</v>
      </c>
      <c r="AP30" s="393" cm="1">
        <f t="array" aca="1" ref="AP30" ca="1">SUMPRODUCT(AP$55:AP$114,TRANSPOSE(SAP_Speadsheet!$E$103:$BL$103))</f>
        <v>0</v>
      </c>
      <c r="AQ30" s="393" cm="1">
        <f t="array" aca="1" ref="AQ30" ca="1">SUMPRODUCT(AQ$55:AQ$114,TRANSPOSE(SAP_Speadsheet!$E$103:$BL$103))</f>
        <v>0</v>
      </c>
      <c r="AR30" s="393" cm="1">
        <f t="array" aca="1" ref="AR30" ca="1">SUMPRODUCT(AR$55:AR$114,TRANSPOSE(SAP_Speadsheet!$E$103:$BL$103))</f>
        <v>0</v>
      </c>
      <c r="AS30" s="393" cm="1">
        <f t="array" aca="1" ref="AS30" ca="1">SUMPRODUCT(AS$55:AS$114,TRANSPOSE(SAP_Speadsheet!$E$103:$BL$103))</f>
        <v>0</v>
      </c>
      <c r="AT30" s="393" cm="1">
        <f t="array" aca="1" ref="AT30" ca="1">SUMPRODUCT(AT$55:AT$114,TRANSPOSE(SAP_Speadsheet!$E$103:$BL$103))</f>
        <v>0</v>
      </c>
      <c r="AU30" s="393" cm="1">
        <f t="array" aca="1" ref="AU30" ca="1">SUMPRODUCT(AU$55:AU$114,TRANSPOSE(SAP_Speadsheet!$E$103:$BL$103))</f>
        <v>0</v>
      </c>
      <c r="AV30" s="393" cm="1">
        <f t="array" aca="1" ref="AV30" ca="1">SUMPRODUCT(AV$55:AV$114,TRANSPOSE(SAP_Speadsheet!$E$103:$BL$103))</f>
        <v>0</v>
      </c>
      <c r="AW30" s="393" cm="1">
        <f t="array" aca="1" ref="AW30" ca="1">SUMPRODUCT(AW$55:AW$114,TRANSPOSE(SAP_Speadsheet!$E$103:$BL$103))</f>
        <v>0</v>
      </c>
      <c r="AX30" s="393" cm="1">
        <f t="array" aca="1" ref="AX30" ca="1">SUMPRODUCT(AX$55:AX$114,TRANSPOSE(SAP_Speadsheet!$E$103:$BL$103))</f>
        <v>0</v>
      </c>
      <c r="AY30" s="393" cm="1">
        <f t="array" aca="1" ref="AY30" ca="1">SUMPRODUCT(AY$55:AY$114,TRANSPOSE(SAP_Speadsheet!$E$103:$BL$103))</f>
        <v>0</v>
      </c>
      <c r="AZ30" s="393" cm="1">
        <f t="array" aca="1" ref="AZ30" ca="1">SUMPRODUCT(AZ$55:AZ$114,TRANSPOSE(SAP_Speadsheet!$E$103:$BL$103))</f>
        <v>0</v>
      </c>
      <c r="BA30" s="393" cm="1">
        <f t="array" aca="1" ref="BA30" ca="1">SUMPRODUCT(BA$55:BA$114,TRANSPOSE(SAP_Speadsheet!$E$103:$BL$103))</f>
        <v>0</v>
      </c>
      <c r="BB30" s="393" cm="1">
        <f t="array" aca="1" ref="BB30" ca="1">SUMPRODUCT(BB$55:BB$114,TRANSPOSE(SAP_Speadsheet!$E$103:$BL$103))</f>
        <v>0</v>
      </c>
      <c r="BC30" s="393" cm="1">
        <f t="array" aca="1" ref="BC30" ca="1">SUMPRODUCT(BC$55:BC$114,TRANSPOSE(SAP_Speadsheet!$E$103:$BL$103))</f>
        <v>0</v>
      </c>
      <c r="BD30" s="393" cm="1">
        <f t="array" aca="1" ref="BD30" ca="1">SUMPRODUCT(BD$55:BD$114,TRANSPOSE(SAP_Speadsheet!$E$103:$BL$103))</f>
        <v>0</v>
      </c>
      <c r="BE30" s="393" cm="1">
        <f t="array" aca="1" ref="BE30" ca="1">SUMPRODUCT(BE$55:BE$114,TRANSPOSE(SAP_Speadsheet!$E$103:$BL$103))</f>
        <v>0</v>
      </c>
      <c r="BF30" s="393" cm="1">
        <f t="array" aca="1" ref="BF30" ca="1">SUMPRODUCT(BF$55:BF$114,TRANSPOSE(SAP_Speadsheet!$E$103:$BL$103))</f>
        <v>0</v>
      </c>
      <c r="BG30" s="393" cm="1">
        <f t="array" aca="1" ref="BG30" ca="1">SUMPRODUCT(BG$55:BG$114,TRANSPOSE(SAP_Speadsheet!$E$103:$BL$103))</f>
        <v>0</v>
      </c>
      <c r="BH30" s="393" cm="1">
        <f t="array" aca="1" ref="BH30" ca="1">SUMPRODUCT(BH$55:BH$114,TRANSPOSE(SAP_Speadsheet!$E$103:$BL$103))</f>
        <v>0</v>
      </c>
      <c r="BI30" s="393" cm="1">
        <f t="array" aca="1" ref="BI30" ca="1">SUMPRODUCT(BI$55:BI$114,TRANSPOSE(SAP_Speadsheet!$E$103:$BL$103))</f>
        <v>0</v>
      </c>
    </row>
    <row r="31" spans="1:61" x14ac:dyDescent="0.15">
      <c r="A31" s="386" t="s">
        <v>233</v>
      </c>
      <c r="B31" s="393" cm="1">
        <f t="array" aca="1" ref="B31" ca="1">SUMPRODUCT(B$55:B$114,TRANSPOSE(SAP_Speadsheet!$E$183:$BL$183))</f>
        <v>0</v>
      </c>
      <c r="C31" s="393" cm="1">
        <f t="array" aca="1" ref="C31" ca="1">SUMPRODUCT(C$55:C$114,TRANSPOSE(SAP_Speadsheet!$E$183:$BL$183))</f>
        <v>0</v>
      </c>
      <c r="D31" s="393" cm="1">
        <f t="array" aca="1" ref="D31" ca="1">SUMPRODUCT(D$55:D$114,TRANSPOSE(SAP_Speadsheet!$E$183:$BL$183))</f>
        <v>0</v>
      </c>
      <c r="E31" s="393" cm="1">
        <f t="array" aca="1" ref="E31" ca="1">SUMPRODUCT(E$55:E$114,TRANSPOSE(SAP_Speadsheet!$E$183:$BL$183))</f>
        <v>0</v>
      </c>
      <c r="F31" s="393" cm="1">
        <f t="array" aca="1" ref="F31" ca="1">SUMPRODUCT(F$55:F$114,TRANSPOSE(SAP_Speadsheet!$E$183:$BL$183))</f>
        <v>0</v>
      </c>
      <c r="G31" s="393" cm="1">
        <f t="array" aca="1" ref="G31" ca="1">SUMPRODUCT(G$55:G$114,TRANSPOSE(SAP_Speadsheet!$E$183:$BL$183))</f>
        <v>0</v>
      </c>
      <c r="H31" s="393" cm="1">
        <f t="array" aca="1" ref="H31" ca="1">SUMPRODUCT(H$55:H$114,TRANSPOSE(SAP_Speadsheet!$E$183:$BL$183))</f>
        <v>-43973.19580521615</v>
      </c>
      <c r="I31" s="393" cm="1">
        <f t="array" aca="1" ref="I31" ca="1">SUMPRODUCT(I$55:I$114,TRANSPOSE(SAP_Speadsheet!$E$183:$BL$183))</f>
        <v>-57368.148584087539</v>
      </c>
      <c r="J31" s="393" cm="1">
        <f t="array" aca="1" ref="J31" ca="1">SUMPRODUCT(J$55:J$114,TRANSPOSE(SAP_Speadsheet!$E$183:$BL$183))</f>
        <v>-85350.103067431861</v>
      </c>
      <c r="K31" s="393" cm="1">
        <f t="array" aca="1" ref="K31" ca="1">SUMPRODUCT(K$55:K$114,TRANSPOSE(SAP_Speadsheet!$E$183:$BL$183))</f>
        <v>-46544.011773835766</v>
      </c>
      <c r="L31" s="393" cm="1">
        <f t="array" aca="1" ref="L31" ca="1">SUMPRODUCT(L$55:L$114,TRANSPOSE(SAP_Speadsheet!$E$183:$BL$183))</f>
        <v>-40125.540157958407</v>
      </c>
      <c r="M31" s="393" cm="1">
        <f t="array" aca="1" ref="M31" ca="1">SUMPRODUCT(M$55:M$114,TRANSPOSE(SAP_Speadsheet!$E$183:$BL$183))</f>
        <v>-34736.183970402926</v>
      </c>
      <c r="N31" s="393" cm="1">
        <f t="array" aca="1" ref="N31" ca="1">SUMPRODUCT(N$55:N$114,TRANSPOSE(SAP_Speadsheet!$E$183:$BL$183))</f>
        <v>-29720.59980893055</v>
      </c>
      <c r="O31" s="393" cm="1">
        <f t="array" aca="1" ref="O31" ca="1">SUMPRODUCT(O$55:O$114,TRANSPOSE(SAP_Speadsheet!$E$183:$BL$183))</f>
        <v>-25556.894554202496</v>
      </c>
      <c r="P31" s="393" cm="1">
        <f t="array" aca="1" ref="P31" ca="1">SUMPRODUCT(P$55:P$114,TRANSPOSE(SAP_Speadsheet!$E$183:$BL$183))</f>
        <v>-21586.060839816095</v>
      </c>
      <c r="Q31" s="393" cm="1">
        <f t="array" aca="1" ref="Q31" ca="1">SUMPRODUCT(Q$55:Q$114,TRANSPOSE(SAP_Speadsheet!$E$183:$BL$183))</f>
        <v>-18035.180587641094</v>
      </c>
      <c r="R31" s="393" cm="1">
        <f t="array" aca="1" ref="R31" ca="1">SUMPRODUCT(R$55:R$114,TRANSPOSE(SAP_Speadsheet!$E$183:$BL$183))</f>
        <v>-14029.309800581792</v>
      </c>
      <c r="S31" s="393" cm="1">
        <f t="array" aca="1" ref="S31" ca="1">SUMPRODUCT(S$55:S$114,TRANSPOSE(SAP_Speadsheet!$E$183:$BL$183))</f>
        <v>-10373.738263813089</v>
      </c>
      <c r="T31" s="393" cm="1">
        <f t="array" aca="1" ref="T31" ca="1">SUMPRODUCT(T$55:T$114,TRANSPOSE(SAP_Speadsheet!$E$183:$BL$183))</f>
        <v>-6992.2154830364161</v>
      </c>
      <c r="U31" s="393" cm="1">
        <f t="array" aca="1" ref="U31" ca="1">SUMPRODUCT(U$55:U$114,TRANSPOSE(SAP_Speadsheet!$E$183:$BL$183))</f>
        <v>-4360.8105381717996</v>
      </c>
      <c r="V31" s="393" cm="1">
        <f t="array" aca="1" ref="V31" ca="1">SUMPRODUCT(V$55:V$114,TRANSPOSE(SAP_Speadsheet!$E$183:$BL$183))</f>
        <v>-2612.9991464901209</v>
      </c>
      <c r="W31" s="393" cm="1">
        <f t="array" aca="1" ref="W31" ca="1">SUMPRODUCT(W$55:W$114,TRANSPOSE(SAP_Speadsheet!$E$183:$BL$183))</f>
        <v>-1881.6615865882504</v>
      </c>
      <c r="X31" s="393" cm="1">
        <f t="array" aca="1" ref="X31" ca="1">SUMPRODUCT(X$55:X$114,TRANSPOSE(SAP_Speadsheet!$E$183:$BL$183))</f>
        <v>-1547.9840845287783</v>
      </c>
      <c r="Y31" s="393" cm="1">
        <f t="array" aca="1" ref="Y31" ca="1">SUMPRODUCT(Y$55:Y$114,TRANSPOSE(SAP_Speadsheet!$E$183:$BL$183))</f>
        <v>-1309.9205214601823</v>
      </c>
      <c r="Z31" s="393" cm="1">
        <f t="array" aca="1" ref="Z31" ca="1">SUMPRODUCT(Z$55:Z$114,TRANSPOSE(SAP_Speadsheet!$E$183:$BL$183))</f>
        <v>-1099.4126241796625</v>
      </c>
      <c r="AA31" s="393" cm="1">
        <f t="array" aca="1" ref="AA31" ca="1">SUMPRODUCT(AA$55:AA$114,TRANSPOSE(SAP_Speadsheet!$E$183:$BL$183))</f>
        <v>-915.69277870600342</v>
      </c>
      <c r="AB31" s="393" cm="1">
        <f t="array" aca="1" ref="AB31" ca="1">SUMPRODUCT(AB$55:AB$114,TRANSPOSE(SAP_Speadsheet!$E$183:$BL$183))</f>
        <v>-566.76847525930702</v>
      </c>
      <c r="AC31" s="393" cm="1">
        <f t="array" aca="1" ref="AC31" ca="1">SUMPRODUCT(AC$55:AC$114,TRANSPOSE(SAP_Speadsheet!$E$183:$BL$183))</f>
        <v>-288.44104936658852</v>
      </c>
      <c r="AD31" s="393" cm="1">
        <f t="array" aca="1" ref="AD31" ca="1">SUMPRODUCT(AD$55:AD$114,TRANSPOSE(SAP_Speadsheet!$E$183:$BL$183))</f>
        <v>0</v>
      </c>
      <c r="AE31" s="393" cm="1">
        <f t="array" aca="1" ref="AE31" ca="1">SUMPRODUCT(AE$55:AE$114,TRANSPOSE(SAP_Speadsheet!$E$183:$BL$183))</f>
        <v>0</v>
      </c>
      <c r="AF31" s="393" cm="1">
        <f t="array" aca="1" ref="AF31" ca="1">SUMPRODUCT(AF$55:AF$114,TRANSPOSE(SAP_Speadsheet!$E$183:$BL$183))</f>
        <v>0</v>
      </c>
      <c r="AG31" s="393" cm="1">
        <f t="array" aca="1" ref="AG31" ca="1">SUMPRODUCT(AG$55:AG$114,TRANSPOSE(SAP_Speadsheet!$E$183:$BL$183))</f>
        <v>0</v>
      </c>
      <c r="AH31" s="393" cm="1">
        <f t="array" aca="1" ref="AH31" ca="1">SUMPRODUCT(AH$55:AH$114,TRANSPOSE(SAP_Speadsheet!$E$183:$BL$183))</f>
        <v>0</v>
      </c>
      <c r="AI31" s="393" cm="1">
        <f t="array" aca="1" ref="AI31" ca="1">SUMPRODUCT(AI$55:AI$114,TRANSPOSE(SAP_Speadsheet!$E$183:$BL$183))</f>
        <v>0</v>
      </c>
      <c r="AJ31" s="393" cm="1">
        <f t="array" aca="1" ref="AJ31" ca="1">SUMPRODUCT(AJ$55:AJ$114,TRANSPOSE(SAP_Speadsheet!$E$183:$BL$183))</f>
        <v>0</v>
      </c>
      <c r="AK31" s="393" cm="1">
        <f t="array" aca="1" ref="AK31" ca="1">SUMPRODUCT(AK$55:AK$114,TRANSPOSE(SAP_Speadsheet!$E$183:$BL$183))</f>
        <v>0</v>
      </c>
      <c r="AL31" s="393" cm="1">
        <f t="array" aca="1" ref="AL31" ca="1">SUMPRODUCT(AL$55:AL$114,TRANSPOSE(SAP_Speadsheet!$E$183:$BL$183))</f>
        <v>0</v>
      </c>
      <c r="AM31" s="393" cm="1">
        <f t="array" aca="1" ref="AM31" ca="1">SUMPRODUCT(AM$55:AM$114,TRANSPOSE(SAP_Speadsheet!$E$183:$BL$183))</f>
        <v>0</v>
      </c>
      <c r="AN31" s="393" cm="1">
        <f t="array" aca="1" ref="AN31" ca="1">SUMPRODUCT(AN$55:AN$114,TRANSPOSE(SAP_Speadsheet!$E$183:$BL$183))</f>
        <v>0</v>
      </c>
      <c r="AO31" s="393" cm="1">
        <f t="array" aca="1" ref="AO31" ca="1">SUMPRODUCT(AO$55:AO$114,TRANSPOSE(SAP_Speadsheet!$E$183:$BL$183))</f>
        <v>0</v>
      </c>
      <c r="AP31" s="393" cm="1">
        <f t="array" aca="1" ref="AP31" ca="1">SUMPRODUCT(AP$55:AP$114,TRANSPOSE(SAP_Speadsheet!$E$183:$BL$183))</f>
        <v>0</v>
      </c>
      <c r="AQ31" s="393" cm="1">
        <f t="array" aca="1" ref="AQ31" ca="1">SUMPRODUCT(AQ$55:AQ$114,TRANSPOSE(SAP_Speadsheet!$E$183:$BL$183))</f>
        <v>0</v>
      </c>
      <c r="AR31" s="393" cm="1">
        <f t="array" aca="1" ref="AR31" ca="1">SUMPRODUCT(AR$55:AR$114,TRANSPOSE(SAP_Speadsheet!$E$183:$BL$183))</f>
        <v>0</v>
      </c>
      <c r="AS31" s="393" cm="1">
        <f t="array" aca="1" ref="AS31" ca="1">SUMPRODUCT(AS$55:AS$114,TRANSPOSE(SAP_Speadsheet!$E$183:$BL$183))</f>
        <v>0</v>
      </c>
      <c r="AT31" s="393" cm="1">
        <f t="array" aca="1" ref="AT31" ca="1">SUMPRODUCT(AT$55:AT$114,TRANSPOSE(SAP_Speadsheet!$E$183:$BL$183))</f>
        <v>0</v>
      </c>
      <c r="AU31" s="393" cm="1">
        <f t="array" aca="1" ref="AU31" ca="1">SUMPRODUCT(AU$55:AU$114,TRANSPOSE(SAP_Speadsheet!$E$183:$BL$183))</f>
        <v>0</v>
      </c>
      <c r="AV31" s="393" cm="1">
        <f t="array" aca="1" ref="AV31" ca="1">SUMPRODUCT(AV$55:AV$114,TRANSPOSE(SAP_Speadsheet!$E$183:$BL$183))</f>
        <v>0</v>
      </c>
      <c r="AW31" s="393" cm="1">
        <f t="array" aca="1" ref="AW31" ca="1">SUMPRODUCT(AW$55:AW$114,TRANSPOSE(SAP_Speadsheet!$E$183:$BL$183))</f>
        <v>0</v>
      </c>
      <c r="AX31" s="393" cm="1">
        <f t="array" aca="1" ref="AX31" ca="1">SUMPRODUCT(AX$55:AX$114,TRANSPOSE(SAP_Speadsheet!$E$183:$BL$183))</f>
        <v>0</v>
      </c>
      <c r="AY31" s="393" cm="1">
        <f t="array" aca="1" ref="AY31" ca="1">SUMPRODUCT(AY$55:AY$114,TRANSPOSE(SAP_Speadsheet!$E$183:$BL$183))</f>
        <v>0</v>
      </c>
      <c r="AZ31" s="393" cm="1">
        <f t="array" aca="1" ref="AZ31" ca="1">SUMPRODUCT(AZ$55:AZ$114,TRANSPOSE(SAP_Speadsheet!$E$183:$BL$183))</f>
        <v>0</v>
      </c>
      <c r="BA31" s="393" cm="1">
        <f t="array" aca="1" ref="BA31" ca="1">SUMPRODUCT(BA$55:BA$114,TRANSPOSE(SAP_Speadsheet!$E$183:$BL$183))</f>
        <v>0</v>
      </c>
      <c r="BB31" s="393" cm="1">
        <f t="array" aca="1" ref="BB31" ca="1">SUMPRODUCT(BB$55:BB$114,TRANSPOSE(SAP_Speadsheet!$E$183:$BL$183))</f>
        <v>0</v>
      </c>
      <c r="BC31" s="393" cm="1">
        <f t="array" aca="1" ref="BC31" ca="1">SUMPRODUCT(BC$55:BC$114,TRANSPOSE(SAP_Speadsheet!$E$183:$BL$183))</f>
        <v>0</v>
      </c>
      <c r="BD31" s="393" cm="1">
        <f t="array" aca="1" ref="BD31" ca="1">SUMPRODUCT(BD$55:BD$114,TRANSPOSE(SAP_Speadsheet!$E$183:$BL$183))</f>
        <v>0</v>
      </c>
      <c r="BE31" s="393" cm="1">
        <f t="array" aca="1" ref="BE31" ca="1">SUMPRODUCT(BE$55:BE$114,TRANSPOSE(SAP_Speadsheet!$E$183:$BL$183))</f>
        <v>0</v>
      </c>
      <c r="BF31" s="393" cm="1">
        <f t="array" aca="1" ref="BF31" ca="1">SUMPRODUCT(BF$55:BF$114,TRANSPOSE(SAP_Speadsheet!$E$183:$BL$183))</f>
        <v>0</v>
      </c>
      <c r="BG31" s="393" cm="1">
        <f t="array" aca="1" ref="BG31" ca="1">SUMPRODUCT(BG$55:BG$114,TRANSPOSE(SAP_Speadsheet!$E$183:$BL$183))</f>
        <v>0</v>
      </c>
      <c r="BH31" s="393" cm="1">
        <f t="array" aca="1" ref="BH31" ca="1">SUMPRODUCT(BH$55:BH$114,TRANSPOSE(SAP_Speadsheet!$E$183:$BL$183))</f>
        <v>0</v>
      </c>
      <c r="BI31" s="393" cm="1">
        <f t="array" aca="1" ref="BI31" ca="1">SUMPRODUCT(BI$55:BI$114,TRANSPOSE(SAP_Speadsheet!$E$183:$BL$183))</f>
        <v>0</v>
      </c>
    </row>
    <row r="32" spans="1:61" x14ac:dyDescent="0.15">
      <c r="A32" s="386" t="s">
        <v>240</v>
      </c>
      <c r="B32" s="393" cm="1">
        <f t="array" aca="1" ref="B32" ca="1">SUMPRODUCT(B$55:B$114,TRANSPOSE(SAP_Speadsheet!$E$189:$BL$189))</f>
        <v>0</v>
      </c>
      <c r="C32" s="393" cm="1">
        <f t="array" aca="1" ref="C32" ca="1">SUMPRODUCT(C$55:C$114,TRANSPOSE(SAP_Speadsheet!$E$189:$BL$189))</f>
        <v>0</v>
      </c>
      <c r="D32" s="393" cm="1">
        <f t="array" aca="1" ref="D32" ca="1">SUMPRODUCT(D$55:D$114,TRANSPOSE(SAP_Speadsheet!$E$189:$BL$189))</f>
        <v>0</v>
      </c>
      <c r="E32" s="393" cm="1">
        <f t="array" aca="1" ref="E32" ca="1">SUMPRODUCT(E$55:E$114,TRANSPOSE(SAP_Speadsheet!$E$189:$BL$189))</f>
        <v>0</v>
      </c>
      <c r="F32" s="393" cm="1">
        <f t="array" aca="1" ref="F32" ca="1">SUMPRODUCT(F$55:F$114,TRANSPOSE(SAP_Speadsheet!$E$189:$BL$189))</f>
        <v>0</v>
      </c>
      <c r="G32" s="393" cm="1">
        <f t="array" aca="1" ref="G32" ca="1">SUMPRODUCT(G$55:G$114,TRANSPOSE(SAP_Speadsheet!$E$189:$BL$189))</f>
        <v>0</v>
      </c>
      <c r="H32" s="393" cm="1">
        <f t="array" aca="1" ref="H32" ca="1">SUMPRODUCT(H$55:H$114,TRANSPOSE(SAP_Speadsheet!$E$189:$BL$189))</f>
        <v>6053.9090499283366</v>
      </c>
      <c r="I32" s="393" cm="1">
        <f t="array" aca="1" ref="I32" ca="1">SUMPRODUCT(I$55:I$114,TRANSPOSE(SAP_Speadsheet!$E$189:$BL$189))</f>
        <v>7034.0682561827289</v>
      </c>
      <c r="J32" s="393" cm="1">
        <f t="array" aca="1" ref="J32" ca="1">SUMPRODUCT(J$55:J$114,TRANSPOSE(SAP_Speadsheet!$E$189:$BL$189))</f>
        <v>10043.322225053653</v>
      </c>
      <c r="K32" s="393" cm="1">
        <f t="array" aca="1" ref="K32" ca="1">SUMPRODUCT(K$55:K$114,TRANSPOSE(SAP_Speadsheet!$E$189:$BL$189))</f>
        <v>8376.2359939824546</v>
      </c>
      <c r="L32" s="393" cm="1">
        <f t="array" aca="1" ref="L32" ca="1">SUMPRODUCT(L$55:L$114,TRANSPOSE(SAP_Speadsheet!$E$189:$BL$189))</f>
        <v>10406.59912832694</v>
      </c>
      <c r="M32" s="393" cm="1">
        <f t="array" aca="1" ref="M32" ca="1">SUMPRODUCT(M$55:M$114,TRANSPOSE(SAP_Speadsheet!$E$189:$BL$189))</f>
        <v>13843.734605791742</v>
      </c>
      <c r="N32" s="393" cm="1">
        <f t="array" aca="1" ref="N32" ca="1">SUMPRODUCT(N$55:N$114,TRANSPOSE(SAP_Speadsheet!$E$189:$BL$189))</f>
        <v>10038.706975557965</v>
      </c>
      <c r="O32" s="393" cm="1">
        <f t="array" aca="1" ref="O32" ca="1">SUMPRODUCT(O$55:O$114,TRANSPOSE(SAP_Speadsheet!$E$189:$BL$189))</f>
        <v>7175.5442658097854</v>
      </c>
      <c r="P32" s="393" cm="1">
        <f t="array" aca="1" ref="P32" ca="1">SUMPRODUCT(P$55:P$114,TRANSPOSE(SAP_Speadsheet!$E$189:$BL$189))</f>
        <v>4825.4859197069127</v>
      </c>
      <c r="Q32" s="393" cm="1">
        <f t="array" aca="1" ref="Q32" ca="1">SUMPRODUCT(Q$55:Q$114,TRANSPOSE(SAP_Speadsheet!$E$189:$BL$189))</f>
        <v>3019.4978898755166</v>
      </c>
      <c r="R32" s="393" cm="1">
        <f t="array" aca="1" ref="R32" ca="1">SUMPRODUCT(R$55:R$114,TRANSPOSE(SAP_Speadsheet!$E$189:$BL$189))</f>
        <v>2240.2044598042753</v>
      </c>
      <c r="S32" s="393" cm="1">
        <f t="array" aca="1" ref="S32" ca="1">SUMPRODUCT(S$55:S$114,TRANSPOSE(SAP_Speadsheet!$E$189:$BL$189))</f>
        <v>1333.8474751717727</v>
      </c>
      <c r="T32" s="393" cm="1">
        <f t="array" aca="1" ref="T32" ca="1">SUMPRODUCT(T$55:T$114,TRANSPOSE(SAP_Speadsheet!$E$189:$BL$189))</f>
        <v>472.92727507968573</v>
      </c>
      <c r="U32" s="393" cm="1">
        <f t="array" aca="1" ref="U32" ca="1">SUMPRODUCT(U$55:U$114,TRANSPOSE(SAP_Speadsheet!$E$189:$BL$189))</f>
        <v>-909.88037037203981</v>
      </c>
      <c r="V32" s="393" cm="1">
        <f t="array" aca="1" ref="V32" ca="1">SUMPRODUCT(V$55:V$114,TRANSPOSE(SAP_Speadsheet!$E$189:$BL$189))</f>
        <v>-1116.1784546725266</v>
      </c>
      <c r="W32" s="393" cm="1">
        <f t="array" aca="1" ref="W32" ca="1">SUMPRODUCT(W$55:W$114,TRANSPOSE(SAP_Speadsheet!$E$189:$BL$189))</f>
        <v>-1481.3425909293301</v>
      </c>
      <c r="X32" s="393" cm="1">
        <f t="array" aca="1" ref="X32" ca="1">SUMPRODUCT(X$55:X$114,TRANSPOSE(SAP_Speadsheet!$E$189:$BL$189))</f>
        <v>-723.80231764544897</v>
      </c>
      <c r="Y32" s="393" cm="1">
        <f t="array" aca="1" ref="Y32" ca="1">SUMPRODUCT(Y$55:Y$114,TRANSPOSE(SAP_Speadsheet!$E$189:$BL$189))</f>
        <v>-1144.2056813928771</v>
      </c>
      <c r="Z32" s="393" cm="1">
        <f t="array" aca="1" ref="Z32" ca="1">SUMPRODUCT(Z$55:Z$114,TRANSPOSE(SAP_Speadsheet!$E$189:$BL$189))</f>
        <v>-1325.1584910939243</v>
      </c>
      <c r="AA32" s="393" cm="1">
        <f t="array" aca="1" ref="AA32" ca="1">SUMPRODUCT(AA$55:AA$114,TRANSPOSE(SAP_Speadsheet!$E$189:$BL$189))</f>
        <v>-1326.1566644652019</v>
      </c>
      <c r="AB32" s="393" cm="1">
        <f t="array" aca="1" ref="AB32" ca="1">SUMPRODUCT(AB$55:AB$114,TRANSPOSE(SAP_Speadsheet!$E$189:$BL$189))</f>
        <v>-810.96906305302218</v>
      </c>
      <c r="AC32" s="393" cm="1">
        <f t="array" aca="1" ref="AC32" ca="1">SUMPRODUCT(AC$55:AC$114,TRANSPOSE(SAP_Speadsheet!$E$189:$BL$189))</f>
        <v>-410.60650055683243</v>
      </c>
      <c r="AD32" s="393" cm="1">
        <f t="array" aca="1" ref="AD32" ca="1">SUMPRODUCT(AD$55:AD$114,TRANSPOSE(SAP_Speadsheet!$E$189:$BL$189))</f>
        <v>0</v>
      </c>
      <c r="AE32" s="393" cm="1">
        <f t="array" aca="1" ref="AE32" ca="1">SUMPRODUCT(AE$55:AE$114,TRANSPOSE(SAP_Speadsheet!$E$189:$BL$189))</f>
        <v>0</v>
      </c>
      <c r="AF32" s="393" cm="1">
        <f t="array" aca="1" ref="AF32" ca="1">SUMPRODUCT(AF$55:AF$114,TRANSPOSE(SAP_Speadsheet!$E$189:$BL$189))</f>
        <v>0</v>
      </c>
      <c r="AG32" s="393" cm="1">
        <f t="array" aca="1" ref="AG32" ca="1">SUMPRODUCT(AG$55:AG$114,TRANSPOSE(SAP_Speadsheet!$E$189:$BL$189))</f>
        <v>0</v>
      </c>
      <c r="AH32" s="393" cm="1">
        <f t="array" aca="1" ref="AH32" ca="1">SUMPRODUCT(AH$55:AH$114,TRANSPOSE(SAP_Speadsheet!$E$189:$BL$189))</f>
        <v>0</v>
      </c>
      <c r="AI32" s="393" cm="1">
        <f t="array" aca="1" ref="AI32" ca="1">SUMPRODUCT(AI$55:AI$114,TRANSPOSE(SAP_Speadsheet!$E$189:$BL$189))</f>
        <v>0</v>
      </c>
      <c r="AJ32" s="393" cm="1">
        <f t="array" aca="1" ref="AJ32" ca="1">SUMPRODUCT(AJ$55:AJ$114,TRANSPOSE(SAP_Speadsheet!$E$189:$BL$189))</f>
        <v>0</v>
      </c>
      <c r="AK32" s="393" cm="1">
        <f t="array" aca="1" ref="AK32" ca="1">SUMPRODUCT(AK$55:AK$114,TRANSPOSE(SAP_Speadsheet!$E$189:$BL$189))</f>
        <v>0</v>
      </c>
      <c r="AL32" s="393" cm="1">
        <f t="array" aca="1" ref="AL32" ca="1">SUMPRODUCT(AL$55:AL$114,TRANSPOSE(SAP_Speadsheet!$E$189:$BL$189))</f>
        <v>0</v>
      </c>
      <c r="AM32" s="393" cm="1">
        <f t="array" aca="1" ref="AM32" ca="1">SUMPRODUCT(AM$55:AM$114,TRANSPOSE(SAP_Speadsheet!$E$189:$BL$189))</f>
        <v>0</v>
      </c>
      <c r="AN32" s="393" cm="1">
        <f t="array" aca="1" ref="AN32" ca="1">SUMPRODUCT(AN$55:AN$114,TRANSPOSE(SAP_Speadsheet!$E$189:$BL$189))</f>
        <v>0</v>
      </c>
      <c r="AO32" s="393" cm="1">
        <f t="array" aca="1" ref="AO32" ca="1">SUMPRODUCT(AO$55:AO$114,TRANSPOSE(SAP_Speadsheet!$E$189:$BL$189))</f>
        <v>0</v>
      </c>
      <c r="AP32" s="393" cm="1">
        <f t="array" aca="1" ref="AP32" ca="1">SUMPRODUCT(AP$55:AP$114,TRANSPOSE(SAP_Speadsheet!$E$189:$BL$189))</f>
        <v>0</v>
      </c>
      <c r="AQ32" s="393" cm="1">
        <f t="array" aca="1" ref="AQ32" ca="1">SUMPRODUCT(AQ$55:AQ$114,TRANSPOSE(SAP_Speadsheet!$E$189:$BL$189))</f>
        <v>0</v>
      </c>
      <c r="AR32" s="393" cm="1">
        <f t="array" aca="1" ref="AR32" ca="1">SUMPRODUCT(AR$55:AR$114,TRANSPOSE(SAP_Speadsheet!$E$189:$BL$189))</f>
        <v>0</v>
      </c>
      <c r="AS32" s="393" cm="1">
        <f t="array" aca="1" ref="AS32" ca="1">SUMPRODUCT(AS$55:AS$114,TRANSPOSE(SAP_Speadsheet!$E$189:$BL$189))</f>
        <v>0</v>
      </c>
      <c r="AT32" s="393" cm="1">
        <f t="array" aca="1" ref="AT32" ca="1">SUMPRODUCT(AT$55:AT$114,TRANSPOSE(SAP_Speadsheet!$E$189:$BL$189))</f>
        <v>0</v>
      </c>
      <c r="AU32" s="393" cm="1">
        <f t="array" aca="1" ref="AU32" ca="1">SUMPRODUCT(AU$55:AU$114,TRANSPOSE(SAP_Speadsheet!$E$189:$BL$189))</f>
        <v>0</v>
      </c>
      <c r="AV32" s="393" cm="1">
        <f t="array" aca="1" ref="AV32" ca="1">SUMPRODUCT(AV$55:AV$114,TRANSPOSE(SAP_Speadsheet!$E$189:$BL$189))</f>
        <v>0</v>
      </c>
      <c r="AW32" s="393" cm="1">
        <f t="array" aca="1" ref="AW32" ca="1">SUMPRODUCT(AW$55:AW$114,TRANSPOSE(SAP_Speadsheet!$E$189:$BL$189))</f>
        <v>0</v>
      </c>
      <c r="AX32" s="393" cm="1">
        <f t="array" aca="1" ref="AX32" ca="1">SUMPRODUCT(AX$55:AX$114,TRANSPOSE(SAP_Speadsheet!$E$189:$BL$189))</f>
        <v>0</v>
      </c>
      <c r="AY32" s="393" cm="1">
        <f t="array" aca="1" ref="AY32" ca="1">SUMPRODUCT(AY$55:AY$114,TRANSPOSE(SAP_Speadsheet!$E$189:$BL$189))</f>
        <v>0</v>
      </c>
      <c r="AZ32" s="393" cm="1">
        <f t="array" aca="1" ref="AZ32" ca="1">SUMPRODUCT(AZ$55:AZ$114,TRANSPOSE(SAP_Speadsheet!$E$189:$BL$189))</f>
        <v>0</v>
      </c>
      <c r="BA32" s="393" cm="1">
        <f t="array" aca="1" ref="BA32" ca="1">SUMPRODUCT(BA$55:BA$114,TRANSPOSE(SAP_Speadsheet!$E$189:$BL$189))</f>
        <v>0</v>
      </c>
      <c r="BB32" s="393" cm="1">
        <f t="array" aca="1" ref="BB32" ca="1">SUMPRODUCT(BB$55:BB$114,TRANSPOSE(SAP_Speadsheet!$E$189:$BL$189))</f>
        <v>0</v>
      </c>
      <c r="BC32" s="393" cm="1">
        <f t="array" aca="1" ref="BC32" ca="1">SUMPRODUCT(BC$55:BC$114,TRANSPOSE(SAP_Speadsheet!$E$189:$BL$189))</f>
        <v>0</v>
      </c>
      <c r="BD32" s="393" cm="1">
        <f t="array" aca="1" ref="BD32" ca="1">SUMPRODUCT(BD$55:BD$114,TRANSPOSE(SAP_Speadsheet!$E$189:$BL$189))</f>
        <v>0</v>
      </c>
      <c r="BE32" s="393" cm="1">
        <f t="array" aca="1" ref="BE32" ca="1">SUMPRODUCT(BE$55:BE$114,TRANSPOSE(SAP_Speadsheet!$E$189:$BL$189))</f>
        <v>0</v>
      </c>
      <c r="BF32" s="393" cm="1">
        <f t="array" aca="1" ref="BF32" ca="1">SUMPRODUCT(BF$55:BF$114,TRANSPOSE(SAP_Speadsheet!$E$189:$BL$189))</f>
        <v>0</v>
      </c>
      <c r="BG32" s="393" cm="1">
        <f t="array" aca="1" ref="BG32" ca="1">SUMPRODUCT(BG$55:BG$114,TRANSPOSE(SAP_Speadsheet!$E$189:$BL$189))</f>
        <v>0</v>
      </c>
      <c r="BH32" s="393" cm="1">
        <f t="array" aca="1" ref="BH32" ca="1">SUMPRODUCT(BH$55:BH$114,TRANSPOSE(SAP_Speadsheet!$E$189:$BL$189))</f>
        <v>0</v>
      </c>
      <c r="BI32" s="393" cm="1">
        <f t="array" aca="1" ref="BI32" ca="1">SUMPRODUCT(BI$55:BI$114,TRANSPOSE(SAP_Speadsheet!$E$189:$BL$189))</f>
        <v>0</v>
      </c>
    </row>
    <row r="33" spans="1:61" s="400" customFormat="1" x14ac:dyDescent="0.15">
      <c r="A33" s="400" t="s">
        <v>464</v>
      </c>
      <c r="B33" s="401">
        <f t="shared" ref="B33:BI33" ca="1" si="5">B9+B19+B31-B32</f>
        <v>0</v>
      </c>
      <c r="C33" s="401">
        <f t="shared" ca="1" si="5"/>
        <v>0</v>
      </c>
      <c r="D33" s="401">
        <f t="shared" ca="1" si="5"/>
        <v>0</v>
      </c>
      <c r="E33" s="401">
        <f t="shared" ca="1" si="5"/>
        <v>0</v>
      </c>
      <c r="F33" s="401">
        <f t="shared" ca="1" si="5"/>
        <v>0</v>
      </c>
      <c r="G33" s="401">
        <f t="shared" ca="1" si="5"/>
        <v>0</v>
      </c>
      <c r="H33" s="401">
        <f t="shared" ca="1" si="5"/>
        <v>-1.0004441719502211E-11</v>
      </c>
      <c r="I33" s="401">
        <f t="shared" ca="1" si="5"/>
        <v>-1.6370904631912708E-11</v>
      </c>
      <c r="J33" s="401">
        <f t="shared" ca="1" si="5"/>
        <v>2.5465851649641991E-11</v>
      </c>
      <c r="K33" s="401">
        <f t="shared" ca="1" si="5"/>
        <v>0</v>
      </c>
      <c r="L33" s="401">
        <f t="shared" ca="1" si="5"/>
        <v>0</v>
      </c>
      <c r="M33" s="401">
        <f t="shared" ca="1" si="5"/>
        <v>0</v>
      </c>
      <c r="N33" s="401">
        <f t="shared" ca="1" si="5"/>
        <v>0</v>
      </c>
      <c r="O33" s="401">
        <f t="shared" ca="1" si="5"/>
        <v>0</v>
      </c>
      <c r="P33" s="401">
        <f t="shared" ca="1" si="5"/>
        <v>0</v>
      </c>
      <c r="Q33" s="401">
        <f t="shared" ca="1" si="5"/>
        <v>0</v>
      </c>
      <c r="R33" s="401">
        <f t="shared" ca="1" si="5"/>
        <v>0</v>
      </c>
      <c r="S33" s="401">
        <f t="shared" ca="1" si="5"/>
        <v>2.2737367544323206E-12</v>
      </c>
      <c r="T33" s="401">
        <f t="shared" ca="1" si="5"/>
        <v>-3.0695446184836328E-12</v>
      </c>
      <c r="U33" s="401">
        <f t="shared" ca="1" si="5"/>
        <v>0</v>
      </c>
      <c r="V33" s="401">
        <f t="shared" ca="1" si="5"/>
        <v>0</v>
      </c>
      <c r="W33" s="401">
        <f t="shared" ca="1" si="5"/>
        <v>0</v>
      </c>
      <c r="X33" s="401">
        <f t="shared" ca="1" si="5"/>
        <v>0</v>
      </c>
      <c r="Y33" s="401">
        <f t="shared" ca="1" si="5"/>
        <v>0</v>
      </c>
      <c r="Z33" s="401">
        <f t="shared" ca="1" si="5"/>
        <v>0</v>
      </c>
      <c r="AA33" s="401">
        <f t="shared" ca="1" si="5"/>
        <v>0</v>
      </c>
      <c r="AB33" s="401">
        <f t="shared" ca="1" si="5"/>
        <v>0</v>
      </c>
      <c r="AC33" s="401">
        <f t="shared" ca="1" si="5"/>
        <v>0</v>
      </c>
      <c r="AD33" s="401">
        <f t="shared" ca="1" si="5"/>
        <v>0</v>
      </c>
      <c r="AE33" s="401">
        <f t="shared" ca="1" si="5"/>
        <v>0</v>
      </c>
      <c r="AF33" s="401">
        <f t="shared" ca="1" si="5"/>
        <v>0</v>
      </c>
      <c r="AG33" s="401">
        <f t="shared" ca="1" si="5"/>
        <v>0</v>
      </c>
      <c r="AH33" s="401">
        <f t="shared" ca="1" si="5"/>
        <v>0</v>
      </c>
      <c r="AI33" s="401">
        <f t="shared" ca="1" si="5"/>
        <v>0</v>
      </c>
      <c r="AJ33" s="401">
        <f t="shared" ca="1" si="5"/>
        <v>0</v>
      </c>
      <c r="AK33" s="401">
        <f t="shared" ca="1" si="5"/>
        <v>0</v>
      </c>
      <c r="AL33" s="401">
        <f t="shared" ca="1" si="5"/>
        <v>0</v>
      </c>
      <c r="AM33" s="401">
        <f t="shared" ca="1" si="5"/>
        <v>0</v>
      </c>
      <c r="AN33" s="401">
        <f t="shared" ca="1" si="5"/>
        <v>0</v>
      </c>
      <c r="AO33" s="401">
        <f t="shared" ca="1" si="5"/>
        <v>0</v>
      </c>
      <c r="AP33" s="401">
        <f t="shared" ca="1" si="5"/>
        <v>0</v>
      </c>
      <c r="AQ33" s="401">
        <f t="shared" ca="1" si="5"/>
        <v>0</v>
      </c>
      <c r="AR33" s="401">
        <f t="shared" ca="1" si="5"/>
        <v>0</v>
      </c>
      <c r="AS33" s="401">
        <f t="shared" ca="1" si="5"/>
        <v>0</v>
      </c>
      <c r="AT33" s="401">
        <f t="shared" ca="1" si="5"/>
        <v>0</v>
      </c>
      <c r="AU33" s="401">
        <f t="shared" ca="1" si="5"/>
        <v>0</v>
      </c>
      <c r="AV33" s="401">
        <f t="shared" ca="1" si="5"/>
        <v>0</v>
      </c>
      <c r="AW33" s="401">
        <f t="shared" ca="1" si="5"/>
        <v>0</v>
      </c>
      <c r="AX33" s="401">
        <f t="shared" ca="1" si="5"/>
        <v>0</v>
      </c>
      <c r="AY33" s="401">
        <f t="shared" ca="1" si="5"/>
        <v>0</v>
      </c>
      <c r="AZ33" s="401">
        <f t="shared" ca="1" si="5"/>
        <v>0</v>
      </c>
      <c r="BA33" s="401">
        <f t="shared" ca="1" si="5"/>
        <v>0</v>
      </c>
      <c r="BB33" s="401">
        <f t="shared" ca="1" si="5"/>
        <v>0</v>
      </c>
      <c r="BC33" s="401">
        <f t="shared" ca="1" si="5"/>
        <v>0</v>
      </c>
      <c r="BD33" s="401">
        <f t="shared" ca="1" si="5"/>
        <v>0</v>
      </c>
      <c r="BE33" s="401">
        <f t="shared" ca="1" si="5"/>
        <v>0</v>
      </c>
      <c r="BF33" s="401">
        <f t="shared" ca="1" si="5"/>
        <v>0</v>
      </c>
      <c r="BG33" s="401">
        <f t="shared" ca="1" si="5"/>
        <v>0</v>
      </c>
      <c r="BH33" s="401">
        <f t="shared" ca="1" si="5"/>
        <v>0</v>
      </c>
      <c r="BI33" s="401">
        <f t="shared" ca="1" si="5"/>
        <v>0</v>
      </c>
    </row>
    <row r="35" spans="1:61" x14ac:dyDescent="0.15">
      <c r="A35" s="386" t="s">
        <v>496</v>
      </c>
      <c r="D35" s="402"/>
      <c r="K35" s="403"/>
    </row>
    <row r="36" spans="1:61" x14ac:dyDescent="0.15">
      <c r="A36" s="387" t="s">
        <v>398</v>
      </c>
      <c r="B36" s="398" cm="1">
        <f t="array" aca="1" ref="B36" ca="1">SUMPRODUCT(B$55:B$114,TRANSPOSE(SAP_Speadsheet!$E$27:$BL$27))</f>
        <v>0</v>
      </c>
      <c r="C36" s="398" cm="1">
        <f t="array" aca="1" ref="C36" ca="1">SUMPRODUCT(C$55:C$114,TRANSPOSE(SAP_Speadsheet!$E$27:$BL$27))</f>
        <v>0</v>
      </c>
      <c r="D36" s="398" cm="1">
        <f t="array" aca="1" ref="D36" ca="1">SUMPRODUCT(D$55:D$114,TRANSPOSE(SAP_Speadsheet!$E$27:$BL$27))</f>
        <v>0</v>
      </c>
      <c r="E36" s="398" cm="1">
        <f t="array" aca="1" ref="E36" ca="1">SUMPRODUCT(E$55:E$114,TRANSPOSE(SAP_Speadsheet!$E$27:$BL$27))</f>
        <v>0</v>
      </c>
      <c r="F36" s="398" cm="1">
        <f t="array" aca="1" ref="F36" ca="1">SUMPRODUCT(F$55:F$114,TRANSPOSE(SAP_Speadsheet!$E$27:$BL$27))</f>
        <v>0</v>
      </c>
      <c r="G36" s="398" cm="1">
        <f t="array" aca="1" ref="G36" ca="1">SUMPRODUCT(G$55:G$114,TRANSPOSE(SAP_Speadsheet!$E$27:$BL$27))</f>
        <v>0</v>
      </c>
      <c r="H36" s="398" cm="1">
        <f t="array" aca="1" ref="H36" ca="1">SUMPRODUCT(H$55:H$114,TRANSPOSE(SAP_Speadsheet!$E$27:$BL$27))</f>
        <v>714239.77242520347</v>
      </c>
      <c r="I36" s="398" cm="1">
        <f t="array" aca="1" ref="I36" ca="1">SUMPRODUCT(I$55:I$114,TRANSPOSE(SAP_Speadsheet!$E$27:$BL$27))</f>
        <v>1276517.6649714853</v>
      </c>
      <c r="J36" s="398" cm="1">
        <f t="array" aca="1" ref="J36" ca="1">SUMPRODUCT(J$55:J$114,TRANSPOSE(SAP_Speadsheet!$E$27:$BL$27))</f>
        <v>2000134.680112771</v>
      </c>
      <c r="K36" s="398" cm="1">
        <f t="array" aca="1" ref="K36" ca="1">SUMPRODUCT(K$55:K$114,TRANSPOSE(SAP_Speadsheet!$E$27:$BL$27))</f>
        <v>1723219.1717058257</v>
      </c>
      <c r="L36" s="398" cm="1">
        <f t="array" aca="1" ref="L36" ca="1">SUMPRODUCT(L$55:L$114,TRANSPOSE(SAP_Speadsheet!$E$27:$BL$27))</f>
        <v>1485585.3081859853</v>
      </c>
      <c r="M36" s="398" cm="1">
        <f t="array" aca="1" ref="M36" ca="1">SUMPRODUCT(M$55:M$114,TRANSPOSE(SAP_Speadsheet!$E$27:$BL$27))</f>
        <v>1286052.8323290662</v>
      </c>
      <c r="N36" s="398" cm="1">
        <f t="array" aca="1" ref="N36" ca="1">SUMPRODUCT(N$55:N$114,TRANSPOSE(SAP_Speadsheet!$E$27:$BL$27))</f>
        <v>1100358.680601221</v>
      </c>
      <c r="O36" s="398" cm="1">
        <f t="array" aca="1" ref="O36" ca="1">SUMPRODUCT(O$55:O$114,TRANSPOSE(SAP_Speadsheet!$E$27:$BL$27))</f>
        <v>927555.05336598249</v>
      </c>
      <c r="P36" s="398" cm="1">
        <f t="array" aca="1" ref="P36" ca="1">SUMPRODUCT(P$55:P$114,TRANSPOSE(SAP_Speadsheet!$E$27:$BL$27))</f>
        <v>767318.92615265248</v>
      </c>
      <c r="Q36" s="398" cm="1">
        <f t="array" aca="1" ref="Q36" ca="1">SUMPRODUCT(Q$55:Q$114,TRANSPOSE(SAP_Speadsheet!$E$27:$BL$27))</f>
        <v>618003.16538692871</v>
      </c>
      <c r="R36" s="398" cm="1">
        <f t="array" aca="1" ref="R36" ca="1">SUMPRODUCT(R$55:R$114,TRANSPOSE(SAP_Speadsheet!$E$27:$BL$27))</f>
        <v>478594.15750731312</v>
      </c>
      <c r="S36" s="398" cm="1">
        <f t="array" aca="1" ref="S36" ca="1">SUMPRODUCT(S$55:S$114,TRANSPOSE(SAP_Speadsheet!$E$27:$BL$27))</f>
        <v>348903.68102818599</v>
      </c>
      <c r="T36" s="398" cm="1">
        <f t="array" aca="1" ref="T36" ca="1">SUMPRODUCT(T$55:T$114,TRANSPOSE(SAP_Speadsheet!$E$27:$BL$27))</f>
        <v>228557.76449668125</v>
      </c>
      <c r="U36" s="398" cm="1">
        <f t="array" aca="1" ref="U36" ca="1">SUMPRODUCT(U$55:U$114,TRANSPOSE(SAP_Speadsheet!$E$27:$BL$27))</f>
        <v>116176.65778799143</v>
      </c>
      <c r="V36" s="398" cm="1">
        <f t="array" aca="1" ref="V36" ca="1">SUMPRODUCT(V$55:V$114,TRANSPOSE(SAP_Speadsheet!$E$27:$BL$27))</f>
        <v>41764.287186305832</v>
      </c>
      <c r="W36" s="398" cm="1">
        <f t="array" aca="1" ref="W36" ca="1">SUMPRODUCT(W$55:W$114,TRANSPOSE(SAP_Speadsheet!$E$27:$BL$27))</f>
        <v>0</v>
      </c>
      <c r="X36" s="398" cm="1">
        <f t="array" aca="1" ref="X36" ca="1">SUMPRODUCT(X$55:X$114,TRANSPOSE(SAP_Speadsheet!$E$27:$BL$27))</f>
        <v>0</v>
      </c>
      <c r="Y36" s="398" cm="1">
        <f t="array" aca="1" ref="Y36" ca="1">SUMPRODUCT(Y$55:Y$114,TRANSPOSE(SAP_Speadsheet!$E$27:$BL$27))</f>
        <v>0</v>
      </c>
      <c r="Z36" s="398" cm="1">
        <f t="array" aca="1" ref="Z36" ca="1">SUMPRODUCT(Z$55:Z$114,TRANSPOSE(SAP_Speadsheet!$E$27:$BL$27))</f>
        <v>0</v>
      </c>
      <c r="AA36" s="398" cm="1">
        <f t="array" aca="1" ref="AA36" ca="1">SUMPRODUCT(AA$55:AA$114,TRANSPOSE(SAP_Speadsheet!$E$27:$BL$27))</f>
        <v>0</v>
      </c>
      <c r="AB36" s="398" cm="1">
        <f t="array" aca="1" ref="AB36" ca="1">SUMPRODUCT(AB$55:AB$114,TRANSPOSE(SAP_Speadsheet!$E$27:$BL$27))</f>
        <v>0</v>
      </c>
      <c r="AC36" s="398" cm="1">
        <f t="array" aca="1" ref="AC36" ca="1">SUMPRODUCT(AC$55:AC$114,TRANSPOSE(SAP_Speadsheet!$E$27:$BL$27))</f>
        <v>0</v>
      </c>
      <c r="AD36" s="398" cm="1">
        <f t="array" aca="1" ref="AD36" ca="1">SUMPRODUCT(AD$55:AD$114,TRANSPOSE(SAP_Speadsheet!$E$27:$BL$27))</f>
        <v>0</v>
      </c>
      <c r="AE36" s="398" cm="1">
        <f t="array" aca="1" ref="AE36" ca="1">SUMPRODUCT(AE$55:AE$114,TRANSPOSE(SAP_Speadsheet!$E$27:$BL$27))</f>
        <v>0</v>
      </c>
      <c r="AF36" s="398" cm="1">
        <f t="array" aca="1" ref="AF36" ca="1">SUMPRODUCT(AF$55:AF$114,TRANSPOSE(SAP_Speadsheet!$E$27:$BL$27))</f>
        <v>0</v>
      </c>
      <c r="AG36" s="398" cm="1">
        <f t="array" aca="1" ref="AG36" ca="1">SUMPRODUCT(AG$55:AG$114,TRANSPOSE(SAP_Speadsheet!$E$27:$BL$27))</f>
        <v>0</v>
      </c>
      <c r="AH36" s="398" cm="1">
        <f t="array" aca="1" ref="AH36" ca="1">SUMPRODUCT(AH$55:AH$114,TRANSPOSE(SAP_Speadsheet!$E$27:$BL$27))</f>
        <v>0</v>
      </c>
      <c r="AI36" s="398" cm="1">
        <f t="array" aca="1" ref="AI36" ca="1">SUMPRODUCT(AI$55:AI$114,TRANSPOSE(SAP_Speadsheet!$E$27:$BL$27))</f>
        <v>0</v>
      </c>
      <c r="AJ36" s="398" cm="1">
        <f t="array" aca="1" ref="AJ36" ca="1">SUMPRODUCT(AJ$55:AJ$114,TRANSPOSE(SAP_Speadsheet!$E$27:$BL$27))</f>
        <v>0</v>
      </c>
      <c r="AK36" s="398" cm="1">
        <f t="array" aca="1" ref="AK36" ca="1">SUMPRODUCT(AK$55:AK$114,TRANSPOSE(SAP_Speadsheet!$E$27:$BL$27))</f>
        <v>0</v>
      </c>
      <c r="AL36" s="398" cm="1">
        <f t="array" aca="1" ref="AL36" ca="1">SUMPRODUCT(AL$55:AL$114,TRANSPOSE(SAP_Speadsheet!$E$27:$BL$27))</f>
        <v>0</v>
      </c>
      <c r="AM36" s="398" cm="1">
        <f t="array" aca="1" ref="AM36" ca="1">SUMPRODUCT(AM$55:AM$114,TRANSPOSE(SAP_Speadsheet!$E$27:$BL$27))</f>
        <v>0</v>
      </c>
      <c r="AN36" s="398" cm="1">
        <f t="array" aca="1" ref="AN36" ca="1">SUMPRODUCT(AN$55:AN$114,TRANSPOSE(SAP_Speadsheet!$E$27:$BL$27))</f>
        <v>0</v>
      </c>
      <c r="AO36" s="398" cm="1">
        <f t="array" aca="1" ref="AO36" ca="1">SUMPRODUCT(AO$55:AO$114,TRANSPOSE(SAP_Speadsheet!$E$27:$BL$27))</f>
        <v>0</v>
      </c>
      <c r="AP36" s="398" cm="1">
        <f t="array" aca="1" ref="AP36" ca="1">SUMPRODUCT(AP$55:AP$114,TRANSPOSE(SAP_Speadsheet!$E$27:$BL$27))</f>
        <v>0</v>
      </c>
      <c r="AQ36" s="398" cm="1">
        <f t="array" aca="1" ref="AQ36" ca="1">SUMPRODUCT(AQ$55:AQ$114,TRANSPOSE(SAP_Speadsheet!$E$27:$BL$27))</f>
        <v>0</v>
      </c>
      <c r="AR36" s="398" cm="1">
        <f t="array" aca="1" ref="AR36" ca="1">SUMPRODUCT(AR$55:AR$114,TRANSPOSE(SAP_Speadsheet!$E$27:$BL$27))</f>
        <v>0</v>
      </c>
      <c r="AS36" s="398" cm="1">
        <f t="array" aca="1" ref="AS36" ca="1">SUMPRODUCT(AS$55:AS$114,TRANSPOSE(SAP_Speadsheet!$E$27:$BL$27))</f>
        <v>0</v>
      </c>
      <c r="AT36" s="398" cm="1">
        <f t="array" aca="1" ref="AT36" ca="1">SUMPRODUCT(AT$55:AT$114,TRANSPOSE(SAP_Speadsheet!$E$27:$BL$27))</f>
        <v>0</v>
      </c>
      <c r="AU36" s="398" cm="1">
        <f t="array" aca="1" ref="AU36" ca="1">SUMPRODUCT(AU$55:AU$114,TRANSPOSE(SAP_Speadsheet!$E$27:$BL$27))</f>
        <v>0</v>
      </c>
      <c r="AV36" s="398" cm="1">
        <f t="array" aca="1" ref="AV36" ca="1">SUMPRODUCT(AV$55:AV$114,TRANSPOSE(SAP_Speadsheet!$E$27:$BL$27))</f>
        <v>0</v>
      </c>
      <c r="AW36" s="398" cm="1">
        <f t="array" aca="1" ref="AW36" ca="1">SUMPRODUCT(AW$55:AW$114,TRANSPOSE(SAP_Speadsheet!$E$27:$BL$27))</f>
        <v>0</v>
      </c>
      <c r="AX36" s="398" cm="1">
        <f t="array" aca="1" ref="AX36" ca="1">SUMPRODUCT(AX$55:AX$114,TRANSPOSE(SAP_Speadsheet!$E$27:$BL$27))</f>
        <v>0</v>
      </c>
      <c r="AY36" s="398" cm="1">
        <f t="array" aca="1" ref="AY36" ca="1">SUMPRODUCT(AY$55:AY$114,TRANSPOSE(SAP_Speadsheet!$E$27:$BL$27))</f>
        <v>0</v>
      </c>
      <c r="AZ36" s="398" cm="1">
        <f t="array" aca="1" ref="AZ36" ca="1">SUMPRODUCT(AZ$55:AZ$114,TRANSPOSE(SAP_Speadsheet!$E$27:$BL$27))</f>
        <v>0</v>
      </c>
      <c r="BA36" s="398" cm="1">
        <f t="array" aca="1" ref="BA36" ca="1">SUMPRODUCT(BA$55:BA$114,TRANSPOSE(SAP_Speadsheet!$E$27:$BL$27))</f>
        <v>0</v>
      </c>
      <c r="BB36" s="398" cm="1">
        <f t="array" aca="1" ref="BB36" ca="1">SUMPRODUCT(BB$55:BB$114,TRANSPOSE(SAP_Speadsheet!$E$27:$BL$27))</f>
        <v>0</v>
      </c>
      <c r="BC36" s="398" cm="1">
        <f t="array" aca="1" ref="BC36" ca="1">SUMPRODUCT(BC$55:BC$114,TRANSPOSE(SAP_Speadsheet!$E$27:$BL$27))</f>
        <v>0</v>
      </c>
      <c r="BD36" s="398" cm="1">
        <f t="array" aca="1" ref="BD36" ca="1">SUMPRODUCT(BD$55:BD$114,TRANSPOSE(SAP_Speadsheet!$E$27:$BL$27))</f>
        <v>0</v>
      </c>
      <c r="BE36" s="398" cm="1">
        <f t="array" aca="1" ref="BE36" ca="1">SUMPRODUCT(BE$55:BE$114,TRANSPOSE(SAP_Speadsheet!$E$27:$BL$27))</f>
        <v>0</v>
      </c>
      <c r="BF36" s="398" cm="1">
        <f t="array" aca="1" ref="BF36" ca="1">SUMPRODUCT(BF$55:BF$114,TRANSPOSE(SAP_Speadsheet!$E$27:$BL$27))</f>
        <v>0</v>
      </c>
      <c r="BG36" s="398" cm="1">
        <f t="array" aca="1" ref="BG36" ca="1">SUMPRODUCT(BG$55:BG$114,TRANSPOSE(SAP_Speadsheet!$E$27:$BL$27))</f>
        <v>0</v>
      </c>
      <c r="BH36" s="398" cm="1">
        <f t="array" aca="1" ref="BH36" ca="1">SUMPRODUCT(BH$55:BH$114,TRANSPOSE(SAP_Speadsheet!$E$27:$BL$27))</f>
        <v>0</v>
      </c>
      <c r="BI36" s="398" cm="1">
        <f t="array" aca="1" ref="BI36" ca="1">SUMPRODUCT(BI$55:BI$114,TRANSPOSE(SAP_Speadsheet!$E$27:$BL$27))</f>
        <v>0</v>
      </c>
    </row>
    <row r="37" spans="1:61" x14ac:dyDescent="0.15">
      <c r="A37" s="387" t="s">
        <v>400</v>
      </c>
      <c r="B37" s="398" cm="1">
        <f t="array" aca="1" ref="B37" ca="1">SUMPRODUCT(B$55:B$114,TRANSPOSE(SAP_Speadsheet!$E$28:$BL$28))</f>
        <v>0</v>
      </c>
      <c r="C37" s="398" cm="1">
        <f t="array" aca="1" ref="C37" ca="1">SUMPRODUCT(C$55:C$114,TRANSPOSE(SAP_Speadsheet!$E$28:$BL$28))</f>
        <v>0</v>
      </c>
      <c r="D37" s="398" cm="1">
        <f t="array" aca="1" ref="D37" ca="1">SUMPRODUCT(D$55:D$114,TRANSPOSE(SAP_Speadsheet!$E$28:$BL$28))</f>
        <v>0</v>
      </c>
      <c r="E37" s="398" cm="1">
        <f t="array" aca="1" ref="E37" ca="1">SUMPRODUCT(E$55:E$114,TRANSPOSE(SAP_Speadsheet!$E$28:$BL$28))</f>
        <v>0</v>
      </c>
      <c r="F37" s="398" cm="1">
        <f t="array" aca="1" ref="F37" ca="1">SUMPRODUCT(F$55:F$114,TRANSPOSE(SAP_Speadsheet!$E$28:$BL$28))</f>
        <v>0</v>
      </c>
      <c r="G37" s="398" cm="1">
        <f t="array" aca="1" ref="G37" ca="1">SUMPRODUCT(G$55:G$114,TRANSPOSE(SAP_Speadsheet!$E$28:$BL$28))</f>
        <v>0</v>
      </c>
      <c r="H37" s="398" cm="1">
        <f t="array" aca="1" ref="H37" ca="1">SUMPRODUCT(H$55:H$114,TRANSPOSE(SAP_Speadsheet!$E$28:$BL$28))</f>
        <v>46603.747094187624</v>
      </c>
      <c r="I37" s="398" cm="1">
        <f t="array" aca="1" ref="I37" ca="1">SUMPRODUCT(I$55:I$114,TRANSPOSE(SAP_Speadsheet!$E$28:$BL$28))</f>
        <v>79646.087973119749</v>
      </c>
      <c r="J37" s="398" cm="1">
        <f t="array" aca="1" ref="J37" ca="1">SUMPRODUCT(J$55:J$114,TRANSPOSE(SAP_Speadsheet!$E$28:$BL$28))</f>
        <v>124253.18374275845</v>
      </c>
      <c r="K37" s="398" cm="1">
        <f t="array" aca="1" ref="K37" ca="1">SUMPRODUCT(K$55:K$114,TRANSPOSE(SAP_Speadsheet!$E$28:$BL$28))</f>
        <v>102006.86868575131</v>
      </c>
      <c r="L37" s="398" cm="1">
        <f t="array" aca="1" ref="L37" ca="1">SUMPRODUCT(L$55:L$114,TRANSPOSE(SAP_Speadsheet!$E$28:$BL$28))</f>
        <v>87884.177756997102</v>
      </c>
      <c r="M37" s="398" cm="1">
        <f t="array" aca="1" ref="M37" ca="1">SUMPRODUCT(M$55:M$114,TRANSPOSE(SAP_Speadsheet!$E$28:$BL$28))</f>
        <v>75764.850717485242</v>
      </c>
      <c r="N37" s="398" cm="1">
        <f t="array" aca="1" ref="N37" ca="1">SUMPRODUCT(N$55:N$114,TRANSPOSE(SAP_Speadsheet!$E$28:$BL$28))</f>
        <v>65588.694448782378</v>
      </c>
      <c r="O37" s="398" cm="1">
        <f t="array" aca="1" ref="O37" ca="1">SUMPRODUCT(O$55:O$114,TRANSPOSE(SAP_Speadsheet!$E$28:$BL$28))</f>
        <v>56118.292710662274</v>
      </c>
      <c r="P37" s="398" cm="1">
        <f t="array" aca="1" ref="P37" ca="1">SUMPRODUCT(P$55:P$114,TRANSPOSE(SAP_Speadsheet!$E$28:$BL$28))</f>
        <v>47305.3077216651</v>
      </c>
      <c r="Q37" s="398" cm="1">
        <f t="array" aca="1" ref="Q37" ca="1">SUMPRODUCT(Q$55:Q$114,TRANSPOSE(SAP_Speadsheet!$E$28:$BL$28))</f>
        <v>39133.265233785278</v>
      </c>
      <c r="R37" s="398" cm="1">
        <f t="array" aca="1" ref="R37" ca="1">SUMPRODUCT(R$55:R$114,TRANSPOSE(SAP_Speadsheet!$E$28:$BL$28))</f>
        <v>31518.161434733367</v>
      </c>
      <c r="S37" s="398" cm="1">
        <f t="array" aca="1" ref="S37" ca="1">SUMPRODUCT(S$55:S$114,TRANSPOSE(SAP_Speadsheet!$E$28:$BL$28))</f>
        <v>24408.302032872965</v>
      </c>
      <c r="T37" s="398" cm="1">
        <f t="array" aca="1" ref="T37" ca="1">SUMPRODUCT(T$55:T$114,TRANSPOSE(SAP_Speadsheet!$E$28:$BL$28))</f>
        <v>17794.087732437481</v>
      </c>
      <c r="U37" s="398" cm="1">
        <f t="array" aca="1" ref="U37" ca="1">SUMPRODUCT(U$55:U$114,TRANSPOSE(SAP_Speadsheet!$E$28:$BL$28))</f>
        <v>11656.445989330743</v>
      </c>
      <c r="V37" s="398" cm="1">
        <f t="array" aca="1" ref="V37" ca="1">SUMPRODUCT(V$55:V$114,TRANSPOSE(SAP_Speadsheet!$E$28:$BL$28))</f>
        <v>5925.009547187562</v>
      </c>
      <c r="W37" s="398" cm="1">
        <f t="array" aca="1" ref="W37" ca="1">SUMPRODUCT(W$55:W$114,TRANSPOSE(SAP_Speadsheet!$E$28:$BL$28))</f>
        <v>2129.9786465015973</v>
      </c>
      <c r="X37" s="398" cm="1">
        <f t="array" aca="1" ref="X37" ca="1">SUMPRODUCT(X$55:X$114,TRANSPOSE(SAP_Speadsheet!$E$28:$BL$28))</f>
        <v>0</v>
      </c>
      <c r="Y37" s="398" cm="1">
        <f t="array" aca="1" ref="Y37" ca="1">SUMPRODUCT(Y$55:Y$114,TRANSPOSE(SAP_Speadsheet!$E$28:$BL$28))</f>
        <v>0</v>
      </c>
      <c r="Z37" s="398" cm="1">
        <f t="array" aca="1" ref="Z37" ca="1">SUMPRODUCT(Z$55:Z$114,TRANSPOSE(SAP_Speadsheet!$E$28:$BL$28))</f>
        <v>0</v>
      </c>
      <c r="AA37" s="398" cm="1">
        <f t="array" aca="1" ref="AA37" ca="1">SUMPRODUCT(AA$55:AA$114,TRANSPOSE(SAP_Speadsheet!$E$28:$BL$28))</f>
        <v>0</v>
      </c>
      <c r="AB37" s="398" cm="1">
        <f t="array" aca="1" ref="AB37" ca="1">SUMPRODUCT(AB$55:AB$114,TRANSPOSE(SAP_Speadsheet!$E$28:$BL$28))</f>
        <v>0</v>
      </c>
      <c r="AC37" s="398" cm="1">
        <f t="array" aca="1" ref="AC37" ca="1">SUMPRODUCT(AC$55:AC$114,TRANSPOSE(SAP_Speadsheet!$E$28:$BL$28))</f>
        <v>0</v>
      </c>
      <c r="AD37" s="398" cm="1">
        <f t="array" aca="1" ref="AD37" ca="1">SUMPRODUCT(AD$55:AD$114,TRANSPOSE(SAP_Speadsheet!$E$28:$BL$28))</f>
        <v>0</v>
      </c>
      <c r="AE37" s="398" cm="1">
        <f t="array" aca="1" ref="AE37" ca="1">SUMPRODUCT(AE$55:AE$114,TRANSPOSE(SAP_Speadsheet!$E$28:$BL$28))</f>
        <v>0</v>
      </c>
      <c r="AF37" s="398" cm="1">
        <f t="array" aca="1" ref="AF37" ca="1">SUMPRODUCT(AF$55:AF$114,TRANSPOSE(SAP_Speadsheet!$E$28:$BL$28))</f>
        <v>0</v>
      </c>
      <c r="AG37" s="398" cm="1">
        <f t="array" aca="1" ref="AG37" ca="1">SUMPRODUCT(AG$55:AG$114,TRANSPOSE(SAP_Speadsheet!$E$28:$BL$28))</f>
        <v>0</v>
      </c>
      <c r="AH37" s="398" cm="1">
        <f t="array" aca="1" ref="AH37" ca="1">SUMPRODUCT(AH$55:AH$114,TRANSPOSE(SAP_Speadsheet!$E$28:$BL$28))</f>
        <v>0</v>
      </c>
      <c r="AI37" s="398" cm="1">
        <f t="array" aca="1" ref="AI37" ca="1">SUMPRODUCT(AI$55:AI$114,TRANSPOSE(SAP_Speadsheet!$E$28:$BL$28))</f>
        <v>0</v>
      </c>
      <c r="AJ37" s="398" cm="1">
        <f t="array" aca="1" ref="AJ37" ca="1">SUMPRODUCT(AJ$55:AJ$114,TRANSPOSE(SAP_Speadsheet!$E$28:$BL$28))</f>
        <v>0</v>
      </c>
      <c r="AK37" s="398" cm="1">
        <f t="array" aca="1" ref="AK37" ca="1">SUMPRODUCT(AK$55:AK$114,TRANSPOSE(SAP_Speadsheet!$E$28:$BL$28))</f>
        <v>0</v>
      </c>
      <c r="AL37" s="398" cm="1">
        <f t="array" aca="1" ref="AL37" ca="1">SUMPRODUCT(AL$55:AL$114,TRANSPOSE(SAP_Speadsheet!$E$28:$BL$28))</f>
        <v>0</v>
      </c>
      <c r="AM37" s="398" cm="1">
        <f t="array" aca="1" ref="AM37" ca="1">SUMPRODUCT(AM$55:AM$114,TRANSPOSE(SAP_Speadsheet!$E$28:$BL$28))</f>
        <v>0</v>
      </c>
      <c r="AN37" s="398" cm="1">
        <f t="array" aca="1" ref="AN37" ca="1">SUMPRODUCT(AN$55:AN$114,TRANSPOSE(SAP_Speadsheet!$E$28:$BL$28))</f>
        <v>0</v>
      </c>
      <c r="AO37" s="398" cm="1">
        <f t="array" aca="1" ref="AO37" ca="1">SUMPRODUCT(AO$55:AO$114,TRANSPOSE(SAP_Speadsheet!$E$28:$BL$28))</f>
        <v>0</v>
      </c>
      <c r="AP37" s="398" cm="1">
        <f t="array" aca="1" ref="AP37" ca="1">SUMPRODUCT(AP$55:AP$114,TRANSPOSE(SAP_Speadsheet!$E$28:$BL$28))</f>
        <v>0</v>
      </c>
      <c r="AQ37" s="398" cm="1">
        <f t="array" aca="1" ref="AQ37" ca="1">SUMPRODUCT(AQ$55:AQ$114,TRANSPOSE(SAP_Speadsheet!$E$28:$BL$28))</f>
        <v>0</v>
      </c>
      <c r="AR37" s="398" cm="1">
        <f t="array" aca="1" ref="AR37" ca="1">SUMPRODUCT(AR$55:AR$114,TRANSPOSE(SAP_Speadsheet!$E$28:$BL$28))</f>
        <v>0</v>
      </c>
      <c r="AS37" s="398" cm="1">
        <f t="array" aca="1" ref="AS37" ca="1">SUMPRODUCT(AS$55:AS$114,TRANSPOSE(SAP_Speadsheet!$E$28:$BL$28))</f>
        <v>0</v>
      </c>
      <c r="AT37" s="398" cm="1">
        <f t="array" aca="1" ref="AT37" ca="1">SUMPRODUCT(AT$55:AT$114,TRANSPOSE(SAP_Speadsheet!$E$28:$BL$28))</f>
        <v>0</v>
      </c>
      <c r="AU37" s="398" cm="1">
        <f t="array" aca="1" ref="AU37" ca="1">SUMPRODUCT(AU$55:AU$114,TRANSPOSE(SAP_Speadsheet!$E$28:$BL$28))</f>
        <v>0</v>
      </c>
      <c r="AV37" s="398" cm="1">
        <f t="array" aca="1" ref="AV37" ca="1">SUMPRODUCT(AV$55:AV$114,TRANSPOSE(SAP_Speadsheet!$E$28:$BL$28))</f>
        <v>0</v>
      </c>
      <c r="AW37" s="398" cm="1">
        <f t="array" aca="1" ref="AW37" ca="1">SUMPRODUCT(AW$55:AW$114,TRANSPOSE(SAP_Speadsheet!$E$28:$BL$28))</f>
        <v>0</v>
      </c>
      <c r="AX37" s="398" cm="1">
        <f t="array" aca="1" ref="AX37" ca="1">SUMPRODUCT(AX$55:AX$114,TRANSPOSE(SAP_Speadsheet!$E$28:$BL$28))</f>
        <v>0</v>
      </c>
      <c r="AY37" s="398" cm="1">
        <f t="array" aca="1" ref="AY37" ca="1">SUMPRODUCT(AY$55:AY$114,TRANSPOSE(SAP_Speadsheet!$E$28:$BL$28))</f>
        <v>0</v>
      </c>
      <c r="AZ37" s="398" cm="1">
        <f t="array" aca="1" ref="AZ37" ca="1">SUMPRODUCT(AZ$55:AZ$114,TRANSPOSE(SAP_Speadsheet!$E$28:$BL$28))</f>
        <v>0</v>
      </c>
      <c r="BA37" s="398" cm="1">
        <f t="array" aca="1" ref="BA37" ca="1">SUMPRODUCT(BA$55:BA$114,TRANSPOSE(SAP_Speadsheet!$E$28:$BL$28))</f>
        <v>0</v>
      </c>
      <c r="BB37" s="398" cm="1">
        <f t="array" aca="1" ref="BB37" ca="1">SUMPRODUCT(BB$55:BB$114,TRANSPOSE(SAP_Speadsheet!$E$28:$BL$28))</f>
        <v>0</v>
      </c>
      <c r="BC37" s="398" cm="1">
        <f t="array" aca="1" ref="BC37" ca="1">SUMPRODUCT(BC$55:BC$114,TRANSPOSE(SAP_Speadsheet!$E$28:$BL$28))</f>
        <v>0</v>
      </c>
      <c r="BD37" s="398" cm="1">
        <f t="array" aca="1" ref="BD37" ca="1">SUMPRODUCT(BD$55:BD$114,TRANSPOSE(SAP_Speadsheet!$E$28:$BL$28))</f>
        <v>0</v>
      </c>
      <c r="BE37" s="398" cm="1">
        <f t="array" aca="1" ref="BE37" ca="1">SUMPRODUCT(BE$55:BE$114,TRANSPOSE(SAP_Speadsheet!$E$28:$BL$28))</f>
        <v>0</v>
      </c>
      <c r="BF37" s="398" cm="1">
        <f t="array" aca="1" ref="BF37" ca="1">SUMPRODUCT(BF$55:BF$114,TRANSPOSE(SAP_Speadsheet!$E$28:$BL$28))</f>
        <v>0</v>
      </c>
      <c r="BG37" s="398" cm="1">
        <f t="array" aca="1" ref="BG37" ca="1">SUMPRODUCT(BG$55:BG$114,TRANSPOSE(SAP_Speadsheet!$E$28:$BL$28))</f>
        <v>0</v>
      </c>
      <c r="BH37" s="398" cm="1">
        <f t="array" aca="1" ref="BH37" ca="1">SUMPRODUCT(BH$55:BH$114,TRANSPOSE(SAP_Speadsheet!$E$28:$BL$28))</f>
        <v>0</v>
      </c>
      <c r="BI37" s="398" cm="1">
        <f t="array" aca="1" ref="BI37" ca="1">SUMPRODUCT(BI$55:BI$114,TRANSPOSE(SAP_Speadsheet!$E$28:$BL$28))</f>
        <v>0</v>
      </c>
    </row>
    <row r="38" spans="1:61" x14ac:dyDescent="0.15">
      <c r="A38" s="387" t="s">
        <v>401</v>
      </c>
      <c r="B38" s="398" cm="1">
        <f t="array" aca="1" ref="B38" ca="1">SUMPRODUCT(B$55:B$114,TRANSPOSE(SAP_Speadsheet!$E$29:$BL$29))</f>
        <v>0</v>
      </c>
      <c r="C38" s="398" cm="1">
        <f t="array" aca="1" ref="C38" ca="1">SUMPRODUCT(C$55:C$114,TRANSPOSE(SAP_Speadsheet!$E$29:$BL$29))</f>
        <v>0</v>
      </c>
      <c r="D38" s="398" cm="1">
        <f t="array" aca="1" ref="D38" ca="1">SUMPRODUCT(D$55:D$114,TRANSPOSE(SAP_Speadsheet!$E$29:$BL$29))</f>
        <v>0</v>
      </c>
      <c r="E38" s="398" cm="1">
        <f t="array" aca="1" ref="E38" ca="1">SUMPRODUCT(E$55:E$114,TRANSPOSE(SAP_Speadsheet!$E$29:$BL$29))</f>
        <v>0</v>
      </c>
      <c r="F38" s="398" cm="1">
        <f t="array" aca="1" ref="F38" ca="1">SUMPRODUCT(F$55:F$114,TRANSPOSE(SAP_Speadsheet!$E$29:$BL$29))</f>
        <v>0</v>
      </c>
      <c r="G38" s="398" cm="1">
        <f t="array" aca="1" ref="G38" ca="1">SUMPRODUCT(G$55:G$114,TRANSPOSE(SAP_Speadsheet!$E$29:$BL$29))</f>
        <v>0</v>
      </c>
      <c r="H38" s="398" cm="1">
        <f t="array" aca="1" ref="H38" ca="1">SUMPRODUCT(H$55:H$114,TRANSPOSE(SAP_Speadsheet!$E$29:$BL$29))</f>
        <v>0</v>
      </c>
      <c r="I38" s="398" cm="1">
        <f t="array" aca="1" ref="I38" ca="1">SUMPRODUCT(I$55:I$114,TRANSPOSE(SAP_Speadsheet!$E$29:$BL$29))</f>
        <v>31241.242002286679</v>
      </c>
      <c r="J38" s="398" cm="1">
        <f t="array" aca="1" ref="J38" ca="1">SUMPRODUCT(J$55:J$114,TRANSPOSE(SAP_Speadsheet!$E$29:$BL$29))</f>
        <v>53391.473090668711</v>
      </c>
      <c r="K38" s="398" cm="1">
        <f t="array" aca="1" ref="K38" ca="1">SUMPRODUCT(K$55:K$114,TRANSPOSE(SAP_Speadsheet!$E$29:$BL$29))</f>
        <v>83294.241877521636</v>
      </c>
      <c r="L38" s="398" cm="1">
        <f t="array" aca="1" ref="L38" ca="1">SUMPRODUCT(L$55:L$114,TRANSPOSE(SAP_Speadsheet!$E$29:$BL$29))</f>
        <v>68381.224026179072</v>
      </c>
      <c r="M38" s="398" cm="1">
        <f t="array" aca="1" ref="M38" ca="1">SUMPRODUCT(M$55:M$114,TRANSPOSE(SAP_Speadsheet!$E$29:$BL$29))</f>
        <v>58913.950844539642</v>
      </c>
      <c r="N38" s="398" cm="1">
        <f t="array" aca="1" ref="N38" ca="1">SUMPRODUCT(N$55:N$114,TRANSPOSE(SAP_Speadsheet!$E$29:$BL$29))</f>
        <v>50789.650706590692</v>
      </c>
      <c r="O38" s="398" cm="1">
        <f t="array" aca="1" ref="O38" ca="1">SUMPRODUCT(O$55:O$114,TRANSPOSE(SAP_Speadsheet!$E$29:$BL$29))</f>
        <v>43967.972612743099</v>
      </c>
      <c r="P38" s="398" cm="1">
        <f t="array" aca="1" ref="P38" ca="1">SUMPRODUCT(P$55:P$114,TRANSPOSE(SAP_Speadsheet!$E$29:$BL$29))</f>
        <v>37619.40343092323</v>
      </c>
      <c r="Q38" s="398" cm="1">
        <f t="array" aca="1" ref="Q38" ca="1">SUMPRODUCT(Q$55:Q$114,TRANSPOSE(SAP_Speadsheet!$E$29:$BL$29))</f>
        <v>31711.539493559296</v>
      </c>
      <c r="R38" s="398" cm="1">
        <f t="array" aca="1" ref="R38" ca="1">SUMPRODUCT(R$55:R$114,TRANSPOSE(SAP_Speadsheet!$E$29:$BL$29))</f>
        <v>26233.337139983658</v>
      </c>
      <c r="S38" s="398" cm="1">
        <f t="array" aca="1" ref="S38" ca="1">SUMPRODUCT(S$55:S$114,TRANSPOSE(SAP_Speadsheet!$E$29:$BL$29))</f>
        <v>21128.483657324861</v>
      </c>
      <c r="T38" s="398" cm="1">
        <f t="array" aca="1" ref="T38" ca="1">SUMPRODUCT(T$55:T$114,TRANSPOSE(SAP_Speadsheet!$E$29:$BL$29))</f>
        <v>16362.325311154955</v>
      </c>
      <c r="U38" s="398" cm="1">
        <f t="array" aca="1" ref="U38" ca="1">SUMPRODUCT(U$55:U$114,TRANSPOSE(SAP_Speadsheet!$E$29:$BL$29))</f>
        <v>11928.427127018127</v>
      </c>
      <c r="V38" s="398" cm="1">
        <f t="array" aca="1" ref="V38" ca="1">SUMPRODUCT(V$55:V$114,TRANSPOSE(SAP_Speadsheet!$E$29:$BL$29))</f>
        <v>7814.0036530385278</v>
      </c>
      <c r="W38" s="398" cm="1">
        <f t="array" aca="1" ref="W38" ca="1">SUMPRODUCT(W$55:W$114,TRANSPOSE(SAP_Speadsheet!$E$29:$BL$29))</f>
        <v>3971.8835645434983</v>
      </c>
      <c r="X38" s="398" cm="1">
        <f t="array" aca="1" ref="X38" ca="1">SUMPRODUCT(X$55:X$114,TRANSPOSE(SAP_Speadsheet!$E$29:$BL$29))</f>
        <v>1427.8503876646139</v>
      </c>
      <c r="Y38" s="398" cm="1">
        <f t="array" aca="1" ref="Y38" ca="1">SUMPRODUCT(Y$55:Y$114,TRANSPOSE(SAP_Speadsheet!$E$29:$BL$29))</f>
        <v>0</v>
      </c>
      <c r="Z38" s="398" cm="1">
        <f t="array" aca="1" ref="Z38" ca="1">SUMPRODUCT(Z$55:Z$114,TRANSPOSE(SAP_Speadsheet!$E$29:$BL$29))</f>
        <v>0</v>
      </c>
      <c r="AA38" s="398" cm="1">
        <f t="array" aca="1" ref="AA38" ca="1">SUMPRODUCT(AA$55:AA$114,TRANSPOSE(SAP_Speadsheet!$E$29:$BL$29))</f>
        <v>0</v>
      </c>
      <c r="AB38" s="398" cm="1">
        <f t="array" aca="1" ref="AB38" ca="1">SUMPRODUCT(AB$55:AB$114,TRANSPOSE(SAP_Speadsheet!$E$29:$BL$29))</f>
        <v>0</v>
      </c>
      <c r="AC38" s="398" cm="1">
        <f t="array" aca="1" ref="AC38" ca="1">SUMPRODUCT(AC$55:AC$114,TRANSPOSE(SAP_Speadsheet!$E$29:$BL$29))</f>
        <v>0</v>
      </c>
      <c r="AD38" s="398" cm="1">
        <f t="array" aca="1" ref="AD38" ca="1">SUMPRODUCT(AD$55:AD$114,TRANSPOSE(SAP_Speadsheet!$E$29:$BL$29))</f>
        <v>0</v>
      </c>
      <c r="AE38" s="398" cm="1">
        <f t="array" aca="1" ref="AE38" ca="1">SUMPRODUCT(AE$55:AE$114,TRANSPOSE(SAP_Speadsheet!$E$29:$BL$29))</f>
        <v>0</v>
      </c>
      <c r="AF38" s="398" cm="1">
        <f t="array" aca="1" ref="AF38" ca="1">SUMPRODUCT(AF$55:AF$114,TRANSPOSE(SAP_Speadsheet!$E$29:$BL$29))</f>
        <v>0</v>
      </c>
      <c r="AG38" s="398" cm="1">
        <f t="array" aca="1" ref="AG38" ca="1">SUMPRODUCT(AG$55:AG$114,TRANSPOSE(SAP_Speadsheet!$E$29:$BL$29))</f>
        <v>0</v>
      </c>
      <c r="AH38" s="398" cm="1">
        <f t="array" aca="1" ref="AH38" ca="1">SUMPRODUCT(AH$55:AH$114,TRANSPOSE(SAP_Speadsheet!$E$29:$BL$29))</f>
        <v>0</v>
      </c>
      <c r="AI38" s="398" cm="1">
        <f t="array" aca="1" ref="AI38" ca="1">SUMPRODUCT(AI$55:AI$114,TRANSPOSE(SAP_Speadsheet!$E$29:$BL$29))</f>
        <v>0</v>
      </c>
      <c r="AJ38" s="398" cm="1">
        <f t="array" aca="1" ref="AJ38" ca="1">SUMPRODUCT(AJ$55:AJ$114,TRANSPOSE(SAP_Speadsheet!$E$29:$BL$29))</f>
        <v>0</v>
      </c>
      <c r="AK38" s="398" cm="1">
        <f t="array" aca="1" ref="AK38" ca="1">SUMPRODUCT(AK$55:AK$114,TRANSPOSE(SAP_Speadsheet!$E$29:$BL$29))</f>
        <v>0</v>
      </c>
      <c r="AL38" s="398" cm="1">
        <f t="array" aca="1" ref="AL38" ca="1">SUMPRODUCT(AL$55:AL$114,TRANSPOSE(SAP_Speadsheet!$E$29:$BL$29))</f>
        <v>0</v>
      </c>
      <c r="AM38" s="398" cm="1">
        <f t="array" aca="1" ref="AM38" ca="1">SUMPRODUCT(AM$55:AM$114,TRANSPOSE(SAP_Speadsheet!$E$29:$BL$29))</f>
        <v>0</v>
      </c>
      <c r="AN38" s="398" cm="1">
        <f t="array" aca="1" ref="AN38" ca="1">SUMPRODUCT(AN$55:AN$114,TRANSPOSE(SAP_Speadsheet!$E$29:$BL$29))</f>
        <v>0</v>
      </c>
      <c r="AO38" s="398" cm="1">
        <f t="array" aca="1" ref="AO38" ca="1">SUMPRODUCT(AO$55:AO$114,TRANSPOSE(SAP_Speadsheet!$E$29:$BL$29))</f>
        <v>0</v>
      </c>
      <c r="AP38" s="398" cm="1">
        <f t="array" aca="1" ref="AP38" ca="1">SUMPRODUCT(AP$55:AP$114,TRANSPOSE(SAP_Speadsheet!$E$29:$BL$29))</f>
        <v>0</v>
      </c>
      <c r="AQ38" s="398" cm="1">
        <f t="array" aca="1" ref="AQ38" ca="1">SUMPRODUCT(AQ$55:AQ$114,TRANSPOSE(SAP_Speadsheet!$E$29:$BL$29))</f>
        <v>0</v>
      </c>
      <c r="AR38" s="398" cm="1">
        <f t="array" aca="1" ref="AR38" ca="1">SUMPRODUCT(AR$55:AR$114,TRANSPOSE(SAP_Speadsheet!$E$29:$BL$29))</f>
        <v>0</v>
      </c>
      <c r="AS38" s="398" cm="1">
        <f t="array" aca="1" ref="AS38" ca="1">SUMPRODUCT(AS$55:AS$114,TRANSPOSE(SAP_Speadsheet!$E$29:$BL$29))</f>
        <v>0</v>
      </c>
      <c r="AT38" s="398" cm="1">
        <f t="array" aca="1" ref="AT38" ca="1">SUMPRODUCT(AT$55:AT$114,TRANSPOSE(SAP_Speadsheet!$E$29:$BL$29))</f>
        <v>0</v>
      </c>
      <c r="AU38" s="398" cm="1">
        <f t="array" aca="1" ref="AU38" ca="1">SUMPRODUCT(AU$55:AU$114,TRANSPOSE(SAP_Speadsheet!$E$29:$BL$29))</f>
        <v>0</v>
      </c>
      <c r="AV38" s="398" cm="1">
        <f t="array" aca="1" ref="AV38" ca="1">SUMPRODUCT(AV$55:AV$114,TRANSPOSE(SAP_Speadsheet!$E$29:$BL$29))</f>
        <v>0</v>
      </c>
      <c r="AW38" s="398" cm="1">
        <f t="array" aca="1" ref="AW38" ca="1">SUMPRODUCT(AW$55:AW$114,TRANSPOSE(SAP_Speadsheet!$E$29:$BL$29))</f>
        <v>0</v>
      </c>
      <c r="AX38" s="398" cm="1">
        <f t="array" aca="1" ref="AX38" ca="1">SUMPRODUCT(AX$55:AX$114,TRANSPOSE(SAP_Speadsheet!$E$29:$BL$29))</f>
        <v>0</v>
      </c>
      <c r="AY38" s="398" cm="1">
        <f t="array" aca="1" ref="AY38" ca="1">SUMPRODUCT(AY$55:AY$114,TRANSPOSE(SAP_Speadsheet!$E$29:$BL$29))</f>
        <v>0</v>
      </c>
      <c r="AZ38" s="398" cm="1">
        <f t="array" aca="1" ref="AZ38" ca="1">SUMPRODUCT(AZ$55:AZ$114,TRANSPOSE(SAP_Speadsheet!$E$29:$BL$29))</f>
        <v>0</v>
      </c>
      <c r="BA38" s="398" cm="1">
        <f t="array" aca="1" ref="BA38" ca="1">SUMPRODUCT(BA$55:BA$114,TRANSPOSE(SAP_Speadsheet!$E$29:$BL$29))</f>
        <v>0</v>
      </c>
      <c r="BB38" s="398" cm="1">
        <f t="array" aca="1" ref="BB38" ca="1">SUMPRODUCT(BB$55:BB$114,TRANSPOSE(SAP_Speadsheet!$E$29:$BL$29))</f>
        <v>0</v>
      </c>
      <c r="BC38" s="398" cm="1">
        <f t="array" aca="1" ref="BC38" ca="1">SUMPRODUCT(BC$55:BC$114,TRANSPOSE(SAP_Speadsheet!$E$29:$BL$29))</f>
        <v>0</v>
      </c>
      <c r="BD38" s="398" cm="1">
        <f t="array" aca="1" ref="BD38" ca="1">SUMPRODUCT(BD$55:BD$114,TRANSPOSE(SAP_Speadsheet!$E$29:$BL$29))</f>
        <v>0</v>
      </c>
      <c r="BE38" s="398" cm="1">
        <f t="array" aca="1" ref="BE38" ca="1">SUMPRODUCT(BE$55:BE$114,TRANSPOSE(SAP_Speadsheet!$E$29:$BL$29))</f>
        <v>0</v>
      </c>
      <c r="BF38" s="398" cm="1">
        <f t="array" aca="1" ref="BF38" ca="1">SUMPRODUCT(BF$55:BF$114,TRANSPOSE(SAP_Speadsheet!$E$29:$BL$29))</f>
        <v>0</v>
      </c>
      <c r="BG38" s="398" cm="1">
        <f t="array" aca="1" ref="BG38" ca="1">SUMPRODUCT(BG$55:BG$114,TRANSPOSE(SAP_Speadsheet!$E$29:$BL$29))</f>
        <v>0</v>
      </c>
      <c r="BH38" s="398" cm="1">
        <f t="array" aca="1" ref="BH38" ca="1">SUMPRODUCT(BH$55:BH$114,TRANSPOSE(SAP_Speadsheet!$E$29:$BL$29))</f>
        <v>0</v>
      </c>
      <c r="BI38" s="398" cm="1">
        <f t="array" aca="1" ref="BI38" ca="1">SUMPRODUCT(BI$55:BI$114,TRANSPOSE(SAP_Speadsheet!$E$29:$BL$29))</f>
        <v>0</v>
      </c>
    </row>
    <row r="39" spans="1:61" x14ac:dyDescent="0.15">
      <c r="A39" s="387" t="s">
        <v>402</v>
      </c>
      <c r="B39" s="398" cm="1">
        <f t="array" aca="1" ref="B39" ca="1">SUMPRODUCT(B$55:B$114,TRANSPOSE(SAP_Speadsheet!$E$30:$BL$30))</f>
        <v>0</v>
      </c>
      <c r="C39" s="398" cm="1">
        <f t="array" aca="1" ref="C39" ca="1">SUMPRODUCT(C$55:C$114,TRANSPOSE(SAP_Speadsheet!$E$30:$BL$30))</f>
        <v>0</v>
      </c>
      <c r="D39" s="398" cm="1">
        <f t="array" aca="1" ref="D39" ca="1">SUMPRODUCT(D$55:D$114,TRANSPOSE(SAP_Speadsheet!$E$30:$BL$30))</f>
        <v>0</v>
      </c>
      <c r="E39" s="398" cm="1">
        <f t="array" aca="1" ref="E39" ca="1">SUMPRODUCT(E$55:E$114,TRANSPOSE(SAP_Speadsheet!$E$30:$BL$30))</f>
        <v>0</v>
      </c>
      <c r="F39" s="398" cm="1">
        <f t="array" aca="1" ref="F39" ca="1">SUMPRODUCT(F$55:F$114,TRANSPOSE(SAP_Speadsheet!$E$30:$BL$30))</f>
        <v>0</v>
      </c>
      <c r="G39" s="398" cm="1">
        <f t="array" aca="1" ref="G39" ca="1">SUMPRODUCT(G$55:G$114,TRANSPOSE(SAP_Speadsheet!$E$30:$BL$30))</f>
        <v>0</v>
      </c>
      <c r="H39" s="398" cm="1">
        <f t="array" aca="1" ref="H39" ca="1">SUMPRODUCT(H$55:H$114,TRANSPOSE(SAP_Speadsheet!$E$30:$BL$30))</f>
        <v>0</v>
      </c>
      <c r="I39" s="398" cm="1">
        <f t="array" aca="1" ref="I39" ca="1">SUMPRODUCT(I$55:I$114,TRANSPOSE(SAP_Speadsheet!$E$30:$BL$30))</f>
        <v>0</v>
      </c>
      <c r="J39" s="398" cm="1">
        <f t="array" aca="1" ref="J39" ca="1">SUMPRODUCT(J$55:J$114,TRANSPOSE(SAP_Speadsheet!$E$30:$BL$30))</f>
        <v>28429.530222080877</v>
      </c>
      <c r="K39" s="398" cm="1">
        <f t="array" aca="1" ref="K39" ca="1">SUMPRODUCT(K$55:K$114,TRANSPOSE(SAP_Speadsheet!$E$30:$BL$30))</f>
        <v>48586.240512508528</v>
      </c>
      <c r="L39" s="398" cm="1">
        <f t="array" aca="1" ref="L39" ca="1">SUMPRODUCT(L$55:L$114,TRANSPOSE(SAP_Speadsheet!$E$30:$BL$30))</f>
        <v>75797.760108544695</v>
      </c>
      <c r="M39" s="398" cm="1">
        <f t="array" aca="1" ref="M39" ca="1">SUMPRODUCT(M$55:M$114,TRANSPOSE(SAP_Speadsheet!$E$30:$BL$30))</f>
        <v>62226.913863822956</v>
      </c>
      <c r="N39" s="398" cm="1">
        <f t="array" aca="1" ref="N39" ca="1">SUMPRODUCT(N$55:N$114,TRANSPOSE(SAP_Speadsheet!$E$30:$BL$30))</f>
        <v>53611.695268531075</v>
      </c>
      <c r="O39" s="398" cm="1">
        <f t="array" aca="1" ref="O39" ca="1">SUMPRODUCT(O$55:O$114,TRANSPOSE(SAP_Speadsheet!$E$30:$BL$30))</f>
        <v>46218.582142997526</v>
      </c>
      <c r="P39" s="398" cm="1">
        <f t="array" aca="1" ref="P39" ca="1">SUMPRODUCT(P$55:P$114,TRANSPOSE(SAP_Speadsheet!$E$30:$BL$30))</f>
        <v>40010.855077596221</v>
      </c>
      <c r="Q39" s="398" cm="1">
        <f t="array" aca="1" ref="Q39" ca="1">SUMPRODUCT(Q$55:Q$114,TRANSPOSE(SAP_Speadsheet!$E$30:$BL$30))</f>
        <v>34233.657122140139</v>
      </c>
      <c r="R39" s="398" cm="1">
        <f t="array" aca="1" ref="R39" ca="1">SUMPRODUCT(R$55:R$114,TRANSPOSE(SAP_Speadsheet!$E$30:$BL$30))</f>
        <v>28857.500939138961</v>
      </c>
      <c r="S39" s="398" cm="1">
        <f t="array" aca="1" ref="S39" ca="1">SUMPRODUCT(S$55:S$114,TRANSPOSE(SAP_Speadsheet!$E$30:$BL$30))</f>
        <v>23872.336797385131</v>
      </c>
      <c r="T39" s="398" cm="1">
        <f t="array" aca="1" ref="T39" ca="1">SUMPRODUCT(T$55:T$114,TRANSPOSE(SAP_Speadsheet!$E$30:$BL$30))</f>
        <v>19226.920128165628</v>
      </c>
      <c r="U39" s="398" cm="1">
        <f t="array" aca="1" ref="U39" ca="1">SUMPRODUCT(U$55:U$114,TRANSPOSE(SAP_Speadsheet!$E$30:$BL$30))</f>
        <v>14889.716033151009</v>
      </c>
      <c r="V39" s="398" cm="1">
        <f t="array" aca="1" ref="V39" ca="1">SUMPRODUCT(V$55:V$114,TRANSPOSE(SAP_Speadsheet!$E$30:$BL$30))</f>
        <v>10854.868685586498</v>
      </c>
      <c r="W39" s="398" cm="1">
        <f t="array" aca="1" ref="W39" ca="1">SUMPRODUCT(W$55:W$114,TRANSPOSE(SAP_Speadsheet!$E$30:$BL$30))</f>
        <v>7110.7433242650604</v>
      </c>
      <c r="X39" s="398" cm="1">
        <f t="array" aca="1" ref="X39" ca="1">SUMPRODUCT(X$55:X$114,TRANSPOSE(SAP_Speadsheet!$E$30:$BL$30))</f>
        <v>3614.4140437345836</v>
      </c>
      <c r="Y39" s="398" cm="1">
        <f t="array" aca="1" ref="Y39" ca="1">SUMPRODUCT(Y$55:Y$114,TRANSPOSE(SAP_Speadsheet!$E$30:$BL$30))</f>
        <v>1299.3438527747987</v>
      </c>
      <c r="Z39" s="398" cm="1">
        <f t="array" aca="1" ref="Z39" ca="1">SUMPRODUCT(Z$55:Z$114,TRANSPOSE(SAP_Speadsheet!$E$30:$BL$30))</f>
        <v>0</v>
      </c>
      <c r="AA39" s="398" cm="1">
        <f t="array" aca="1" ref="AA39" ca="1">SUMPRODUCT(AA$55:AA$114,TRANSPOSE(SAP_Speadsheet!$E$30:$BL$30))</f>
        <v>0</v>
      </c>
      <c r="AB39" s="398" cm="1">
        <f t="array" aca="1" ref="AB39" ca="1">SUMPRODUCT(AB$55:AB$114,TRANSPOSE(SAP_Speadsheet!$E$30:$BL$30))</f>
        <v>0</v>
      </c>
      <c r="AC39" s="398" cm="1">
        <f t="array" aca="1" ref="AC39" ca="1">SUMPRODUCT(AC$55:AC$114,TRANSPOSE(SAP_Speadsheet!$E$30:$BL$30))</f>
        <v>0</v>
      </c>
      <c r="AD39" s="398" cm="1">
        <f t="array" aca="1" ref="AD39" ca="1">SUMPRODUCT(AD$55:AD$114,TRANSPOSE(SAP_Speadsheet!$E$30:$BL$30))</f>
        <v>0</v>
      </c>
      <c r="AE39" s="398" cm="1">
        <f t="array" aca="1" ref="AE39" ca="1">SUMPRODUCT(AE$55:AE$114,TRANSPOSE(SAP_Speadsheet!$E$30:$BL$30))</f>
        <v>0</v>
      </c>
      <c r="AF39" s="398" cm="1">
        <f t="array" aca="1" ref="AF39" ca="1">SUMPRODUCT(AF$55:AF$114,TRANSPOSE(SAP_Speadsheet!$E$30:$BL$30))</f>
        <v>0</v>
      </c>
      <c r="AG39" s="398" cm="1">
        <f t="array" aca="1" ref="AG39" ca="1">SUMPRODUCT(AG$55:AG$114,TRANSPOSE(SAP_Speadsheet!$E$30:$BL$30))</f>
        <v>0</v>
      </c>
      <c r="AH39" s="398" cm="1">
        <f t="array" aca="1" ref="AH39" ca="1">SUMPRODUCT(AH$55:AH$114,TRANSPOSE(SAP_Speadsheet!$E$30:$BL$30))</f>
        <v>0</v>
      </c>
      <c r="AI39" s="398" cm="1">
        <f t="array" aca="1" ref="AI39" ca="1">SUMPRODUCT(AI$55:AI$114,TRANSPOSE(SAP_Speadsheet!$E$30:$BL$30))</f>
        <v>0</v>
      </c>
      <c r="AJ39" s="398" cm="1">
        <f t="array" aca="1" ref="AJ39" ca="1">SUMPRODUCT(AJ$55:AJ$114,TRANSPOSE(SAP_Speadsheet!$E$30:$BL$30))</f>
        <v>0</v>
      </c>
      <c r="AK39" s="398" cm="1">
        <f t="array" aca="1" ref="AK39" ca="1">SUMPRODUCT(AK$55:AK$114,TRANSPOSE(SAP_Speadsheet!$E$30:$BL$30))</f>
        <v>0</v>
      </c>
      <c r="AL39" s="398" cm="1">
        <f t="array" aca="1" ref="AL39" ca="1">SUMPRODUCT(AL$55:AL$114,TRANSPOSE(SAP_Speadsheet!$E$30:$BL$30))</f>
        <v>0</v>
      </c>
      <c r="AM39" s="398" cm="1">
        <f t="array" aca="1" ref="AM39" ca="1">SUMPRODUCT(AM$55:AM$114,TRANSPOSE(SAP_Speadsheet!$E$30:$BL$30))</f>
        <v>0</v>
      </c>
      <c r="AN39" s="398" cm="1">
        <f t="array" aca="1" ref="AN39" ca="1">SUMPRODUCT(AN$55:AN$114,TRANSPOSE(SAP_Speadsheet!$E$30:$BL$30))</f>
        <v>0</v>
      </c>
      <c r="AO39" s="398" cm="1">
        <f t="array" aca="1" ref="AO39" ca="1">SUMPRODUCT(AO$55:AO$114,TRANSPOSE(SAP_Speadsheet!$E$30:$BL$30))</f>
        <v>0</v>
      </c>
      <c r="AP39" s="398" cm="1">
        <f t="array" aca="1" ref="AP39" ca="1">SUMPRODUCT(AP$55:AP$114,TRANSPOSE(SAP_Speadsheet!$E$30:$BL$30))</f>
        <v>0</v>
      </c>
      <c r="AQ39" s="398" cm="1">
        <f t="array" aca="1" ref="AQ39" ca="1">SUMPRODUCT(AQ$55:AQ$114,TRANSPOSE(SAP_Speadsheet!$E$30:$BL$30))</f>
        <v>0</v>
      </c>
      <c r="AR39" s="398" cm="1">
        <f t="array" aca="1" ref="AR39" ca="1">SUMPRODUCT(AR$55:AR$114,TRANSPOSE(SAP_Speadsheet!$E$30:$BL$30))</f>
        <v>0</v>
      </c>
      <c r="AS39" s="398" cm="1">
        <f t="array" aca="1" ref="AS39" ca="1">SUMPRODUCT(AS$55:AS$114,TRANSPOSE(SAP_Speadsheet!$E$30:$BL$30))</f>
        <v>0</v>
      </c>
      <c r="AT39" s="398" cm="1">
        <f t="array" aca="1" ref="AT39" ca="1">SUMPRODUCT(AT$55:AT$114,TRANSPOSE(SAP_Speadsheet!$E$30:$BL$30))</f>
        <v>0</v>
      </c>
      <c r="AU39" s="398" cm="1">
        <f t="array" aca="1" ref="AU39" ca="1">SUMPRODUCT(AU$55:AU$114,TRANSPOSE(SAP_Speadsheet!$E$30:$BL$30))</f>
        <v>0</v>
      </c>
      <c r="AV39" s="398" cm="1">
        <f t="array" aca="1" ref="AV39" ca="1">SUMPRODUCT(AV$55:AV$114,TRANSPOSE(SAP_Speadsheet!$E$30:$BL$30))</f>
        <v>0</v>
      </c>
      <c r="AW39" s="398" cm="1">
        <f t="array" aca="1" ref="AW39" ca="1">SUMPRODUCT(AW$55:AW$114,TRANSPOSE(SAP_Speadsheet!$E$30:$BL$30))</f>
        <v>0</v>
      </c>
      <c r="AX39" s="398" cm="1">
        <f t="array" aca="1" ref="AX39" ca="1">SUMPRODUCT(AX$55:AX$114,TRANSPOSE(SAP_Speadsheet!$E$30:$BL$30))</f>
        <v>0</v>
      </c>
      <c r="AY39" s="398" cm="1">
        <f t="array" aca="1" ref="AY39" ca="1">SUMPRODUCT(AY$55:AY$114,TRANSPOSE(SAP_Speadsheet!$E$30:$BL$30))</f>
        <v>0</v>
      </c>
      <c r="AZ39" s="398" cm="1">
        <f t="array" aca="1" ref="AZ39" ca="1">SUMPRODUCT(AZ$55:AZ$114,TRANSPOSE(SAP_Speadsheet!$E$30:$BL$30))</f>
        <v>0</v>
      </c>
      <c r="BA39" s="398" cm="1">
        <f t="array" aca="1" ref="BA39" ca="1">SUMPRODUCT(BA$55:BA$114,TRANSPOSE(SAP_Speadsheet!$E$30:$BL$30))</f>
        <v>0</v>
      </c>
      <c r="BB39" s="398" cm="1">
        <f t="array" aca="1" ref="BB39" ca="1">SUMPRODUCT(BB$55:BB$114,TRANSPOSE(SAP_Speadsheet!$E$30:$BL$30))</f>
        <v>0</v>
      </c>
      <c r="BC39" s="398" cm="1">
        <f t="array" aca="1" ref="BC39" ca="1">SUMPRODUCT(BC$55:BC$114,TRANSPOSE(SAP_Speadsheet!$E$30:$BL$30))</f>
        <v>0</v>
      </c>
      <c r="BD39" s="398" cm="1">
        <f t="array" aca="1" ref="BD39" ca="1">SUMPRODUCT(BD$55:BD$114,TRANSPOSE(SAP_Speadsheet!$E$30:$BL$30))</f>
        <v>0</v>
      </c>
      <c r="BE39" s="398" cm="1">
        <f t="array" aca="1" ref="BE39" ca="1">SUMPRODUCT(BE$55:BE$114,TRANSPOSE(SAP_Speadsheet!$E$30:$BL$30))</f>
        <v>0</v>
      </c>
      <c r="BF39" s="398" cm="1">
        <f t="array" aca="1" ref="BF39" ca="1">SUMPRODUCT(BF$55:BF$114,TRANSPOSE(SAP_Speadsheet!$E$30:$BL$30))</f>
        <v>0</v>
      </c>
      <c r="BG39" s="398" cm="1">
        <f t="array" aca="1" ref="BG39" ca="1">SUMPRODUCT(BG$55:BG$114,TRANSPOSE(SAP_Speadsheet!$E$30:$BL$30))</f>
        <v>0</v>
      </c>
      <c r="BH39" s="398" cm="1">
        <f t="array" aca="1" ref="BH39" ca="1">SUMPRODUCT(BH$55:BH$114,TRANSPOSE(SAP_Speadsheet!$E$30:$BL$30))</f>
        <v>0</v>
      </c>
      <c r="BI39" s="398" cm="1">
        <f t="array" aca="1" ref="BI39" ca="1">SUMPRODUCT(BI$55:BI$114,TRANSPOSE(SAP_Speadsheet!$E$30:$BL$30))</f>
        <v>0</v>
      </c>
    </row>
    <row r="40" spans="1:61" x14ac:dyDescent="0.15">
      <c r="A40" s="387" t="s">
        <v>404</v>
      </c>
      <c r="B40" s="398" cm="1">
        <f t="array" aca="1" ref="B40" ca="1">SUMPRODUCT(B$55:B$114,TRANSPOSE(SAP_Speadsheet!$E$31:$BL$31))</f>
        <v>0</v>
      </c>
      <c r="C40" s="398" cm="1">
        <f t="array" aca="1" ref="C40" ca="1">SUMPRODUCT(C$55:C$114,TRANSPOSE(SAP_Speadsheet!$E$31:$BL$31))</f>
        <v>0</v>
      </c>
      <c r="D40" s="398" cm="1">
        <f t="array" aca="1" ref="D40" ca="1">SUMPRODUCT(D$55:D$114,TRANSPOSE(SAP_Speadsheet!$E$31:$BL$31))</f>
        <v>0</v>
      </c>
      <c r="E40" s="398" cm="1">
        <f t="array" aca="1" ref="E40" ca="1">SUMPRODUCT(E$55:E$114,TRANSPOSE(SAP_Speadsheet!$E$31:$BL$31))</f>
        <v>0</v>
      </c>
      <c r="F40" s="398" cm="1">
        <f t="array" aca="1" ref="F40" ca="1">SUMPRODUCT(F$55:F$114,TRANSPOSE(SAP_Speadsheet!$E$31:$BL$31))</f>
        <v>0</v>
      </c>
      <c r="G40" s="398" cm="1">
        <f t="array" aca="1" ref="G40" ca="1">SUMPRODUCT(G$55:G$114,TRANSPOSE(SAP_Speadsheet!$E$31:$BL$31))</f>
        <v>0</v>
      </c>
      <c r="H40" s="398" cm="1">
        <f t="array" aca="1" ref="H40" ca="1">SUMPRODUCT(H$55:H$114,TRANSPOSE(SAP_Speadsheet!$E$31:$BL$31))</f>
        <v>0</v>
      </c>
      <c r="I40" s="398" cm="1">
        <f t="array" aca="1" ref="I40" ca="1">SUMPRODUCT(I$55:I$114,TRANSPOSE(SAP_Speadsheet!$E$31:$BL$31))</f>
        <v>0</v>
      </c>
      <c r="J40" s="398" cm="1">
        <f t="array" aca="1" ref="J40" ca="1">SUMPRODUCT(J$55:J$114,TRANSPOSE(SAP_Speadsheet!$E$31:$BL$31))</f>
        <v>0</v>
      </c>
      <c r="K40" s="398" cm="1">
        <f t="array" aca="1" ref="K40" ca="1">SUMPRODUCT(K$55:K$114,TRANSPOSE(SAP_Speadsheet!$E$31:$BL$31))</f>
        <v>28349.523433169688</v>
      </c>
      <c r="L40" s="398" cm="1">
        <f t="array" aca="1" ref="L40" ca="1">SUMPRODUCT(L$55:L$114,TRANSPOSE(SAP_Speadsheet!$E$31:$BL$31))</f>
        <v>48449.508422378756</v>
      </c>
      <c r="M40" s="398" cm="1">
        <f t="array" aca="1" ref="M40" ca="1">SUMPRODUCT(M$55:M$114,TRANSPOSE(SAP_Speadsheet!$E$31:$BL$31))</f>
        <v>75584.448972357321</v>
      </c>
      <c r="N40" s="398" cm="1">
        <f t="array" aca="1" ref="N40" ca="1">SUMPRODUCT(N$55:N$114,TRANSPOSE(SAP_Speadsheet!$E$31:$BL$31))</f>
        <v>62051.793996445384</v>
      </c>
      <c r="O40" s="398" cm="1">
        <f t="array" aca="1" ref="O40" ca="1">SUMPRODUCT(O$55:O$114,TRANSPOSE(SAP_Speadsheet!$E$31:$BL$31))</f>
        <v>53460.820472042564</v>
      </c>
      <c r="P40" s="398" cm="1">
        <f t="array" aca="1" ref="P40" ca="1">SUMPRODUCT(P$55:P$114,TRANSPOSE(SAP_Speadsheet!$E$31:$BL$31))</f>
        <v>46088.513150776991</v>
      </c>
      <c r="Q40" s="398" cm="1">
        <f t="array" aca="1" ref="Q40" ca="1">SUMPRODUCT(Q$55:Q$114,TRANSPOSE(SAP_Speadsheet!$E$31:$BL$31))</f>
        <v>39898.255959308182</v>
      </c>
      <c r="R40" s="398" cm="1">
        <f t="array" aca="1" ref="R40" ca="1">SUMPRODUCT(R$55:R$114,TRANSPOSE(SAP_Speadsheet!$E$31:$BL$31))</f>
        <v>34137.316276630787</v>
      </c>
      <c r="S40" s="398" cm="1">
        <f t="array" aca="1" ref="S40" ca="1">SUMPRODUCT(S$55:S$114,TRANSPOSE(SAP_Speadsheet!$E$31:$BL$31))</f>
        <v>28776.289748939664</v>
      </c>
      <c r="T40" s="398" cm="1">
        <f t="array" aca="1" ref="T40" ca="1">SUMPRODUCT(T$55:T$114,TRANSPOSE(SAP_Speadsheet!$E$31:$BL$31))</f>
        <v>23805.154927123982</v>
      </c>
      <c r="U40" s="398" cm="1">
        <f t="array" aca="1" ref="U40" ca="1">SUMPRODUCT(U$55:U$114,TRANSPOSE(SAP_Speadsheet!$E$31:$BL$31))</f>
        <v>19172.811455665938</v>
      </c>
      <c r="V40" s="398" cm="1">
        <f t="array" aca="1" ref="V40" ca="1">SUMPRODUCT(V$55:V$114,TRANSPOSE(SAP_Speadsheet!$E$31:$BL$31))</f>
        <v>14847.813182196172</v>
      </c>
      <c r="W40" s="398" cm="1">
        <f t="array" aca="1" ref="W40" ca="1">SUMPRODUCT(W$55:W$114,TRANSPOSE(SAP_Speadsheet!$E$31:$BL$31))</f>
        <v>10824.32075951096</v>
      </c>
      <c r="X40" s="398" cm="1">
        <f t="array" aca="1" ref="X40" ca="1">SUMPRODUCT(X$55:X$114,TRANSPOSE(SAP_Speadsheet!$E$31:$BL$31))</f>
        <v>7090.7321691139887</v>
      </c>
      <c r="Y40" s="398" cm="1">
        <f t="array" aca="1" ref="Y40" ca="1">SUMPRODUCT(Y$55:Y$114,TRANSPOSE(SAP_Speadsheet!$E$31:$BL$31))</f>
        <v>3604.242308247723</v>
      </c>
      <c r="Z40" s="398" cm="1">
        <f t="array" aca="1" ref="Z40" ca="1">SUMPRODUCT(Z$55:Z$114,TRANSPOSE(SAP_Speadsheet!$E$31:$BL$31))</f>
        <v>1295.6872207960098</v>
      </c>
      <c r="AA40" s="398" cm="1">
        <f t="array" aca="1" ref="AA40" ca="1">SUMPRODUCT(AA$55:AA$114,TRANSPOSE(SAP_Speadsheet!$E$31:$BL$31))</f>
        <v>0</v>
      </c>
      <c r="AB40" s="398" cm="1">
        <f t="array" aca="1" ref="AB40" ca="1">SUMPRODUCT(AB$55:AB$114,TRANSPOSE(SAP_Speadsheet!$E$31:$BL$31))</f>
        <v>0</v>
      </c>
      <c r="AC40" s="398" cm="1">
        <f t="array" aca="1" ref="AC40" ca="1">SUMPRODUCT(AC$55:AC$114,TRANSPOSE(SAP_Speadsheet!$E$31:$BL$31))</f>
        <v>0</v>
      </c>
      <c r="AD40" s="398" cm="1">
        <f t="array" aca="1" ref="AD40" ca="1">SUMPRODUCT(AD$55:AD$114,TRANSPOSE(SAP_Speadsheet!$E$31:$BL$31))</f>
        <v>0</v>
      </c>
      <c r="AE40" s="398" cm="1">
        <f t="array" aca="1" ref="AE40" ca="1">SUMPRODUCT(AE$55:AE$114,TRANSPOSE(SAP_Speadsheet!$E$31:$BL$31))</f>
        <v>0</v>
      </c>
      <c r="AF40" s="398" cm="1">
        <f t="array" aca="1" ref="AF40" ca="1">SUMPRODUCT(AF$55:AF$114,TRANSPOSE(SAP_Speadsheet!$E$31:$BL$31))</f>
        <v>0</v>
      </c>
      <c r="AG40" s="398" cm="1">
        <f t="array" aca="1" ref="AG40" ca="1">SUMPRODUCT(AG$55:AG$114,TRANSPOSE(SAP_Speadsheet!$E$31:$BL$31))</f>
        <v>0</v>
      </c>
      <c r="AH40" s="398" cm="1">
        <f t="array" aca="1" ref="AH40" ca="1">SUMPRODUCT(AH$55:AH$114,TRANSPOSE(SAP_Speadsheet!$E$31:$BL$31))</f>
        <v>0</v>
      </c>
      <c r="AI40" s="398" cm="1">
        <f t="array" aca="1" ref="AI40" ca="1">SUMPRODUCT(AI$55:AI$114,TRANSPOSE(SAP_Speadsheet!$E$31:$BL$31))</f>
        <v>0</v>
      </c>
      <c r="AJ40" s="398" cm="1">
        <f t="array" aca="1" ref="AJ40" ca="1">SUMPRODUCT(AJ$55:AJ$114,TRANSPOSE(SAP_Speadsheet!$E$31:$BL$31))</f>
        <v>0</v>
      </c>
      <c r="AK40" s="398" cm="1">
        <f t="array" aca="1" ref="AK40" ca="1">SUMPRODUCT(AK$55:AK$114,TRANSPOSE(SAP_Speadsheet!$E$31:$BL$31))</f>
        <v>0</v>
      </c>
      <c r="AL40" s="398" cm="1">
        <f t="array" aca="1" ref="AL40" ca="1">SUMPRODUCT(AL$55:AL$114,TRANSPOSE(SAP_Speadsheet!$E$31:$BL$31))</f>
        <v>0</v>
      </c>
      <c r="AM40" s="398" cm="1">
        <f t="array" aca="1" ref="AM40" ca="1">SUMPRODUCT(AM$55:AM$114,TRANSPOSE(SAP_Speadsheet!$E$31:$BL$31))</f>
        <v>0</v>
      </c>
      <c r="AN40" s="398" cm="1">
        <f t="array" aca="1" ref="AN40" ca="1">SUMPRODUCT(AN$55:AN$114,TRANSPOSE(SAP_Speadsheet!$E$31:$BL$31))</f>
        <v>0</v>
      </c>
      <c r="AO40" s="398" cm="1">
        <f t="array" aca="1" ref="AO40" ca="1">SUMPRODUCT(AO$55:AO$114,TRANSPOSE(SAP_Speadsheet!$E$31:$BL$31))</f>
        <v>0</v>
      </c>
      <c r="AP40" s="398" cm="1">
        <f t="array" aca="1" ref="AP40" ca="1">SUMPRODUCT(AP$55:AP$114,TRANSPOSE(SAP_Speadsheet!$E$31:$BL$31))</f>
        <v>0</v>
      </c>
      <c r="AQ40" s="398" cm="1">
        <f t="array" aca="1" ref="AQ40" ca="1">SUMPRODUCT(AQ$55:AQ$114,TRANSPOSE(SAP_Speadsheet!$E$31:$BL$31))</f>
        <v>0</v>
      </c>
      <c r="AR40" s="398" cm="1">
        <f t="array" aca="1" ref="AR40" ca="1">SUMPRODUCT(AR$55:AR$114,TRANSPOSE(SAP_Speadsheet!$E$31:$BL$31))</f>
        <v>0</v>
      </c>
      <c r="AS40" s="398" cm="1">
        <f t="array" aca="1" ref="AS40" ca="1">SUMPRODUCT(AS$55:AS$114,TRANSPOSE(SAP_Speadsheet!$E$31:$BL$31))</f>
        <v>0</v>
      </c>
      <c r="AT40" s="398" cm="1">
        <f t="array" aca="1" ref="AT40" ca="1">SUMPRODUCT(AT$55:AT$114,TRANSPOSE(SAP_Speadsheet!$E$31:$BL$31))</f>
        <v>0</v>
      </c>
      <c r="AU40" s="398" cm="1">
        <f t="array" aca="1" ref="AU40" ca="1">SUMPRODUCT(AU$55:AU$114,TRANSPOSE(SAP_Speadsheet!$E$31:$BL$31))</f>
        <v>0</v>
      </c>
      <c r="AV40" s="398" cm="1">
        <f t="array" aca="1" ref="AV40" ca="1">SUMPRODUCT(AV$55:AV$114,TRANSPOSE(SAP_Speadsheet!$E$31:$BL$31))</f>
        <v>0</v>
      </c>
      <c r="AW40" s="398" cm="1">
        <f t="array" aca="1" ref="AW40" ca="1">SUMPRODUCT(AW$55:AW$114,TRANSPOSE(SAP_Speadsheet!$E$31:$BL$31))</f>
        <v>0</v>
      </c>
      <c r="AX40" s="398" cm="1">
        <f t="array" aca="1" ref="AX40" ca="1">SUMPRODUCT(AX$55:AX$114,TRANSPOSE(SAP_Speadsheet!$E$31:$BL$31))</f>
        <v>0</v>
      </c>
      <c r="AY40" s="398" cm="1">
        <f t="array" aca="1" ref="AY40" ca="1">SUMPRODUCT(AY$55:AY$114,TRANSPOSE(SAP_Speadsheet!$E$31:$BL$31))</f>
        <v>0</v>
      </c>
      <c r="AZ40" s="398" cm="1">
        <f t="array" aca="1" ref="AZ40" ca="1">SUMPRODUCT(AZ$55:AZ$114,TRANSPOSE(SAP_Speadsheet!$E$31:$BL$31))</f>
        <v>0</v>
      </c>
      <c r="BA40" s="398" cm="1">
        <f t="array" aca="1" ref="BA40" ca="1">SUMPRODUCT(BA$55:BA$114,TRANSPOSE(SAP_Speadsheet!$E$31:$BL$31))</f>
        <v>0</v>
      </c>
      <c r="BB40" s="398" cm="1">
        <f t="array" aca="1" ref="BB40" ca="1">SUMPRODUCT(BB$55:BB$114,TRANSPOSE(SAP_Speadsheet!$E$31:$BL$31))</f>
        <v>0</v>
      </c>
      <c r="BC40" s="398" cm="1">
        <f t="array" aca="1" ref="BC40" ca="1">SUMPRODUCT(BC$55:BC$114,TRANSPOSE(SAP_Speadsheet!$E$31:$BL$31))</f>
        <v>0</v>
      </c>
      <c r="BD40" s="398" cm="1">
        <f t="array" aca="1" ref="BD40" ca="1">SUMPRODUCT(BD$55:BD$114,TRANSPOSE(SAP_Speadsheet!$E$31:$BL$31))</f>
        <v>0</v>
      </c>
      <c r="BE40" s="398" cm="1">
        <f t="array" aca="1" ref="BE40" ca="1">SUMPRODUCT(BE$55:BE$114,TRANSPOSE(SAP_Speadsheet!$E$31:$BL$31))</f>
        <v>0</v>
      </c>
      <c r="BF40" s="398" cm="1">
        <f t="array" aca="1" ref="BF40" ca="1">SUMPRODUCT(BF$55:BF$114,TRANSPOSE(SAP_Speadsheet!$E$31:$BL$31))</f>
        <v>0</v>
      </c>
      <c r="BG40" s="398" cm="1">
        <f t="array" aca="1" ref="BG40" ca="1">SUMPRODUCT(BG$55:BG$114,TRANSPOSE(SAP_Speadsheet!$E$31:$BL$31))</f>
        <v>0</v>
      </c>
      <c r="BH40" s="398" cm="1">
        <f t="array" aca="1" ref="BH40" ca="1">SUMPRODUCT(BH$55:BH$114,TRANSPOSE(SAP_Speadsheet!$E$31:$BL$31))</f>
        <v>0</v>
      </c>
      <c r="BI40" s="398" cm="1">
        <f t="array" aca="1" ref="BI40" ca="1">SUMPRODUCT(BI$55:BI$114,TRANSPOSE(SAP_Speadsheet!$E$31:$BL$31))</f>
        <v>0</v>
      </c>
    </row>
    <row r="41" spans="1:61" x14ac:dyDescent="0.15">
      <c r="A41" s="387" t="s">
        <v>405</v>
      </c>
      <c r="B41" s="398" cm="1">
        <f t="array" aca="1" ref="B41" ca="1">SUMPRODUCT(B$55:B$114,TRANSPOSE(SAP_Speadsheet!$E$32:$BL$32))</f>
        <v>0</v>
      </c>
      <c r="C41" s="398" cm="1">
        <f t="array" aca="1" ref="C41" ca="1">SUMPRODUCT(C$55:C$114,TRANSPOSE(SAP_Speadsheet!$E$32:$BL$32))</f>
        <v>0</v>
      </c>
      <c r="D41" s="398" cm="1">
        <f t="array" aca="1" ref="D41" ca="1">SUMPRODUCT(D$55:D$114,TRANSPOSE(SAP_Speadsheet!$E$32:$BL$32))</f>
        <v>0</v>
      </c>
      <c r="E41" s="398" cm="1">
        <f t="array" aca="1" ref="E41" ca="1">SUMPRODUCT(E$55:E$114,TRANSPOSE(SAP_Speadsheet!$E$32:$BL$32))</f>
        <v>0</v>
      </c>
      <c r="F41" s="398" cm="1">
        <f t="array" aca="1" ref="F41" ca="1">SUMPRODUCT(F$55:F$114,TRANSPOSE(SAP_Speadsheet!$E$32:$BL$32))</f>
        <v>0</v>
      </c>
      <c r="G41" s="398" cm="1">
        <f t="array" aca="1" ref="G41" ca="1">SUMPRODUCT(G$55:G$114,TRANSPOSE(SAP_Speadsheet!$E$32:$BL$32))</f>
        <v>0</v>
      </c>
      <c r="H41" s="398" cm="1">
        <f t="array" aca="1" ref="H41" ca="1">SUMPRODUCT(H$55:H$114,TRANSPOSE(SAP_Speadsheet!$E$32:$BL$32))</f>
        <v>0</v>
      </c>
      <c r="I41" s="398" cm="1">
        <f t="array" aca="1" ref="I41" ca="1">SUMPRODUCT(I$55:I$114,TRANSPOSE(SAP_Speadsheet!$E$32:$BL$32))</f>
        <v>0</v>
      </c>
      <c r="J41" s="398" cm="1">
        <f t="array" aca="1" ref="J41" ca="1">SUMPRODUCT(J$55:J$114,TRANSPOSE(SAP_Speadsheet!$E$32:$BL$32))</f>
        <v>0</v>
      </c>
      <c r="K41" s="398" cm="1">
        <f t="array" aca="1" ref="K41" ca="1">SUMPRODUCT(K$55:K$114,TRANSPOSE(SAP_Speadsheet!$E$32:$BL$32))</f>
        <v>0</v>
      </c>
      <c r="L41" s="398" cm="1">
        <f t="array" aca="1" ref="L41" ca="1">SUMPRODUCT(L$55:L$114,TRANSPOSE(SAP_Speadsheet!$E$32:$BL$32))</f>
        <v>27583.768938033121</v>
      </c>
      <c r="M41" s="398" cm="1">
        <f t="array" aca="1" ref="M41" ca="1">SUMPRODUCT(M$55:M$114,TRANSPOSE(SAP_Speadsheet!$E$32:$BL$32))</f>
        <v>47140.829320627614</v>
      </c>
      <c r="N41" s="398" cm="1">
        <f t="array" aca="1" ref="N41" ca="1">SUMPRODUCT(N$55:N$114,TRANSPOSE(SAP_Speadsheet!$E$32:$BL$32))</f>
        <v>73542.822710122418</v>
      </c>
      <c r="O41" s="398" cm="1">
        <f t="array" aca="1" ref="O41" ca="1">SUMPRODUCT(O$55:O$114,TRANSPOSE(SAP_Speadsheet!$E$32:$BL$32))</f>
        <v>60375.700911632855</v>
      </c>
      <c r="P41" s="398" cm="1">
        <f t="array" aca="1" ref="P41" ca="1">SUMPRODUCT(P$55:P$114,TRANSPOSE(SAP_Speadsheet!$E$32:$BL$32))</f>
        <v>52016.779845163546</v>
      </c>
      <c r="Q41" s="398" cm="1">
        <f t="array" aca="1" ref="Q41" ca="1">SUMPRODUCT(Q$55:Q$114,TRANSPOSE(SAP_Speadsheet!$E$32:$BL$32))</f>
        <v>44843.607351828883</v>
      </c>
      <c r="R41" s="398" cm="1">
        <f t="array" aca="1" ref="R41" ca="1">SUMPRODUCT(R$55:R$114,TRANSPOSE(SAP_Speadsheet!$E$32:$BL$32))</f>
        <v>38820.556402171977</v>
      </c>
      <c r="S41" s="398" cm="1">
        <f t="array" aca="1" ref="S41" ca="1">SUMPRODUCT(S$55:S$114,TRANSPOSE(SAP_Speadsheet!$E$32:$BL$32))</f>
        <v>33215.226582518211</v>
      </c>
      <c r="T41" s="398" cm="1">
        <f t="array" aca="1" ref="T41" ca="1">SUMPRODUCT(T$55:T$114,TRANSPOSE(SAP_Speadsheet!$E$32:$BL$32))</f>
        <v>27999.007785786067</v>
      </c>
      <c r="U41" s="398" cm="1">
        <f t="array" aca="1" ref="U41" ca="1">SUMPRODUCT(U$55:U$114,TRANSPOSE(SAP_Speadsheet!$E$32:$BL$32))</f>
        <v>23162.149254177137</v>
      </c>
      <c r="V41" s="398" cm="1">
        <f t="array" aca="1" ref="V41" ca="1">SUMPRODUCT(V$55:V$114,TRANSPOSE(SAP_Speadsheet!$E$32:$BL$32))</f>
        <v>18654.930913822187</v>
      </c>
      <c r="W41" s="398" cm="1">
        <f t="array" aca="1" ref="W41" ca="1">SUMPRODUCT(W$55:W$114,TRANSPOSE(SAP_Speadsheet!$E$32:$BL$32))</f>
        <v>14446.756010493888</v>
      </c>
      <c r="X41" s="398" cm="1">
        <f t="array" aca="1" ref="X41" ca="1">SUMPRODUCT(X$55:X$114,TRANSPOSE(SAP_Speadsheet!$E$32:$BL$32))</f>
        <v>10531.942924732351</v>
      </c>
      <c r="Y41" s="398" cm="1">
        <f t="array" aca="1" ref="Y41" ca="1">SUMPRODUCT(Y$55:Y$114,TRANSPOSE(SAP_Speadsheet!$E$32:$BL$32))</f>
        <v>6899.2030224209775</v>
      </c>
      <c r="Z41" s="398" cm="1">
        <f t="array" aca="1" ref="Z41" ca="1">SUMPRODUCT(Z$55:Z$114,TRANSPOSE(SAP_Speadsheet!$E$32:$BL$32))</f>
        <v>3506.8874177639959</v>
      </c>
      <c r="AA41" s="398" cm="1">
        <f t="array" aca="1" ref="AA41" ca="1">SUMPRODUCT(AA$55:AA$114,TRANSPOSE(SAP_Speadsheet!$E$32:$BL$32))</f>
        <v>1260.6891610947778</v>
      </c>
      <c r="AB41" s="398" cm="1">
        <f t="array" aca="1" ref="AB41" ca="1">SUMPRODUCT(AB$55:AB$114,TRANSPOSE(SAP_Speadsheet!$E$32:$BL$32))</f>
        <v>0</v>
      </c>
      <c r="AC41" s="398" cm="1">
        <f t="array" aca="1" ref="AC41" ca="1">SUMPRODUCT(AC$55:AC$114,TRANSPOSE(SAP_Speadsheet!$E$32:$BL$32))</f>
        <v>0</v>
      </c>
      <c r="AD41" s="398" cm="1">
        <f t="array" aca="1" ref="AD41" ca="1">SUMPRODUCT(AD$55:AD$114,TRANSPOSE(SAP_Speadsheet!$E$32:$BL$32))</f>
        <v>0</v>
      </c>
      <c r="AE41" s="398" cm="1">
        <f t="array" aca="1" ref="AE41" ca="1">SUMPRODUCT(AE$55:AE$114,TRANSPOSE(SAP_Speadsheet!$E$32:$BL$32))</f>
        <v>0</v>
      </c>
      <c r="AF41" s="398" cm="1">
        <f t="array" aca="1" ref="AF41" ca="1">SUMPRODUCT(AF$55:AF$114,TRANSPOSE(SAP_Speadsheet!$E$32:$BL$32))</f>
        <v>0</v>
      </c>
      <c r="AG41" s="398" cm="1">
        <f t="array" aca="1" ref="AG41" ca="1">SUMPRODUCT(AG$55:AG$114,TRANSPOSE(SAP_Speadsheet!$E$32:$BL$32))</f>
        <v>0</v>
      </c>
      <c r="AH41" s="398" cm="1">
        <f t="array" aca="1" ref="AH41" ca="1">SUMPRODUCT(AH$55:AH$114,TRANSPOSE(SAP_Speadsheet!$E$32:$BL$32))</f>
        <v>0</v>
      </c>
      <c r="AI41" s="398" cm="1">
        <f t="array" aca="1" ref="AI41" ca="1">SUMPRODUCT(AI$55:AI$114,TRANSPOSE(SAP_Speadsheet!$E$32:$BL$32))</f>
        <v>0</v>
      </c>
      <c r="AJ41" s="398" cm="1">
        <f t="array" aca="1" ref="AJ41" ca="1">SUMPRODUCT(AJ$55:AJ$114,TRANSPOSE(SAP_Speadsheet!$E$32:$BL$32))</f>
        <v>0</v>
      </c>
      <c r="AK41" s="398" cm="1">
        <f t="array" aca="1" ref="AK41" ca="1">SUMPRODUCT(AK$55:AK$114,TRANSPOSE(SAP_Speadsheet!$E$32:$BL$32))</f>
        <v>0</v>
      </c>
      <c r="AL41" s="398" cm="1">
        <f t="array" aca="1" ref="AL41" ca="1">SUMPRODUCT(AL$55:AL$114,TRANSPOSE(SAP_Speadsheet!$E$32:$BL$32))</f>
        <v>0</v>
      </c>
      <c r="AM41" s="398" cm="1">
        <f t="array" aca="1" ref="AM41" ca="1">SUMPRODUCT(AM$55:AM$114,TRANSPOSE(SAP_Speadsheet!$E$32:$BL$32))</f>
        <v>0</v>
      </c>
      <c r="AN41" s="398" cm="1">
        <f t="array" aca="1" ref="AN41" ca="1">SUMPRODUCT(AN$55:AN$114,TRANSPOSE(SAP_Speadsheet!$E$32:$BL$32))</f>
        <v>0</v>
      </c>
      <c r="AO41" s="398" cm="1">
        <f t="array" aca="1" ref="AO41" ca="1">SUMPRODUCT(AO$55:AO$114,TRANSPOSE(SAP_Speadsheet!$E$32:$BL$32))</f>
        <v>0</v>
      </c>
      <c r="AP41" s="398" cm="1">
        <f t="array" aca="1" ref="AP41" ca="1">SUMPRODUCT(AP$55:AP$114,TRANSPOSE(SAP_Speadsheet!$E$32:$BL$32))</f>
        <v>0</v>
      </c>
      <c r="AQ41" s="398" cm="1">
        <f t="array" aca="1" ref="AQ41" ca="1">SUMPRODUCT(AQ$55:AQ$114,TRANSPOSE(SAP_Speadsheet!$E$32:$BL$32))</f>
        <v>0</v>
      </c>
      <c r="AR41" s="398" cm="1">
        <f t="array" aca="1" ref="AR41" ca="1">SUMPRODUCT(AR$55:AR$114,TRANSPOSE(SAP_Speadsheet!$E$32:$BL$32))</f>
        <v>0</v>
      </c>
      <c r="AS41" s="398" cm="1">
        <f t="array" aca="1" ref="AS41" ca="1">SUMPRODUCT(AS$55:AS$114,TRANSPOSE(SAP_Speadsheet!$E$32:$BL$32))</f>
        <v>0</v>
      </c>
      <c r="AT41" s="398" cm="1">
        <f t="array" aca="1" ref="AT41" ca="1">SUMPRODUCT(AT$55:AT$114,TRANSPOSE(SAP_Speadsheet!$E$32:$BL$32))</f>
        <v>0</v>
      </c>
      <c r="AU41" s="398" cm="1">
        <f t="array" aca="1" ref="AU41" ca="1">SUMPRODUCT(AU$55:AU$114,TRANSPOSE(SAP_Speadsheet!$E$32:$BL$32))</f>
        <v>0</v>
      </c>
      <c r="AV41" s="398" cm="1">
        <f t="array" aca="1" ref="AV41" ca="1">SUMPRODUCT(AV$55:AV$114,TRANSPOSE(SAP_Speadsheet!$E$32:$BL$32))</f>
        <v>0</v>
      </c>
      <c r="AW41" s="398" cm="1">
        <f t="array" aca="1" ref="AW41" ca="1">SUMPRODUCT(AW$55:AW$114,TRANSPOSE(SAP_Speadsheet!$E$32:$BL$32))</f>
        <v>0</v>
      </c>
      <c r="AX41" s="398" cm="1">
        <f t="array" aca="1" ref="AX41" ca="1">SUMPRODUCT(AX$55:AX$114,TRANSPOSE(SAP_Speadsheet!$E$32:$BL$32))</f>
        <v>0</v>
      </c>
      <c r="AY41" s="398" cm="1">
        <f t="array" aca="1" ref="AY41" ca="1">SUMPRODUCT(AY$55:AY$114,TRANSPOSE(SAP_Speadsheet!$E$32:$BL$32))</f>
        <v>0</v>
      </c>
      <c r="AZ41" s="398" cm="1">
        <f t="array" aca="1" ref="AZ41" ca="1">SUMPRODUCT(AZ$55:AZ$114,TRANSPOSE(SAP_Speadsheet!$E$32:$BL$32))</f>
        <v>0</v>
      </c>
      <c r="BA41" s="398" cm="1">
        <f t="array" aca="1" ref="BA41" ca="1">SUMPRODUCT(BA$55:BA$114,TRANSPOSE(SAP_Speadsheet!$E$32:$BL$32))</f>
        <v>0</v>
      </c>
      <c r="BB41" s="398" cm="1">
        <f t="array" aca="1" ref="BB41" ca="1">SUMPRODUCT(BB$55:BB$114,TRANSPOSE(SAP_Speadsheet!$E$32:$BL$32))</f>
        <v>0</v>
      </c>
      <c r="BC41" s="398" cm="1">
        <f t="array" aca="1" ref="BC41" ca="1">SUMPRODUCT(BC$55:BC$114,TRANSPOSE(SAP_Speadsheet!$E$32:$BL$32))</f>
        <v>0</v>
      </c>
      <c r="BD41" s="398" cm="1">
        <f t="array" aca="1" ref="BD41" ca="1">SUMPRODUCT(BD$55:BD$114,TRANSPOSE(SAP_Speadsheet!$E$32:$BL$32))</f>
        <v>0</v>
      </c>
      <c r="BE41" s="398" cm="1">
        <f t="array" aca="1" ref="BE41" ca="1">SUMPRODUCT(BE$55:BE$114,TRANSPOSE(SAP_Speadsheet!$E$32:$BL$32))</f>
        <v>0</v>
      </c>
      <c r="BF41" s="398" cm="1">
        <f t="array" aca="1" ref="BF41" ca="1">SUMPRODUCT(BF$55:BF$114,TRANSPOSE(SAP_Speadsheet!$E$32:$BL$32))</f>
        <v>0</v>
      </c>
      <c r="BG41" s="398" cm="1">
        <f t="array" aca="1" ref="BG41" ca="1">SUMPRODUCT(BG$55:BG$114,TRANSPOSE(SAP_Speadsheet!$E$32:$BL$32))</f>
        <v>0</v>
      </c>
      <c r="BH41" s="398" cm="1">
        <f t="array" aca="1" ref="BH41" ca="1">SUMPRODUCT(BH$55:BH$114,TRANSPOSE(SAP_Speadsheet!$E$32:$BL$32))</f>
        <v>0</v>
      </c>
      <c r="BI41" s="398" cm="1">
        <f t="array" aca="1" ref="BI41" ca="1">SUMPRODUCT(BI$55:BI$114,TRANSPOSE(SAP_Speadsheet!$E$32:$BL$32))</f>
        <v>0</v>
      </c>
    </row>
    <row r="42" spans="1:61" x14ac:dyDescent="0.15">
      <c r="A42" s="387" t="s">
        <v>406</v>
      </c>
      <c r="B42" s="398" cm="1">
        <f t="array" aca="1" ref="B42" ca="1">SUMPRODUCT(B$55:B$114,TRANSPOSE(SAP_Speadsheet!$E$33:$BL$33))</f>
        <v>0</v>
      </c>
      <c r="C42" s="398" cm="1">
        <f t="array" aca="1" ref="C42" ca="1">SUMPRODUCT(C$55:C$114,TRANSPOSE(SAP_Speadsheet!$E$33:$BL$33))</f>
        <v>0</v>
      </c>
      <c r="D42" s="398" cm="1">
        <f t="array" aca="1" ref="D42" ca="1">SUMPRODUCT(D$55:D$114,TRANSPOSE(SAP_Speadsheet!$E$33:$BL$33))</f>
        <v>0</v>
      </c>
      <c r="E42" s="398" cm="1">
        <f t="array" aca="1" ref="E42" ca="1">SUMPRODUCT(E$55:E$114,TRANSPOSE(SAP_Speadsheet!$E$33:$BL$33))</f>
        <v>0</v>
      </c>
      <c r="F42" s="398" cm="1">
        <f t="array" aca="1" ref="F42" ca="1">SUMPRODUCT(F$55:F$114,TRANSPOSE(SAP_Speadsheet!$E$33:$BL$33))</f>
        <v>0</v>
      </c>
      <c r="G42" s="398" cm="1">
        <f t="array" aca="1" ref="G42" ca="1">SUMPRODUCT(G$55:G$114,TRANSPOSE(SAP_Speadsheet!$E$33:$BL$33))</f>
        <v>0</v>
      </c>
      <c r="H42" s="398" cm="1">
        <f t="array" aca="1" ref="H42" ca="1">SUMPRODUCT(H$55:H$114,TRANSPOSE(SAP_Speadsheet!$E$33:$BL$33))</f>
        <v>0</v>
      </c>
      <c r="I42" s="398" cm="1">
        <f t="array" aca="1" ref="I42" ca="1">SUMPRODUCT(I$55:I$114,TRANSPOSE(SAP_Speadsheet!$E$33:$BL$33))</f>
        <v>0</v>
      </c>
      <c r="J42" s="398" cm="1">
        <f t="array" aca="1" ref="J42" ca="1">SUMPRODUCT(J$55:J$114,TRANSPOSE(SAP_Speadsheet!$E$33:$BL$33))</f>
        <v>0</v>
      </c>
      <c r="K42" s="398" cm="1">
        <f t="array" aca="1" ref="K42" ca="1">SUMPRODUCT(K$55:K$114,TRANSPOSE(SAP_Speadsheet!$E$33:$BL$33))</f>
        <v>0</v>
      </c>
      <c r="L42" s="398" cm="1">
        <f t="array" aca="1" ref="L42" ca="1">SUMPRODUCT(L$55:L$114,TRANSPOSE(SAP_Speadsheet!$E$33:$BL$33))</f>
        <v>0</v>
      </c>
      <c r="M42" s="398" cm="1">
        <f t="array" aca="1" ref="M42" ca="1">SUMPRODUCT(M$55:M$114,TRANSPOSE(SAP_Speadsheet!$E$33:$BL$33))</f>
        <v>27583.768938033121</v>
      </c>
      <c r="N42" s="398" cm="1">
        <f t="array" aca="1" ref="N42" ca="1">SUMPRODUCT(N$55:N$114,TRANSPOSE(SAP_Speadsheet!$E$33:$BL$33))</f>
        <v>47140.829320627614</v>
      </c>
      <c r="O42" s="398" cm="1">
        <f t="array" aca="1" ref="O42" ca="1">SUMPRODUCT(O$55:O$114,TRANSPOSE(SAP_Speadsheet!$E$33:$BL$33))</f>
        <v>73542.822710122418</v>
      </c>
      <c r="P42" s="398" cm="1">
        <f t="array" aca="1" ref="P42" ca="1">SUMPRODUCT(P$55:P$114,TRANSPOSE(SAP_Speadsheet!$E$33:$BL$33))</f>
        <v>60375.700911632855</v>
      </c>
      <c r="Q42" s="398" cm="1">
        <f t="array" aca="1" ref="Q42" ca="1">SUMPRODUCT(Q$55:Q$114,TRANSPOSE(SAP_Speadsheet!$E$33:$BL$33))</f>
        <v>52016.779845163546</v>
      </c>
      <c r="R42" s="398" cm="1">
        <f t="array" aca="1" ref="R42" ca="1">SUMPRODUCT(R$55:R$114,TRANSPOSE(SAP_Speadsheet!$E$33:$BL$33))</f>
        <v>44843.607351828883</v>
      </c>
      <c r="S42" s="398" cm="1">
        <f t="array" aca="1" ref="S42" ca="1">SUMPRODUCT(S$55:S$114,TRANSPOSE(SAP_Speadsheet!$E$33:$BL$33))</f>
        <v>38820.556402171977</v>
      </c>
      <c r="T42" s="398" cm="1">
        <f t="array" aca="1" ref="T42" ca="1">SUMPRODUCT(T$55:T$114,TRANSPOSE(SAP_Speadsheet!$E$33:$BL$33))</f>
        <v>33215.226582518211</v>
      </c>
      <c r="U42" s="398" cm="1">
        <f t="array" aca="1" ref="U42" ca="1">SUMPRODUCT(U$55:U$114,TRANSPOSE(SAP_Speadsheet!$E$33:$BL$33))</f>
        <v>27999.007785786067</v>
      </c>
      <c r="V42" s="398" cm="1">
        <f t="array" aca="1" ref="V42" ca="1">SUMPRODUCT(V$55:V$114,TRANSPOSE(SAP_Speadsheet!$E$33:$BL$33))</f>
        <v>23162.149254177137</v>
      </c>
      <c r="W42" s="398" cm="1">
        <f t="array" aca="1" ref="W42" ca="1">SUMPRODUCT(W$55:W$114,TRANSPOSE(SAP_Speadsheet!$E$33:$BL$33))</f>
        <v>18654.930913822187</v>
      </c>
      <c r="X42" s="398" cm="1">
        <f t="array" aca="1" ref="X42" ca="1">SUMPRODUCT(X$55:X$114,TRANSPOSE(SAP_Speadsheet!$E$33:$BL$33))</f>
        <v>14446.756010493888</v>
      </c>
      <c r="Y42" s="398" cm="1">
        <f t="array" aca="1" ref="Y42" ca="1">SUMPRODUCT(Y$55:Y$114,TRANSPOSE(SAP_Speadsheet!$E$33:$BL$33))</f>
        <v>10531.942924732351</v>
      </c>
      <c r="Z42" s="398" cm="1">
        <f t="array" aca="1" ref="Z42" ca="1">SUMPRODUCT(Z$55:Z$114,TRANSPOSE(SAP_Speadsheet!$E$33:$BL$33))</f>
        <v>6899.2030224209775</v>
      </c>
      <c r="AA42" s="398" cm="1">
        <f t="array" aca="1" ref="AA42" ca="1">SUMPRODUCT(AA$55:AA$114,TRANSPOSE(SAP_Speadsheet!$E$33:$BL$33))</f>
        <v>3506.8874177639959</v>
      </c>
      <c r="AB42" s="398" cm="1">
        <f t="array" aca="1" ref="AB42" ca="1">SUMPRODUCT(AB$55:AB$114,TRANSPOSE(SAP_Speadsheet!$E$33:$BL$33))</f>
        <v>1260.6891610947778</v>
      </c>
      <c r="AC42" s="398" cm="1">
        <f t="array" aca="1" ref="AC42" ca="1">SUMPRODUCT(AC$55:AC$114,TRANSPOSE(SAP_Speadsheet!$E$33:$BL$33))</f>
        <v>0</v>
      </c>
      <c r="AD42" s="398" cm="1">
        <f t="array" aca="1" ref="AD42" ca="1">SUMPRODUCT(AD$55:AD$114,TRANSPOSE(SAP_Speadsheet!$E$33:$BL$33))</f>
        <v>0</v>
      </c>
      <c r="AE42" s="398" cm="1">
        <f t="array" aca="1" ref="AE42" ca="1">SUMPRODUCT(AE$55:AE$114,TRANSPOSE(SAP_Speadsheet!$E$33:$BL$33))</f>
        <v>0</v>
      </c>
      <c r="AF42" s="398" cm="1">
        <f t="array" aca="1" ref="AF42" ca="1">SUMPRODUCT(AF$55:AF$114,TRANSPOSE(SAP_Speadsheet!$E$33:$BL$33))</f>
        <v>0</v>
      </c>
      <c r="AG42" s="398" cm="1">
        <f t="array" aca="1" ref="AG42" ca="1">SUMPRODUCT(AG$55:AG$114,TRANSPOSE(SAP_Speadsheet!$E$33:$BL$33))</f>
        <v>0</v>
      </c>
      <c r="AH42" s="398" cm="1">
        <f t="array" aca="1" ref="AH42" ca="1">SUMPRODUCT(AH$55:AH$114,TRANSPOSE(SAP_Speadsheet!$E$33:$BL$33))</f>
        <v>0</v>
      </c>
      <c r="AI42" s="398" cm="1">
        <f t="array" aca="1" ref="AI42" ca="1">SUMPRODUCT(AI$55:AI$114,TRANSPOSE(SAP_Speadsheet!$E$33:$BL$33))</f>
        <v>0</v>
      </c>
      <c r="AJ42" s="398" cm="1">
        <f t="array" aca="1" ref="AJ42" ca="1">SUMPRODUCT(AJ$55:AJ$114,TRANSPOSE(SAP_Speadsheet!$E$33:$BL$33))</f>
        <v>0</v>
      </c>
      <c r="AK42" s="398" cm="1">
        <f t="array" aca="1" ref="AK42" ca="1">SUMPRODUCT(AK$55:AK$114,TRANSPOSE(SAP_Speadsheet!$E$33:$BL$33))</f>
        <v>0</v>
      </c>
      <c r="AL42" s="398" cm="1">
        <f t="array" aca="1" ref="AL42" ca="1">SUMPRODUCT(AL$55:AL$114,TRANSPOSE(SAP_Speadsheet!$E$33:$BL$33))</f>
        <v>0</v>
      </c>
      <c r="AM42" s="398" cm="1">
        <f t="array" aca="1" ref="AM42" ca="1">SUMPRODUCT(AM$55:AM$114,TRANSPOSE(SAP_Speadsheet!$E$33:$BL$33))</f>
        <v>0</v>
      </c>
      <c r="AN42" s="398" cm="1">
        <f t="array" aca="1" ref="AN42" ca="1">SUMPRODUCT(AN$55:AN$114,TRANSPOSE(SAP_Speadsheet!$E$33:$BL$33))</f>
        <v>0</v>
      </c>
      <c r="AO42" s="398" cm="1">
        <f t="array" aca="1" ref="AO42" ca="1">SUMPRODUCT(AO$55:AO$114,TRANSPOSE(SAP_Speadsheet!$E$33:$BL$33))</f>
        <v>0</v>
      </c>
      <c r="AP42" s="398" cm="1">
        <f t="array" aca="1" ref="AP42" ca="1">SUMPRODUCT(AP$55:AP$114,TRANSPOSE(SAP_Speadsheet!$E$33:$BL$33))</f>
        <v>0</v>
      </c>
      <c r="AQ42" s="398" cm="1">
        <f t="array" aca="1" ref="AQ42" ca="1">SUMPRODUCT(AQ$55:AQ$114,TRANSPOSE(SAP_Speadsheet!$E$33:$BL$33))</f>
        <v>0</v>
      </c>
      <c r="AR42" s="398" cm="1">
        <f t="array" aca="1" ref="AR42" ca="1">SUMPRODUCT(AR$55:AR$114,TRANSPOSE(SAP_Speadsheet!$E$33:$BL$33))</f>
        <v>0</v>
      </c>
      <c r="AS42" s="398" cm="1">
        <f t="array" aca="1" ref="AS42" ca="1">SUMPRODUCT(AS$55:AS$114,TRANSPOSE(SAP_Speadsheet!$E$33:$BL$33))</f>
        <v>0</v>
      </c>
      <c r="AT42" s="398" cm="1">
        <f t="array" aca="1" ref="AT42" ca="1">SUMPRODUCT(AT$55:AT$114,TRANSPOSE(SAP_Speadsheet!$E$33:$BL$33))</f>
        <v>0</v>
      </c>
      <c r="AU42" s="398" cm="1">
        <f t="array" aca="1" ref="AU42" ca="1">SUMPRODUCT(AU$55:AU$114,TRANSPOSE(SAP_Speadsheet!$E$33:$BL$33))</f>
        <v>0</v>
      </c>
      <c r="AV42" s="398" cm="1">
        <f t="array" aca="1" ref="AV42" ca="1">SUMPRODUCT(AV$55:AV$114,TRANSPOSE(SAP_Speadsheet!$E$33:$BL$33))</f>
        <v>0</v>
      </c>
      <c r="AW42" s="398" cm="1">
        <f t="array" aca="1" ref="AW42" ca="1">SUMPRODUCT(AW$55:AW$114,TRANSPOSE(SAP_Speadsheet!$E$33:$BL$33))</f>
        <v>0</v>
      </c>
      <c r="AX42" s="398" cm="1">
        <f t="array" aca="1" ref="AX42" ca="1">SUMPRODUCT(AX$55:AX$114,TRANSPOSE(SAP_Speadsheet!$E$33:$BL$33))</f>
        <v>0</v>
      </c>
      <c r="AY42" s="398" cm="1">
        <f t="array" aca="1" ref="AY42" ca="1">SUMPRODUCT(AY$55:AY$114,TRANSPOSE(SAP_Speadsheet!$E$33:$BL$33))</f>
        <v>0</v>
      </c>
      <c r="AZ42" s="398" cm="1">
        <f t="array" aca="1" ref="AZ42" ca="1">SUMPRODUCT(AZ$55:AZ$114,TRANSPOSE(SAP_Speadsheet!$E$33:$BL$33))</f>
        <v>0</v>
      </c>
      <c r="BA42" s="398" cm="1">
        <f t="array" aca="1" ref="BA42" ca="1">SUMPRODUCT(BA$55:BA$114,TRANSPOSE(SAP_Speadsheet!$E$33:$BL$33))</f>
        <v>0</v>
      </c>
      <c r="BB42" s="398" cm="1">
        <f t="array" aca="1" ref="BB42" ca="1">SUMPRODUCT(BB$55:BB$114,TRANSPOSE(SAP_Speadsheet!$E$33:$BL$33))</f>
        <v>0</v>
      </c>
      <c r="BC42" s="398" cm="1">
        <f t="array" aca="1" ref="BC42" ca="1">SUMPRODUCT(BC$55:BC$114,TRANSPOSE(SAP_Speadsheet!$E$33:$BL$33))</f>
        <v>0</v>
      </c>
      <c r="BD42" s="398" cm="1">
        <f t="array" aca="1" ref="BD42" ca="1">SUMPRODUCT(BD$55:BD$114,TRANSPOSE(SAP_Speadsheet!$E$33:$BL$33))</f>
        <v>0</v>
      </c>
      <c r="BE42" s="398" cm="1">
        <f t="array" aca="1" ref="BE42" ca="1">SUMPRODUCT(BE$55:BE$114,TRANSPOSE(SAP_Speadsheet!$E$33:$BL$33))</f>
        <v>0</v>
      </c>
      <c r="BF42" s="398" cm="1">
        <f t="array" aca="1" ref="BF42" ca="1">SUMPRODUCT(BF$55:BF$114,TRANSPOSE(SAP_Speadsheet!$E$33:$BL$33))</f>
        <v>0</v>
      </c>
      <c r="BG42" s="398" cm="1">
        <f t="array" aca="1" ref="BG42" ca="1">SUMPRODUCT(BG$55:BG$114,TRANSPOSE(SAP_Speadsheet!$E$33:$BL$33))</f>
        <v>0</v>
      </c>
      <c r="BH42" s="398" cm="1">
        <f t="array" aca="1" ref="BH42" ca="1">SUMPRODUCT(BH$55:BH$114,TRANSPOSE(SAP_Speadsheet!$E$33:$BL$33))</f>
        <v>0</v>
      </c>
      <c r="BI42" s="398" cm="1">
        <f t="array" aca="1" ref="BI42" ca="1">SUMPRODUCT(BI$55:BI$114,TRANSPOSE(SAP_Speadsheet!$E$33:$BL$33))</f>
        <v>0</v>
      </c>
    </row>
    <row r="43" spans="1:61" x14ac:dyDescent="0.15">
      <c r="A43" s="387" t="s">
        <v>408</v>
      </c>
      <c r="B43" s="398" cm="1">
        <f t="array" aca="1" ref="B43" ca="1">SUMPRODUCT(B$55:B$114,TRANSPOSE(SAP_Speadsheet!$E$34:$BL$34))</f>
        <v>0</v>
      </c>
      <c r="C43" s="398" cm="1">
        <f t="array" aca="1" ref="C43" ca="1">SUMPRODUCT(C$55:C$114,TRANSPOSE(SAP_Speadsheet!$E$34:$BL$34))</f>
        <v>0</v>
      </c>
      <c r="D43" s="398" cm="1">
        <f t="array" aca="1" ref="D43" ca="1">SUMPRODUCT(D$55:D$114,TRANSPOSE(SAP_Speadsheet!$E$34:$BL$34))</f>
        <v>0</v>
      </c>
      <c r="E43" s="398" cm="1">
        <f t="array" aca="1" ref="E43" ca="1">SUMPRODUCT(E$55:E$114,TRANSPOSE(SAP_Speadsheet!$E$34:$BL$34))</f>
        <v>0</v>
      </c>
      <c r="F43" s="398" cm="1">
        <f t="array" aca="1" ref="F43" ca="1">SUMPRODUCT(F$55:F$114,TRANSPOSE(SAP_Speadsheet!$E$34:$BL$34))</f>
        <v>0</v>
      </c>
      <c r="G43" s="398" cm="1">
        <f t="array" aca="1" ref="G43" ca="1">SUMPRODUCT(G$55:G$114,TRANSPOSE(SAP_Speadsheet!$E$34:$BL$34))</f>
        <v>0</v>
      </c>
      <c r="H43" s="398" cm="1">
        <f t="array" aca="1" ref="H43" ca="1">SUMPRODUCT(H$55:H$114,TRANSPOSE(SAP_Speadsheet!$E$34:$BL$34))</f>
        <v>0</v>
      </c>
      <c r="I43" s="398" cm="1">
        <f t="array" aca="1" ref="I43" ca="1">SUMPRODUCT(I$55:I$114,TRANSPOSE(SAP_Speadsheet!$E$34:$BL$34))</f>
        <v>0</v>
      </c>
      <c r="J43" s="398" cm="1">
        <f t="array" aca="1" ref="J43" ca="1">SUMPRODUCT(J$55:J$114,TRANSPOSE(SAP_Speadsheet!$E$34:$BL$34))</f>
        <v>0</v>
      </c>
      <c r="K43" s="398" cm="1">
        <f t="array" aca="1" ref="K43" ca="1">SUMPRODUCT(K$55:K$114,TRANSPOSE(SAP_Speadsheet!$E$34:$BL$34))</f>
        <v>0</v>
      </c>
      <c r="L43" s="398" cm="1">
        <f t="array" aca="1" ref="L43" ca="1">SUMPRODUCT(L$55:L$114,TRANSPOSE(SAP_Speadsheet!$E$34:$BL$34))</f>
        <v>0</v>
      </c>
      <c r="M43" s="398" cm="1">
        <f t="array" aca="1" ref="M43" ca="1">SUMPRODUCT(M$55:M$114,TRANSPOSE(SAP_Speadsheet!$E$34:$BL$34))</f>
        <v>0</v>
      </c>
      <c r="N43" s="398" cm="1">
        <f t="array" aca="1" ref="N43" ca="1">SUMPRODUCT(N$55:N$114,TRANSPOSE(SAP_Speadsheet!$E$34:$BL$34))</f>
        <v>26756.255869892128</v>
      </c>
      <c r="O43" s="398" cm="1">
        <f t="array" aca="1" ref="O43" ca="1">SUMPRODUCT(O$55:O$114,TRANSPOSE(SAP_Speadsheet!$E$34:$BL$34))</f>
        <v>45726.604441008785</v>
      </c>
      <c r="P43" s="398" cm="1">
        <f t="array" aca="1" ref="P43" ca="1">SUMPRODUCT(P$55:P$114,TRANSPOSE(SAP_Speadsheet!$E$34:$BL$34))</f>
        <v>71336.53802881873</v>
      </c>
      <c r="Q43" s="398" cm="1">
        <f t="array" aca="1" ref="Q43" ca="1">SUMPRODUCT(Q$55:Q$114,TRANSPOSE(SAP_Speadsheet!$E$34:$BL$34))</f>
        <v>58564.429884283876</v>
      </c>
      <c r="R43" s="398" cm="1">
        <f t="array" aca="1" ref="R43" ca="1">SUMPRODUCT(R$55:R$114,TRANSPOSE(SAP_Speadsheet!$E$34:$BL$34))</f>
        <v>50456.27644980864</v>
      </c>
      <c r="S43" s="398" cm="1">
        <f t="array" aca="1" ref="S43" ca="1">SUMPRODUCT(S$55:S$114,TRANSPOSE(SAP_Speadsheet!$E$34:$BL$34))</f>
        <v>43498.299131274012</v>
      </c>
      <c r="T43" s="398" cm="1">
        <f t="array" aca="1" ref="T43" ca="1">SUMPRODUCT(T$55:T$114,TRANSPOSE(SAP_Speadsheet!$E$34:$BL$34))</f>
        <v>37655.939710106817</v>
      </c>
      <c r="U43" s="398" cm="1">
        <f t="array" aca="1" ref="U43" ca="1">SUMPRODUCT(U$55:U$114,TRANSPOSE(SAP_Speadsheet!$E$34:$BL$34))</f>
        <v>32218.769785042663</v>
      </c>
      <c r="V43" s="398" cm="1">
        <f t="array" aca="1" ref="V43" ca="1">SUMPRODUCT(V$55:V$114,TRANSPOSE(SAP_Speadsheet!$E$34:$BL$34))</f>
        <v>27159.037552212489</v>
      </c>
      <c r="W43" s="398" cm="1">
        <f t="array" aca="1" ref="W43" ca="1">SUMPRODUCT(W$55:W$114,TRANSPOSE(SAP_Speadsheet!$E$34:$BL$34))</f>
        <v>22467.28477655182</v>
      </c>
      <c r="X43" s="398" cm="1">
        <f t="array" aca="1" ref="X43" ca="1">SUMPRODUCT(X$55:X$114,TRANSPOSE(SAP_Speadsheet!$E$34:$BL$34))</f>
        <v>18095.282986407521</v>
      </c>
      <c r="Y43" s="398" cm="1">
        <f t="array" aca="1" ref="Y43" ca="1">SUMPRODUCT(Y$55:Y$114,TRANSPOSE(SAP_Speadsheet!$E$34:$BL$34))</f>
        <v>14013.353330179069</v>
      </c>
      <c r="Z43" s="398" cm="1">
        <f t="array" aca="1" ref="Z43" ca="1">SUMPRODUCT(Z$55:Z$114,TRANSPOSE(SAP_Speadsheet!$E$34:$BL$34))</f>
        <v>10215.984636990381</v>
      </c>
      <c r="AA43" s="398" cm="1">
        <f t="array" aca="1" ref="AA43" ca="1">SUMPRODUCT(AA$55:AA$114,TRANSPOSE(SAP_Speadsheet!$E$34:$BL$34))</f>
        <v>6692.2269317483479</v>
      </c>
      <c r="AB43" s="398" cm="1">
        <f t="array" aca="1" ref="AB43" ca="1">SUMPRODUCT(AB$55:AB$114,TRANSPOSE(SAP_Speadsheet!$E$34:$BL$34))</f>
        <v>3401.6807952310755</v>
      </c>
      <c r="AC43" s="398" cm="1">
        <f t="array" aca="1" ref="AC43" ca="1">SUMPRODUCT(AC$55:AC$114,TRANSPOSE(SAP_Speadsheet!$E$34:$BL$34))</f>
        <v>1222.8684862619343</v>
      </c>
      <c r="AD43" s="398" cm="1">
        <f t="array" aca="1" ref="AD43" ca="1">SUMPRODUCT(AD$55:AD$114,TRANSPOSE(SAP_Speadsheet!$E$34:$BL$34))</f>
        <v>0</v>
      </c>
      <c r="AE43" s="398" cm="1">
        <f t="array" aca="1" ref="AE43" ca="1">SUMPRODUCT(AE$55:AE$114,TRANSPOSE(SAP_Speadsheet!$E$34:$BL$34))</f>
        <v>0</v>
      </c>
      <c r="AF43" s="398" cm="1">
        <f t="array" aca="1" ref="AF43" ca="1">SUMPRODUCT(AF$55:AF$114,TRANSPOSE(SAP_Speadsheet!$E$34:$BL$34))</f>
        <v>0</v>
      </c>
      <c r="AG43" s="398" cm="1">
        <f t="array" aca="1" ref="AG43" ca="1">SUMPRODUCT(AG$55:AG$114,TRANSPOSE(SAP_Speadsheet!$E$34:$BL$34))</f>
        <v>0</v>
      </c>
      <c r="AH43" s="398" cm="1">
        <f t="array" aca="1" ref="AH43" ca="1">SUMPRODUCT(AH$55:AH$114,TRANSPOSE(SAP_Speadsheet!$E$34:$BL$34))</f>
        <v>0</v>
      </c>
      <c r="AI43" s="398" cm="1">
        <f t="array" aca="1" ref="AI43" ca="1">SUMPRODUCT(AI$55:AI$114,TRANSPOSE(SAP_Speadsheet!$E$34:$BL$34))</f>
        <v>0</v>
      </c>
      <c r="AJ43" s="398" cm="1">
        <f t="array" aca="1" ref="AJ43" ca="1">SUMPRODUCT(AJ$55:AJ$114,TRANSPOSE(SAP_Speadsheet!$E$34:$BL$34))</f>
        <v>0</v>
      </c>
      <c r="AK43" s="398" cm="1">
        <f t="array" aca="1" ref="AK43" ca="1">SUMPRODUCT(AK$55:AK$114,TRANSPOSE(SAP_Speadsheet!$E$34:$BL$34))</f>
        <v>0</v>
      </c>
      <c r="AL43" s="398" cm="1">
        <f t="array" aca="1" ref="AL43" ca="1">SUMPRODUCT(AL$55:AL$114,TRANSPOSE(SAP_Speadsheet!$E$34:$BL$34))</f>
        <v>0</v>
      </c>
      <c r="AM43" s="398" cm="1">
        <f t="array" aca="1" ref="AM43" ca="1">SUMPRODUCT(AM$55:AM$114,TRANSPOSE(SAP_Speadsheet!$E$34:$BL$34))</f>
        <v>0</v>
      </c>
      <c r="AN43" s="398" cm="1">
        <f t="array" aca="1" ref="AN43" ca="1">SUMPRODUCT(AN$55:AN$114,TRANSPOSE(SAP_Speadsheet!$E$34:$BL$34))</f>
        <v>0</v>
      </c>
      <c r="AO43" s="398" cm="1">
        <f t="array" aca="1" ref="AO43" ca="1">SUMPRODUCT(AO$55:AO$114,TRANSPOSE(SAP_Speadsheet!$E$34:$BL$34))</f>
        <v>0</v>
      </c>
      <c r="AP43" s="398" cm="1">
        <f t="array" aca="1" ref="AP43" ca="1">SUMPRODUCT(AP$55:AP$114,TRANSPOSE(SAP_Speadsheet!$E$34:$BL$34))</f>
        <v>0</v>
      </c>
      <c r="AQ43" s="398" cm="1">
        <f t="array" aca="1" ref="AQ43" ca="1">SUMPRODUCT(AQ$55:AQ$114,TRANSPOSE(SAP_Speadsheet!$E$34:$BL$34))</f>
        <v>0</v>
      </c>
      <c r="AR43" s="398" cm="1">
        <f t="array" aca="1" ref="AR43" ca="1">SUMPRODUCT(AR$55:AR$114,TRANSPOSE(SAP_Speadsheet!$E$34:$BL$34))</f>
        <v>0</v>
      </c>
      <c r="AS43" s="398" cm="1">
        <f t="array" aca="1" ref="AS43" ca="1">SUMPRODUCT(AS$55:AS$114,TRANSPOSE(SAP_Speadsheet!$E$34:$BL$34))</f>
        <v>0</v>
      </c>
      <c r="AT43" s="398" cm="1">
        <f t="array" aca="1" ref="AT43" ca="1">SUMPRODUCT(AT$55:AT$114,TRANSPOSE(SAP_Speadsheet!$E$34:$BL$34))</f>
        <v>0</v>
      </c>
      <c r="AU43" s="398" cm="1">
        <f t="array" aca="1" ref="AU43" ca="1">SUMPRODUCT(AU$55:AU$114,TRANSPOSE(SAP_Speadsheet!$E$34:$BL$34))</f>
        <v>0</v>
      </c>
      <c r="AV43" s="398" cm="1">
        <f t="array" aca="1" ref="AV43" ca="1">SUMPRODUCT(AV$55:AV$114,TRANSPOSE(SAP_Speadsheet!$E$34:$BL$34))</f>
        <v>0</v>
      </c>
      <c r="AW43" s="398" cm="1">
        <f t="array" aca="1" ref="AW43" ca="1">SUMPRODUCT(AW$55:AW$114,TRANSPOSE(SAP_Speadsheet!$E$34:$BL$34))</f>
        <v>0</v>
      </c>
      <c r="AX43" s="398" cm="1">
        <f t="array" aca="1" ref="AX43" ca="1">SUMPRODUCT(AX$55:AX$114,TRANSPOSE(SAP_Speadsheet!$E$34:$BL$34))</f>
        <v>0</v>
      </c>
      <c r="AY43" s="398" cm="1">
        <f t="array" aca="1" ref="AY43" ca="1">SUMPRODUCT(AY$55:AY$114,TRANSPOSE(SAP_Speadsheet!$E$34:$BL$34))</f>
        <v>0</v>
      </c>
      <c r="AZ43" s="398" cm="1">
        <f t="array" aca="1" ref="AZ43" ca="1">SUMPRODUCT(AZ$55:AZ$114,TRANSPOSE(SAP_Speadsheet!$E$34:$BL$34))</f>
        <v>0</v>
      </c>
      <c r="BA43" s="398" cm="1">
        <f t="array" aca="1" ref="BA43" ca="1">SUMPRODUCT(BA$55:BA$114,TRANSPOSE(SAP_Speadsheet!$E$34:$BL$34))</f>
        <v>0</v>
      </c>
      <c r="BB43" s="398" cm="1">
        <f t="array" aca="1" ref="BB43" ca="1">SUMPRODUCT(BB$55:BB$114,TRANSPOSE(SAP_Speadsheet!$E$34:$BL$34))</f>
        <v>0</v>
      </c>
      <c r="BC43" s="398" cm="1">
        <f t="array" aca="1" ref="BC43" ca="1">SUMPRODUCT(BC$55:BC$114,TRANSPOSE(SAP_Speadsheet!$E$34:$BL$34))</f>
        <v>0</v>
      </c>
      <c r="BD43" s="398" cm="1">
        <f t="array" aca="1" ref="BD43" ca="1">SUMPRODUCT(BD$55:BD$114,TRANSPOSE(SAP_Speadsheet!$E$34:$BL$34))</f>
        <v>0</v>
      </c>
      <c r="BE43" s="398" cm="1">
        <f t="array" aca="1" ref="BE43" ca="1">SUMPRODUCT(BE$55:BE$114,TRANSPOSE(SAP_Speadsheet!$E$34:$BL$34))</f>
        <v>0</v>
      </c>
      <c r="BF43" s="398" cm="1">
        <f t="array" aca="1" ref="BF43" ca="1">SUMPRODUCT(BF$55:BF$114,TRANSPOSE(SAP_Speadsheet!$E$34:$BL$34))</f>
        <v>0</v>
      </c>
      <c r="BG43" s="398" cm="1">
        <f t="array" aca="1" ref="BG43" ca="1">SUMPRODUCT(BG$55:BG$114,TRANSPOSE(SAP_Speadsheet!$E$34:$BL$34))</f>
        <v>0</v>
      </c>
      <c r="BH43" s="398" cm="1">
        <f t="array" aca="1" ref="BH43" ca="1">SUMPRODUCT(BH$55:BH$114,TRANSPOSE(SAP_Speadsheet!$E$34:$BL$34))</f>
        <v>0</v>
      </c>
      <c r="BI43" s="398" cm="1">
        <f t="array" aca="1" ref="BI43" ca="1">SUMPRODUCT(BI$55:BI$114,TRANSPOSE(SAP_Speadsheet!$E$34:$BL$34))</f>
        <v>0</v>
      </c>
    </row>
    <row r="44" spans="1:61" x14ac:dyDescent="0.15">
      <c r="A44" s="387" t="s">
        <v>409</v>
      </c>
      <c r="B44" s="398" cm="1">
        <f t="array" aca="1" ref="B44" ca="1">SUMPRODUCT(B$55:B$114,TRANSPOSE(SAP_Speadsheet!$E$35:$BL$35))</f>
        <v>0</v>
      </c>
      <c r="C44" s="398" cm="1">
        <f t="array" aca="1" ref="C44" ca="1">SUMPRODUCT(C$55:C$114,TRANSPOSE(SAP_Speadsheet!$E$35:$BL$35))</f>
        <v>0</v>
      </c>
      <c r="D44" s="398" cm="1">
        <f t="array" aca="1" ref="D44" ca="1">SUMPRODUCT(D$55:D$114,TRANSPOSE(SAP_Speadsheet!$E$35:$BL$35))</f>
        <v>0</v>
      </c>
      <c r="E44" s="398" cm="1">
        <f t="array" aca="1" ref="E44" ca="1">SUMPRODUCT(E$55:E$114,TRANSPOSE(SAP_Speadsheet!$E$35:$BL$35))</f>
        <v>0</v>
      </c>
      <c r="F44" s="398" cm="1">
        <f t="array" aca="1" ref="F44" ca="1">SUMPRODUCT(F$55:F$114,TRANSPOSE(SAP_Speadsheet!$E$35:$BL$35))</f>
        <v>0</v>
      </c>
      <c r="G44" s="398" cm="1">
        <f t="array" aca="1" ref="G44" ca="1">SUMPRODUCT(G$55:G$114,TRANSPOSE(SAP_Speadsheet!$E$35:$BL$35))</f>
        <v>0</v>
      </c>
      <c r="H44" s="398" cm="1">
        <f t="array" aca="1" ref="H44" ca="1">SUMPRODUCT(H$55:H$114,TRANSPOSE(SAP_Speadsheet!$E$35:$BL$35))</f>
        <v>0</v>
      </c>
      <c r="I44" s="398" cm="1">
        <f t="array" aca="1" ref="I44" ca="1">SUMPRODUCT(I$55:I$114,TRANSPOSE(SAP_Speadsheet!$E$35:$BL$35))</f>
        <v>0</v>
      </c>
      <c r="J44" s="398" cm="1">
        <f t="array" aca="1" ref="J44" ca="1">SUMPRODUCT(J$55:J$114,TRANSPOSE(SAP_Speadsheet!$E$35:$BL$35))</f>
        <v>0</v>
      </c>
      <c r="K44" s="398" cm="1">
        <f t="array" aca="1" ref="K44" ca="1">SUMPRODUCT(K$55:K$114,TRANSPOSE(SAP_Speadsheet!$E$35:$BL$35))</f>
        <v>0</v>
      </c>
      <c r="L44" s="398" cm="1">
        <f t="array" aca="1" ref="L44" ca="1">SUMPRODUCT(L$55:L$114,TRANSPOSE(SAP_Speadsheet!$E$35:$BL$35))</f>
        <v>0</v>
      </c>
      <c r="M44" s="398" cm="1">
        <f t="array" aca="1" ref="M44" ca="1">SUMPRODUCT(M$55:M$114,TRANSPOSE(SAP_Speadsheet!$E$35:$BL$35))</f>
        <v>0</v>
      </c>
      <c r="N44" s="398" cm="1">
        <f t="array" aca="1" ref="N44" ca="1">SUMPRODUCT(N$55:N$114,TRANSPOSE(SAP_Speadsheet!$E$35:$BL$35))</f>
        <v>0</v>
      </c>
      <c r="O44" s="398" cm="1">
        <f t="array" aca="1" ref="O44" ca="1">SUMPRODUCT(O$55:O$114,TRANSPOSE(SAP_Speadsheet!$E$35:$BL$35))</f>
        <v>26221.130752494286</v>
      </c>
      <c r="P44" s="398" cm="1">
        <f t="array" aca="1" ref="P44" ca="1">SUMPRODUCT(P$55:P$114,TRANSPOSE(SAP_Speadsheet!$E$35:$BL$35))</f>
        <v>44812.07235218861</v>
      </c>
      <c r="Q44" s="398" cm="1">
        <f t="array" aca="1" ref="Q44" ca="1">SUMPRODUCT(Q$55:Q$114,TRANSPOSE(SAP_Speadsheet!$E$35:$BL$35))</f>
        <v>69909.807268242352</v>
      </c>
      <c r="R44" s="398" cm="1">
        <f t="array" aca="1" ref="R44" ca="1">SUMPRODUCT(R$55:R$114,TRANSPOSE(SAP_Speadsheet!$E$35:$BL$35))</f>
        <v>57393.141286598191</v>
      </c>
      <c r="S44" s="398" cm="1">
        <f t="array" aca="1" ref="S44" ca="1">SUMPRODUCT(S$55:S$114,TRANSPOSE(SAP_Speadsheet!$E$35:$BL$35))</f>
        <v>49447.15092081247</v>
      </c>
      <c r="T44" s="398" cm="1">
        <f t="array" aca="1" ref="T44" ca="1">SUMPRODUCT(T$55:T$114,TRANSPOSE(SAP_Speadsheet!$E$35:$BL$35))</f>
        <v>42628.333148648533</v>
      </c>
      <c r="U44" s="398" cm="1">
        <f t="array" aca="1" ref="U44" ca="1">SUMPRODUCT(U$55:U$114,TRANSPOSE(SAP_Speadsheet!$E$35:$BL$35))</f>
        <v>36902.820915904675</v>
      </c>
      <c r="V44" s="398" cm="1">
        <f t="array" aca="1" ref="V44" ca="1">SUMPRODUCT(V$55:V$114,TRANSPOSE(SAP_Speadsheet!$E$35:$BL$35))</f>
        <v>31574.394389341807</v>
      </c>
      <c r="W44" s="398" cm="1">
        <f t="array" aca="1" ref="W44" ca="1">SUMPRODUCT(W$55:W$114,TRANSPOSE(SAP_Speadsheet!$E$35:$BL$35))</f>
        <v>26615.856801168233</v>
      </c>
      <c r="X44" s="398" cm="1">
        <f t="array" aca="1" ref="X44" ca="1">SUMPRODUCT(X$55:X$114,TRANSPOSE(SAP_Speadsheet!$E$35:$BL$35))</f>
        <v>22017.939081020784</v>
      </c>
      <c r="Y44" s="398" cm="1">
        <f t="array" aca="1" ref="Y44" ca="1">SUMPRODUCT(Y$55:Y$114,TRANSPOSE(SAP_Speadsheet!$E$35:$BL$35))</f>
        <v>17733.377326679372</v>
      </c>
      <c r="Z44" s="398" cm="1">
        <f t="array" aca="1" ref="Z44" ca="1">SUMPRODUCT(Z$55:Z$114,TRANSPOSE(SAP_Speadsheet!$E$35:$BL$35))</f>
        <v>13733.086263575487</v>
      </c>
      <c r="AA44" s="398" cm="1">
        <f t="array" aca="1" ref="AA44" ca="1">SUMPRODUCT(AA$55:AA$114,TRANSPOSE(SAP_Speadsheet!$E$35:$BL$35))</f>
        <v>10011.664944250573</v>
      </c>
      <c r="AB44" s="398" cm="1">
        <f t="array" aca="1" ref="AB44" ca="1">SUMPRODUCT(AB$55:AB$114,TRANSPOSE(SAP_Speadsheet!$E$35:$BL$35))</f>
        <v>5614.1776688716527</v>
      </c>
      <c r="AC44" s="398" cm="1">
        <f t="array" aca="1" ref="AC44" ca="1">SUMPRODUCT(AC$55:AC$114,TRANSPOSE(SAP_Speadsheet!$E$35:$BL$35))</f>
        <v>2458.0009461278437</v>
      </c>
      <c r="AD44" s="398" cm="1">
        <f t="array" aca="1" ref="AD44" ca="1">SUMPRODUCT(AD$55:AD$114,TRANSPOSE(SAP_Speadsheet!$E$35:$BL$35))</f>
        <v>0</v>
      </c>
      <c r="AE44" s="398" cm="1">
        <f t="array" aca="1" ref="AE44" ca="1">SUMPRODUCT(AE$55:AE$114,TRANSPOSE(SAP_Speadsheet!$E$35:$BL$35))</f>
        <v>0</v>
      </c>
      <c r="AF44" s="398" cm="1">
        <f t="array" aca="1" ref="AF44" ca="1">SUMPRODUCT(AF$55:AF$114,TRANSPOSE(SAP_Speadsheet!$E$35:$BL$35))</f>
        <v>0</v>
      </c>
      <c r="AG44" s="398" cm="1">
        <f t="array" aca="1" ref="AG44" ca="1">SUMPRODUCT(AG$55:AG$114,TRANSPOSE(SAP_Speadsheet!$E$35:$BL$35))</f>
        <v>0</v>
      </c>
      <c r="AH44" s="398" cm="1">
        <f t="array" aca="1" ref="AH44" ca="1">SUMPRODUCT(AH$55:AH$114,TRANSPOSE(SAP_Speadsheet!$E$35:$BL$35))</f>
        <v>0</v>
      </c>
      <c r="AI44" s="398" cm="1">
        <f t="array" aca="1" ref="AI44" ca="1">SUMPRODUCT(AI$55:AI$114,TRANSPOSE(SAP_Speadsheet!$E$35:$BL$35))</f>
        <v>0</v>
      </c>
      <c r="AJ44" s="398" cm="1">
        <f t="array" aca="1" ref="AJ44" ca="1">SUMPRODUCT(AJ$55:AJ$114,TRANSPOSE(SAP_Speadsheet!$E$35:$BL$35))</f>
        <v>0</v>
      </c>
      <c r="AK44" s="398" cm="1">
        <f t="array" aca="1" ref="AK44" ca="1">SUMPRODUCT(AK$55:AK$114,TRANSPOSE(SAP_Speadsheet!$E$35:$BL$35))</f>
        <v>0</v>
      </c>
      <c r="AL44" s="398" cm="1">
        <f t="array" aca="1" ref="AL44" ca="1">SUMPRODUCT(AL$55:AL$114,TRANSPOSE(SAP_Speadsheet!$E$35:$BL$35))</f>
        <v>0</v>
      </c>
      <c r="AM44" s="398" cm="1">
        <f t="array" aca="1" ref="AM44" ca="1">SUMPRODUCT(AM$55:AM$114,TRANSPOSE(SAP_Speadsheet!$E$35:$BL$35))</f>
        <v>0</v>
      </c>
      <c r="AN44" s="398" cm="1">
        <f t="array" aca="1" ref="AN44" ca="1">SUMPRODUCT(AN$55:AN$114,TRANSPOSE(SAP_Speadsheet!$E$35:$BL$35))</f>
        <v>0</v>
      </c>
      <c r="AO44" s="398" cm="1">
        <f t="array" aca="1" ref="AO44" ca="1">SUMPRODUCT(AO$55:AO$114,TRANSPOSE(SAP_Speadsheet!$E$35:$BL$35))</f>
        <v>0</v>
      </c>
      <c r="AP44" s="398" cm="1">
        <f t="array" aca="1" ref="AP44" ca="1">SUMPRODUCT(AP$55:AP$114,TRANSPOSE(SAP_Speadsheet!$E$35:$BL$35))</f>
        <v>0</v>
      </c>
      <c r="AQ44" s="398" cm="1">
        <f t="array" aca="1" ref="AQ44" ca="1">SUMPRODUCT(AQ$55:AQ$114,TRANSPOSE(SAP_Speadsheet!$E$35:$BL$35))</f>
        <v>0</v>
      </c>
      <c r="AR44" s="398" cm="1">
        <f t="array" aca="1" ref="AR44" ca="1">SUMPRODUCT(AR$55:AR$114,TRANSPOSE(SAP_Speadsheet!$E$35:$BL$35))</f>
        <v>0</v>
      </c>
      <c r="AS44" s="398" cm="1">
        <f t="array" aca="1" ref="AS44" ca="1">SUMPRODUCT(AS$55:AS$114,TRANSPOSE(SAP_Speadsheet!$E$35:$BL$35))</f>
        <v>0</v>
      </c>
      <c r="AT44" s="398" cm="1">
        <f t="array" aca="1" ref="AT44" ca="1">SUMPRODUCT(AT$55:AT$114,TRANSPOSE(SAP_Speadsheet!$E$35:$BL$35))</f>
        <v>0</v>
      </c>
      <c r="AU44" s="398" cm="1">
        <f t="array" aca="1" ref="AU44" ca="1">SUMPRODUCT(AU$55:AU$114,TRANSPOSE(SAP_Speadsheet!$E$35:$BL$35))</f>
        <v>0</v>
      </c>
      <c r="AV44" s="398" cm="1">
        <f t="array" aca="1" ref="AV44" ca="1">SUMPRODUCT(AV$55:AV$114,TRANSPOSE(SAP_Speadsheet!$E$35:$BL$35))</f>
        <v>0</v>
      </c>
      <c r="AW44" s="398" cm="1">
        <f t="array" aca="1" ref="AW44" ca="1">SUMPRODUCT(AW$55:AW$114,TRANSPOSE(SAP_Speadsheet!$E$35:$BL$35))</f>
        <v>0</v>
      </c>
      <c r="AX44" s="398" cm="1">
        <f t="array" aca="1" ref="AX44" ca="1">SUMPRODUCT(AX$55:AX$114,TRANSPOSE(SAP_Speadsheet!$E$35:$BL$35))</f>
        <v>0</v>
      </c>
      <c r="AY44" s="398" cm="1">
        <f t="array" aca="1" ref="AY44" ca="1">SUMPRODUCT(AY$55:AY$114,TRANSPOSE(SAP_Speadsheet!$E$35:$BL$35))</f>
        <v>0</v>
      </c>
      <c r="AZ44" s="398" cm="1">
        <f t="array" aca="1" ref="AZ44" ca="1">SUMPRODUCT(AZ$55:AZ$114,TRANSPOSE(SAP_Speadsheet!$E$35:$BL$35))</f>
        <v>0</v>
      </c>
      <c r="BA44" s="398" cm="1">
        <f t="array" aca="1" ref="BA44" ca="1">SUMPRODUCT(BA$55:BA$114,TRANSPOSE(SAP_Speadsheet!$E$35:$BL$35))</f>
        <v>0</v>
      </c>
      <c r="BB44" s="398" cm="1">
        <f t="array" aca="1" ref="BB44" ca="1">SUMPRODUCT(BB$55:BB$114,TRANSPOSE(SAP_Speadsheet!$E$35:$BL$35))</f>
        <v>0</v>
      </c>
      <c r="BC44" s="398" cm="1">
        <f t="array" aca="1" ref="BC44" ca="1">SUMPRODUCT(BC$55:BC$114,TRANSPOSE(SAP_Speadsheet!$E$35:$BL$35))</f>
        <v>0</v>
      </c>
      <c r="BD44" s="398" cm="1">
        <f t="array" aca="1" ref="BD44" ca="1">SUMPRODUCT(BD$55:BD$114,TRANSPOSE(SAP_Speadsheet!$E$35:$BL$35))</f>
        <v>0</v>
      </c>
      <c r="BE44" s="398" cm="1">
        <f t="array" aca="1" ref="BE44" ca="1">SUMPRODUCT(BE$55:BE$114,TRANSPOSE(SAP_Speadsheet!$E$35:$BL$35))</f>
        <v>0</v>
      </c>
      <c r="BF44" s="398" cm="1">
        <f t="array" aca="1" ref="BF44" ca="1">SUMPRODUCT(BF$55:BF$114,TRANSPOSE(SAP_Speadsheet!$E$35:$BL$35))</f>
        <v>0</v>
      </c>
      <c r="BG44" s="398" cm="1">
        <f t="array" aca="1" ref="BG44" ca="1">SUMPRODUCT(BG$55:BG$114,TRANSPOSE(SAP_Speadsheet!$E$35:$BL$35))</f>
        <v>0</v>
      </c>
      <c r="BH44" s="398" cm="1">
        <f t="array" aca="1" ref="BH44" ca="1">SUMPRODUCT(BH$55:BH$114,TRANSPOSE(SAP_Speadsheet!$E$35:$BL$35))</f>
        <v>0</v>
      </c>
      <c r="BI44" s="398" cm="1">
        <f t="array" aca="1" ref="BI44" ca="1">SUMPRODUCT(BI$55:BI$114,TRANSPOSE(SAP_Speadsheet!$E$35:$BL$35))</f>
        <v>0</v>
      </c>
    </row>
    <row r="45" spans="1:61" x14ac:dyDescent="0.15">
      <c r="A45" s="387" t="s">
        <v>410</v>
      </c>
      <c r="B45" s="398" cm="1">
        <f t="array" aca="1" ref="B45" ca="1">SUMPRODUCT(B$55:B$114,TRANSPOSE(SAP_Speadsheet!$E$36:$BL$36))</f>
        <v>0</v>
      </c>
      <c r="C45" s="398" cm="1">
        <f t="array" aca="1" ref="C45" ca="1">SUMPRODUCT(C$55:C$114,TRANSPOSE(SAP_Speadsheet!$E$36:$BL$36))</f>
        <v>0</v>
      </c>
      <c r="D45" s="398" cm="1">
        <f t="array" aca="1" ref="D45" ca="1">SUMPRODUCT(D$55:D$114,TRANSPOSE(SAP_Speadsheet!$E$36:$BL$36))</f>
        <v>0</v>
      </c>
      <c r="E45" s="398" cm="1">
        <f t="array" aca="1" ref="E45" ca="1">SUMPRODUCT(E$55:E$114,TRANSPOSE(SAP_Speadsheet!$E$36:$BL$36))</f>
        <v>0</v>
      </c>
      <c r="F45" s="398" cm="1">
        <f t="array" aca="1" ref="F45" ca="1">SUMPRODUCT(F$55:F$114,TRANSPOSE(SAP_Speadsheet!$E$36:$BL$36))</f>
        <v>0</v>
      </c>
      <c r="G45" s="398" cm="1">
        <f t="array" aca="1" ref="G45" ca="1">SUMPRODUCT(G$55:G$114,TRANSPOSE(SAP_Speadsheet!$E$36:$BL$36))</f>
        <v>0</v>
      </c>
      <c r="H45" s="398" cm="1">
        <f t="array" aca="1" ref="H45" ca="1">SUMPRODUCT(H$55:H$114,TRANSPOSE(SAP_Speadsheet!$E$36:$BL$36))</f>
        <v>0</v>
      </c>
      <c r="I45" s="398" cm="1">
        <f t="array" aca="1" ref="I45" ca="1">SUMPRODUCT(I$55:I$114,TRANSPOSE(SAP_Speadsheet!$E$36:$BL$36))</f>
        <v>0</v>
      </c>
      <c r="J45" s="398" cm="1">
        <f t="array" aca="1" ref="J45" ca="1">SUMPRODUCT(J$55:J$114,TRANSPOSE(SAP_Speadsheet!$E$36:$BL$36))</f>
        <v>0</v>
      </c>
      <c r="K45" s="398" cm="1">
        <f t="array" aca="1" ref="K45" ca="1">SUMPRODUCT(K$55:K$114,TRANSPOSE(SAP_Speadsheet!$E$36:$BL$36))</f>
        <v>0</v>
      </c>
      <c r="L45" s="398" cm="1">
        <f t="array" aca="1" ref="L45" ca="1">SUMPRODUCT(L$55:L$114,TRANSPOSE(SAP_Speadsheet!$E$36:$BL$36))</f>
        <v>0</v>
      </c>
      <c r="M45" s="398" cm="1">
        <f t="array" aca="1" ref="M45" ca="1">SUMPRODUCT(M$55:M$114,TRANSPOSE(SAP_Speadsheet!$E$36:$BL$36))</f>
        <v>0</v>
      </c>
      <c r="N45" s="398" cm="1">
        <f t="array" aca="1" ref="N45" ca="1">SUMPRODUCT(N$55:N$114,TRANSPOSE(SAP_Speadsheet!$E$36:$BL$36))</f>
        <v>0</v>
      </c>
      <c r="O45" s="398" cm="1">
        <f t="array" aca="1" ref="O45" ca="1">SUMPRODUCT(O$55:O$114,TRANSPOSE(SAP_Speadsheet!$E$36:$BL$36))</f>
        <v>0</v>
      </c>
      <c r="P45" s="398" cm="1">
        <f t="array" aca="1" ref="P45" ca="1">SUMPRODUCT(P$55:P$114,TRANSPOSE(SAP_Speadsheet!$E$36:$BL$36))</f>
        <v>26221.130752494286</v>
      </c>
      <c r="Q45" s="398" cm="1">
        <f t="array" aca="1" ref="Q45" ca="1">SUMPRODUCT(Q$55:Q$114,TRANSPOSE(SAP_Speadsheet!$E$36:$BL$36))</f>
        <v>44812.07235218861</v>
      </c>
      <c r="R45" s="398" cm="1">
        <f t="array" aca="1" ref="R45" ca="1">SUMPRODUCT(R$55:R$114,TRANSPOSE(SAP_Speadsheet!$E$36:$BL$36))</f>
        <v>69909.807268242352</v>
      </c>
      <c r="S45" s="398" cm="1">
        <f t="array" aca="1" ref="S45" ca="1">SUMPRODUCT(S$55:S$114,TRANSPOSE(SAP_Speadsheet!$E$36:$BL$36))</f>
        <v>57393.141286598191</v>
      </c>
      <c r="T45" s="398" cm="1">
        <f t="array" aca="1" ref="T45" ca="1">SUMPRODUCT(T$55:T$114,TRANSPOSE(SAP_Speadsheet!$E$36:$BL$36))</f>
        <v>49447.15092081247</v>
      </c>
      <c r="U45" s="398" cm="1">
        <f t="array" aca="1" ref="U45" ca="1">SUMPRODUCT(U$55:U$114,TRANSPOSE(SAP_Speadsheet!$E$36:$BL$36))</f>
        <v>42628.333148648533</v>
      </c>
      <c r="V45" s="398" cm="1">
        <f t="array" aca="1" ref="V45" ca="1">SUMPRODUCT(V$55:V$114,TRANSPOSE(SAP_Speadsheet!$E$36:$BL$36))</f>
        <v>36902.820915904675</v>
      </c>
      <c r="W45" s="398" cm="1">
        <f t="array" aca="1" ref="W45" ca="1">SUMPRODUCT(W$55:W$114,TRANSPOSE(SAP_Speadsheet!$E$36:$BL$36))</f>
        <v>31574.394389341807</v>
      </c>
      <c r="X45" s="398" cm="1">
        <f t="array" aca="1" ref="X45" ca="1">SUMPRODUCT(X$55:X$114,TRANSPOSE(SAP_Speadsheet!$E$36:$BL$36))</f>
        <v>26615.856801168233</v>
      </c>
      <c r="Y45" s="398" cm="1">
        <f t="array" aca="1" ref="Y45" ca="1">SUMPRODUCT(Y$55:Y$114,TRANSPOSE(SAP_Speadsheet!$E$36:$BL$36))</f>
        <v>22017.939081020784</v>
      </c>
      <c r="Z45" s="398" cm="1">
        <f t="array" aca="1" ref="Z45" ca="1">SUMPRODUCT(Z$55:Z$114,TRANSPOSE(SAP_Speadsheet!$E$36:$BL$36))</f>
        <v>17733.377326679372</v>
      </c>
      <c r="AA45" s="398" cm="1">
        <f t="array" aca="1" ref="AA45" ca="1">SUMPRODUCT(AA$55:AA$114,TRANSPOSE(SAP_Speadsheet!$E$36:$BL$36))</f>
        <v>13733.086263575487</v>
      </c>
      <c r="AB45" s="398" cm="1">
        <f t="array" aca="1" ref="AB45" ca="1">SUMPRODUCT(AB$55:AB$114,TRANSPOSE(SAP_Speadsheet!$E$36:$BL$36))</f>
        <v>8075.0539820361846</v>
      </c>
      <c r="AC45" s="398" cm="1">
        <f t="array" aca="1" ref="AC45" ca="1">SUMPRODUCT(AC$55:AC$114,TRANSPOSE(SAP_Speadsheet!$E$36:$BL$36))</f>
        <v>3818.1835897316482</v>
      </c>
      <c r="AD45" s="398" cm="1">
        <f t="array" aca="1" ref="AD45" ca="1">SUMPRODUCT(AD$55:AD$114,TRANSPOSE(SAP_Speadsheet!$E$36:$BL$36))</f>
        <v>0</v>
      </c>
      <c r="AE45" s="398" cm="1">
        <f t="array" aca="1" ref="AE45" ca="1">SUMPRODUCT(AE$55:AE$114,TRANSPOSE(SAP_Speadsheet!$E$36:$BL$36))</f>
        <v>0</v>
      </c>
      <c r="AF45" s="398" cm="1">
        <f t="array" aca="1" ref="AF45" ca="1">SUMPRODUCT(AF$55:AF$114,TRANSPOSE(SAP_Speadsheet!$E$36:$BL$36))</f>
        <v>0</v>
      </c>
      <c r="AG45" s="398" cm="1">
        <f t="array" aca="1" ref="AG45" ca="1">SUMPRODUCT(AG$55:AG$114,TRANSPOSE(SAP_Speadsheet!$E$36:$BL$36))</f>
        <v>0</v>
      </c>
      <c r="AH45" s="398" cm="1">
        <f t="array" aca="1" ref="AH45" ca="1">SUMPRODUCT(AH$55:AH$114,TRANSPOSE(SAP_Speadsheet!$E$36:$BL$36))</f>
        <v>0</v>
      </c>
      <c r="AI45" s="398" cm="1">
        <f t="array" aca="1" ref="AI45" ca="1">SUMPRODUCT(AI$55:AI$114,TRANSPOSE(SAP_Speadsheet!$E$36:$BL$36))</f>
        <v>0</v>
      </c>
      <c r="AJ45" s="398" cm="1">
        <f t="array" aca="1" ref="AJ45" ca="1">SUMPRODUCT(AJ$55:AJ$114,TRANSPOSE(SAP_Speadsheet!$E$36:$BL$36))</f>
        <v>0</v>
      </c>
      <c r="AK45" s="398" cm="1">
        <f t="array" aca="1" ref="AK45" ca="1">SUMPRODUCT(AK$55:AK$114,TRANSPOSE(SAP_Speadsheet!$E$36:$BL$36))</f>
        <v>0</v>
      </c>
      <c r="AL45" s="398" cm="1">
        <f t="array" aca="1" ref="AL45" ca="1">SUMPRODUCT(AL$55:AL$114,TRANSPOSE(SAP_Speadsheet!$E$36:$BL$36))</f>
        <v>0</v>
      </c>
      <c r="AM45" s="398" cm="1">
        <f t="array" aca="1" ref="AM45" ca="1">SUMPRODUCT(AM$55:AM$114,TRANSPOSE(SAP_Speadsheet!$E$36:$BL$36))</f>
        <v>0</v>
      </c>
      <c r="AN45" s="398" cm="1">
        <f t="array" aca="1" ref="AN45" ca="1">SUMPRODUCT(AN$55:AN$114,TRANSPOSE(SAP_Speadsheet!$E$36:$BL$36))</f>
        <v>0</v>
      </c>
      <c r="AO45" s="398" cm="1">
        <f t="array" aca="1" ref="AO45" ca="1">SUMPRODUCT(AO$55:AO$114,TRANSPOSE(SAP_Speadsheet!$E$36:$BL$36))</f>
        <v>0</v>
      </c>
      <c r="AP45" s="398" cm="1">
        <f t="array" aca="1" ref="AP45" ca="1">SUMPRODUCT(AP$55:AP$114,TRANSPOSE(SAP_Speadsheet!$E$36:$BL$36))</f>
        <v>0</v>
      </c>
      <c r="AQ45" s="398" cm="1">
        <f t="array" aca="1" ref="AQ45" ca="1">SUMPRODUCT(AQ$55:AQ$114,TRANSPOSE(SAP_Speadsheet!$E$36:$BL$36))</f>
        <v>0</v>
      </c>
      <c r="AR45" s="398" cm="1">
        <f t="array" aca="1" ref="AR45" ca="1">SUMPRODUCT(AR$55:AR$114,TRANSPOSE(SAP_Speadsheet!$E$36:$BL$36))</f>
        <v>0</v>
      </c>
      <c r="AS45" s="398" cm="1">
        <f t="array" aca="1" ref="AS45" ca="1">SUMPRODUCT(AS$55:AS$114,TRANSPOSE(SAP_Speadsheet!$E$36:$BL$36))</f>
        <v>0</v>
      </c>
      <c r="AT45" s="398" cm="1">
        <f t="array" aca="1" ref="AT45" ca="1">SUMPRODUCT(AT$55:AT$114,TRANSPOSE(SAP_Speadsheet!$E$36:$BL$36))</f>
        <v>0</v>
      </c>
      <c r="AU45" s="398" cm="1">
        <f t="array" aca="1" ref="AU45" ca="1">SUMPRODUCT(AU$55:AU$114,TRANSPOSE(SAP_Speadsheet!$E$36:$BL$36))</f>
        <v>0</v>
      </c>
      <c r="AV45" s="398" cm="1">
        <f t="array" aca="1" ref="AV45" ca="1">SUMPRODUCT(AV$55:AV$114,TRANSPOSE(SAP_Speadsheet!$E$36:$BL$36))</f>
        <v>0</v>
      </c>
      <c r="AW45" s="398" cm="1">
        <f t="array" aca="1" ref="AW45" ca="1">SUMPRODUCT(AW$55:AW$114,TRANSPOSE(SAP_Speadsheet!$E$36:$BL$36))</f>
        <v>0</v>
      </c>
      <c r="AX45" s="398" cm="1">
        <f t="array" aca="1" ref="AX45" ca="1">SUMPRODUCT(AX$55:AX$114,TRANSPOSE(SAP_Speadsheet!$E$36:$BL$36))</f>
        <v>0</v>
      </c>
      <c r="AY45" s="398" cm="1">
        <f t="array" aca="1" ref="AY45" ca="1">SUMPRODUCT(AY$55:AY$114,TRANSPOSE(SAP_Speadsheet!$E$36:$BL$36))</f>
        <v>0</v>
      </c>
      <c r="AZ45" s="398" cm="1">
        <f t="array" aca="1" ref="AZ45" ca="1">SUMPRODUCT(AZ$55:AZ$114,TRANSPOSE(SAP_Speadsheet!$E$36:$BL$36))</f>
        <v>0</v>
      </c>
      <c r="BA45" s="398" cm="1">
        <f t="array" aca="1" ref="BA45" ca="1">SUMPRODUCT(BA$55:BA$114,TRANSPOSE(SAP_Speadsheet!$E$36:$BL$36))</f>
        <v>0</v>
      </c>
      <c r="BB45" s="398" cm="1">
        <f t="array" aca="1" ref="BB45" ca="1">SUMPRODUCT(BB$55:BB$114,TRANSPOSE(SAP_Speadsheet!$E$36:$BL$36))</f>
        <v>0</v>
      </c>
      <c r="BC45" s="398" cm="1">
        <f t="array" aca="1" ref="BC45" ca="1">SUMPRODUCT(BC$55:BC$114,TRANSPOSE(SAP_Speadsheet!$E$36:$BL$36))</f>
        <v>0</v>
      </c>
      <c r="BD45" s="398" cm="1">
        <f t="array" aca="1" ref="BD45" ca="1">SUMPRODUCT(BD$55:BD$114,TRANSPOSE(SAP_Speadsheet!$E$36:$BL$36))</f>
        <v>0</v>
      </c>
      <c r="BE45" s="398" cm="1">
        <f t="array" aca="1" ref="BE45" ca="1">SUMPRODUCT(BE$55:BE$114,TRANSPOSE(SAP_Speadsheet!$E$36:$BL$36))</f>
        <v>0</v>
      </c>
      <c r="BF45" s="398" cm="1">
        <f t="array" aca="1" ref="BF45" ca="1">SUMPRODUCT(BF$55:BF$114,TRANSPOSE(SAP_Speadsheet!$E$36:$BL$36))</f>
        <v>0</v>
      </c>
      <c r="BG45" s="398" cm="1">
        <f t="array" aca="1" ref="BG45" ca="1">SUMPRODUCT(BG$55:BG$114,TRANSPOSE(SAP_Speadsheet!$E$36:$BL$36))</f>
        <v>0</v>
      </c>
      <c r="BH45" s="398" cm="1">
        <f t="array" aca="1" ref="BH45" ca="1">SUMPRODUCT(BH$55:BH$114,TRANSPOSE(SAP_Speadsheet!$E$36:$BL$36))</f>
        <v>0</v>
      </c>
      <c r="BI45" s="398" cm="1">
        <f t="array" aca="1" ref="BI45" ca="1">SUMPRODUCT(BI$55:BI$114,TRANSPOSE(SAP_Speadsheet!$E$36:$BL$36))</f>
        <v>0</v>
      </c>
    </row>
    <row r="46" spans="1:61" x14ac:dyDescent="0.15">
      <c r="A46" s="387" t="s">
        <v>411</v>
      </c>
      <c r="B46" s="398" cm="1">
        <f t="array" aca="1" ref="B46" ca="1">SUMPRODUCT(B$55:B$114,TRANSPOSE(SAP_Speadsheet!$E$37:$BL$37))</f>
        <v>0</v>
      </c>
      <c r="C46" s="398" cm="1">
        <f t="array" aca="1" ref="C46" ca="1">SUMPRODUCT(C$55:C$114,TRANSPOSE(SAP_Speadsheet!$E$37:$BL$37))</f>
        <v>0</v>
      </c>
      <c r="D46" s="398" cm="1">
        <f t="array" aca="1" ref="D46" ca="1">SUMPRODUCT(D$55:D$114,TRANSPOSE(SAP_Speadsheet!$E$37:$BL$37))</f>
        <v>0</v>
      </c>
      <c r="E46" s="398" cm="1">
        <f t="array" aca="1" ref="E46" ca="1">SUMPRODUCT(E$55:E$114,TRANSPOSE(SAP_Speadsheet!$E$37:$BL$37))</f>
        <v>0</v>
      </c>
      <c r="F46" s="398" cm="1">
        <f t="array" aca="1" ref="F46" ca="1">SUMPRODUCT(F$55:F$114,TRANSPOSE(SAP_Speadsheet!$E$37:$BL$37))</f>
        <v>0</v>
      </c>
      <c r="G46" s="398" cm="1">
        <f t="array" aca="1" ref="G46" ca="1">SUMPRODUCT(G$55:G$114,TRANSPOSE(SAP_Speadsheet!$E$37:$BL$37))</f>
        <v>0</v>
      </c>
      <c r="H46" s="398" cm="1">
        <f t="array" aca="1" ref="H46" ca="1">SUMPRODUCT(H$55:H$114,TRANSPOSE(SAP_Speadsheet!$E$37:$BL$37))</f>
        <v>0</v>
      </c>
      <c r="I46" s="398" cm="1">
        <f t="array" aca="1" ref="I46" ca="1">SUMPRODUCT(I$55:I$114,TRANSPOSE(SAP_Speadsheet!$E$37:$BL$37))</f>
        <v>0</v>
      </c>
      <c r="J46" s="398" cm="1">
        <f t="array" aca="1" ref="J46" ca="1">SUMPRODUCT(J$55:J$114,TRANSPOSE(SAP_Speadsheet!$E$37:$BL$37))</f>
        <v>0</v>
      </c>
      <c r="K46" s="398" cm="1">
        <f t="array" aca="1" ref="K46" ca="1">SUMPRODUCT(K$55:K$114,TRANSPOSE(SAP_Speadsheet!$E$37:$BL$37))</f>
        <v>0</v>
      </c>
      <c r="L46" s="398" cm="1">
        <f t="array" aca="1" ref="L46" ca="1">SUMPRODUCT(L$55:L$114,TRANSPOSE(SAP_Speadsheet!$E$37:$BL$37))</f>
        <v>0</v>
      </c>
      <c r="M46" s="398" cm="1">
        <f t="array" aca="1" ref="M46" ca="1">SUMPRODUCT(M$55:M$114,TRANSPOSE(SAP_Speadsheet!$E$37:$BL$37))</f>
        <v>0</v>
      </c>
      <c r="N46" s="398" cm="1">
        <f t="array" aca="1" ref="N46" ca="1">SUMPRODUCT(N$55:N$114,TRANSPOSE(SAP_Speadsheet!$E$37:$BL$37))</f>
        <v>0</v>
      </c>
      <c r="O46" s="398" cm="1">
        <f t="array" aca="1" ref="O46" ca="1">SUMPRODUCT(O$55:O$114,TRANSPOSE(SAP_Speadsheet!$E$37:$BL$37))</f>
        <v>0</v>
      </c>
      <c r="P46" s="398" cm="1">
        <f t="array" aca="1" ref="P46" ca="1">SUMPRODUCT(P$55:P$114,TRANSPOSE(SAP_Speadsheet!$E$37:$BL$37))</f>
        <v>0</v>
      </c>
      <c r="Q46" s="398" cm="1">
        <f t="array" aca="1" ref="Q46" ca="1">SUMPRODUCT(Q$55:Q$114,TRANSPOSE(SAP_Speadsheet!$E$37:$BL$37))</f>
        <v>26221.130752494286</v>
      </c>
      <c r="R46" s="398" cm="1">
        <f t="array" aca="1" ref="R46" ca="1">SUMPRODUCT(R$55:R$114,TRANSPOSE(SAP_Speadsheet!$E$37:$BL$37))</f>
        <v>44812.07235218861</v>
      </c>
      <c r="S46" s="398" cm="1">
        <f t="array" aca="1" ref="S46" ca="1">SUMPRODUCT(S$55:S$114,TRANSPOSE(SAP_Speadsheet!$E$37:$BL$37))</f>
        <v>69909.807268242352</v>
      </c>
      <c r="T46" s="398" cm="1">
        <f t="array" aca="1" ref="T46" ca="1">SUMPRODUCT(T$55:T$114,TRANSPOSE(SAP_Speadsheet!$E$37:$BL$37))</f>
        <v>57393.141286598191</v>
      </c>
      <c r="U46" s="398" cm="1">
        <f t="array" aca="1" ref="U46" ca="1">SUMPRODUCT(U$55:U$114,TRANSPOSE(SAP_Speadsheet!$E$37:$BL$37))</f>
        <v>49447.15092081247</v>
      </c>
      <c r="V46" s="398" cm="1">
        <f t="array" aca="1" ref="V46" ca="1">SUMPRODUCT(V$55:V$114,TRANSPOSE(SAP_Speadsheet!$E$37:$BL$37))</f>
        <v>42628.333148648533</v>
      </c>
      <c r="W46" s="398" cm="1">
        <f t="array" aca="1" ref="W46" ca="1">SUMPRODUCT(W$55:W$114,TRANSPOSE(SAP_Speadsheet!$E$37:$BL$37))</f>
        <v>36902.820915904675</v>
      </c>
      <c r="X46" s="398" cm="1">
        <f t="array" aca="1" ref="X46" ca="1">SUMPRODUCT(X$55:X$114,TRANSPOSE(SAP_Speadsheet!$E$37:$BL$37))</f>
        <v>31574.394389341807</v>
      </c>
      <c r="Y46" s="398" cm="1">
        <f t="array" aca="1" ref="Y46" ca="1">SUMPRODUCT(Y$55:Y$114,TRANSPOSE(SAP_Speadsheet!$E$37:$BL$37))</f>
        <v>26615.856801168233</v>
      </c>
      <c r="Z46" s="398" cm="1">
        <f t="array" aca="1" ref="Z46" ca="1">SUMPRODUCT(Z$55:Z$114,TRANSPOSE(SAP_Speadsheet!$E$37:$BL$37))</f>
        <v>22017.939081020784</v>
      </c>
      <c r="AA46" s="398" cm="1">
        <f t="array" aca="1" ref="AA46" ca="1">SUMPRODUCT(AA$55:AA$114,TRANSPOSE(SAP_Speadsheet!$E$37:$BL$37))</f>
        <v>17733.377326679372</v>
      </c>
      <c r="AB46" s="398" cm="1">
        <f t="array" aca="1" ref="AB46" ca="1">SUMPRODUCT(AB$55:AB$114,TRANSPOSE(SAP_Speadsheet!$E$37:$BL$37))</f>
        <v>10724.813948924879</v>
      </c>
      <c r="AC46" s="398" cm="1">
        <f t="array" aca="1" ref="AC46" ca="1">SUMPRODUCT(AC$55:AC$114,TRANSPOSE(SAP_Speadsheet!$E$37:$BL$37))</f>
        <v>5285.2116383909261</v>
      </c>
      <c r="AD46" s="398" cm="1">
        <f t="array" aca="1" ref="AD46" ca="1">SUMPRODUCT(AD$55:AD$114,TRANSPOSE(SAP_Speadsheet!$E$37:$BL$37))</f>
        <v>0</v>
      </c>
      <c r="AE46" s="398" cm="1">
        <f t="array" aca="1" ref="AE46" ca="1">SUMPRODUCT(AE$55:AE$114,TRANSPOSE(SAP_Speadsheet!$E$37:$BL$37))</f>
        <v>0</v>
      </c>
      <c r="AF46" s="398" cm="1">
        <f t="array" aca="1" ref="AF46" ca="1">SUMPRODUCT(AF$55:AF$114,TRANSPOSE(SAP_Speadsheet!$E$37:$BL$37))</f>
        <v>0</v>
      </c>
      <c r="AG46" s="398" cm="1">
        <f t="array" aca="1" ref="AG46" ca="1">SUMPRODUCT(AG$55:AG$114,TRANSPOSE(SAP_Speadsheet!$E$37:$BL$37))</f>
        <v>0</v>
      </c>
      <c r="AH46" s="398" cm="1">
        <f t="array" aca="1" ref="AH46" ca="1">SUMPRODUCT(AH$55:AH$114,TRANSPOSE(SAP_Speadsheet!$E$37:$BL$37))</f>
        <v>0</v>
      </c>
      <c r="AI46" s="398" cm="1">
        <f t="array" aca="1" ref="AI46" ca="1">SUMPRODUCT(AI$55:AI$114,TRANSPOSE(SAP_Speadsheet!$E$37:$BL$37))</f>
        <v>0</v>
      </c>
      <c r="AJ46" s="398" cm="1">
        <f t="array" aca="1" ref="AJ46" ca="1">SUMPRODUCT(AJ$55:AJ$114,TRANSPOSE(SAP_Speadsheet!$E$37:$BL$37))</f>
        <v>0</v>
      </c>
      <c r="AK46" s="398" cm="1">
        <f t="array" aca="1" ref="AK46" ca="1">SUMPRODUCT(AK$55:AK$114,TRANSPOSE(SAP_Speadsheet!$E$37:$BL$37))</f>
        <v>0</v>
      </c>
      <c r="AL46" s="398" cm="1">
        <f t="array" aca="1" ref="AL46" ca="1">SUMPRODUCT(AL$55:AL$114,TRANSPOSE(SAP_Speadsheet!$E$37:$BL$37))</f>
        <v>0</v>
      </c>
      <c r="AM46" s="398" cm="1">
        <f t="array" aca="1" ref="AM46" ca="1">SUMPRODUCT(AM$55:AM$114,TRANSPOSE(SAP_Speadsheet!$E$37:$BL$37))</f>
        <v>0</v>
      </c>
      <c r="AN46" s="398" cm="1">
        <f t="array" aca="1" ref="AN46" ca="1">SUMPRODUCT(AN$55:AN$114,TRANSPOSE(SAP_Speadsheet!$E$37:$BL$37))</f>
        <v>0</v>
      </c>
      <c r="AO46" s="398" cm="1">
        <f t="array" aca="1" ref="AO46" ca="1">SUMPRODUCT(AO$55:AO$114,TRANSPOSE(SAP_Speadsheet!$E$37:$BL$37))</f>
        <v>0</v>
      </c>
      <c r="AP46" s="398" cm="1">
        <f t="array" aca="1" ref="AP46" ca="1">SUMPRODUCT(AP$55:AP$114,TRANSPOSE(SAP_Speadsheet!$E$37:$BL$37))</f>
        <v>0</v>
      </c>
      <c r="AQ46" s="398" cm="1">
        <f t="array" aca="1" ref="AQ46" ca="1">SUMPRODUCT(AQ$55:AQ$114,TRANSPOSE(SAP_Speadsheet!$E$37:$BL$37))</f>
        <v>0</v>
      </c>
      <c r="AR46" s="398" cm="1">
        <f t="array" aca="1" ref="AR46" ca="1">SUMPRODUCT(AR$55:AR$114,TRANSPOSE(SAP_Speadsheet!$E$37:$BL$37))</f>
        <v>0</v>
      </c>
      <c r="AS46" s="398" cm="1">
        <f t="array" aca="1" ref="AS46" ca="1">SUMPRODUCT(AS$55:AS$114,TRANSPOSE(SAP_Speadsheet!$E$37:$BL$37))</f>
        <v>0</v>
      </c>
      <c r="AT46" s="398" cm="1">
        <f t="array" aca="1" ref="AT46" ca="1">SUMPRODUCT(AT$55:AT$114,TRANSPOSE(SAP_Speadsheet!$E$37:$BL$37))</f>
        <v>0</v>
      </c>
      <c r="AU46" s="398" cm="1">
        <f t="array" aca="1" ref="AU46" ca="1">SUMPRODUCT(AU$55:AU$114,TRANSPOSE(SAP_Speadsheet!$E$37:$BL$37))</f>
        <v>0</v>
      </c>
      <c r="AV46" s="398" cm="1">
        <f t="array" aca="1" ref="AV46" ca="1">SUMPRODUCT(AV$55:AV$114,TRANSPOSE(SAP_Speadsheet!$E$37:$BL$37))</f>
        <v>0</v>
      </c>
      <c r="AW46" s="398" cm="1">
        <f t="array" aca="1" ref="AW46" ca="1">SUMPRODUCT(AW$55:AW$114,TRANSPOSE(SAP_Speadsheet!$E$37:$BL$37))</f>
        <v>0</v>
      </c>
      <c r="AX46" s="398" cm="1">
        <f t="array" aca="1" ref="AX46" ca="1">SUMPRODUCT(AX$55:AX$114,TRANSPOSE(SAP_Speadsheet!$E$37:$BL$37))</f>
        <v>0</v>
      </c>
      <c r="AY46" s="398" cm="1">
        <f t="array" aca="1" ref="AY46" ca="1">SUMPRODUCT(AY$55:AY$114,TRANSPOSE(SAP_Speadsheet!$E$37:$BL$37))</f>
        <v>0</v>
      </c>
      <c r="AZ46" s="398" cm="1">
        <f t="array" aca="1" ref="AZ46" ca="1">SUMPRODUCT(AZ$55:AZ$114,TRANSPOSE(SAP_Speadsheet!$E$37:$BL$37))</f>
        <v>0</v>
      </c>
      <c r="BA46" s="398" cm="1">
        <f t="array" aca="1" ref="BA46" ca="1">SUMPRODUCT(BA$55:BA$114,TRANSPOSE(SAP_Speadsheet!$E$37:$BL$37))</f>
        <v>0</v>
      </c>
      <c r="BB46" s="398" cm="1">
        <f t="array" aca="1" ref="BB46" ca="1">SUMPRODUCT(BB$55:BB$114,TRANSPOSE(SAP_Speadsheet!$E$37:$BL$37))</f>
        <v>0</v>
      </c>
      <c r="BC46" s="398" cm="1">
        <f t="array" aca="1" ref="BC46" ca="1">SUMPRODUCT(BC$55:BC$114,TRANSPOSE(SAP_Speadsheet!$E$37:$BL$37))</f>
        <v>0</v>
      </c>
      <c r="BD46" s="398" cm="1">
        <f t="array" aca="1" ref="BD46" ca="1">SUMPRODUCT(BD$55:BD$114,TRANSPOSE(SAP_Speadsheet!$E$37:$BL$37))</f>
        <v>0</v>
      </c>
      <c r="BE46" s="398" cm="1">
        <f t="array" aca="1" ref="BE46" ca="1">SUMPRODUCT(BE$55:BE$114,TRANSPOSE(SAP_Speadsheet!$E$37:$BL$37))</f>
        <v>0</v>
      </c>
      <c r="BF46" s="398" cm="1">
        <f t="array" aca="1" ref="BF46" ca="1">SUMPRODUCT(BF$55:BF$114,TRANSPOSE(SAP_Speadsheet!$E$37:$BL$37))</f>
        <v>0</v>
      </c>
      <c r="BG46" s="398" cm="1">
        <f t="array" aca="1" ref="BG46" ca="1">SUMPRODUCT(BG$55:BG$114,TRANSPOSE(SAP_Speadsheet!$E$37:$BL$37))</f>
        <v>0</v>
      </c>
      <c r="BH46" s="398" cm="1">
        <f t="array" aca="1" ref="BH46" ca="1">SUMPRODUCT(BH$55:BH$114,TRANSPOSE(SAP_Speadsheet!$E$37:$BL$37))</f>
        <v>0</v>
      </c>
      <c r="BI46" s="398" cm="1">
        <f t="array" aca="1" ref="BI46" ca="1">SUMPRODUCT(BI$55:BI$114,TRANSPOSE(SAP_Speadsheet!$E$37:$BL$37))</f>
        <v>0</v>
      </c>
    </row>
    <row r="47" spans="1:61" x14ac:dyDescent="0.15">
      <c r="A47" s="387" t="s">
        <v>412</v>
      </c>
      <c r="B47" s="398" cm="1">
        <f t="array" aca="1" ref="B47" ca="1">SUMPRODUCT(B$55:B$114,TRANSPOSE(SAP_Speadsheet!$E$38:$BL$38))</f>
        <v>0</v>
      </c>
      <c r="C47" s="398" cm="1">
        <f t="array" aca="1" ref="C47" ca="1">SUMPRODUCT(C$55:C$114,TRANSPOSE(SAP_Speadsheet!$E$38:$BL$38))</f>
        <v>0</v>
      </c>
      <c r="D47" s="398" cm="1">
        <f t="array" aca="1" ref="D47" ca="1">SUMPRODUCT(D$55:D$114,TRANSPOSE(SAP_Speadsheet!$E$38:$BL$38))</f>
        <v>0</v>
      </c>
      <c r="E47" s="398" cm="1">
        <f t="array" aca="1" ref="E47" ca="1">SUMPRODUCT(E$55:E$114,TRANSPOSE(SAP_Speadsheet!$E$38:$BL$38))</f>
        <v>0</v>
      </c>
      <c r="F47" s="398" cm="1">
        <f t="array" aca="1" ref="F47" ca="1">SUMPRODUCT(F$55:F$114,TRANSPOSE(SAP_Speadsheet!$E$38:$BL$38))</f>
        <v>0</v>
      </c>
      <c r="G47" s="398" cm="1">
        <f t="array" aca="1" ref="G47" ca="1">SUMPRODUCT(G$55:G$114,TRANSPOSE(SAP_Speadsheet!$E$38:$BL$38))</f>
        <v>0</v>
      </c>
      <c r="H47" s="398" cm="1">
        <f t="array" aca="1" ref="H47" ca="1">SUMPRODUCT(H$55:H$114,TRANSPOSE(SAP_Speadsheet!$E$38:$BL$38))</f>
        <v>0</v>
      </c>
      <c r="I47" s="398" cm="1">
        <f t="array" aca="1" ref="I47" ca="1">SUMPRODUCT(I$55:I$114,TRANSPOSE(SAP_Speadsheet!$E$38:$BL$38))</f>
        <v>0</v>
      </c>
      <c r="J47" s="398" cm="1">
        <f t="array" aca="1" ref="J47" ca="1">SUMPRODUCT(J$55:J$114,TRANSPOSE(SAP_Speadsheet!$E$38:$BL$38))</f>
        <v>0</v>
      </c>
      <c r="K47" s="398" cm="1">
        <f t="array" aca="1" ref="K47" ca="1">SUMPRODUCT(K$55:K$114,TRANSPOSE(SAP_Speadsheet!$E$38:$BL$38))</f>
        <v>0</v>
      </c>
      <c r="L47" s="398" cm="1">
        <f t="array" aca="1" ref="L47" ca="1">SUMPRODUCT(L$55:L$114,TRANSPOSE(SAP_Speadsheet!$E$38:$BL$38))</f>
        <v>0</v>
      </c>
      <c r="M47" s="398" cm="1">
        <f t="array" aca="1" ref="M47" ca="1">SUMPRODUCT(M$55:M$114,TRANSPOSE(SAP_Speadsheet!$E$38:$BL$38))</f>
        <v>0</v>
      </c>
      <c r="N47" s="398" cm="1">
        <f t="array" aca="1" ref="N47" ca="1">SUMPRODUCT(N$55:N$114,TRANSPOSE(SAP_Speadsheet!$E$38:$BL$38))</f>
        <v>0</v>
      </c>
      <c r="O47" s="398" cm="1">
        <f t="array" aca="1" ref="O47" ca="1">SUMPRODUCT(O$55:O$114,TRANSPOSE(SAP_Speadsheet!$E$38:$BL$38))</f>
        <v>0</v>
      </c>
      <c r="P47" s="398" cm="1">
        <f t="array" aca="1" ref="P47" ca="1">SUMPRODUCT(P$55:P$114,TRANSPOSE(SAP_Speadsheet!$E$38:$BL$38))</f>
        <v>0</v>
      </c>
      <c r="Q47" s="398" cm="1">
        <f t="array" aca="1" ref="Q47" ca="1">SUMPRODUCT(Q$55:Q$114,TRANSPOSE(SAP_Speadsheet!$E$38:$BL$38))</f>
        <v>0</v>
      </c>
      <c r="R47" s="398" cm="1">
        <f t="array" aca="1" ref="R47" ca="1">SUMPRODUCT(R$55:R$114,TRANSPOSE(SAP_Speadsheet!$E$38:$BL$38))</f>
        <v>26221.130752494286</v>
      </c>
      <c r="S47" s="398" cm="1">
        <f t="array" aca="1" ref="S47" ca="1">SUMPRODUCT(S$55:S$114,TRANSPOSE(SAP_Speadsheet!$E$38:$BL$38))</f>
        <v>44812.07235218861</v>
      </c>
      <c r="T47" s="398" cm="1">
        <f t="array" aca="1" ref="T47" ca="1">SUMPRODUCT(T$55:T$114,TRANSPOSE(SAP_Speadsheet!$E$38:$BL$38))</f>
        <v>69909.807268242352</v>
      </c>
      <c r="U47" s="398" cm="1">
        <f t="array" aca="1" ref="U47" ca="1">SUMPRODUCT(U$55:U$114,TRANSPOSE(SAP_Speadsheet!$E$38:$BL$38))</f>
        <v>57393.141286598191</v>
      </c>
      <c r="V47" s="398" cm="1">
        <f t="array" aca="1" ref="V47" ca="1">SUMPRODUCT(V$55:V$114,TRANSPOSE(SAP_Speadsheet!$E$38:$BL$38))</f>
        <v>49447.15092081247</v>
      </c>
      <c r="W47" s="398" cm="1">
        <f t="array" aca="1" ref="W47" ca="1">SUMPRODUCT(W$55:W$114,TRANSPOSE(SAP_Speadsheet!$E$38:$BL$38))</f>
        <v>42628.333148648533</v>
      </c>
      <c r="X47" s="398" cm="1">
        <f t="array" aca="1" ref="X47" ca="1">SUMPRODUCT(X$55:X$114,TRANSPOSE(SAP_Speadsheet!$E$38:$BL$38))</f>
        <v>36902.820915904675</v>
      </c>
      <c r="Y47" s="398" cm="1">
        <f t="array" aca="1" ref="Y47" ca="1">SUMPRODUCT(Y$55:Y$114,TRANSPOSE(SAP_Speadsheet!$E$38:$BL$38))</f>
        <v>31574.394389341807</v>
      </c>
      <c r="Z47" s="398" cm="1">
        <f t="array" aca="1" ref="Z47" ca="1">SUMPRODUCT(Z$55:Z$114,TRANSPOSE(SAP_Speadsheet!$E$38:$BL$38))</f>
        <v>26615.856801168233</v>
      </c>
      <c r="AA47" s="398" cm="1">
        <f t="array" aca="1" ref="AA47" ca="1">SUMPRODUCT(AA$55:AA$114,TRANSPOSE(SAP_Speadsheet!$E$38:$BL$38))</f>
        <v>22017.939081020784</v>
      </c>
      <c r="AB47" s="398" cm="1">
        <f t="array" aca="1" ref="AB47" ca="1">SUMPRODUCT(AB$55:AB$114,TRANSPOSE(SAP_Speadsheet!$E$38:$BL$38))</f>
        <v>13569.262250704711</v>
      </c>
      <c r="AC47" s="398" cm="1">
        <f t="array" aca="1" ref="AC47" ca="1">SUMPRODUCT(AC$55:AC$114,TRANSPOSE(SAP_Speadsheet!$E$38:$BL$38))</f>
        <v>6863.0543249079401</v>
      </c>
      <c r="AD47" s="398" cm="1">
        <f t="array" aca="1" ref="AD47" ca="1">SUMPRODUCT(AD$55:AD$114,TRANSPOSE(SAP_Speadsheet!$E$38:$BL$38))</f>
        <v>0</v>
      </c>
      <c r="AE47" s="398" cm="1">
        <f t="array" aca="1" ref="AE47" ca="1">SUMPRODUCT(AE$55:AE$114,TRANSPOSE(SAP_Speadsheet!$E$38:$BL$38))</f>
        <v>0</v>
      </c>
      <c r="AF47" s="398" cm="1">
        <f t="array" aca="1" ref="AF47" ca="1">SUMPRODUCT(AF$55:AF$114,TRANSPOSE(SAP_Speadsheet!$E$38:$BL$38))</f>
        <v>0</v>
      </c>
      <c r="AG47" s="398" cm="1">
        <f t="array" aca="1" ref="AG47" ca="1">SUMPRODUCT(AG$55:AG$114,TRANSPOSE(SAP_Speadsheet!$E$38:$BL$38))</f>
        <v>0</v>
      </c>
      <c r="AH47" s="398" cm="1">
        <f t="array" aca="1" ref="AH47" ca="1">SUMPRODUCT(AH$55:AH$114,TRANSPOSE(SAP_Speadsheet!$E$38:$BL$38))</f>
        <v>0</v>
      </c>
      <c r="AI47" s="398" cm="1">
        <f t="array" aca="1" ref="AI47" ca="1">SUMPRODUCT(AI$55:AI$114,TRANSPOSE(SAP_Speadsheet!$E$38:$BL$38))</f>
        <v>0</v>
      </c>
      <c r="AJ47" s="398" cm="1">
        <f t="array" aca="1" ref="AJ47" ca="1">SUMPRODUCT(AJ$55:AJ$114,TRANSPOSE(SAP_Speadsheet!$E$38:$BL$38))</f>
        <v>0</v>
      </c>
      <c r="AK47" s="398" cm="1">
        <f t="array" aca="1" ref="AK47" ca="1">SUMPRODUCT(AK$55:AK$114,TRANSPOSE(SAP_Speadsheet!$E$38:$BL$38))</f>
        <v>0</v>
      </c>
      <c r="AL47" s="398" cm="1">
        <f t="array" aca="1" ref="AL47" ca="1">SUMPRODUCT(AL$55:AL$114,TRANSPOSE(SAP_Speadsheet!$E$38:$BL$38))</f>
        <v>0</v>
      </c>
      <c r="AM47" s="398" cm="1">
        <f t="array" aca="1" ref="AM47" ca="1">SUMPRODUCT(AM$55:AM$114,TRANSPOSE(SAP_Speadsheet!$E$38:$BL$38))</f>
        <v>0</v>
      </c>
      <c r="AN47" s="398" cm="1">
        <f t="array" aca="1" ref="AN47" ca="1">SUMPRODUCT(AN$55:AN$114,TRANSPOSE(SAP_Speadsheet!$E$38:$BL$38))</f>
        <v>0</v>
      </c>
      <c r="AO47" s="398" cm="1">
        <f t="array" aca="1" ref="AO47" ca="1">SUMPRODUCT(AO$55:AO$114,TRANSPOSE(SAP_Speadsheet!$E$38:$BL$38))</f>
        <v>0</v>
      </c>
      <c r="AP47" s="398" cm="1">
        <f t="array" aca="1" ref="AP47" ca="1">SUMPRODUCT(AP$55:AP$114,TRANSPOSE(SAP_Speadsheet!$E$38:$BL$38))</f>
        <v>0</v>
      </c>
      <c r="AQ47" s="398" cm="1">
        <f t="array" aca="1" ref="AQ47" ca="1">SUMPRODUCT(AQ$55:AQ$114,TRANSPOSE(SAP_Speadsheet!$E$38:$BL$38))</f>
        <v>0</v>
      </c>
      <c r="AR47" s="398" cm="1">
        <f t="array" aca="1" ref="AR47" ca="1">SUMPRODUCT(AR$55:AR$114,TRANSPOSE(SAP_Speadsheet!$E$38:$BL$38))</f>
        <v>0</v>
      </c>
      <c r="AS47" s="398" cm="1">
        <f t="array" aca="1" ref="AS47" ca="1">SUMPRODUCT(AS$55:AS$114,TRANSPOSE(SAP_Speadsheet!$E$38:$BL$38))</f>
        <v>0</v>
      </c>
      <c r="AT47" s="398" cm="1">
        <f t="array" aca="1" ref="AT47" ca="1">SUMPRODUCT(AT$55:AT$114,TRANSPOSE(SAP_Speadsheet!$E$38:$BL$38))</f>
        <v>0</v>
      </c>
      <c r="AU47" s="398" cm="1">
        <f t="array" aca="1" ref="AU47" ca="1">SUMPRODUCT(AU$55:AU$114,TRANSPOSE(SAP_Speadsheet!$E$38:$BL$38))</f>
        <v>0</v>
      </c>
      <c r="AV47" s="398" cm="1">
        <f t="array" aca="1" ref="AV47" ca="1">SUMPRODUCT(AV$55:AV$114,TRANSPOSE(SAP_Speadsheet!$E$38:$BL$38))</f>
        <v>0</v>
      </c>
      <c r="AW47" s="398" cm="1">
        <f t="array" aca="1" ref="AW47" ca="1">SUMPRODUCT(AW$55:AW$114,TRANSPOSE(SAP_Speadsheet!$E$38:$BL$38))</f>
        <v>0</v>
      </c>
      <c r="AX47" s="398" cm="1">
        <f t="array" aca="1" ref="AX47" ca="1">SUMPRODUCT(AX$55:AX$114,TRANSPOSE(SAP_Speadsheet!$E$38:$BL$38))</f>
        <v>0</v>
      </c>
      <c r="AY47" s="398" cm="1">
        <f t="array" aca="1" ref="AY47" ca="1">SUMPRODUCT(AY$55:AY$114,TRANSPOSE(SAP_Speadsheet!$E$38:$BL$38))</f>
        <v>0</v>
      </c>
      <c r="AZ47" s="398" cm="1">
        <f t="array" aca="1" ref="AZ47" ca="1">SUMPRODUCT(AZ$55:AZ$114,TRANSPOSE(SAP_Speadsheet!$E$38:$BL$38))</f>
        <v>0</v>
      </c>
      <c r="BA47" s="398" cm="1">
        <f t="array" aca="1" ref="BA47" ca="1">SUMPRODUCT(BA$55:BA$114,TRANSPOSE(SAP_Speadsheet!$E$38:$BL$38))</f>
        <v>0</v>
      </c>
      <c r="BB47" s="398" cm="1">
        <f t="array" aca="1" ref="BB47" ca="1">SUMPRODUCT(BB$55:BB$114,TRANSPOSE(SAP_Speadsheet!$E$38:$BL$38))</f>
        <v>0</v>
      </c>
      <c r="BC47" s="398" cm="1">
        <f t="array" aca="1" ref="BC47" ca="1">SUMPRODUCT(BC$55:BC$114,TRANSPOSE(SAP_Speadsheet!$E$38:$BL$38))</f>
        <v>0</v>
      </c>
      <c r="BD47" s="398" cm="1">
        <f t="array" aca="1" ref="BD47" ca="1">SUMPRODUCT(BD$55:BD$114,TRANSPOSE(SAP_Speadsheet!$E$38:$BL$38))</f>
        <v>0</v>
      </c>
      <c r="BE47" s="398" cm="1">
        <f t="array" aca="1" ref="BE47" ca="1">SUMPRODUCT(BE$55:BE$114,TRANSPOSE(SAP_Speadsheet!$E$38:$BL$38))</f>
        <v>0</v>
      </c>
      <c r="BF47" s="398" cm="1">
        <f t="array" aca="1" ref="BF47" ca="1">SUMPRODUCT(BF$55:BF$114,TRANSPOSE(SAP_Speadsheet!$E$38:$BL$38))</f>
        <v>0</v>
      </c>
      <c r="BG47" s="398" cm="1">
        <f t="array" aca="1" ref="BG47" ca="1">SUMPRODUCT(BG$55:BG$114,TRANSPOSE(SAP_Speadsheet!$E$38:$BL$38))</f>
        <v>0</v>
      </c>
      <c r="BH47" s="398" cm="1">
        <f t="array" aca="1" ref="BH47" ca="1">SUMPRODUCT(BH$55:BH$114,TRANSPOSE(SAP_Speadsheet!$E$38:$BL$38))</f>
        <v>0</v>
      </c>
      <c r="BI47" s="398" cm="1">
        <f t="array" aca="1" ref="BI47" ca="1">SUMPRODUCT(BI$55:BI$114,TRANSPOSE(SAP_Speadsheet!$E$38:$BL$38))</f>
        <v>0</v>
      </c>
    </row>
    <row r="48" spans="1:61" x14ac:dyDescent="0.15">
      <c r="A48" s="387" t="s">
        <v>413</v>
      </c>
      <c r="B48" s="398" cm="1">
        <f t="array" aca="1" ref="B48" ca="1">SUMPRODUCT(B$55:B$114,TRANSPOSE(SAP_Speadsheet!$E$39:$BL$39))</f>
        <v>0</v>
      </c>
      <c r="C48" s="398" cm="1">
        <f t="array" aca="1" ref="C48" ca="1">SUMPRODUCT(C$55:C$114,TRANSPOSE(SAP_Speadsheet!$E$39:$BL$39))</f>
        <v>0</v>
      </c>
      <c r="D48" s="398" cm="1">
        <f t="array" aca="1" ref="D48" ca="1">SUMPRODUCT(D$55:D$114,TRANSPOSE(SAP_Speadsheet!$E$39:$BL$39))</f>
        <v>0</v>
      </c>
      <c r="E48" s="398" cm="1">
        <f t="array" aca="1" ref="E48" ca="1">SUMPRODUCT(E$55:E$114,TRANSPOSE(SAP_Speadsheet!$E$39:$BL$39))</f>
        <v>0</v>
      </c>
      <c r="F48" s="398" cm="1">
        <f t="array" aca="1" ref="F48" ca="1">SUMPRODUCT(F$55:F$114,TRANSPOSE(SAP_Speadsheet!$E$39:$BL$39))</f>
        <v>0</v>
      </c>
      <c r="G48" s="398" cm="1">
        <f t="array" aca="1" ref="G48" ca="1">SUMPRODUCT(G$55:G$114,TRANSPOSE(SAP_Speadsheet!$E$39:$BL$39))</f>
        <v>0</v>
      </c>
      <c r="H48" s="398" cm="1">
        <f t="array" aca="1" ref="H48" ca="1">SUMPRODUCT(H$55:H$114,TRANSPOSE(SAP_Speadsheet!$E$39:$BL$39))</f>
        <v>0</v>
      </c>
      <c r="I48" s="398" cm="1">
        <f t="array" aca="1" ref="I48" ca="1">SUMPRODUCT(I$55:I$114,TRANSPOSE(SAP_Speadsheet!$E$39:$BL$39))</f>
        <v>0</v>
      </c>
      <c r="J48" s="398" cm="1">
        <f t="array" aca="1" ref="J48" ca="1">SUMPRODUCT(J$55:J$114,TRANSPOSE(SAP_Speadsheet!$E$39:$BL$39))</f>
        <v>0</v>
      </c>
      <c r="K48" s="398" cm="1">
        <f t="array" aca="1" ref="K48" ca="1">SUMPRODUCT(K$55:K$114,TRANSPOSE(SAP_Speadsheet!$E$39:$BL$39))</f>
        <v>0</v>
      </c>
      <c r="L48" s="398" cm="1">
        <f t="array" aca="1" ref="L48" ca="1">SUMPRODUCT(L$55:L$114,TRANSPOSE(SAP_Speadsheet!$E$39:$BL$39))</f>
        <v>0</v>
      </c>
      <c r="M48" s="398" cm="1">
        <f t="array" aca="1" ref="M48" ca="1">SUMPRODUCT(M$55:M$114,TRANSPOSE(SAP_Speadsheet!$E$39:$BL$39))</f>
        <v>0</v>
      </c>
      <c r="N48" s="398" cm="1">
        <f t="array" aca="1" ref="N48" ca="1">SUMPRODUCT(N$55:N$114,TRANSPOSE(SAP_Speadsheet!$E$39:$BL$39))</f>
        <v>0</v>
      </c>
      <c r="O48" s="398" cm="1">
        <f t="array" aca="1" ref="O48" ca="1">SUMPRODUCT(O$55:O$114,TRANSPOSE(SAP_Speadsheet!$E$39:$BL$39))</f>
        <v>0</v>
      </c>
      <c r="P48" s="398" cm="1">
        <f t="array" aca="1" ref="P48" ca="1">SUMPRODUCT(P$55:P$114,TRANSPOSE(SAP_Speadsheet!$E$39:$BL$39))</f>
        <v>0</v>
      </c>
      <c r="Q48" s="398" cm="1">
        <f t="array" aca="1" ref="Q48" ca="1">SUMPRODUCT(Q$55:Q$114,TRANSPOSE(SAP_Speadsheet!$E$39:$BL$39))</f>
        <v>0</v>
      </c>
      <c r="R48" s="398" cm="1">
        <f t="array" aca="1" ref="R48" ca="1">SUMPRODUCT(R$55:R$114,TRANSPOSE(SAP_Speadsheet!$E$39:$BL$39))</f>
        <v>0</v>
      </c>
      <c r="S48" s="398" cm="1">
        <f t="array" aca="1" ref="S48" ca="1">SUMPRODUCT(S$55:S$114,TRANSPOSE(SAP_Speadsheet!$E$39:$BL$39))</f>
        <v>26221.130752494286</v>
      </c>
      <c r="T48" s="398" cm="1">
        <f t="array" aca="1" ref="T48" ca="1">SUMPRODUCT(T$55:T$114,TRANSPOSE(SAP_Speadsheet!$E$39:$BL$39))</f>
        <v>44812.07235218861</v>
      </c>
      <c r="U48" s="398" cm="1">
        <f t="array" aca="1" ref="U48" ca="1">SUMPRODUCT(U$55:U$114,TRANSPOSE(SAP_Speadsheet!$E$39:$BL$39))</f>
        <v>69909.807268242352</v>
      </c>
      <c r="V48" s="398" cm="1">
        <f t="array" aca="1" ref="V48" ca="1">SUMPRODUCT(V$55:V$114,TRANSPOSE(SAP_Speadsheet!$E$39:$BL$39))</f>
        <v>57393.141286598191</v>
      </c>
      <c r="W48" s="398" cm="1">
        <f t="array" aca="1" ref="W48" ca="1">SUMPRODUCT(W$55:W$114,TRANSPOSE(SAP_Speadsheet!$E$39:$BL$39))</f>
        <v>49447.15092081247</v>
      </c>
      <c r="X48" s="398" cm="1">
        <f t="array" aca="1" ref="X48" ca="1">SUMPRODUCT(X$55:X$114,TRANSPOSE(SAP_Speadsheet!$E$39:$BL$39))</f>
        <v>42628.333148648533</v>
      </c>
      <c r="Y48" s="398" cm="1">
        <f t="array" aca="1" ref="Y48" ca="1">SUMPRODUCT(Y$55:Y$114,TRANSPOSE(SAP_Speadsheet!$E$39:$BL$39))</f>
        <v>36902.820915904675</v>
      </c>
      <c r="Z48" s="398" cm="1">
        <f t="array" aca="1" ref="Z48" ca="1">SUMPRODUCT(Z$55:Z$114,TRANSPOSE(SAP_Speadsheet!$E$39:$BL$39))</f>
        <v>31574.394389341807</v>
      </c>
      <c r="AA48" s="398" cm="1">
        <f t="array" aca="1" ref="AA48" ca="1">SUMPRODUCT(AA$55:AA$114,TRANSPOSE(SAP_Speadsheet!$E$39:$BL$39))</f>
        <v>26615.856801168233</v>
      </c>
      <c r="AB48" s="398" cm="1">
        <f t="array" aca="1" ref="AB48" ca="1">SUMPRODUCT(AB$55:AB$114,TRANSPOSE(SAP_Speadsheet!$E$39:$BL$39))</f>
        <v>16610.672553793702</v>
      </c>
      <c r="AC48" s="398" cm="1">
        <f t="array" aca="1" ref="AC48" ca="1">SUMPRODUCT(AC$55:AC$114,TRANSPOSE(SAP_Speadsheet!$E$39:$BL$39))</f>
        <v>8554.6161205767494</v>
      </c>
      <c r="AD48" s="398" cm="1">
        <f t="array" aca="1" ref="AD48" ca="1">SUMPRODUCT(AD$55:AD$114,TRANSPOSE(SAP_Speadsheet!$E$39:$BL$39))</f>
        <v>0</v>
      </c>
      <c r="AE48" s="398" cm="1">
        <f t="array" aca="1" ref="AE48" ca="1">SUMPRODUCT(AE$55:AE$114,TRANSPOSE(SAP_Speadsheet!$E$39:$BL$39))</f>
        <v>0</v>
      </c>
      <c r="AF48" s="398" cm="1">
        <f t="array" aca="1" ref="AF48" ca="1">SUMPRODUCT(AF$55:AF$114,TRANSPOSE(SAP_Speadsheet!$E$39:$BL$39))</f>
        <v>0</v>
      </c>
      <c r="AG48" s="398" cm="1">
        <f t="array" aca="1" ref="AG48" ca="1">SUMPRODUCT(AG$55:AG$114,TRANSPOSE(SAP_Speadsheet!$E$39:$BL$39))</f>
        <v>0</v>
      </c>
      <c r="AH48" s="398" cm="1">
        <f t="array" aca="1" ref="AH48" ca="1">SUMPRODUCT(AH$55:AH$114,TRANSPOSE(SAP_Speadsheet!$E$39:$BL$39))</f>
        <v>0</v>
      </c>
      <c r="AI48" s="398" cm="1">
        <f t="array" aca="1" ref="AI48" ca="1">SUMPRODUCT(AI$55:AI$114,TRANSPOSE(SAP_Speadsheet!$E$39:$BL$39))</f>
        <v>0</v>
      </c>
      <c r="AJ48" s="398" cm="1">
        <f t="array" aca="1" ref="AJ48" ca="1">SUMPRODUCT(AJ$55:AJ$114,TRANSPOSE(SAP_Speadsheet!$E$39:$BL$39))</f>
        <v>0</v>
      </c>
      <c r="AK48" s="398" cm="1">
        <f t="array" aca="1" ref="AK48" ca="1">SUMPRODUCT(AK$55:AK$114,TRANSPOSE(SAP_Speadsheet!$E$39:$BL$39))</f>
        <v>0</v>
      </c>
      <c r="AL48" s="398" cm="1">
        <f t="array" aca="1" ref="AL48" ca="1">SUMPRODUCT(AL$55:AL$114,TRANSPOSE(SAP_Speadsheet!$E$39:$BL$39))</f>
        <v>0</v>
      </c>
      <c r="AM48" s="398" cm="1">
        <f t="array" aca="1" ref="AM48" ca="1">SUMPRODUCT(AM$55:AM$114,TRANSPOSE(SAP_Speadsheet!$E$39:$BL$39))</f>
        <v>0</v>
      </c>
      <c r="AN48" s="398" cm="1">
        <f t="array" aca="1" ref="AN48" ca="1">SUMPRODUCT(AN$55:AN$114,TRANSPOSE(SAP_Speadsheet!$E$39:$BL$39))</f>
        <v>0</v>
      </c>
      <c r="AO48" s="398" cm="1">
        <f t="array" aca="1" ref="AO48" ca="1">SUMPRODUCT(AO$55:AO$114,TRANSPOSE(SAP_Speadsheet!$E$39:$BL$39))</f>
        <v>0</v>
      </c>
      <c r="AP48" s="398" cm="1">
        <f t="array" aca="1" ref="AP48" ca="1">SUMPRODUCT(AP$55:AP$114,TRANSPOSE(SAP_Speadsheet!$E$39:$BL$39))</f>
        <v>0</v>
      </c>
      <c r="AQ48" s="398" cm="1">
        <f t="array" aca="1" ref="AQ48" ca="1">SUMPRODUCT(AQ$55:AQ$114,TRANSPOSE(SAP_Speadsheet!$E$39:$BL$39))</f>
        <v>0</v>
      </c>
      <c r="AR48" s="398" cm="1">
        <f t="array" aca="1" ref="AR48" ca="1">SUMPRODUCT(AR$55:AR$114,TRANSPOSE(SAP_Speadsheet!$E$39:$BL$39))</f>
        <v>0</v>
      </c>
      <c r="AS48" s="398" cm="1">
        <f t="array" aca="1" ref="AS48" ca="1">SUMPRODUCT(AS$55:AS$114,TRANSPOSE(SAP_Speadsheet!$E$39:$BL$39))</f>
        <v>0</v>
      </c>
      <c r="AT48" s="398" cm="1">
        <f t="array" aca="1" ref="AT48" ca="1">SUMPRODUCT(AT$55:AT$114,TRANSPOSE(SAP_Speadsheet!$E$39:$BL$39))</f>
        <v>0</v>
      </c>
      <c r="AU48" s="398" cm="1">
        <f t="array" aca="1" ref="AU48" ca="1">SUMPRODUCT(AU$55:AU$114,TRANSPOSE(SAP_Speadsheet!$E$39:$BL$39))</f>
        <v>0</v>
      </c>
      <c r="AV48" s="398" cm="1">
        <f t="array" aca="1" ref="AV48" ca="1">SUMPRODUCT(AV$55:AV$114,TRANSPOSE(SAP_Speadsheet!$E$39:$BL$39))</f>
        <v>0</v>
      </c>
      <c r="AW48" s="398" cm="1">
        <f t="array" aca="1" ref="AW48" ca="1">SUMPRODUCT(AW$55:AW$114,TRANSPOSE(SAP_Speadsheet!$E$39:$BL$39))</f>
        <v>0</v>
      </c>
      <c r="AX48" s="398" cm="1">
        <f t="array" aca="1" ref="AX48" ca="1">SUMPRODUCT(AX$55:AX$114,TRANSPOSE(SAP_Speadsheet!$E$39:$BL$39))</f>
        <v>0</v>
      </c>
      <c r="AY48" s="398" cm="1">
        <f t="array" aca="1" ref="AY48" ca="1">SUMPRODUCT(AY$55:AY$114,TRANSPOSE(SAP_Speadsheet!$E$39:$BL$39))</f>
        <v>0</v>
      </c>
      <c r="AZ48" s="398" cm="1">
        <f t="array" aca="1" ref="AZ48" ca="1">SUMPRODUCT(AZ$55:AZ$114,TRANSPOSE(SAP_Speadsheet!$E$39:$BL$39))</f>
        <v>0</v>
      </c>
      <c r="BA48" s="398" cm="1">
        <f t="array" aca="1" ref="BA48" ca="1">SUMPRODUCT(BA$55:BA$114,TRANSPOSE(SAP_Speadsheet!$E$39:$BL$39))</f>
        <v>0</v>
      </c>
      <c r="BB48" s="398" cm="1">
        <f t="array" aca="1" ref="BB48" ca="1">SUMPRODUCT(BB$55:BB$114,TRANSPOSE(SAP_Speadsheet!$E$39:$BL$39))</f>
        <v>0</v>
      </c>
      <c r="BC48" s="398" cm="1">
        <f t="array" aca="1" ref="BC48" ca="1">SUMPRODUCT(BC$55:BC$114,TRANSPOSE(SAP_Speadsheet!$E$39:$BL$39))</f>
        <v>0</v>
      </c>
      <c r="BD48" s="398" cm="1">
        <f t="array" aca="1" ref="BD48" ca="1">SUMPRODUCT(BD$55:BD$114,TRANSPOSE(SAP_Speadsheet!$E$39:$BL$39))</f>
        <v>0</v>
      </c>
      <c r="BE48" s="398" cm="1">
        <f t="array" aca="1" ref="BE48" ca="1">SUMPRODUCT(BE$55:BE$114,TRANSPOSE(SAP_Speadsheet!$E$39:$BL$39))</f>
        <v>0</v>
      </c>
      <c r="BF48" s="398" cm="1">
        <f t="array" aca="1" ref="BF48" ca="1">SUMPRODUCT(BF$55:BF$114,TRANSPOSE(SAP_Speadsheet!$E$39:$BL$39))</f>
        <v>0</v>
      </c>
      <c r="BG48" s="398" cm="1">
        <f t="array" aca="1" ref="BG48" ca="1">SUMPRODUCT(BG$55:BG$114,TRANSPOSE(SAP_Speadsheet!$E$39:$BL$39))</f>
        <v>0</v>
      </c>
      <c r="BH48" s="398" cm="1">
        <f t="array" aca="1" ref="BH48" ca="1">SUMPRODUCT(BH$55:BH$114,TRANSPOSE(SAP_Speadsheet!$E$39:$BL$39))</f>
        <v>0</v>
      </c>
      <c r="BI48" s="398" cm="1">
        <f t="array" aca="1" ref="BI48" ca="1">SUMPRODUCT(BI$55:BI$114,TRANSPOSE(SAP_Speadsheet!$E$39:$BL$39))</f>
        <v>0</v>
      </c>
    </row>
    <row r="49" spans="1:62" x14ac:dyDescent="0.15">
      <c r="A49" s="387" t="s">
        <v>497</v>
      </c>
      <c r="B49" s="398" cm="1">
        <f t="array" aca="1" ref="B49" ca="1">SUMPRODUCT(B$55:B$114,TRANSPOSE(SAP_Speadsheet!$E$40:$BL$40))</f>
        <v>0</v>
      </c>
      <c r="C49" s="398" cm="1">
        <f t="array" aca="1" ref="C49" ca="1">SUMPRODUCT(C$55:C$114,TRANSPOSE(SAP_Speadsheet!$E$40:$BL$40))</f>
        <v>0</v>
      </c>
      <c r="D49" s="398" cm="1">
        <f t="array" aca="1" ref="D49" ca="1">SUMPRODUCT(D$55:D$114,TRANSPOSE(SAP_Speadsheet!$E$40:$BL$40))</f>
        <v>0</v>
      </c>
      <c r="E49" s="398" cm="1">
        <f t="array" aca="1" ref="E49" ca="1">SUMPRODUCT(E$55:E$114,TRANSPOSE(SAP_Speadsheet!$E$40:$BL$40))</f>
        <v>0</v>
      </c>
      <c r="F49" s="398" cm="1">
        <f t="array" aca="1" ref="F49" ca="1">SUMPRODUCT(F$55:F$114,TRANSPOSE(SAP_Speadsheet!$E$40:$BL$40))</f>
        <v>0</v>
      </c>
      <c r="G49" s="398" cm="1">
        <f t="array" aca="1" ref="G49" ca="1">SUMPRODUCT(G$55:G$114,TRANSPOSE(SAP_Speadsheet!$E$40:$BL$40))</f>
        <v>0</v>
      </c>
      <c r="H49" s="398" cm="1">
        <f t="array" aca="1" ref="H49" ca="1">SUMPRODUCT(H$55:H$114,TRANSPOSE(SAP_Speadsheet!$E$40:$BL$40))</f>
        <v>0</v>
      </c>
      <c r="I49" s="398" cm="1">
        <f t="array" aca="1" ref="I49" ca="1">SUMPRODUCT(I$55:I$114,TRANSPOSE(SAP_Speadsheet!$E$40:$BL$40))</f>
        <v>0</v>
      </c>
      <c r="J49" s="398" cm="1">
        <f t="array" aca="1" ref="J49" ca="1">SUMPRODUCT(J$55:J$114,TRANSPOSE(SAP_Speadsheet!$E$40:$BL$40))</f>
        <v>0</v>
      </c>
      <c r="K49" s="398" cm="1">
        <f t="array" aca="1" ref="K49" ca="1">SUMPRODUCT(K$55:K$114,TRANSPOSE(SAP_Speadsheet!$E$40:$BL$40))</f>
        <v>0</v>
      </c>
      <c r="L49" s="398" cm="1">
        <f t="array" aca="1" ref="L49" ca="1">SUMPRODUCT(L$55:L$114,TRANSPOSE(SAP_Speadsheet!$E$40:$BL$40))</f>
        <v>0</v>
      </c>
      <c r="M49" s="398" cm="1">
        <f t="array" aca="1" ref="M49" ca="1">SUMPRODUCT(M$55:M$114,TRANSPOSE(SAP_Speadsheet!$E$40:$BL$40))</f>
        <v>0</v>
      </c>
      <c r="N49" s="398" cm="1">
        <f t="array" aca="1" ref="N49" ca="1">SUMPRODUCT(N$55:N$114,TRANSPOSE(SAP_Speadsheet!$E$40:$BL$40))</f>
        <v>0</v>
      </c>
      <c r="O49" s="398" cm="1">
        <f t="array" aca="1" ref="O49" ca="1">SUMPRODUCT(O$55:O$114,TRANSPOSE(SAP_Speadsheet!$E$40:$BL$40))</f>
        <v>0</v>
      </c>
      <c r="P49" s="398" cm="1">
        <f t="array" aca="1" ref="P49" ca="1">SUMPRODUCT(P$55:P$114,TRANSPOSE(SAP_Speadsheet!$E$40:$BL$40))</f>
        <v>0</v>
      </c>
      <c r="Q49" s="398" cm="1">
        <f t="array" aca="1" ref="Q49" ca="1">SUMPRODUCT(Q$55:Q$114,TRANSPOSE(SAP_Speadsheet!$E$40:$BL$40))</f>
        <v>0</v>
      </c>
      <c r="R49" s="398" cm="1">
        <f t="array" aca="1" ref="R49" ca="1">SUMPRODUCT(R$55:R$114,TRANSPOSE(SAP_Speadsheet!$E$40:$BL$40))</f>
        <v>0</v>
      </c>
      <c r="S49" s="398" cm="1">
        <f t="array" aca="1" ref="S49" ca="1">SUMPRODUCT(S$55:S$114,TRANSPOSE(SAP_Speadsheet!$E$40:$BL$40))</f>
        <v>0</v>
      </c>
      <c r="T49" s="398" cm="1">
        <f t="array" aca="1" ref="T49" ca="1">SUMPRODUCT(T$55:T$114,TRANSPOSE(SAP_Speadsheet!$E$40:$BL$40))</f>
        <v>26221.130752494286</v>
      </c>
      <c r="U49" s="398" cm="1">
        <f t="array" aca="1" ref="U49" ca="1">SUMPRODUCT(U$55:U$114,TRANSPOSE(SAP_Speadsheet!$E$40:$BL$40))</f>
        <v>44812.07235218861</v>
      </c>
      <c r="V49" s="398" cm="1">
        <f t="array" aca="1" ref="V49" ca="1">SUMPRODUCT(V$55:V$114,TRANSPOSE(SAP_Speadsheet!$E$40:$BL$40))</f>
        <v>69909.807268242352</v>
      </c>
      <c r="W49" s="398" cm="1">
        <f t="array" aca="1" ref="W49" ca="1">SUMPRODUCT(W$55:W$114,TRANSPOSE(SAP_Speadsheet!$E$40:$BL$40))</f>
        <v>57393.141286598191</v>
      </c>
      <c r="X49" s="398" cm="1">
        <f t="array" aca="1" ref="X49" ca="1">SUMPRODUCT(X$55:X$114,TRANSPOSE(SAP_Speadsheet!$E$40:$BL$40))</f>
        <v>49447.15092081247</v>
      </c>
      <c r="Y49" s="398" cm="1">
        <f t="array" aca="1" ref="Y49" ca="1">SUMPRODUCT(Y$55:Y$114,TRANSPOSE(SAP_Speadsheet!$E$40:$BL$40))</f>
        <v>42628.333148648533</v>
      </c>
      <c r="Z49" s="398" cm="1">
        <f t="array" aca="1" ref="Z49" ca="1">SUMPRODUCT(Z$55:Z$114,TRANSPOSE(SAP_Speadsheet!$E$40:$BL$40))</f>
        <v>36902.820915904675</v>
      </c>
      <c r="AA49" s="398" cm="1">
        <f t="array" aca="1" ref="AA49" ca="1">SUMPRODUCT(AA$55:AA$114,TRANSPOSE(SAP_Speadsheet!$E$40:$BL$40))</f>
        <v>31574.394389341807</v>
      </c>
      <c r="AB49" s="398" cm="1">
        <f t="array" aca="1" ref="AB49" ca="1">SUMPRODUCT(AB$55:AB$114,TRANSPOSE(SAP_Speadsheet!$E$40:$BL$40))</f>
        <v>19875.841756526675</v>
      </c>
      <c r="AC49" s="398" cm="1">
        <f t="array" aca="1" ref="AC49" ca="1">SUMPRODUCT(AC$55:AC$114,TRANSPOSE(SAP_Speadsheet!$E$40:$BL$40))</f>
        <v>10360.048474061405</v>
      </c>
      <c r="AD49" s="398" cm="1">
        <f t="array" aca="1" ref="AD49" ca="1">SUMPRODUCT(AD$55:AD$114,TRANSPOSE(SAP_Speadsheet!$E$40:$BL$40))</f>
        <v>0</v>
      </c>
      <c r="AE49" s="398" cm="1">
        <f t="array" aca="1" ref="AE49" ca="1">SUMPRODUCT(AE$55:AE$114,TRANSPOSE(SAP_Speadsheet!$E$40:$BL$40))</f>
        <v>0</v>
      </c>
      <c r="AF49" s="398" cm="1">
        <f t="array" aca="1" ref="AF49" ca="1">SUMPRODUCT(AF$55:AF$114,TRANSPOSE(SAP_Speadsheet!$E$40:$BL$40))</f>
        <v>0</v>
      </c>
      <c r="AG49" s="398" cm="1">
        <f t="array" aca="1" ref="AG49" ca="1">SUMPRODUCT(AG$55:AG$114,TRANSPOSE(SAP_Speadsheet!$E$40:$BL$40))</f>
        <v>0</v>
      </c>
      <c r="AH49" s="398" cm="1">
        <f t="array" aca="1" ref="AH49" ca="1">SUMPRODUCT(AH$55:AH$114,TRANSPOSE(SAP_Speadsheet!$E$40:$BL$40))</f>
        <v>0</v>
      </c>
      <c r="AI49" s="398" cm="1">
        <f t="array" aca="1" ref="AI49" ca="1">SUMPRODUCT(AI$55:AI$114,TRANSPOSE(SAP_Speadsheet!$E$40:$BL$40))</f>
        <v>0</v>
      </c>
      <c r="AJ49" s="398" cm="1">
        <f t="array" aca="1" ref="AJ49" ca="1">SUMPRODUCT(AJ$55:AJ$114,TRANSPOSE(SAP_Speadsheet!$E$40:$BL$40))</f>
        <v>0</v>
      </c>
      <c r="AK49" s="398" cm="1">
        <f t="array" aca="1" ref="AK49" ca="1">SUMPRODUCT(AK$55:AK$114,TRANSPOSE(SAP_Speadsheet!$E$40:$BL$40))</f>
        <v>0</v>
      </c>
      <c r="AL49" s="398" cm="1">
        <f t="array" aca="1" ref="AL49" ca="1">SUMPRODUCT(AL$55:AL$114,TRANSPOSE(SAP_Speadsheet!$E$40:$BL$40))</f>
        <v>0</v>
      </c>
      <c r="AM49" s="398" cm="1">
        <f t="array" aca="1" ref="AM49" ca="1">SUMPRODUCT(AM$55:AM$114,TRANSPOSE(SAP_Speadsheet!$E$40:$BL$40))</f>
        <v>0</v>
      </c>
      <c r="AN49" s="398" cm="1">
        <f t="array" aca="1" ref="AN49" ca="1">SUMPRODUCT(AN$55:AN$114,TRANSPOSE(SAP_Speadsheet!$E$40:$BL$40))</f>
        <v>0</v>
      </c>
      <c r="AO49" s="398" cm="1">
        <f t="array" aca="1" ref="AO49" ca="1">SUMPRODUCT(AO$55:AO$114,TRANSPOSE(SAP_Speadsheet!$E$40:$BL$40))</f>
        <v>0</v>
      </c>
      <c r="AP49" s="398" cm="1">
        <f t="array" aca="1" ref="AP49" ca="1">SUMPRODUCT(AP$55:AP$114,TRANSPOSE(SAP_Speadsheet!$E$40:$BL$40))</f>
        <v>0</v>
      </c>
      <c r="AQ49" s="398" cm="1">
        <f t="array" aca="1" ref="AQ49" ca="1">SUMPRODUCT(AQ$55:AQ$114,TRANSPOSE(SAP_Speadsheet!$E$40:$BL$40))</f>
        <v>0</v>
      </c>
      <c r="AR49" s="398" cm="1">
        <f t="array" aca="1" ref="AR49" ca="1">SUMPRODUCT(AR$55:AR$114,TRANSPOSE(SAP_Speadsheet!$E$40:$BL$40))</f>
        <v>0</v>
      </c>
      <c r="AS49" s="398" cm="1">
        <f t="array" aca="1" ref="AS49" ca="1">SUMPRODUCT(AS$55:AS$114,TRANSPOSE(SAP_Speadsheet!$E$40:$BL$40))</f>
        <v>0</v>
      </c>
      <c r="AT49" s="398" cm="1">
        <f t="array" aca="1" ref="AT49" ca="1">SUMPRODUCT(AT$55:AT$114,TRANSPOSE(SAP_Speadsheet!$E$40:$BL$40))</f>
        <v>0</v>
      </c>
      <c r="AU49" s="398" cm="1">
        <f t="array" aca="1" ref="AU49" ca="1">SUMPRODUCT(AU$55:AU$114,TRANSPOSE(SAP_Speadsheet!$E$40:$BL$40))</f>
        <v>0</v>
      </c>
      <c r="AV49" s="398" cm="1">
        <f t="array" aca="1" ref="AV49" ca="1">SUMPRODUCT(AV$55:AV$114,TRANSPOSE(SAP_Speadsheet!$E$40:$BL$40))</f>
        <v>0</v>
      </c>
      <c r="AW49" s="398" cm="1">
        <f t="array" aca="1" ref="AW49" ca="1">SUMPRODUCT(AW$55:AW$114,TRANSPOSE(SAP_Speadsheet!$E$40:$BL$40))</f>
        <v>0</v>
      </c>
      <c r="AX49" s="398" cm="1">
        <f t="array" aca="1" ref="AX49" ca="1">SUMPRODUCT(AX$55:AX$114,TRANSPOSE(SAP_Speadsheet!$E$40:$BL$40))</f>
        <v>0</v>
      </c>
      <c r="AY49" s="398" cm="1">
        <f t="array" aca="1" ref="AY49" ca="1">SUMPRODUCT(AY$55:AY$114,TRANSPOSE(SAP_Speadsheet!$E$40:$BL$40))</f>
        <v>0</v>
      </c>
      <c r="AZ49" s="398" cm="1">
        <f t="array" aca="1" ref="AZ49" ca="1">SUMPRODUCT(AZ$55:AZ$114,TRANSPOSE(SAP_Speadsheet!$E$40:$BL$40))</f>
        <v>0</v>
      </c>
      <c r="BA49" s="398" cm="1">
        <f t="array" aca="1" ref="BA49" ca="1">SUMPRODUCT(BA$55:BA$114,TRANSPOSE(SAP_Speadsheet!$E$40:$BL$40))</f>
        <v>0</v>
      </c>
      <c r="BB49" s="398" cm="1">
        <f t="array" aca="1" ref="BB49" ca="1">SUMPRODUCT(BB$55:BB$114,TRANSPOSE(SAP_Speadsheet!$E$40:$BL$40))</f>
        <v>0</v>
      </c>
      <c r="BC49" s="398" cm="1">
        <f t="array" aca="1" ref="BC49" ca="1">SUMPRODUCT(BC$55:BC$114,TRANSPOSE(SAP_Speadsheet!$E$40:$BL$40))</f>
        <v>0</v>
      </c>
      <c r="BD49" s="398" cm="1">
        <f t="array" aca="1" ref="BD49" ca="1">SUMPRODUCT(BD$55:BD$114,TRANSPOSE(SAP_Speadsheet!$E$40:$BL$40))</f>
        <v>0</v>
      </c>
      <c r="BE49" s="398" cm="1">
        <f t="array" aca="1" ref="BE49" ca="1">SUMPRODUCT(BE$55:BE$114,TRANSPOSE(SAP_Speadsheet!$E$40:$BL$40))</f>
        <v>0</v>
      </c>
      <c r="BF49" s="398" cm="1">
        <f t="array" aca="1" ref="BF49" ca="1">SUMPRODUCT(BF$55:BF$114,TRANSPOSE(SAP_Speadsheet!$E$40:$BL$40))</f>
        <v>0</v>
      </c>
      <c r="BG49" s="398" cm="1">
        <f t="array" aca="1" ref="BG49" ca="1">SUMPRODUCT(BG$55:BG$114,TRANSPOSE(SAP_Speadsheet!$E$40:$BL$40))</f>
        <v>0</v>
      </c>
      <c r="BH49" s="398" cm="1">
        <f t="array" aca="1" ref="BH49" ca="1">SUMPRODUCT(BH$55:BH$114,TRANSPOSE(SAP_Speadsheet!$E$40:$BL$40))</f>
        <v>0</v>
      </c>
      <c r="BI49" s="398" cm="1">
        <f t="array" aca="1" ref="BI49" ca="1">SUMPRODUCT(BI$55:BI$114,TRANSPOSE(SAP_Speadsheet!$E$40:$BL$40))</f>
        <v>0</v>
      </c>
    </row>
    <row r="50" spans="1:62" x14ac:dyDescent="0.15">
      <c r="A50" s="387" t="s">
        <v>417</v>
      </c>
      <c r="B50" s="398" cm="1">
        <f t="array" aca="1" ref="B50" ca="1">SUMPRODUCT(B$55:B$114,TRANSPOSE(SAP_Speadsheet!$E$41:$BL$41))</f>
        <v>0</v>
      </c>
      <c r="C50" s="398" cm="1">
        <f t="array" aca="1" ref="C50" ca="1">SUMPRODUCT(C$55:C$114,TRANSPOSE(SAP_Speadsheet!$E$41:$BL$41))</f>
        <v>0</v>
      </c>
      <c r="D50" s="398" cm="1">
        <f t="array" aca="1" ref="D50" ca="1">SUMPRODUCT(D$55:D$114,TRANSPOSE(SAP_Speadsheet!$E$41:$BL$41))</f>
        <v>0</v>
      </c>
      <c r="E50" s="398" cm="1">
        <f t="array" aca="1" ref="E50" ca="1">SUMPRODUCT(E$55:E$114,TRANSPOSE(SAP_Speadsheet!$E$41:$BL$41))</f>
        <v>0</v>
      </c>
      <c r="F50" s="398" cm="1">
        <f t="array" aca="1" ref="F50" ca="1">SUMPRODUCT(F$55:F$114,TRANSPOSE(SAP_Speadsheet!$E$41:$BL$41))</f>
        <v>0</v>
      </c>
      <c r="G50" s="398" cm="1">
        <f t="array" aca="1" ref="G50" ca="1">SUMPRODUCT(G$55:G$114,TRANSPOSE(SAP_Speadsheet!$E$41:$BL$41))</f>
        <v>0</v>
      </c>
      <c r="H50" s="398" cm="1">
        <f t="array" aca="1" ref="H50" ca="1">SUMPRODUCT(H$55:H$114,TRANSPOSE(SAP_Speadsheet!$E$41:$BL$41))</f>
        <v>0</v>
      </c>
      <c r="I50" s="398" cm="1">
        <f t="array" aca="1" ref="I50" ca="1">SUMPRODUCT(I$55:I$114,TRANSPOSE(SAP_Speadsheet!$E$41:$BL$41))</f>
        <v>0</v>
      </c>
      <c r="J50" s="398" cm="1">
        <f t="array" aca="1" ref="J50" ca="1">SUMPRODUCT(J$55:J$114,TRANSPOSE(SAP_Speadsheet!$E$41:$BL$41))</f>
        <v>0</v>
      </c>
      <c r="K50" s="398" cm="1">
        <f t="array" aca="1" ref="K50" ca="1">SUMPRODUCT(K$55:K$114,TRANSPOSE(SAP_Speadsheet!$E$41:$BL$41))</f>
        <v>0</v>
      </c>
      <c r="L50" s="398" cm="1">
        <f t="array" aca="1" ref="L50" ca="1">SUMPRODUCT(L$55:L$114,TRANSPOSE(SAP_Speadsheet!$E$41:$BL$41))</f>
        <v>0</v>
      </c>
      <c r="M50" s="398" cm="1">
        <f t="array" aca="1" ref="M50" ca="1">SUMPRODUCT(M$55:M$114,TRANSPOSE(SAP_Speadsheet!$E$41:$BL$41))</f>
        <v>0</v>
      </c>
      <c r="N50" s="398" cm="1">
        <f t="array" aca="1" ref="N50" ca="1">SUMPRODUCT(N$55:N$114,TRANSPOSE(SAP_Speadsheet!$E$41:$BL$41))</f>
        <v>0</v>
      </c>
      <c r="O50" s="398" cm="1">
        <f t="array" aca="1" ref="O50" ca="1">SUMPRODUCT(O$55:O$114,TRANSPOSE(SAP_Speadsheet!$E$41:$BL$41))</f>
        <v>0</v>
      </c>
      <c r="P50" s="398" cm="1">
        <f t="array" aca="1" ref="P50" ca="1">SUMPRODUCT(P$55:P$114,TRANSPOSE(SAP_Speadsheet!$E$41:$BL$41))</f>
        <v>0</v>
      </c>
      <c r="Q50" s="398" cm="1">
        <f t="array" aca="1" ref="Q50" ca="1">SUMPRODUCT(Q$55:Q$114,TRANSPOSE(SAP_Speadsheet!$E$41:$BL$41))</f>
        <v>0</v>
      </c>
      <c r="R50" s="398" cm="1">
        <f t="array" aca="1" ref="R50" ca="1">SUMPRODUCT(R$55:R$114,TRANSPOSE(SAP_Speadsheet!$E$41:$BL$41))</f>
        <v>0</v>
      </c>
      <c r="S50" s="398" cm="1">
        <f t="array" aca="1" ref="S50" ca="1">SUMPRODUCT(S$55:S$114,TRANSPOSE(SAP_Speadsheet!$E$41:$BL$41))</f>
        <v>0</v>
      </c>
      <c r="T50" s="398" cm="1">
        <f t="array" aca="1" ref="T50" ca="1">SUMPRODUCT(T$55:T$114,TRANSPOSE(SAP_Speadsheet!$E$41:$BL$41))</f>
        <v>0</v>
      </c>
      <c r="U50" s="398" cm="1">
        <f t="array" aca="1" ref="U50" ca="1">SUMPRODUCT(U$55:U$114,TRANSPOSE(SAP_Speadsheet!$E$41:$BL$41))</f>
        <v>26221.130752494286</v>
      </c>
      <c r="V50" s="398" cm="1">
        <f t="array" aca="1" ref="V50" ca="1">SUMPRODUCT(V$55:V$114,TRANSPOSE(SAP_Speadsheet!$E$41:$BL$41))</f>
        <v>71033.203104682892</v>
      </c>
      <c r="W50" s="398" cm="1">
        <f t="array" aca="1" ref="W50" ca="1">SUMPRODUCT(W$55:W$114,TRANSPOSE(SAP_Speadsheet!$E$41:$BL$41))</f>
        <v>140943.01037292526</v>
      </c>
      <c r="X50" s="398" cm="1">
        <f t="array" aca="1" ref="X50" ca="1">SUMPRODUCT(X$55:X$114,TRANSPOSE(SAP_Speadsheet!$E$41:$BL$41))</f>
        <v>198336.15165952343</v>
      </c>
      <c r="Y50" s="398" cm="1">
        <f t="array" aca="1" ref="Y50" ca="1">SUMPRODUCT(Y$55:Y$114,TRANSPOSE(SAP_Speadsheet!$E$41:$BL$41))</f>
        <v>247783.30258033593</v>
      </c>
      <c r="Z50" s="398" cm="1">
        <f t="array" aca="1" ref="Z50" ca="1">SUMPRODUCT(Z$55:Z$114,TRANSPOSE(SAP_Speadsheet!$E$41:$BL$41))</f>
        <v>290411.63572898449</v>
      </c>
      <c r="AA50" s="398" cm="1">
        <f t="array" aca="1" ref="AA50" ca="1">SUMPRODUCT(AA$55:AA$114,TRANSPOSE(SAP_Speadsheet!$E$41:$BL$41))</f>
        <v>327314.45664488914</v>
      </c>
      <c r="AB50" s="398" cm="1">
        <f t="array" aca="1" ref="AB50" ca="1">SUMPRODUCT(AB$55:AB$114,TRANSPOSE(SAP_Speadsheet!$E$41:$BL$41))</f>
        <v>237158.72620863633</v>
      </c>
      <c r="AC50" s="398" cm="1">
        <f t="array" aca="1" ref="AC50" ca="1">SUMPRODUCT(AC$55:AC$114,TRANSPOSE(SAP_Speadsheet!$E$41:$BL$41))</f>
        <v>144143.23991559114</v>
      </c>
      <c r="AD50" s="398" cm="1">
        <f t="array" aca="1" ref="AD50" ca="1">SUMPRODUCT(AD$55:AD$114,TRANSPOSE(SAP_Speadsheet!$E$41:$BL$41))</f>
        <v>0</v>
      </c>
      <c r="AE50" s="398" cm="1">
        <f t="array" aca="1" ref="AE50" ca="1">SUMPRODUCT(AE$55:AE$114,TRANSPOSE(SAP_Speadsheet!$E$41:$BL$41))</f>
        <v>0</v>
      </c>
      <c r="AF50" s="398" cm="1">
        <f t="array" aca="1" ref="AF50" ca="1">SUMPRODUCT(AF$55:AF$114,TRANSPOSE(SAP_Speadsheet!$E$41:$BL$41))</f>
        <v>0</v>
      </c>
      <c r="AG50" s="398" cm="1">
        <f t="array" aca="1" ref="AG50" ca="1">SUMPRODUCT(AG$55:AG$114,TRANSPOSE(SAP_Speadsheet!$E$41:$BL$41))</f>
        <v>0</v>
      </c>
      <c r="AH50" s="398" cm="1">
        <f t="array" aca="1" ref="AH50" ca="1">SUMPRODUCT(AH$55:AH$114,TRANSPOSE(SAP_Speadsheet!$E$41:$BL$41))</f>
        <v>0</v>
      </c>
      <c r="AI50" s="398" cm="1">
        <f t="array" aca="1" ref="AI50" ca="1">SUMPRODUCT(AI$55:AI$114,TRANSPOSE(SAP_Speadsheet!$E$41:$BL$41))</f>
        <v>0</v>
      </c>
      <c r="AJ50" s="398" cm="1">
        <f t="array" aca="1" ref="AJ50" ca="1">SUMPRODUCT(AJ$55:AJ$114,TRANSPOSE(SAP_Speadsheet!$E$41:$BL$41))</f>
        <v>0</v>
      </c>
      <c r="AK50" s="398" cm="1">
        <f t="array" aca="1" ref="AK50" ca="1">SUMPRODUCT(AK$55:AK$114,TRANSPOSE(SAP_Speadsheet!$E$41:$BL$41))</f>
        <v>0</v>
      </c>
      <c r="AL50" s="398" cm="1">
        <f t="array" aca="1" ref="AL50" ca="1">SUMPRODUCT(AL$55:AL$114,TRANSPOSE(SAP_Speadsheet!$E$41:$BL$41))</f>
        <v>0</v>
      </c>
      <c r="AM50" s="398" cm="1">
        <f t="array" aca="1" ref="AM50" ca="1">SUMPRODUCT(AM$55:AM$114,TRANSPOSE(SAP_Speadsheet!$E$41:$BL$41))</f>
        <v>0</v>
      </c>
      <c r="AN50" s="398" cm="1">
        <f t="array" aca="1" ref="AN50" ca="1">SUMPRODUCT(AN$55:AN$114,TRANSPOSE(SAP_Speadsheet!$E$41:$BL$41))</f>
        <v>0</v>
      </c>
      <c r="AO50" s="398" cm="1">
        <f t="array" aca="1" ref="AO50" ca="1">SUMPRODUCT(AO$55:AO$114,TRANSPOSE(SAP_Speadsheet!$E$41:$BL$41))</f>
        <v>0</v>
      </c>
      <c r="AP50" s="398" cm="1">
        <f t="array" aca="1" ref="AP50" ca="1">SUMPRODUCT(AP$55:AP$114,TRANSPOSE(SAP_Speadsheet!$E$41:$BL$41))</f>
        <v>0</v>
      </c>
      <c r="AQ50" s="398" cm="1">
        <f t="array" aca="1" ref="AQ50" ca="1">SUMPRODUCT(AQ$55:AQ$114,TRANSPOSE(SAP_Speadsheet!$E$41:$BL$41))</f>
        <v>0</v>
      </c>
      <c r="AR50" s="398" cm="1">
        <f t="array" aca="1" ref="AR50" ca="1">SUMPRODUCT(AR$55:AR$114,TRANSPOSE(SAP_Speadsheet!$E$41:$BL$41))</f>
        <v>0</v>
      </c>
      <c r="AS50" s="398" cm="1">
        <f t="array" aca="1" ref="AS50" ca="1">SUMPRODUCT(AS$55:AS$114,TRANSPOSE(SAP_Speadsheet!$E$41:$BL$41))</f>
        <v>0</v>
      </c>
      <c r="AT50" s="398" cm="1">
        <f t="array" aca="1" ref="AT50" ca="1">SUMPRODUCT(AT$55:AT$114,TRANSPOSE(SAP_Speadsheet!$E$41:$BL$41))</f>
        <v>0</v>
      </c>
      <c r="AU50" s="398" cm="1">
        <f t="array" aca="1" ref="AU50" ca="1">SUMPRODUCT(AU$55:AU$114,TRANSPOSE(SAP_Speadsheet!$E$41:$BL$41))</f>
        <v>0</v>
      </c>
      <c r="AV50" s="398" cm="1">
        <f t="array" aca="1" ref="AV50" ca="1">SUMPRODUCT(AV$55:AV$114,TRANSPOSE(SAP_Speadsheet!$E$41:$BL$41))</f>
        <v>0</v>
      </c>
      <c r="AW50" s="398" cm="1">
        <f t="array" aca="1" ref="AW50" ca="1">SUMPRODUCT(AW$55:AW$114,TRANSPOSE(SAP_Speadsheet!$E$41:$BL$41))</f>
        <v>0</v>
      </c>
      <c r="AX50" s="398" cm="1">
        <f t="array" aca="1" ref="AX50" ca="1">SUMPRODUCT(AX$55:AX$114,TRANSPOSE(SAP_Speadsheet!$E$41:$BL$41))</f>
        <v>0</v>
      </c>
      <c r="AY50" s="398" cm="1">
        <f t="array" aca="1" ref="AY50" ca="1">SUMPRODUCT(AY$55:AY$114,TRANSPOSE(SAP_Speadsheet!$E$41:$BL$41))</f>
        <v>0</v>
      </c>
      <c r="AZ50" s="398" cm="1">
        <f t="array" aca="1" ref="AZ50" ca="1">SUMPRODUCT(AZ$55:AZ$114,TRANSPOSE(SAP_Speadsheet!$E$41:$BL$41))</f>
        <v>0</v>
      </c>
      <c r="BA50" s="398" cm="1">
        <f t="array" aca="1" ref="BA50" ca="1">SUMPRODUCT(BA$55:BA$114,TRANSPOSE(SAP_Speadsheet!$E$41:$BL$41))</f>
        <v>0</v>
      </c>
      <c r="BB50" s="398" cm="1">
        <f t="array" aca="1" ref="BB50" ca="1">SUMPRODUCT(BB$55:BB$114,TRANSPOSE(SAP_Speadsheet!$E$41:$BL$41))</f>
        <v>0</v>
      </c>
      <c r="BC50" s="398" cm="1">
        <f t="array" aca="1" ref="BC50" ca="1">SUMPRODUCT(BC$55:BC$114,TRANSPOSE(SAP_Speadsheet!$E$41:$BL$41))</f>
        <v>0</v>
      </c>
      <c r="BD50" s="398" cm="1">
        <f t="array" aca="1" ref="BD50" ca="1">SUMPRODUCT(BD$55:BD$114,TRANSPOSE(SAP_Speadsheet!$E$41:$BL$41))</f>
        <v>0</v>
      </c>
      <c r="BE50" s="398" cm="1">
        <f t="array" aca="1" ref="BE50" ca="1">SUMPRODUCT(BE$55:BE$114,TRANSPOSE(SAP_Speadsheet!$E$41:$BL$41))</f>
        <v>0</v>
      </c>
      <c r="BF50" s="398" cm="1">
        <f t="array" aca="1" ref="BF50" ca="1">SUMPRODUCT(BF$55:BF$114,TRANSPOSE(SAP_Speadsheet!$E$41:$BL$41))</f>
        <v>0</v>
      </c>
      <c r="BG50" s="398" cm="1">
        <f t="array" aca="1" ref="BG50" ca="1">SUMPRODUCT(BG$55:BG$114,TRANSPOSE(SAP_Speadsheet!$E$41:$BL$41))</f>
        <v>0</v>
      </c>
      <c r="BH50" s="398" cm="1">
        <f t="array" aca="1" ref="BH50" ca="1">SUMPRODUCT(BH$55:BH$114,TRANSPOSE(SAP_Speadsheet!$E$41:$BL$41))</f>
        <v>0</v>
      </c>
      <c r="BI50" s="398" cm="1">
        <f t="array" aca="1" ref="BI50" ca="1">SUMPRODUCT(BI$55:BI$114,TRANSPOSE(SAP_Speadsheet!$E$41:$BL$41))</f>
        <v>0</v>
      </c>
    </row>
    <row r="51" spans="1:62" s="405" customFormat="1" x14ac:dyDescent="0.15">
      <c r="A51" s="400" t="s">
        <v>464</v>
      </c>
      <c r="B51" s="404">
        <f t="shared" ref="B51:BI51" ca="1" si="6">SUM(B36:B50)-B7</f>
        <v>0</v>
      </c>
      <c r="C51" s="404">
        <f t="shared" ca="1" si="6"/>
        <v>0</v>
      </c>
      <c r="D51" s="404">
        <f t="shared" ca="1" si="6"/>
        <v>0</v>
      </c>
      <c r="E51" s="404">
        <f t="shared" ca="1" si="6"/>
        <v>0</v>
      </c>
      <c r="F51" s="404">
        <f t="shared" ca="1" si="6"/>
        <v>0</v>
      </c>
      <c r="G51" s="404">
        <f t="shared" ca="1" si="6"/>
        <v>0</v>
      </c>
      <c r="H51" s="404">
        <f t="shared" ca="1" si="6"/>
        <v>0</v>
      </c>
      <c r="I51" s="404">
        <f t="shared" ca="1" si="6"/>
        <v>0</v>
      </c>
      <c r="J51" s="404">
        <f t="shared" ca="1" si="6"/>
        <v>0</v>
      </c>
      <c r="K51" s="404">
        <f t="shared" ca="1" si="6"/>
        <v>0</v>
      </c>
      <c r="L51" s="404">
        <f t="shared" ca="1" si="6"/>
        <v>0</v>
      </c>
      <c r="M51" s="404">
        <f t="shared" ca="1" si="6"/>
        <v>0</v>
      </c>
      <c r="N51" s="404">
        <f t="shared" ca="1" si="6"/>
        <v>0</v>
      </c>
      <c r="O51" s="404">
        <f t="shared" ca="1" si="6"/>
        <v>0</v>
      </c>
      <c r="P51" s="404">
        <f t="shared" ca="1" si="6"/>
        <v>0</v>
      </c>
      <c r="Q51" s="404">
        <f t="shared" ca="1" si="6"/>
        <v>0</v>
      </c>
      <c r="R51" s="404">
        <f t="shared" ca="1" si="6"/>
        <v>0</v>
      </c>
      <c r="S51" s="404">
        <f t="shared" ca="1" si="6"/>
        <v>0</v>
      </c>
      <c r="T51" s="404">
        <f t="shared" ca="1" si="6"/>
        <v>0</v>
      </c>
      <c r="U51" s="404">
        <f t="shared" ca="1" si="6"/>
        <v>0</v>
      </c>
      <c r="V51" s="404">
        <f t="shared" ca="1" si="6"/>
        <v>0</v>
      </c>
      <c r="W51" s="404">
        <f t="shared" ca="1" si="6"/>
        <v>0</v>
      </c>
      <c r="X51" s="404">
        <f t="shared" ca="1" si="6"/>
        <v>0</v>
      </c>
      <c r="Y51" s="404">
        <f t="shared" ca="1" si="6"/>
        <v>0</v>
      </c>
      <c r="Z51" s="404">
        <f t="shared" ca="1" si="6"/>
        <v>0</v>
      </c>
      <c r="AA51" s="404">
        <f t="shared" ca="1" si="6"/>
        <v>0</v>
      </c>
      <c r="AB51" s="404">
        <f t="shared" ca="1" si="6"/>
        <v>0</v>
      </c>
      <c r="AC51" s="404">
        <f t="shared" ca="1" si="6"/>
        <v>0</v>
      </c>
      <c r="AD51" s="404">
        <f t="shared" ca="1" si="6"/>
        <v>0</v>
      </c>
      <c r="AE51" s="404">
        <f t="shared" ca="1" si="6"/>
        <v>0</v>
      </c>
      <c r="AF51" s="404">
        <f t="shared" ca="1" si="6"/>
        <v>0</v>
      </c>
      <c r="AG51" s="404">
        <f t="shared" ca="1" si="6"/>
        <v>0</v>
      </c>
      <c r="AH51" s="404">
        <f t="shared" ca="1" si="6"/>
        <v>0</v>
      </c>
      <c r="AI51" s="404">
        <f t="shared" ca="1" si="6"/>
        <v>0</v>
      </c>
      <c r="AJ51" s="404">
        <f t="shared" ca="1" si="6"/>
        <v>0</v>
      </c>
      <c r="AK51" s="404">
        <f t="shared" ca="1" si="6"/>
        <v>0</v>
      </c>
      <c r="AL51" s="404">
        <f t="shared" ca="1" si="6"/>
        <v>0</v>
      </c>
      <c r="AM51" s="404">
        <f t="shared" ca="1" si="6"/>
        <v>0</v>
      </c>
      <c r="AN51" s="404">
        <f t="shared" ca="1" si="6"/>
        <v>0</v>
      </c>
      <c r="AO51" s="404">
        <f t="shared" ca="1" si="6"/>
        <v>0</v>
      </c>
      <c r="AP51" s="404">
        <f t="shared" ca="1" si="6"/>
        <v>0</v>
      </c>
      <c r="AQ51" s="404">
        <f t="shared" ca="1" si="6"/>
        <v>0</v>
      </c>
      <c r="AR51" s="404">
        <f t="shared" ca="1" si="6"/>
        <v>0</v>
      </c>
      <c r="AS51" s="404">
        <f t="shared" ca="1" si="6"/>
        <v>0</v>
      </c>
      <c r="AT51" s="404">
        <f t="shared" ca="1" si="6"/>
        <v>0</v>
      </c>
      <c r="AU51" s="404">
        <f t="shared" ca="1" si="6"/>
        <v>0</v>
      </c>
      <c r="AV51" s="404">
        <f t="shared" ca="1" si="6"/>
        <v>0</v>
      </c>
      <c r="AW51" s="404">
        <f t="shared" ca="1" si="6"/>
        <v>0</v>
      </c>
      <c r="AX51" s="404">
        <f t="shared" ca="1" si="6"/>
        <v>0</v>
      </c>
      <c r="AY51" s="404">
        <f t="shared" ca="1" si="6"/>
        <v>0</v>
      </c>
      <c r="AZ51" s="404">
        <f t="shared" ca="1" si="6"/>
        <v>0</v>
      </c>
      <c r="BA51" s="404">
        <f t="shared" ca="1" si="6"/>
        <v>0</v>
      </c>
      <c r="BB51" s="404">
        <f t="shared" ca="1" si="6"/>
        <v>0</v>
      </c>
      <c r="BC51" s="404">
        <f t="shared" ca="1" si="6"/>
        <v>0</v>
      </c>
      <c r="BD51" s="404">
        <f t="shared" ca="1" si="6"/>
        <v>0</v>
      </c>
      <c r="BE51" s="404">
        <f t="shared" ca="1" si="6"/>
        <v>0</v>
      </c>
      <c r="BF51" s="404">
        <f t="shared" ca="1" si="6"/>
        <v>0</v>
      </c>
      <c r="BG51" s="404">
        <f t="shared" ca="1" si="6"/>
        <v>0</v>
      </c>
      <c r="BH51" s="404">
        <f t="shared" ca="1" si="6"/>
        <v>0</v>
      </c>
      <c r="BI51" s="404">
        <f t="shared" ca="1" si="6"/>
        <v>0</v>
      </c>
    </row>
    <row r="52" spans="1:62" x14ac:dyDescent="0.15">
      <c r="A52" s="400"/>
      <c r="B52" s="404"/>
      <c r="C52" s="404"/>
      <c r="D52" s="404"/>
      <c r="E52" s="404"/>
      <c r="F52" s="404"/>
      <c r="G52" s="404"/>
      <c r="H52" s="404"/>
      <c r="I52" s="404"/>
      <c r="J52" s="404"/>
      <c r="K52" s="404"/>
      <c r="L52" s="404"/>
      <c r="M52" s="404"/>
      <c r="N52" s="404"/>
      <c r="O52" s="404"/>
      <c r="P52" s="404"/>
      <c r="Q52" s="404"/>
      <c r="R52" s="404"/>
      <c r="S52" s="404"/>
      <c r="T52" s="404"/>
      <c r="U52" s="404"/>
      <c r="V52" s="404"/>
      <c r="W52" s="404"/>
      <c r="X52" s="404"/>
      <c r="Y52" s="404"/>
      <c r="Z52" s="404"/>
      <c r="AA52" s="404"/>
      <c r="AB52" s="404"/>
      <c r="AC52" s="404"/>
      <c r="AD52" s="404"/>
      <c r="AE52" s="404"/>
      <c r="AF52" s="404"/>
      <c r="AG52" s="404"/>
      <c r="AH52" s="404"/>
      <c r="AI52" s="404"/>
      <c r="AJ52" s="404"/>
      <c r="AK52" s="404"/>
      <c r="AL52" s="404"/>
      <c r="AM52" s="404"/>
      <c r="AN52" s="404"/>
      <c r="AO52" s="404"/>
      <c r="AP52" s="404"/>
      <c r="AQ52" s="404"/>
      <c r="AR52" s="404"/>
      <c r="AS52" s="404"/>
      <c r="AT52" s="404"/>
      <c r="AU52" s="404"/>
      <c r="AV52" s="404"/>
      <c r="AW52" s="404"/>
      <c r="AX52" s="404"/>
      <c r="AY52" s="404"/>
      <c r="AZ52" s="404"/>
      <c r="BA52" s="404"/>
      <c r="BB52" s="404"/>
      <c r="BC52" s="404"/>
      <c r="BD52" s="404"/>
      <c r="BE52" s="404"/>
      <c r="BF52" s="404"/>
      <c r="BG52" s="404"/>
      <c r="BH52" s="404"/>
      <c r="BI52" s="404"/>
    </row>
    <row r="53" spans="1:62" s="405" customFormat="1" x14ac:dyDescent="0.15">
      <c r="A53" s="400"/>
    </row>
    <row r="54" spans="1:62" s="386" customFormat="1" outlineLevel="1" x14ac:dyDescent="0.15">
      <c r="A54" s="406" t="s">
        <v>498</v>
      </c>
      <c r="B54" s="407">
        <f>ROUND('Saleplan&amp;PnL'!D6*1000/Leadsheet!$E$10,0)</f>
        <v>0</v>
      </c>
      <c r="C54" s="407">
        <f>ROUND('Saleplan&amp;PnL'!E6*1000/Leadsheet!$E$10,0)</f>
        <v>0</v>
      </c>
      <c r="D54" s="407">
        <f>ROUND('Saleplan&amp;PnL'!F6*1000/Leadsheet!$E$10,0)</f>
        <v>0</v>
      </c>
      <c r="E54" s="407">
        <f>ROUND('Saleplan&amp;PnL'!G6*1000/Leadsheet!$E$10,0)</f>
        <v>0</v>
      </c>
      <c r="F54" s="407">
        <f>ROUND('Saleplan&amp;PnL'!H6*1000/Leadsheet!$E$10,0)</f>
        <v>0</v>
      </c>
      <c r="G54" s="407">
        <f>ROUND('Saleplan&amp;PnL'!I6*1000/Leadsheet!$E$10,0)</f>
        <v>0</v>
      </c>
      <c r="H54" s="407">
        <f>ROUND('Saleplan&amp;PnL'!J6*1000/Leadsheet!$E$10,0)</f>
        <v>56480</v>
      </c>
      <c r="I54" s="407">
        <f>ROUND('Saleplan&amp;PnL'!K6*1000/Leadsheet!$E$10,0)</f>
        <v>52379</v>
      </c>
      <c r="J54" s="407">
        <f>ROUND('Saleplan&amp;PnL'!L6*1000/Leadsheet!$E$10,0)</f>
        <v>71686</v>
      </c>
      <c r="K54" s="407">
        <f>ROUND('Saleplan&amp;PnL'!M6*1000/Leadsheet!$E$10,0)</f>
        <v>0</v>
      </c>
      <c r="L54" s="407">
        <f>ROUND('Saleplan&amp;PnL'!N6*1000/Leadsheet!$E$10,0)</f>
        <v>0</v>
      </c>
      <c r="M54" s="407">
        <f>ROUND('Saleplan&amp;PnL'!O6*1000/Leadsheet!$E$10,0)</f>
        <v>0</v>
      </c>
      <c r="N54" s="407">
        <f>ROUND('Saleplan&amp;PnL'!P6*1000/Leadsheet!$E$10,0)</f>
        <v>0</v>
      </c>
      <c r="O54" s="407">
        <f>ROUND('Saleplan&amp;PnL'!Q6*1000/Leadsheet!$E$10,0)</f>
        <v>0</v>
      </c>
      <c r="P54" s="407">
        <f>ROUND('Saleplan&amp;PnL'!R6*1000/Leadsheet!$E$10,0)</f>
        <v>0</v>
      </c>
      <c r="Q54" s="407">
        <f>ROUND('Saleplan&amp;PnL'!S6*1000/Leadsheet!$E$10,0)</f>
        <v>0</v>
      </c>
      <c r="R54" s="407">
        <f>ROUND('Saleplan&amp;PnL'!T6*1000/Leadsheet!$E$10,0)</f>
        <v>0</v>
      </c>
      <c r="S54" s="407">
        <f>ROUND('Saleplan&amp;PnL'!U6*1000/Leadsheet!$E$10,0)</f>
        <v>0</v>
      </c>
      <c r="T54" s="407">
        <f>ROUND('Saleplan&amp;PnL'!V6*1000/Leadsheet!$E$10,0)</f>
        <v>0</v>
      </c>
      <c r="U54" s="407">
        <f>ROUND('Saleplan&amp;PnL'!W6*1000/Leadsheet!$E$10,0)</f>
        <v>0</v>
      </c>
      <c r="V54" s="407">
        <f>ROUND('Saleplan&amp;PnL'!X6*1000/Leadsheet!$E$10,0)</f>
        <v>0</v>
      </c>
      <c r="W54" s="407">
        <f>ROUND('Saleplan&amp;PnL'!Y6*1000/Leadsheet!$E$10,0)</f>
        <v>0</v>
      </c>
      <c r="X54" s="407">
        <f>ROUND('Saleplan&amp;PnL'!Z6*1000/Leadsheet!$E$10,0)</f>
        <v>0</v>
      </c>
      <c r="Y54" s="407">
        <f>ROUND('Saleplan&amp;PnL'!AA6*1000/Leadsheet!$E$10,0)</f>
        <v>0</v>
      </c>
      <c r="Z54" s="407">
        <f>ROUND('Saleplan&amp;PnL'!AB6*1000/Leadsheet!$E$10,0)</f>
        <v>0</v>
      </c>
      <c r="AA54" s="407">
        <f>ROUND('Saleplan&amp;PnL'!AC6*1000/Leadsheet!$E$10,0)</f>
        <v>0</v>
      </c>
      <c r="AB54" s="407">
        <f>ROUND('Saleplan&amp;PnL'!AD6*1000/Leadsheet!$E$10,0)</f>
        <v>0</v>
      </c>
      <c r="AC54" s="407">
        <f>ROUND('Saleplan&amp;PnL'!AE6*1000/Leadsheet!$E$10,0)</f>
        <v>0</v>
      </c>
      <c r="AD54" s="407">
        <f>ROUND('Saleplan&amp;PnL'!AF6*1000/Leadsheet!$E$10,0)</f>
        <v>0</v>
      </c>
      <c r="AE54" s="407">
        <f>ROUND('Saleplan&amp;PnL'!AG6*1000/Leadsheet!$E$10,0)</f>
        <v>0</v>
      </c>
      <c r="AF54" s="407">
        <f>ROUND('Saleplan&amp;PnL'!AH6*1000/Leadsheet!$E$10,0)</f>
        <v>0</v>
      </c>
      <c r="AG54" s="407">
        <f>ROUND('Saleplan&amp;PnL'!AI6*1000/Leadsheet!$E$10,0)</f>
        <v>0</v>
      </c>
      <c r="AH54" s="407">
        <f>ROUND('Saleplan&amp;PnL'!AJ6*1000/Leadsheet!$E$10,0)</f>
        <v>0</v>
      </c>
      <c r="AI54" s="407">
        <f>ROUND('Saleplan&amp;PnL'!AK6*1000/Leadsheet!$E$10,0)</f>
        <v>0</v>
      </c>
      <c r="AJ54" s="407">
        <f>ROUND('Saleplan&amp;PnL'!AL6*1000/Leadsheet!$E$10,0)</f>
        <v>0</v>
      </c>
      <c r="AK54" s="407">
        <f>ROUND('Saleplan&amp;PnL'!AM6*1000/Leadsheet!$E$10,0)</f>
        <v>0</v>
      </c>
      <c r="AL54" s="407">
        <f>ROUND('Saleplan&amp;PnL'!AN6*1000/Leadsheet!$E$10,0)</f>
        <v>0</v>
      </c>
      <c r="AM54" s="407">
        <f>ROUND('Saleplan&amp;PnL'!AO6*1000/Leadsheet!$E$10,0)</f>
        <v>0</v>
      </c>
      <c r="AN54" s="407">
        <f>ROUND('Saleplan&amp;PnL'!AP6*1000/Leadsheet!$E$10,0)</f>
        <v>0</v>
      </c>
      <c r="AO54" s="407">
        <f>ROUND('Saleplan&amp;PnL'!AQ6*1000/Leadsheet!$E$10,0)</f>
        <v>0</v>
      </c>
      <c r="AP54" s="407">
        <f>ROUND('Saleplan&amp;PnL'!AR6*1000/Leadsheet!$E$10,0)</f>
        <v>0</v>
      </c>
      <c r="AQ54" s="407">
        <f>ROUND('Saleplan&amp;PnL'!AS6*1000/Leadsheet!$E$10,0)</f>
        <v>0</v>
      </c>
      <c r="AR54" s="407">
        <f>ROUND('Saleplan&amp;PnL'!AT6*1000/Leadsheet!$E$10,0)</f>
        <v>0</v>
      </c>
      <c r="AS54" s="407">
        <f>ROUND('Saleplan&amp;PnL'!AU6*1000/Leadsheet!$E$10,0)</f>
        <v>0</v>
      </c>
      <c r="AT54" s="407">
        <f>ROUND('Saleplan&amp;PnL'!AV6*1000/Leadsheet!$E$10,0)</f>
        <v>0</v>
      </c>
      <c r="AU54" s="407">
        <f>ROUND('Saleplan&amp;PnL'!AW6*1000/Leadsheet!$E$10,0)</f>
        <v>0</v>
      </c>
      <c r="AV54" s="407">
        <f>ROUND('Saleplan&amp;PnL'!AX6*1000/Leadsheet!$E$10,0)</f>
        <v>0</v>
      </c>
      <c r="AW54" s="407">
        <f>ROUND('Saleplan&amp;PnL'!AY6*1000/Leadsheet!$E$10,0)</f>
        <v>0</v>
      </c>
      <c r="AX54" s="407">
        <f>ROUND('Saleplan&amp;PnL'!AZ6*1000/Leadsheet!$E$10,0)</f>
        <v>0</v>
      </c>
      <c r="AY54" s="407">
        <f>ROUND('Saleplan&amp;PnL'!BA6*1000/Leadsheet!$E$10,0)</f>
        <v>0</v>
      </c>
      <c r="AZ54" s="407">
        <f>ROUND('Saleplan&amp;PnL'!BB6*1000/Leadsheet!$E$10,0)</f>
        <v>0</v>
      </c>
      <c r="BA54" s="407">
        <f>ROUND('Saleplan&amp;PnL'!BC6*1000/Leadsheet!$E$10,0)</f>
        <v>0</v>
      </c>
      <c r="BB54" s="407">
        <f>ROUND('Saleplan&amp;PnL'!BD6*1000/Leadsheet!$E$10,0)</f>
        <v>0</v>
      </c>
      <c r="BC54" s="407">
        <f>ROUND('Saleplan&amp;PnL'!BE6*1000/Leadsheet!$E$10,0)</f>
        <v>0</v>
      </c>
      <c r="BD54" s="407">
        <f>ROUND('Saleplan&amp;PnL'!BF6*1000/Leadsheet!$E$10,0)</f>
        <v>0</v>
      </c>
      <c r="BE54" s="407">
        <f>ROUND('Saleplan&amp;PnL'!BG6*1000/Leadsheet!$E$10,0)</f>
        <v>0</v>
      </c>
      <c r="BF54" s="407">
        <f>ROUND('Saleplan&amp;PnL'!BH6*1000/Leadsheet!$E$10,0)</f>
        <v>0</v>
      </c>
      <c r="BG54" s="407">
        <f>ROUND('Saleplan&amp;PnL'!BI6*1000/Leadsheet!$E$10,0)</f>
        <v>0</v>
      </c>
      <c r="BH54" s="407">
        <f>ROUND('Saleplan&amp;PnL'!BJ6*1000/Leadsheet!$E$10,0)</f>
        <v>0</v>
      </c>
      <c r="BI54" s="407">
        <f>ROUND('Saleplan&amp;PnL'!BK6*1000/Leadsheet!$E$10,0)</f>
        <v>0</v>
      </c>
    </row>
    <row r="55" spans="1:62" outlineLevel="1" x14ac:dyDescent="0.15">
      <c r="A55" s="408">
        <v>1</v>
      </c>
      <c r="B55" s="398">
        <f t="shared" ref="B55:Q86" ca="1" si="7">IF($A55&gt;B$5,"",OFFSET(B$54,0,-($A55-1)))</f>
        <v>0</v>
      </c>
      <c r="C55" s="398">
        <f t="shared" ca="1" si="7"/>
        <v>0</v>
      </c>
      <c r="D55" s="398">
        <f t="shared" ca="1" si="7"/>
        <v>0</v>
      </c>
      <c r="E55" s="398">
        <f t="shared" ca="1" si="7"/>
        <v>0</v>
      </c>
      <c r="F55" s="398">
        <f t="shared" ca="1" si="7"/>
        <v>0</v>
      </c>
      <c r="G55" s="398">
        <f t="shared" ca="1" si="7"/>
        <v>0</v>
      </c>
      <c r="H55" s="398">
        <f t="shared" ca="1" si="7"/>
        <v>56480</v>
      </c>
      <c r="I55" s="398">
        <f t="shared" ca="1" si="7"/>
        <v>52379</v>
      </c>
      <c r="J55" s="398">
        <f t="shared" ca="1" si="7"/>
        <v>71686</v>
      </c>
      <c r="K55" s="398">
        <f t="shared" ca="1" si="7"/>
        <v>0</v>
      </c>
      <c r="L55" s="398">
        <f t="shared" ca="1" si="7"/>
        <v>0</v>
      </c>
      <c r="M55" s="398">
        <f t="shared" ca="1" si="7"/>
        <v>0</v>
      </c>
      <c r="N55" s="398">
        <f t="shared" ca="1" si="7"/>
        <v>0</v>
      </c>
      <c r="O55" s="398">
        <f t="shared" ca="1" si="7"/>
        <v>0</v>
      </c>
      <c r="P55" s="398">
        <f t="shared" ca="1" si="7"/>
        <v>0</v>
      </c>
      <c r="Q55" s="398">
        <f t="shared" ca="1" si="7"/>
        <v>0</v>
      </c>
      <c r="R55" s="398">
        <f t="shared" ref="R55:BX60" ca="1" si="8">IF($A55&gt;R$5,"",OFFSET(R$54,0,-($A55-1)))</f>
        <v>0</v>
      </c>
      <c r="S55" s="398">
        <f t="shared" ca="1" si="8"/>
        <v>0</v>
      </c>
      <c r="T55" s="398">
        <f t="shared" ca="1" si="8"/>
        <v>0</v>
      </c>
      <c r="U55" s="398">
        <f t="shared" ca="1" si="8"/>
        <v>0</v>
      </c>
      <c r="V55" s="398">
        <f t="shared" ca="1" si="8"/>
        <v>0</v>
      </c>
      <c r="W55" s="398">
        <f t="shared" ca="1" si="8"/>
        <v>0</v>
      </c>
      <c r="X55" s="398">
        <f t="shared" ca="1" si="8"/>
        <v>0</v>
      </c>
      <c r="Y55" s="398">
        <f t="shared" ca="1" si="8"/>
        <v>0</v>
      </c>
      <c r="Z55" s="398">
        <f t="shared" ca="1" si="8"/>
        <v>0</v>
      </c>
      <c r="AA55" s="398">
        <f t="shared" ca="1" si="8"/>
        <v>0</v>
      </c>
      <c r="AB55" s="398">
        <f t="shared" ca="1" si="8"/>
        <v>0</v>
      </c>
      <c r="AC55" s="398">
        <f t="shared" ca="1" si="8"/>
        <v>0</v>
      </c>
      <c r="AD55" s="398">
        <f t="shared" ca="1" si="8"/>
        <v>0</v>
      </c>
      <c r="AE55" s="398">
        <f t="shared" ca="1" si="8"/>
        <v>0</v>
      </c>
      <c r="AF55" s="398">
        <f t="shared" ca="1" si="8"/>
        <v>0</v>
      </c>
      <c r="AG55" s="398">
        <f t="shared" ca="1" si="8"/>
        <v>0</v>
      </c>
      <c r="AH55" s="398">
        <f t="shared" ca="1" si="8"/>
        <v>0</v>
      </c>
      <c r="AI55" s="398">
        <f t="shared" ca="1" si="8"/>
        <v>0</v>
      </c>
      <c r="AJ55" s="398">
        <f t="shared" ca="1" si="8"/>
        <v>0</v>
      </c>
      <c r="AK55" s="398">
        <f t="shared" ca="1" si="8"/>
        <v>0</v>
      </c>
      <c r="AL55" s="398">
        <f t="shared" ca="1" si="8"/>
        <v>0</v>
      </c>
      <c r="AM55" s="398">
        <f t="shared" ca="1" si="8"/>
        <v>0</v>
      </c>
      <c r="AN55" s="398">
        <f t="shared" ca="1" si="8"/>
        <v>0</v>
      </c>
      <c r="AO55" s="398">
        <f t="shared" ca="1" si="8"/>
        <v>0</v>
      </c>
      <c r="AP55" s="398">
        <f t="shared" ca="1" si="8"/>
        <v>0</v>
      </c>
      <c r="AQ55" s="398">
        <f t="shared" ca="1" si="8"/>
        <v>0</v>
      </c>
      <c r="AR55" s="398">
        <f t="shared" ca="1" si="8"/>
        <v>0</v>
      </c>
      <c r="AS55" s="398">
        <f t="shared" ca="1" si="8"/>
        <v>0</v>
      </c>
      <c r="AT55" s="398">
        <f t="shared" ca="1" si="8"/>
        <v>0</v>
      </c>
      <c r="AU55" s="398">
        <f t="shared" ca="1" si="8"/>
        <v>0</v>
      </c>
      <c r="AV55" s="398">
        <f t="shared" ca="1" si="8"/>
        <v>0</v>
      </c>
      <c r="AW55" s="398">
        <f t="shared" ca="1" si="8"/>
        <v>0</v>
      </c>
      <c r="AX55" s="398">
        <f t="shared" ca="1" si="8"/>
        <v>0</v>
      </c>
      <c r="AY55" s="398">
        <f t="shared" ca="1" si="8"/>
        <v>0</v>
      </c>
      <c r="AZ55" s="398">
        <f t="shared" ca="1" si="8"/>
        <v>0</v>
      </c>
      <c r="BA55" s="398">
        <f t="shared" ca="1" si="8"/>
        <v>0</v>
      </c>
      <c r="BB55" s="398">
        <f t="shared" ca="1" si="8"/>
        <v>0</v>
      </c>
      <c r="BC55" s="398">
        <f t="shared" ca="1" si="8"/>
        <v>0</v>
      </c>
      <c r="BD55" s="398">
        <f t="shared" ca="1" si="8"/>
        <v>0</v>
      </c>
      <c r="BE55" s="398">
        <f t="shared" ca="1" si="8"/>
        <v>0</v>
      </c>
      <c r="BF55" s="398">
        <f t="shared" ca="1" si="8"/>
        <v>0</v>
      </c>
      <c r="BG55" s="398">
        <f t="shared" ca="1" si="8"/>
        <v>0</v>
      </c>
      <c r="BH55" s="398">
        <f t="shared" ca="1" si="8"/>
        <v>0</v>
      </c>
      <c r="BI55" s="398">
        <f t="shared" ca="1" si="8"/>
        <v>0</v>
      </c>
      <c r="BJ55" s="398"/>
    </row>
    <row r="56" spans="1:62" outlineLevel="1" x14ac:dyDescent="0.15">
      <c r="A56" s="408">
        <v>2</v>
      </c>
      <c r="B56" s="398" t="str">
        <f t="shared" ca="1" si="7"/>
        <v/>
      </c>
      <c r="C56" s="398">
        <f t="shared" ca="1" si="7"/>
        <v>0</v>
      </c>
      <c r="D56" s="398">
        <f t="shared" ca="1" si="7"/>
        <v>0</v>
      </c>
      <c r="E56" s="398">
        <f t="shared" ca="1" si="7"/>
        <v>0</v>
      </c>
      <c r="F56" s="398">
        <f t="shared" ca="1" si="7"/>
        <v>0</v>
      </c>
      <c r="G56" s="398">
        <f t="shared" ca="1" si="7"/>
        <v>0</v>
      </c>
      <c r="H56" s="398">
        <f t="shared" ca="1" si="7"/>
        <v>0</v>
      </c>
      <c r="I56" s="398">
        <f t="shared" ca="1" si="7"/>
        <v>56480</v>
      </c>
      <c r="J56" s="398">
        <f t="shared" ca="1" si="7"/>
        <v>52379</v>
      </c>
      <c r="K56" s="398">
        <f t="shared" ca="1" si="7"/>
        <v>71686</v>
      </c>
      <c r="L56" s="398">
        <f t="shared" ca="1" si="7"/>
        <v>0</v>
      </c>
      <c r="M56" s="398">
        <f t="shared" ca="1" si="7"/>
        <v>0</v>
      </c>
      <c r="N56" s="398">
        <f t="shared" ca="1" si="7"/>
        <v>0</v>
      </c>
      <c r="O56" s="398">
        <f t="shared" ca="1" si="7"/>
        <v>0</v>
      </c>
      <c r="P56" s="398">
        <f t="shared" ca="1" si="7"/>
        <v>0</v>
      </c>
      <c r="Q56" s="398">
        <f t="shared" ca="1" si="7"/>
        <v>0</v>
      </c>
      <c r="R56" s="398">
        <f t="shared" ca="1" si="8"/>
        <v>0</v>
      </c>
      <c r="S56" s="398">
        <f t="shared" ca="1" si="8"/>
        <v>0</v>
      </c>
      <c r="T56" s="398">
        <f t="shared" ca="1" si="8"/>
        <v>0</v>
      </c>
      <c r="U56" s="398">
        <f t="shared" ca="1" si="8"/>
        <v>0</v>
      </c>
      <c r="V56" s="398">
        <f t="shared" ca="1" si="8"/>
        <v>0</v>
      </c>
      <c r="W56" s="398">
        <f t="shared" ca="1" si="8"/>
        <v>0</v>
      </c>
      <c r="X56" s="398">
        <f t="shared" ca="1" si="8"/>
        <v>0</v>
      </c>
      <c r="Y56" s="398">
        <f t="shared" ca="1" si="8"/>
        <v>0</v>
      </c>
      <c r="Z56" s="398">
        <f t="shared" ca="1" si="8"/>
        <v>0</v>
      </c>
      <c r="AA56" s="398">
        <f t="shared" ca="1" si="8"/>
        <v>0</v>
      </c>
      <c r="AB56" s="398">
        <f t="shared" ca="1" si="8"/>
        <v>0</v>
      </c>
      <c r="AC56" s="398">
        <f t="shared" ca="1" si="8"/>
        <v>0</v>
      </c>
      <c r="AD56" s="398">
        <f t="shared" ca="1" si="8"/>
        <v>0</v>
      </c>
      <c r="AE56" s="398">
        <f t="shared" ca="1" si="8"/>
        <v>0</v>
      </c>
      <c r="AF56" s="398">
        <f t="shared" ca="1" si="8"/>
        <v>0</v>
      </c>
      <c r="AG56" s="398">
        <f t="shared" ca="1" si="8"/>
        <v>0</v>
      </c>
      <c r="AH56" s="398">
        <f t="shared" ca="1" si="8"/>
        <v>0</v>
      </c>
      <c r="AI56" s="398">
        <f t="shared" ca="1" si="8"/>
        <v>0</v>
      </c>
      <c r="AJ56" s="398">
        <f t="shared" ca="1" si="8"/>
        <v>0</v>
      </c>
      <c r="AK56" s="398">
        <f t="shared" ca="1" si="8"/>
        <v>0</v>
      </c>
      <c r="AL56" s="398">
        <f t="shared" ca="1" si="8"/>
        <v>0</v>
      </c>
      <c r="AM56" s="398">
        <f t="shared" ca="1" si="8"/>
        <v>0</v>
      </c>
      <c r="AN56" s="398">
        <f t="shared" ca="1" si="8"/>
        <v>0</v>
      </c>
      <c r="AO56" s="398">
        <f t="shared" ca="1" si="8"/>
        <v>0</v>
      </c>
      <c r="AP56" s="398">
        <f t="shared" ca="1" si="8"/>
        <v>0</v>
      </c>
      <c r="AQ56" s="398">
        <f t="shared" ca="1" si="8"/>
        <v>0</v>
      </c>
      <c r="AR56" s="398">
        <f t="shared" ca="1" si="8"/>
        <v>0</v>
      </c>
      <c r="AS56" s="398">
        <f t="shared" ca="1" si="8"/>
        <v>0</v>
      </c>
      <c r="AT56" s="398">
        <f t="shared" ca="1" si="8"/>
        <v>0</v>
      </c>
      <c r="AU56" s="398">
        <f t="shared" ca="1" si="8"/>
        <v>0</v>
      </c>
      <c r="AV56" s="398">
        <f t="shared" ca="1" si="8"/>
        <v>0</v>
      </c>
      <c r="AW56" s="398">
        <f t="shared" ca="1" si="8"/>
        <v>0</v>
      </c>
      <c r="AX56" s="398">
        <f t="shared" ca="1" si="8"/>
        <v>0</v>
      </c>
      <c r="AY56" s="398">
        <f t="shared" ca="1" si="8"/>
        <v>0</v>
      </c>
      <c r="AZ56" s="398">
        <f t="shared" ca="1" si="8"/>
        <v>0</v>
      </c>
      <c r="BA56" s="398">
        <f t="shared" ca="1" si="8"/>
        <v>0</v>
      </c>
      <c r="BB56" s="398">
        <f t="shared" ca="1" si="8"/>
        <v>0</v>
      </c>
      <c r="BC56" s="398">
        <f t="shared" ca="1" si="8"/>
        <v>0</v>
      </c>
      <c r="BD56" s="398">
        <f t="shared" ca="1" si="8"/>
        <v>0</v>
      </c>
      <c r="BE56" s="398">
        <f t="shared" ca="1" si="8"/>
        <v>0</v>
      </c>
      <c r="BF56" s="398">
        <f t="shared" ca="1" si="8"/>
        <v>0</v>
      </c>
      <c r="BG56" s="398">
        <f t="shared" ca="1" si="8"/>
        <v>0</v>
      </c>
      <c r="BH56" s="398">
        <f t="shared" ca="1" si="8"/>
        <v>0</v>
      </c>
      <c r="BI56" s="398">
        <f t="shared" ca="1" si="8"/>
        <v>0</v>
      </c>
      <c r="BJ56" s="398"/>
    </row>
    <row r="57" spans="1:62" outlineLevel="1" x14ac:dyDescent="0.15">
      <c r="A57" s="408">
        <v>3</v>
      </c>
      <c r="B57" s="398" t="str">
        <f t="shared" ca="1" si="7"/>
        <v/>
      </c>
      <c r="C57" s="398" t="str">
        <f t="shared" ca="1" si="7"/>
        <v/>
      </c>
      <c r="D57" s="398">
        <f t="shared" ca="1" si="7"/>
        <v>0</v>
      </c>
      <c r="E57" s="398">
        <f t="shared" ca="1" si="7"/>
        <v>0</v>
      </c>
      <c r="F57" s="398">
        <f t="shared" ca="1" si="7"/>
        <v>0</v>
      </c>
      <c r="G57" s="398">
        <f t="shared" ca="1" si="7"/>
        <v>0</v>
      </c>
      <c r="H57" s="398">
        <f t="shared" ca="1" si="7"/>
        <v>0</v>
      </c>
      <c r="I57" s="398">
        <f t="shared" ca="1" si="7"/>
        <v>0</v>
      </c>
      <c r="J57" s="398">
        <f t="shared" ca="1" si="7"/>
        <v>56480</v>
      </c>
      <c r="K57" s="398">
        <f t="shared" ca="1" si="7"/>
        <v>52379</v>
      </c>
      <c r="L57" s="398">
        <f t="shared" ca="1" si="7"/>
        <v>71686</v>
      </c>
      <c r="M57" s="398">
        <f t="shared" ca="1" si="7"/>
        <v>0</v>
      </c>
      <c r="N57" s="398">
        <f t="shared" ca="1" si="7"/>
        <v>0</v>
      </c>
      <c r="O57" s="398">
        <f t="shared" ca="1" si="7"/>
        <v>0</v>
      </c>
      <c r="P57" s="398">
        <f t="shared" ca="1" si="7"/>
        <v>0</v>
      </c>
      <c r="Q57" s="398">
        <f t="shared" ca="1" si="7"/>
        <v>0</v>
      </c>
      <c r="R57" s="398">
        <f t="shared" ca="1" si="8"/>
        <v>0</v>
      </c>
      <c r="S57" s="398">
        <f t="shared" ca="1" si="8"/>
        <v>0</v>
      </c>
      <c r="T57" s="398">
        <f t="shared" ca="1" si="8"/>
        <v>0</v>
      </c>
      <c r="U57" s="398">
        <f t="shared" ca="1" si="8"/>
        <v>0</v>
      </c>
      <c r="V57" s="398">
        <f t="shared" ca="1" si="8"/>
        <v>0</v>
      </c>
      <c r="W57" s="398">
        <f t="shared" ca="1" si="8"/>
        <v>0</v>
      </c>
      <c r="X57" s="398">
        <f t="shared" ca="1" si="8"/>
        <v>0</v>
      </c>
      <c r="Y57" s="398">
        <f t="shared" ca="1" si="8"/>
        <v>0</v>
      </c>
      <c r="Z57" s="398">
        <f t="shared" ca="1" si="8"/>
        <v>0</v>
      </c>
      <c r="AA57" s="398">
        <f t="shared" ca="1" si="8"/>
        <v>0</v>
      </c>
      <c r="AB57" s="398">
        <f t="shared" ca="1" si="8"/>
        <v>0</v>
      </c>
      <c r="AC57" s="398">
        <f t="shared" ca="1" si="8"/>
        <v>0</v>
      </c>
      <c r="AD57" s="398">
        <f t="shared" ca="1" si="8"/>
        <v>0</v>
      </c>
      <c r="AE57" s="398">
        <f t="shared" ca="1" si="8"/>
        <v>0</v>
      </c>
      <c r="AF57" s="398">
        <f t="shared" ca="1" si="8"/>
        <v>0</v>
      </c>
      <c r="AG57" s="398">
        <f t="shared" ca="1" si="8"/>
        <v>0</v>
      </c>
      <c r="AH57" s="398">
        <f t="shared" ca="1" si="8"/>
        <v>0</v>
      </c>
      <c r="AI57" s="398">
        <f t="shared" ca="1" si="8"/>
        <v>0</v>
      </c>
      <c r="AJ57" s="398">
        <f t="shared" ca="1" si="8"/>
        <v>0</v>
      </c>
      <c r="AK57" s="398">
        <f t="shared" ca="1" si="8"/>
        <v>0</v>
      </c>
      <c r="AL57" s="398">
        <f t="shared" ca="1" si="8"/>
        <v>0</v>
      </c>
      <c r="AM57" s="398">
        <f t="shared" ca="1" si="8"/>
        <v>0</v>
      </c>
      <c r="AN57" s="398">
        <f t="shared" ca="1" si="8"/>
        <v>0</v>
      </c>
      <c r="AO57" s="398">
        <f t="shared" ca="1" si="8"/>
        <v>0</v>
      </c>
      <c r="AP57" s="398">
        <f t="shared" ca="1" si="8"/>
        <v>0</v>
      </c>
      <c r="AQ57" s="398">
        <f t="shared" ca="1" si="8"/>
        <v>0</v>
      </c>
      <c r="AR57" s="398">
        <f t="shared" ca="1" si="8"/>
        <v>0</v>
      </c>
      <c r="AS57" s="398">
        <f t="shared" ca="1" si="8"/>
        <v>0</v>
      </c>
      <c r="AT57" s="398">
        <f t="shared" ca="1" si="8"/>
        <v>0</v>
      </c>
      <c r="AU57" s="398">
        <f t="shared" ca="1" si="8"/>
        <v>0</v>
      </c>
      <c r="AV57" s="398">
        <f t="shared" ca="1" si="8"/>
        <v>0</v>
      </c>
      <c r="AW57" s="398">
        <f t="shared" ca="1" si="8"/>
        <v>0</v>
      </c>
      <c r="AX57" s="398">
        <f t="shared" ca="1" si="8"/>
        <v>0</v>
      </c>
      <c r="AY57" s="398">
        <f t="shared" ca="1" si="8"/>
        <v>0</v>
      </c>
      <c r="AZ57" s="398">
        <f t="shared" ca="1" si="8"/>
        <v>0</v>
      </c>
      <c r="BA57" s="398">
        <f t="shared" ca="1" si="8"/>
        <v>0</v>
      </c>
      <c r="BB57" s="398">
        <f t="shared" ca="1" si="8"/>
        <v>0</v>
      </c>
      <c r="BC57" s="398">
        <f t="shared" ca="1" si="8"/>
        <v>0</v>
      </c>
      <c r="BD57" s="398">
        <f t="shared" ca="1" si="8"/>
        <v>0</v>
      </c>
      <c r="BE57" s="398">
        <f t="shared" ca="1" si="8"/>
        <v>0</v>
      </c>
      <c r="BF57" s="398">
        <f t="shared" ca="1" si="8"/>
        <v>0</v>
      </c>
      <c r="BG57" s="398">
        <f t="shared" ca="1" si="8"/>
        <v>0</v>
      </c>
      <c r="BH57" s="398">
        <f t="shared" ca="1" si="8"/>
        <v>0</v>
      </c>
      <c r="BI57" s="398">
        <f t="shared" ca="1" si="8"/>
        <v>0</v>
      </c>
      <c r="BJ57" s="398"/>
    </row>
    <row r="58" spans="1:62" outlineLevel="1" x14ac:dyDescent="0.15">
      <c r="A58" s="408">
        <v>4</v>
      </c>
      <c r="B58" s="398" t="str">
        <f t="shared" ca="1" si="7"/>
        <v/>
      </c>
      <c r="C58" s="398" t="str">
        <f t="shared" ca="1" si="7"/>
        <v/>
      </c>
      <c r="D58" s="398" t="str">
        <f t="shared" ca="1" si="7"/>
        <v/>
      </c>
      <c r="E58" s="398">
        <f t="shared" ca="1" si="7"/>
        <v>0</v>
      </c>
      <c r="F58" s="398">
        <f t="shared" ca="1" si="7"/>
        <v>0</v>
      </c>
      <c r="G58" s="398">
        <f t="shared" ca="1" si="7"/>
        <v>0</v>
      </c>
      <c r="H58" s="398">
        <f t="shared" ca="1" si="7"/>
        <v>0</v>
      </c>
      <c r="I58" s="398">
        <f t="shared" ca="1" si="7"/>
        <v>0</v>
      </c>
      <c r="J58" s="398">
        <f t="shared" ca="1" si="7"/>
        <v>0</v>
      </c>
      <c r="K58" s="398">
        <f t="shared" ca="1" si="7"/>
        <v>56480</v>
      </c>
      <c r="L58" s="398">
        <f t="shared" ca="1" si="7"/>
        <v>52379</v>
      </c>
      <c r="M58" s="398">
        <f t="shared" ca="1" si="7"/>
        <v>71686</v>
      </c>
      <c r="N58" s="398">
        <f t="shared" ca="1" si="7"/>
        <v>0</v>
      </c>
      <c r="O58" s="398">
        <f t="shared" ca="1" si="7"/>
        <v>0</v>
      </c>
      <c r="P58" s="398">
        <f t="shared" ca="1" si="7"/>
        <v>0</v>
      </c>
      <c r="Q58" s="398">
        <f t="shared" ca="1" si="7"/>
        <v>0</v>
      </c>
      <c r="R58" s="398">
        <f t="shared" ca="1" si="8"/>
        <v>0</v>
      </c>
      <c r="S58" s="398">
        <f t="shared" ca="1" si="8"/>
        <v>0</v>
      </c>
      <c r="T58" s="398">
        <f t="shared" ca="1" si="8"/>
        <v>0</v>
      </c>
      <c r="U58" s="398">
        <f t="shared" ca="1" si="8"/>
        <v>0</v>
      </c>
      <c r="V58" s="398">
        <f t="shared" ca="1" si="8"/>
        <v>0</v>
      </c>
      <c r="W58" s="398">
        <f t="shared" ca="1" si="8"/>
        <v>0</v>
      </c>
      <c r="X58" s="398">
        <f t="shared" ca="1" si="8"/>
        <v>0</v>
      </c>
      <c r="Y58" s="398">
        <f t="shared" ca="1" si="8"/>
        <v>0</v>
      </c>
      <c r="Z58" s="398">
        <f t="shared" ca="1" si="8"/>
        <v>0</v>
      </c>
      <c r="AA58" s="398">
        <f t="shared" ca="1" si="8"/>
        <v>0</v>
      </c>
      <c r="AB58" s="398">
        <f t="shared" ca="1" si="8"/>
        <v>0</v>
      </c>
      <c r="AC58" s="398">
        <f t="shared" ca="1" si="8"/>
        <v>0</v>
      </c>
      <c r="AD58" s="398">
        <f t="shared" ca="1" si="8"/>
        <v>0</v>
      </c>
      <c r="AE58" s="398">
        <f t="shared" ca="1" si="8"/>
        <v>0</v>
      </c>
      <c r="AF58" s="398">
        <f t="shared" ca="1" si="8"/>
        <v>0</v>
      </c>
      <c r="AG58" s="398">
        <f t="shared" ca="1" si="8"/>
        <v>0</v>
      </c>
      <c r="AH58" s="398">
        <f t="shared" ca="1" si="8"/>
        <v>0</v>
      </c>
      <c r="AI58" s="398">
        <f t="shared" ca="1" si="8"/>
        <v>0</v>
      </c>
      <c r="AJ58" s="398">
        <f t="shared" ca="1" si="8"/>
        <v>0</v>
      </c>
      <c r="AK58" s="398">
        <f t="shared" ca="1" si="8"/>
        <v>0</v>
      </c>
      <c r="AL58" s="398">
        <f t="shared" ca="1" si="8"/>
        <v>0</v>
      </c>
      <c r="AM58" s="398">
        <f t="shared" ca="1" si="8"/>
        <v>0</v>
      </c>
      <c r="AN58" s="398">
        <f t="shared" ca="1" si="8"/>
        <v>0</v>
      </c>
      <c r="AO58" s="398">
        <f t="shared" ca="1" si="8"/>
        <v>0</v>
      </c>
      <c r="AP58" s="398">
        <f t="shared" ca="1" si="8"/>
        <v>0</v>
      </c>
      <c r="AQ58" s="398">
        <f t="shared" ca="1" si="8"/>
        <v>0</v>
      </c>
      <c r="AR58" s="398">
        <f t="shared" ca="1" si="8"/>
        <v>0</v>
      </c>
      <c r="AS58" s="398">
        <f t="shared" ca="1" si="8"/>
        <v>0</v>
      </c>
      <c r="AT58" s="398">
        <f t="shared" ca="1" si="8"/>
        <v>0</v>
      </c>
      <c r="AU58" s="398">
        <f t="shared" ca="1" si="8"/>
        <v>0</v>
      </c>
      <c r="AV58" s="398">
        <f t="shared" ca="1" si="8"/>
        <v>0</v>
      </c>
      <c r="AW58" s="398">
        <f t="shared" ca="1" si="8"/>
        <v>0</v>
      </c>
      <c r="AX58" s="398">
        <f t="shared" ca="1" si="8"/>
        <v>0</v>
      </c>
      <c r="AY58" s="398">
        <f t="shared" ca="1" si="8"/>
        <v>0</v>
      </c>
      <c r="AZ58" s="398">
        <f t="shared" ca="1" si="8"/>
        <v>0</v>
      </c>
      <c r="BA58" s="398">
        <f t="shared" ca="1" si="8"/>
        <v>0</v>
      </c>
      <c r="BB58" s="398">
        <f t="shared" ca="1" si="8"/>
        <v>0</v>
      </c>
      <c r="BC58" s="398">
        <f t="shared" ca="1" si="8"/>
        <v>0</v>
      </c>
      <c r="BD58" s="398">
        <f t="shared" ca="1" si="8"/>
        <v>0</v>
      </c>
      <c r="BE58" s="398">
        <f t="shared" ca="1" si="8"/>
        <v>0</v>
      </c>
      <c r="BF58" s="398">
        <f t="shared" ca="1" si="8"/>
        <v>0</v>
      </c>
      <c r="BG58" s="398">
        <f t="shared" ca="1" si="8"/>
        <v>0</v>
      </c>
      <c r="BH58" s="398">
        <f t="shared" ca="1" si="8"/>
        <v>0</v>
      </c>
      <c r="BI58" s="398">
        <f t="shared" ca="1" si="8"/>
        <v>0</v>
      </c>
      <c r="BJ58" s="398"/>
    </row>
    <row r="59" spans="1:62" outlineLevel="1" x14ac:dyDescent="0.15">
      <c r="A59" s="408">
        <v>5</v>
      </c>
      <c r="B59" s="398" t="str">
        <f t="shared" ca="1" si="7"/>
        <v/>
      </c>
      <c r="C59" s="398" t="str">
        <f t="shared" ca="1" si="7"/>
        <v/>
      </c>
      <c r="D59" s="398" t="str">
        <f t="shared" ca="1" si="7"/>
        <v/>
      </c>
      <c r="E59" s="398" t="str">
        <f t="shared" ca="1" si="7"/>
        <v/>
      </c>
      <c r="F59" s="398">
        <f t="shared" ca="1" si="7"/>
        <v>0</v>
      </c>
      <c r="G59" s="398">
        <f t="shared" ca="1" si="7"/>
        <v>0</v>
      </c>
      <c r="H59" s="398">
        <f t="shared" ca="1" si="7"/>
        <v>0</v>
      </c>
      <c r="I59" s="398">
        <f t="shared" ca="1" si="7"/>
        <v>0</v>
      </c>
      <c r="J59" s="398">
        <f t="shared" ca="1" si="7"/>
        <v>0</v>
      </c>
      <c r="K59" s="398">
        <f t="shared" ca="1" si="7"/>
        <v>0</v>
      </c>
      <c r="L59" s="398">
        <f t="shared" ca="1" si="7"/>
        <v>56480</v>
      </c>
      <c r="M59" s="398">
        <f t="shared" ca="1" si="7"/>
        <v>52379</v>
      </c>
      <c r="N59" s="398">
        <f t="shared" ca="1" si="7"/>
        <v>71686</v>
      </c>
      <c r="O59" s="398">
        <f t="shared" ca="1" si="7"/>
        <v>0</v>
      </c>
      <c r="P59" s="398">
        <f t="shared" ca="1" si="7"/>
        <v>0</v>
      </c>
      <c r="Q59" s="398">
        <f t="shared" ca="1" si="7"/>
        <v>0</v>
      </c>
      <c r="R59" s="398">
        <f t="shared" ca="1" si="8"/>
        <v>0</v>
      </c>
      <c r="S59" s="398">
        <f t="shared" ca="1" si="8"/>
        <v>0</v>
      </c>
      <c r="T59" s="398">
        <f t="shared" ca="1" si="8"/>
        <v>0</v>
      </c>
      <c r="U59" s="398">
        <f t="shared" ca="1" si="8"/>
        <v>0</v>
      </c>
      <c r="V59" s="398">
        <f t="shared" ca="1" si="8"/>
        <v>0</v>
      </c>
      <c r="W59" s="398">
        <f t="shared" ca="1" si="8"/>
        <v>0</v>
      </c>
      <c r="X59" s="398">
        <f t="shared" ca="1" si="8"/>
        <v>0</v>
      </c>
      <c r="Y59" s="398">
        <f t="shared" ca="1" si="8"/>
        <v>0</v>
      </c>
      <c r="Z59" s="398">
        <f t="shared" ca="1" si="8"/>
        <v>0</v>
      </c>
      <c r="AA59" s="398">
        <f t="shared" ca="1" si="8"/>
        <v>0</v>
      </c>
      <c r="AB59" s="398">
        <f t="shared" ca="1" si="8"/>
        <v>0</v>
      </c>
      <c r="AC59" s="398">
        <f t="shared" ca="1" si="8"/>
        <v>0</v>
      </c>
      <c r="AD59" s="398">
        <f t="shared" ca="1" si="8"/>
        <v>0</v>
      </c>
      <c r="AE59" s="398">
        <f t="shared" ca="1" si="8"/>
        <v>0</v>
      </c>
      <c r="AF59" s="398">
        <f t="shared" ca="1" si="8"/>
        <v>0</v>
      </c>
      <c r="AG59" s="398">
        <f t="shared" ca="1" si="8"/>
        <v>0</v>
      </c>
      <c r="AH59" s="398">
        <f t="shared" ca="1" si="8"/>
        <v>0</v>
      </c>
      <c r="AI59" s="398">
        <f t="shared" ca="1" si="8"/>
        <v>0</v>
      </c>
      <c r="AJ59" s="398">
        <f t="shared" ca="1" si="8"/>
        <v>0</v>
      </c>
      <c r="AK59" s="398">
        <f t="shared" ca="1" si="8"/>
        <v>0</v>
      </c>
      <c r="AL59" s="398">
        <f t="shared" ca="1" si="8"/>
        <v>0</v>
      </c>
      <c r="AM59" s="398">
        <f t="shared" ca="1" si="8"/>
        <v>0</v>
      </c>
      <c r="AN59" s="398">
        <f t="shared" ca="1" si="8"/>
        <v>0</v>
      </c>
      <c r="AO59" s="398">
        <f t="shared" ca="1" si="8"/>
        <v>0</v>
      </c>
      <c r="AP59" s="398">
        <f t="shared" ca="1" si="8"/>
        <v>0</v>
      </c>
      <c r="AQ59" s="398">
        <f t="shared" ca="1" si="8"/>
        <v>0</v>
      </c>
      <c r="AR59" s="398">
        <f t="shared" ca="1" si="8"/>
        <v>0</v>
      </c>
      <c r="AS59" s="398">
        <f t="shared" ca="1" si="8"/>
        <v>0</v>
      </c>
      <c r="AT59" s="398">
        <f t="shared" ca="1" si="8"/>
        <v>0</v>
      </c>
      <c r="AU59" s="398">
        <f t="shared" ca="1" si="8"/>
        <v>0</v>
      </c>
      <c r="AV59" s="398">
        <f t="shared" ca="1" si="8"/>
        <v>0</v>
      </c>
      <c r="AW59" s="398">
        <f t="shared" ca="1" si="8"/>
        <v>0</v>
      </c>
      <c r="AX59" s="398">
        <f t="shared" ca="1" si="8"/>
        <v>0</v>
      </c>
      <c r="AY59" s="398">
        <f t="shared" ca="1" si="8"/>
        <v>0</v>
      </c>
      <c r="AZ59" s="398">
        <f t="shared" ca="1" si="8"/>
        <v>0</v>
      </c>
      <c r="BA59" s="398">
        <f t="shared" ca="1" si="8"/>
        <v>0</v>
      </c>
      <c r="BB59" s="398">
        <f t="shared" ca="1" si="8"/>
        <v>0</v>
      </c>
      <c r="BC59" s="398">
        <f t="shared" ca="1" si="8"/>
        <v>0</v>
      </c>
      <c r="BD59" s="398">
        <f t="shared" ca="1" si="8"/>
        <v>0</v>
      </c>
      <c r="BE59" s="398">
        <f t="shared" ca="1" si="8"/>
        <v>0</v>
      </c>
      <c r="BF59" s="398">
        <f t="shared" ca="1" si="8"/>
        <v>0</v>
      </c>
      <c r="BG59" s="398">
        <f t="shared" ca="1" si="8"/>
        <v>0</v>
      </c>
      <c r="BH59" s="398">
        <f t="shared" ca="1" si="8"/>
        <v>0</v>
      </c>
      <c r="BI59" s="398">
        <f t="shared" ca="1" si="8"/>
        <v>0</v>
      </c>
      <c r="BJ59" s="398"/>
    </row>
    <row r="60" spans="1:62" outlineLevel="1" x14ac:dyDescent="0.15">
      <c r="A60" s="408">
        <v>6</v>
      </c>
      <c r="B60" s="398" t="str">
        <f t="shared" ca="1" si="7"/>
        <v/>
      </c>
      <c r="C60" s="398" t="str">
        <f t="shared" ca="1" si="7"/>
        <v/>
      </c>
      <c r="D60" s="398" t="str">
        <f t="shared" ca="1" si="7"/>
        <v/>
      </c>
      <c r="E60" s="398" t="str">
        <f t="shared" ca="1" si="7"/>
        <v/>
      </c>
      <c r="F60" s="398" t="str">
        <f t="shared" ca="1" si="7"/>
        <v/>
      </c>
      <c r="G60" s="398">
        <f t="shared" ca="1" si="7"/>
        <v>0</v>
      </c>
      <c r="H60" s="398">
        <f t="shared" ca="1" si="7"/>
        <v>0</v>
      </c>
      <c r="I60" s="398">
        <f t="shared" ca="1" si="7"/>
        <v>0</v>
      </c>
      <c r="J60" s="398">
        <f t="shared" ca="1" si="7"/>
        <v>0</v>
      </c>
      <c r="K60" s="398">
        <f t="shared" ca="1" si="7"/>
        <v>0</v>
      </c>
      <c r="L60" s="398">
        <f t="shared" ca="1" si="7"/>
        <v>0</v>
      </c>
      <c r="M60" s="398">
        <f t="shared" ca="1" si="7"/>
        <v>56480</v>
      </c>
      <c r="N60" s="398">
        <f t="shared" ca="1" si="7"/>
        <v>52379</v>
      </c>
      <c r="O60" s="398">
        <f t="shared" ca="1" si="7"/>
        <v>71686</v>
      </c>
      <c r="P60" s="398">
        <f t="shared" ca="1" si="7"/>
        <v>0</v>
      </c>
      <c r="Q60" s="398">
        <f t="shared" ca="1" si="7"/>
        <v>0</v>
      </c>
      <c r="R60" s="398">
        <f t="shared" ca="1" si="8"/>
        <v>0</v>
      </c>
      <c r="S60" s="398">
        <f t="shared" ca="1" si="8"/>
        <v>0</v>
      </c>
      <c r="T60" s="398">
        <f t="shared" ca="1" si="8"/>
        <v>0</v>
      </c>
      <c r="U60" s="398">
        <f t="shared" ca="1" si="8"/>
        <v>0</v>
      </c>
      <c r="V60" s="398">
        <f t="shared" ca="1" si="8"/>
        <v>0</v>
      </c>
      <c r="W60" s="398">
        <f t="shared" ca="1" si="8"/>
        <v>0</v>
      </c>
      <c r="X60" s="398">
        <f t="shared" ca="1" si="8"/>
        <v>0</v>
      </c>
      <c r="Y60" s="398">
        <f t="shared" ca="1" si="8"/>
        <v>0</v>
      </c>
      <c r="Z60" s="398">
        <f t="shared" ca="1" si="8"/>
        <v>0</v>
      </c>
      <c r="AA60" s="398">
        <f t="shared" ca="1" si="8"/>
        <v>0</v>
      </c>
      <c r="AB60" s="398">
        <f t="shared" ca="1" si="8"/>
        <v>0</v>
      </c>
      <c r="AC60" s="398">
        <f t="shared" ca="1" si="8"/>
        <v>0</v>
      </c>
      <c r="AD60" s="398">
        <f t="shared" ca="1" si="8"/>
        <v>0</v>
      </c>
      <c r="AE60" s="398">
        <f t="shared" ca="1" si="8"/>
        <v>0</v>
      </c>
      <c r="AF60" s="398">
        <f t="shared" ca="1" si="8"/>
        <v>0</v>
      </c>
      <c r="AG60" s="398">
        <f t="shared" ca="1" si="8"/>
        <v>0</v>
      </c>
      <c r="AH60" s="398">
        <f t="shared" ca="1" si="8"/>
        <v>0</v>
      </c>
      <c r="AI60" s="398">
        <f t="shared" ca="1" si="8"/>
        <v>0</v>
      </c>
      <c r="AJ60" s="398">
        <f t="shared" ca="1" si="8"/>
        <v>0</v>
      </c>
      <c r="AK60" s="398">
        <f t="shared" ca="1" si="8"/>
        <v>0</v>
      </c>
      <c r="AL60" s="398">
        <f t="shared" ca="1" si="8"/>
        <v>0</v>
      </c>
      <c r="AM60" s="398">
        <f t="shared" ca="1" si="8"/>
        <v>0</v>
      </c>
      <c r="AN60" s="398">
        <f t="shared" ca="1" si="8"/>
        <v>0</v>
      </c>
      <c r="AO60" s="398">
        <f t="shared" ca="1" si="8"/>
        <v>0</v>
      </c>
      <c r="AP60" s="398">
        <f t="shared" ca="1" si="8"/>
        <v>0</v>
      </c>
      <c r="AQ60" s="398">
        <f t="shared" ca="1" si="8"/>
        <v>0</v>
      </c>
      <c r="AR60" s="398">
        <f t="shared" ca="1" si="8"/>
        <v>0</v>
      </c>
      <c r="AS60" s="398">
        <f t="shared" ca="1" si="8"/>
        <v>0</v>
      </c>
      <c r="AT60" s="398">
        <f t="shared" ca="1" si="8"/>
        <v>0</v>
      </c>
      <c r="AU60" s="398">
        <f t="shared" ca="1" si="8"/>
        <v>0</v>
      </c>
      <c r="AV60" s="398">
        <f t="shared" ca="1" si="8"/>
        <v>0</v>
      </c>
      <c r="AW60" s="398">
        <f t="shared" ca="1" si="8"/>
        <v>0</v>
      </c>
      <c r="AX60" s="398">
        <f t="shared" ca="1" si="8"/>
        <v>0</v>
      </c>
      <c r="AY60" s="398">
        <f t="shared" ca="1" si="8"/>
        <v>0</v>
      </c>
      <c r="AZ60" s="398">
        <f t="shared" ca="1" si="8"/>
        <v>0</v>
      </c>
      <c r="BA60" s="398">
        <f t="shared" ref="BA60:DG64" ca="1" si="9">IF($A60&gt;BA$5,"",OFFSET(BA$54,0,-($A60-1)))</f>
        <v>0</v>
      </c>
      <c r="BB60" s="398">
        <f t="shared" ca="1" si="9"/>
        <v>0</v>
      </c>
      <c r="BC60" s="398">
        <f t="shared" ca="1" si="9"/>
        <v>0</v>
      </c>
      <c r="BD60" s="398">
        <f t="shared" ca="1" si="9"/>
        <v>0</v>
      </c>
      <c r="BE60" s="398">
        <f t="shared" ca="1" si="9"/>
        <v>0</v>
      </c>
      <c r="BF60" s="398">
        <f t="shared" ca="1" si="9"/>
        <v>0</v>
      </c>
      <c r="BG60" s="398">
        <f t="shared" ca="1" si="9"/>
        <v>0</v>
      </c>
      <c r="BH60" s="398">
        <f t="shared" ca="1" si="9"/>
        <v>0</v>
      </c>
      <c r="BI60" s="398">
        <f t="shared" ca="1" si="9"/>
        <v>0</v>
      </c>
      <c r="BJ60" s="398"/>
    </row>
    <row r="61" spans="1:62" outlineLevel="1" x14ac:dyDescent="0.15">
      <c r="A61" s="408">
        <v>7</v>
      </c>
      <c r="B61" s="398" t="str">
        <f t="shared" ca="1" si="7"/>
        <v/>
      </c>
      <c r="C61" s="398" t="str">
        <f t="shared" ca="1" si="7"/>
        <v/>
      </c>
      <c r="D61" s="398" t="str">
        <f t="shared" ca="1" si="7"/>
        <v/>
      </c>
      <c r="E61" s="398" t="str">
        <f t="shared" ca="1" si="7"/>
        <v/>
      </c>
      <c r="F61" s="398" t="str">
        <f t="shared" ca="1" si="7"/>
        <v/>
      </c>
      <c r="G61" s="398" t="str">
        <f t="shared" ca="1" si="7"/>
        <v/>
      </c>
      <c r="H61" s="398">
        <f t="shared" ca="1" si="7"/>
        <v>0</v>
      </c>
      <c r="I61" s="398">
        <f t="shared" ca="1" si="7"/>
        <v>0</v>
      </c>
      <c r="J61" s="398">
        <f t="shared" ca="1" si="7"/>
        <v>0</v>
      </c>
      <c r="K61" s="398">
        <f t="shared" ca="1" si="7"/>
        <v>0</v>
      </c>
      <c r="L61" s="398">
        <f t="shared" ca="1" si="7"/>
        <v>0</v>
      </c>
      <c r="M61" s="398">
        <f t="shared" ca="1" si="7"/>
        <v>0</v>
      </c>
      <c r="N61" s="398">
        <f t="shared" ca="1" si="7"/>
        <v>56480</v>
      </c>
      <c r="O61" s="398">
        <f t="shared" ca="1" si="7"/>
        <v>52379</v>
      </c>
      <c r="P61" s="398">
        <f t="shared" ca="1" si="7"/>
        <v>71686</v>
      </c>
      <c r="Q61" s="398">
        <f t="shared" ca="1" si="7"/>
        <v>0</v>
      </c>
      <c r="R61" s="398">
        <f t="shared" ref="R61:BX66" ca="1" si="10">IF($A61&gt;R$5,"",OFFSET(R$54,0,-($A61-1)))</f>
        <v>0</v>
      </c>
      <c r="S61" s="398">
        <f t="shared" ca="1" si="10"/>
        <v>0</v>
      </c>
      <c r="T61" s="398">
        <f t="shared" ca="1" si="10"/>
        <v>0</v>
      </c>
      <c r="U61" s="398">
        <f t="shared" ca="1" si="10"/>
        <v>0</v>
      </c>
      <c r="V61" s="398">
        <f t="shared" ca="1" si="10"/>
        <v>0</v>
      </c>
      <c r="W61" s="398">
        <f t="shared" ca="1" si="10"/>
        <v>0</v>
      </c>
      <c r="X61" s="398">
        <f t="shared" ca="1" si="10"/>
        <v>0</v>
      </c>
      <c r="Y61" s="398">
        <f t="shared" ca="1" si="10"/>
        <v>0</v>
      </c>
      <c r="Z61" s="398">
        <f t="shared" ca="1" si="10"/>
        <v>0</v>
      </c>
      <c r="AA61" s="398">
        <f t="shared" ca="1" si="10"/>
        <v>0</v>
      </c>
      <c r="AB61" s="398">
        <f t="shared" ca="1" si="10"/>
        <v>0</v>
      </c>
      <c r="AC61" s="398">
        <f t="shared" ca="1" si="10"/>
        <v>0</v>
      </c>
      <c r="AD61" s="398">
        <f t="shared" ca="1" si="10"/>
        <v>0</v>
      </c>
      <c r="AE61" s="398">
        <f t="shared" ca="1" si="10"/>
        <v>0</v>
      </c>
      <c r="AF61" s="398">
        <f t="shared" ca="1" si="10"/>
        <v>0</v>
      </c>
      <c r="AG61" s="398">
        <f t="shared" ca="1" si="10"/>
        <v>0</v>
      </c>
      <c r="AH61" s="398">
        <f t="shared" ca="1" si="10"/>
        <v>0</v>
      </c>
      <c r="AI61" s="398">
        <f t="shared" ca="1" si="10"/>
        <v>0</v>
      </c>
      <c r="AJ61" s="398">
        <f t="shared" ca="1" si="10"/>
        <v>0</v>
      </c>
      <c r="AK61" s="398">
        <f t="shared" ca="1" si="10"/>
        <v>0</v>
      </c>
      <c r="AL61" s="398">
        <f t="shared" ca="1" si="10"/>
        <v>0</v>
      </c>
      <c r="AM61" s="398">
        <f t="shared" ca="1" si="10"/>
        <v>0</v>
      </c>
      <c r="AN61" s="398">
        <f t="shared" ca="1" si="10"/>
        <v>0</v>
      </c>
      <c r="AO61" s="398">
        <f t="shared" ca="1" si="10"/>
        <v>0</v>
      </c>
      <c r="AP61" s="398">
        <f t="shared" ca="1" si="10"/>
        <v>0</v>
      </c>
      <c r="AQ61" s="398">
        <f t="shared" ca="1" si="10"/>
        <v>0</v>
      </c>
      <c r="AR61" s="398">
        <f t="shared" ca="1" si="10"/>
        <v>0</v>
      </c>
      <c r="AS61" s="398">
        <f t="shared" ca="1" si="10"/>
        <v>0</v>
      </c>
      <c r="AT61" s="398">
        <f t="shared" ca="1" si="10"/>
        <v>0</v>
      </c>
      <c r="AU61" s="398">
        <f t="shared" ca="1" si="10"/>
        <v>0</v>
      </c>
      <c r="AV61" s="398">
        <f t="shared" ca="1" si="10"/>
        <v>0</v>
      </c>
      <c r="AW61" s="398">
        <f t="shared" ca="1" si="10"/>
        <v>0</v>
      </c>
      <c r="AX61" s="398">
        <f t="shared" ca="1" si="10"/>
        <v>0</v>
      </c>
      <c r="AY61" s="398">
        <f t="shared" ca="1" si="10"/>
        <v>0</v>
      </c>
      <c r="AZ61" s="398">
        <f t="shared" ca="1" si="10"/>
        <v>0</v>
      </c>
      <c r="BA61" s="398">
        <f t="shared" ca="1" si="10"/>
        <v>0</v>
      </c>
      <c r="BB61" s="398">
        <f t="shared" ca="1" si="10"/>
        <v>0</v>
      </c>
      <c r="BC61" s="398">
        <f t="shared" ca="1" si="10"/>
        <v>0</v>
      </c>
      <c r="BD61" s="398">
        <f t="shared" ca="1" si="10"/>
        <v>0</v>
      </c>
      <c r="BE61" s="398">
        <f t="shared" ca="1" si="10"/>
        <v>0</v>
      </c>
      <c r="BF61" s="398">
        <f t="shared" ca="1" si="10"/>
        <v>0</v>
      </c>
      <c r="BG61" s="398">
        <f t="shared" ca="1" si="10"/>
        <v>0</v>
      </c>
      <c r="BH61" s="398">
        <f t="shared" ca="1" si="10"/>
        <v>0</v>
      </c>
      <c r="BI61" s="398">
        <f t="shared" ca="1" si="10"/>
        <v>0</v>
      </c>
      <c r="BJ61" s="398"/>
    </row>
    <row r="62" spans="1:62" outlineLevel="1" x14ac:dyDescent="0.15">
      <c r="A62" s="408">
        <v>8</v>
      </c>
      <c r="B62" s="398" t="str">
        <f t="shared" ca="1" si="7"/>
        <v/>
      </c>
      <c r="C62" s="398" t="str">
        <f t="shared" ca="1" si="7"/>
        <v/>
      </c>
      <c r="D62" s="398" t="str">
        <f t="shared" ca="1" si="7"/>
        <v/>
      </c>
      <c r="E62" s="398" t="str">
        <f t="shared" ca="1" si="7"/>
        <v/>
      </c>
      <c r="F62" s="398" t="str">
        <f t="shared" ca="1" si="7"/>
        <v/>
      </c>
      <c r="G62" s="398" t="str">
        <f t="shared" ca="1" si="7"/>
        <v/>
      </c>
      <c r="H62" s="398" t="str">
        <f t="shared" ca="1" si="7"/>
        <v/>
      </c>
      <c r="I62" s="398">
        <f t="shared" ca="1" si="7"/>
        <v>0</v>
      </c>
      <c r="J62" s="398">
        <f t="shared" ca="1" si="7"/>
        <v>0</v>
      </c>
      <c r="K62" s="398">
        <f t="shared" ca="1" si="7"/>
        <v>0</v>
      </c>
      <c r="L62" s="398">
        <f t="shared" ca="1" si="7"/>
        <v>0</v>
      </c>
      <c r="M62" s="398">
        <f t="shared" ca="1" si="7"/>
        <v>0</v>
      </c>
      <c r="N62" s="398">
        <f t="shared" ca="1" si="7"/>
        <v>0</v>
      </c>
      <c r="O62" s="398">
        <f t="shared" ca="1" si="7"/>
        <v>56480</v>
      </c>
      <c r="P62" s="398">
        <f t="shared" ca="1" si="7"/>
        <v>52379</v>
      </c>
      <c r="Q62" s="398">
        <f t="shared" ca="1" si="7"/>
        <v>71686</v>
      </c>
      <c r="R62" s="398">
        <f t="shared" ca="1" si="10"/>
        <v>0</v>
      </c>
      <c r="S62" s="398">
        <f t="shared" ca="1" si="10"/>
        <v>0</v>
      </c>
      <c r="T62" s="398">
        <f t="shared" ca="1" si="10"/>
        <v>0</v>
      </c>
      <c r="U62" s="398">
        <f t="shared" ca="1" si="10"/>
        <v>0</v>
      </c>
      <c r="V62" s="398">
        <f t="shared" ca="1" si="10"/>
        <v>0</v>
      </c>
      <c r="W62" s="398">
        <f t="shared" ca="1" si="10"/>
        <v>0</v>
      </c>
      <c r="X62" s="398">
        <f t="shared" ca="1" si="10"/>
        <v>0</v>
      </c>
      <c r="Y62" s="398">
        <f t="shared" ca="1" si="10"/>
        <v>0</v>
      </c>
      <c r="Z62" s="398">
        <f t="shared" ca="1" si="10"/>
        <v>0</v>
      </c>
      <c r="AA62" s="398">
        <f t="shared" ca="1" si="10"/>
        <v>0</v>
      </c>
      <c r="AB62" s="398">
        <f t="shared" ca="1" si="10"/>
        <v>0</v>
      </c>
      <c r="AC62" s="398">
        <f t="shared" ca="1" si="10"/>
        <v>0</v>
      </c>
      <c r="AD62" s="398">
        <f t="shared" ca="1" si="10"/>
        <v>0</v>
      </c>
      <c r="AE62" s="398">
        <f t="shared" ca="1" si="10"/>
        <v>0</v>
      </c>
      <c r="AF62" s="398">
        <f t="shared" ca="1" si="10"/>
        <v>0</v>
      </c>
      <c r="AG62" s="398">
        <f t="shared" ca="1" si="10"/>
        <v>0</v>
      </c>
      <c r="AH62" s="398">
        <f t="shared" ca="1" si="10"/>
        <v>0</v>
      </c>
      <c r="AI62" s="398">
        <f t="shared" ca="1" si="10"/>
        <v>0</v>
      </c>
      <c r="AJ62" s="398">
        <f t="shared" ca="1" si="10"/>
        <v>0</v>
      </c>
      <c r="AK62" s="398">
        <f t="shared" ca="1" si="10"/>
        <v>0</v>
      </c>
      <c r="AL62" s="398">
        <f t="shared" ca="1" si="10"/>
        <v>0</v>
      </c>
      <c r="AM62" s="398">
        <f t="shared" ca="1" si="10"/>
        <v>0</v>
      </c>
      <c r="AN62" s="398">
        <f t="shared" ca="1" si="10"/>
        <v>0</v>
      </c>
      <c r="AO62" s="398">
        <f t="shared" ca="1" si="10"/>
        <v>0</v>
      </c>
      <c r="AP62" s="398">
        <f t="shared" ca="1" si="10"/>
        <v>0</v>
      </c>
      <c r="AQ62" s="398">
        <f t="shared" ca="1" si="10"/>
        <v>0</v>
      </c>
      <c r="AR62" s="398">
        <f t="shared" ca="1" si="10"/>
        <v>0</v>
      </c>
      <c r="AS62" s="398">
        <f t="shared" ca="1" si="10"/>
        <v>0</v>
      </c>
      <c r="AT62" s="398">
        <f t="shared" ca="1" si="10"/>
        <v>0</v>
      </c>
      <c r="AU62" s="398">
        <f t="shared" ca="1" si="10"/>
        <v>0</v>
      </c>
      <c r="AV62" s="398">
        <f t="shared" ca="1" si="10"/>
        <v>0</v>
      </c>
      <c r="AW62" s="398">
        <f t="shared" ca="1" si="10"/>
        <v>0</v>
      </c>
      <c r="AX62" s="398">
        <f t="shared" ca="1" si="10"/>
        <v>0</v>
      </c>
      <c r="AY62" s="398">
        <f t="shared" ca="1" si="10"/>
        <v>0</v>
      </c>
      <c r="AZ62" s="398">
        <f t="shared" ca="1" si="10"/>
        <v>0</v>
      </c>
      <c r="BA62" s="398">
        <f t="shared" ca="1" si="10"/>
        <v>0</v>
      </c>
      <c r="BB62" s="398">
        <f t="shared" ca="1" si="10"/>
        <v>0</v>
      </c>
      <c r="BC62" s="398">
        <f t="shared" ca="1" si="10"/>
        <v>0</v>
      </c>
      <c r="BD62" s="398">
        <f t="shared" ca="1" si="10"/>
        <v>0</v>
      </c>
      <c r="BE62" s="398">
        <f t="shared" ca="1" si="10"/>
        <v>0</v>
      </c>
      <c r="BF62" s="398">
        <f t="shared" ca="1" si="10"/>
        <v>0</v>
      </c>
      <c r="BG62" s="398">
        <f t="shared" ca="1" si="10"/>
        <v>0</v>
      </c>
      <c r="BH62" s="398">
        <f t="shared" ca="1" si="10"/>
        <v>0</v>
      </c>
      <c r="BI62" s="398">
        <f t="shared" ca="1" si="10"/>
        <v>0</v>
      </c>
      <c r="BJ62" s="398"/>
    </row>
    <row r="63" spans="1:62" outlineLevel="1" x14ac:dyDescent="0.15">
      <c r="A63" s="408">
        <v>9</v>
      </c>
      <c r="B63" s="398" t="str">
        <f t="shared" ca="1" si="7"/>
        <v/>
      </c>
      <c r="C63" s="398" t="str">
        <f t="shared" ca="1" si="7"/>
        <v/>
      </c>
      <c r="D63" s="398" t="str">
        <f t="shared" ca="1" si="7"/>
        <v/>
      </c>
      <c r="E63" s="398" t="str">
        <f t="shared" ca="1" si="7"/>
        <v/>
      </c>
      <c r="F63" s="398" t="str">
        <f t="shared" ca="1" si="7"/>
        <v/>
      </c>
      <c r="G63" s="398" t="str">
        <f t="shared" ca="1" si="7"/>
        <v/>
      </c>
      <c r="H63" s="398" t="str">
        <f t="shared" ca="1" si="7"/>
        <v/>
      </c>
      <c r="I63" s="398" t="str">
        <f t="shared" ca="1" si="7"/>
        <v/>
      </c>
      <c r="J63" s="398">
        <f t="shared" ca="1" si="7"/>
        <v>0</v>
      </c>
      <c r="K63" s="398">
        <f t="shared" ca="1" si="7"/>
        <v>0</v>
      </c>
      <c r="L63" s="398">
        <f t="shared" ca="1" si="7"/>
        <v>0</v>
      </c>
      <c r="M63" s="398">
        <f t="shared" ca="1" si="7"/>
        <v>0</v>
      </c>
      <c r="N63" s="398">
        <f t="shared" ca="1" si="7"/>
        <v>0</v>
      </c>
      <c r="O63" s="398">
        <f t="shared" ca="1" si="7"/>
        <v>0</v>
      </c>
      <c r="P63" s="398">
        <f t="shared" ca="1" si="7"/>
        <v>56480</v>
      </c>
      <c r="Q63" s="398">
        <f t="shared" ca="1" si="7"/>
        <v>52379</v>
      </c>
      <c r="R63" s="398">
        <f t="shared" ca="1" si="10"/>
        <v>71686</v>
      </c>
      <c r="S63" s="398">
        <f t="shared" ca="1" si="10"/>
        <v>0</v>
      </c>
      <c r="T63" s="398">
        <f t="shared" ca="1" si="10"/>
        <v>0</v>
      </c>
      <c r="U63" s="398">
        <f t="shared" ca="1" si="10"/>
        <v>0</v>
      </c>
      <c r="V63" s="398">
        <f t="shared" ca="1" si="10"/>
        <v>0</v>
      </c>
      <c r="W63" s="398">
        <f t="shared" ca="1" si="10"/>
        <v>0</v>
      </c>
      <c r="X63" s="398">
        <f t="shared" ca="1" si="10"/>
        <v>0</v>
      </c>
      <c r="Y63" s="398">
        <f t="shared" ca="1" si="10"/>
        <v>0</v>
      </c>
      <c r="Z63" s="398">
        <f t="shared" ca="1" si="10"/>
        <v>0</v>
      </c>
      <c r="AA63" s="398">
        <f t="shared" ca="1" si="10"/>
        <v>0</v>
      </c>
      <c r="AB63" s="398">
        <f t="shared" ca="1" si="10"/>
        <v>0</v>
      </c>
      <c r="AC63" s="398">
        <f t="shared" ca="1" si="10"/>
        <v>0</v>
      </c>
      <c r="AD63" s="398">
        <f t="shared" ca="1" si="10"/>
        <v>0</v>
      </c>
      <c r="AE63" s="398">
        <f t="shared" ca="1" si="10"/>
        <v>0</v>
      </c>
      <c r="AF63" s="398">
        <f t="shared" ca="1" si="10"/>
        <v>0</v>
      </c>
      <c r="AG63" s="398">
        <f t="shared" ca="1" si="10"/>
        <v>0</v>
      </c>
      <c r="AH63" s="398">
        <f t="shared" ca="1" si="10"/>
        <v>0</v>
      </c>
      <c r="AI63" s="398">
        <f t="shared" ca="1" si="10"/>
        <v>0</v>
      </c>
      <c r="AJ63" s="398">
        <f t="shared" ca="1" si="10"/>
        <v>0</v>
      </c>
      <c r="AK63" s="398">
        <f t="shared" ca="1" si="10"/>
        <v>0</v>
      </c>
      <c r="AL63" s="398">
        <f t="shared" ca="1" si="10"/>
        <v>0</v>
      </c>
      <c r="AM63" s="398">
        <f t="shared" ca="1" si="10"/>
        <v>0</v>
      </c>
      <c r="AN63" s="398">
        <f t="shared" ca="1" si="10"/>
        <v>0</v>
      </c>
      <c r="AO63" s="398">
        <f t="shared" ca="1" si="10"/>
        <v>0</v>
      </c>
      <c r="AP63" s="398">
        <f t="shared" ca="1" si="10"/>
        <v>0</v>
      </c>
      <c r="AQ63" s="398">
        <f t="shared" ca="1" si="10"/>
        <v>0</v>
      </c>
      <c r="AR63" s="398">
        <f t="shared" ca="1" si="10"/>
        <v>0</v>
      </c>
      <c r="AS63" s="398">
        <f t="shared" ca="1" si="10"/>
        <v>0</v>
      </c>
      <c r="AT63" s="398">
        <f t="shared" ca="1" si="10"/>
        <v>0</v>
      </c>
      <c r="AU63" s="398">
        <f t="shared" ca="1" si="10"/>
        <v>0</v>
      </c>
      <c r="AV63" s="398">
        <f t="shared" ca="1" si="10"/>
        <v>0</v>
      </c>
      <c r="AW63" s="398">
        <f t="shared" ca="1" si="10"/>
        <v>0</v>
      </c>
      <c r="AX63" s="398">
        <f t="shared" ca="1" si="10"/>
        <v>0</v>
      </c>
      <c r="AY63" s="398">
        <f t="shared" ca="1" si="10"/>
        <v>0</v>
      </c>
      <c r="AZ63" s="398">
        <f t="shared" ca="1" si="10"/>
        <v>0</v>
      </c>
      <c r="BA63" s="398">
        <f t="shared" ca="1" si="10"/>
        <v>0</v>
      </c>
      <c r="BB63" s="398">
        <f t="shared" ca="1" si="10"/>
        <v>0</v>
      </c>
      <c r="BC63" s="398">
        <f t="shared" ca="1" si="10"/>
        <v>0</v>
      </c>
      <c r="BD63" s="398">
        <f t="shared" ca="1" si="10"/>
        <v>0</v>
      </c>
      <c r="BE63" s="398">
        <f t="shared" ca="1" si="10"/>
        <v>0</v>
      </c>
      <c r="BF63" s="398">
        <f t="shared" ca="1" si="10"/>
        <v>0</v>
      </c>
      <c r="BG63" s="398">
        <f t="shared" ca="1" si="10"/>
        <v>0</v>
      </c>
      <c r="BH63" s="398">
        <f t="shared" ca="1" si="10"/>
        <v>0</v>
      </c>
      <c r="BI63" s="398">
        <f t="shared" ca="1" si="10"/>
        <v>0</v>
      </c>
      <c r="BJ63" s="398"/>
    </row>
    <row r="64" spans="1:62" outlineLevel="1" x14ac:dyDescent="0.15">
      <c r="A64" s="408">
        <v>10</v>
      </c>
      <c r="B64" s="398" t="str">
        <f t="shared" ca="1" si="7"/>
        <v/>
      </c>
      <c r="C64" s="398" t="str">
        <f t="shared" ca="1" si="7"/>
        <v/>
      </c>
      <c r="D64" s="398" t="str">
        <f t="shared" ca="1" si="7"/>
        <v/>
      </c>
      <c r="E64" s="398" t="str">
        <f t="shared" ca="1" si="7"/>
        <v/>
      </c>
      <c r="F64" s="398" t="str">
        <f t="shared" ca="1" si="7"/>
        <v/>
      </c>
      <c r="G64" s="398" t="str">
        <f t="shared" ca="1" si="7"/>
        <v/>
      </c>
      <c r="H64" s="398" t="str">
        <f t="shared" ca="1" si="7"/>
        <v/>
      </c>
      <c r="I64" s="398" t="str">
        <f t="shared" ca="1" si="7"/>
        <v/>
      </c>
      <c r="J64" s="398" t="str">
        <f t="shared" ca="1" si="7"/>
        <v/>
      </c>
      <c r="K64" s="398">
        <f t="shared" ca="1" si="7"/>
        <v>0</v>
      </c>
      <c r="L64" s="398">
        <f t="shared" ca="1" si="7"/>
        <v>0</v>
      </c>
      <c r="M64" s="398">
        <f t="shared" ca="1" si="7"/>
        <v>0</v>
      </c>
      <c r="N64" s="398">
        <f t="shared" ca="1" si="7"/>
        <v>0</v>
      </c>
      <c r="O64" s="398">
        <f t="shared" ca="1" si="7"/>
        <v>0</v>
      </c>
      <c r="P64" s="398">
        <f t="shared" ca="1" si="7"/>
        <v>0</v>
      </c>
      <c r="Q64" s="398">
        <f t="shared" ca="1" si="7"/>
        <v>56480</v>
      </c>
      <c r="R64" s="398">
        <f t="shared" ca="1" si="10"/>
        <v>52379</v>
      </c>
      <c r="S64" s="398">
        <f t="shared" ca="1" si="10"/>
        <v>71686</v>
      </c>
      <c r="T64" s="398">
        <f t="shared" ca="1" si="10"/>
        <v>0</v>
      </c>
      <c r="U64" s="398">
        <f t="shared" ca="1" si="10"/>
        <v>0</v>
      </c>
      <c r="V64" s="398">
        <f t="shared" ca="1" si="10"/>
        <v>0</v>
      </c>
      <c r="W64" s="398">
        <f t="shared" ca="1" si="10"/>
        <v>0</v>
      </c>
      <c r="X64" s="398">
        <f t="shared" ca="1" si="10"/>
        <v>0</v>
      </c>
      <c r="Y64" s="398">
        <f t="shared" ca="1" si="10"/>
        <v>0</v>
      </c>
      <c r="Z64" s="398">
        <f t="shared" ca="1" si="10"/>
        <v>0</v>
      </c>
      <c r="AA64" s="398">
        <f t="shared" ca="1" si="10"/>
        <v>0</v>
      </c>
      <c r="AB64" s="398">
        <f t="shared" ca="1" si="10"/>
        <v>0</v>
      </c>
      <c r="AC64" s="398">
        <f t="shared" ca="1" si="10"/>
        <v>0</v>
      </c>
      <c r="AD64" s="398">
        <f t="shared" ca="1" si="10"/>
        <v>0</v>
      </c>
      <c r="AE64" s="398">
        <f t="shared" ca="1" si="10"/>
        <v>0</v>
      </c>
      <c r="AF64" s="398">
        <f t="shared" ca="1" si="10"/>
        <v>0</v>
      </c>
      <c r="AG64" s="398">
        <f t="shared" ca="1" si="10"/>
        <v>0</v>
      </c>
      <c r="AH64" s="398">
        <f t="shared" ca="1" si="10"/>
        <v>0</v>
      </c>
      <c r="AI64" s="398">
        <f t="shared" ca="1" si="10"/>
        <v>0</v>
      </c>
      <c r="AJ64" s="398">
        <f t="shared" ca="1" si="10"/>
        <v>0</v>
      </c>
      <c r="AK64" s="398">
        <f t="shared" ca="1" si="10"/>
        <v>0</v>
      </c>
      <c r="AL64" s="398">
        <f t="shared" ca="1" si="10"/>
        <v>0</v>
      </c>
      <c r="AM64" s="398">
        <f t="shared" ca="1" si="10"/>
        <v>0</v>
      </c>
      <c r="AN64" s="398">
        <f t="shared" ca="1" si="10"/>
        <v>0</v>
      </c>
      <c r="AO64" s="398">
        <f t="shared" ca="1" si="10"/>
        <v>0</v>
      </c>
      <c r="AP64" s="398">
        <f t="shared" ca="1" si="10"/>
        <v>0</v>
      </c>
      <c r="AQ64" s="398">
        <f t="shared" ca="1" si="10"/>
        <v>0</v>
      </c>
      <c r="AR64" s="398">
        <f t="shared" ca="1" si="10"/>
        <v>0</v>
      </c>
      <c r="AS64" s="398">
        <f t="shared" ca="1" si="10"/>
        <v>0</v>
      </c>
      <c r="AT64" s="398">
        <f t="shared" ca="1" si="10"/>
        <v>0</v>
      </c>
      <c r="AU64" s="398">
        <f t="shared" ca="1" si="10"/>
        <v>0</v>
      </c>
      <c r="AV64" s="398">
        <f t="shared" ca="1" si="10"/>
        <v>0</v>
      </c>
      <c r="AW64" s="398">
        <f t="shared" ca="1" si="10"/>
        <v>0</v>
      </c>
      <c r="AX64" s="398">
        <f t="shared" ca="1" si="10"/>
        <v>0</v>
      </c>
      <c r="AY64" s="398">
        <f t="shared" ca="1" si="10"/>
        <v>0</v>
      </c>
      <c r="AZ64" s="398">
        <f t="shared" ca="1" si="10"/>
        <v>0</v>
      </c>
      <c r="BA64" s="398">
        <f t="shared" ca="1" si="10"/>
        <v>0</v>
      </c>
      <c r="BB64" s="398">
        <f t="shared" ca="1" si="10"/>
        <v>0</v>
      </c>
      <c r="BC64" s="398">
        <f t="shared" ca="1" si="10"/>
        <v>0</v>
      </c>
      <c r="BD64" s="398">
        <f t="shared" ca="1" si="10"/>
        <v>0</v>
      </c>
      <c r="BE64" s="398">
        <f t="shared" ca="1" si="10"/>
        <v>0</v>
      </c>
      <c r="BF64" s="398">
        <f t="shared" ca="1" si="10"/>
        <v>0</v>
      </c>
      <c r="BG64" s="398">
        <f t="shared" ca="1" si="10"/>
        <v>0</v>
      </c>
      <c r="BH64" s="398">
        <f t="shared" ca="1" si="10"/>
        <v>0</v>
      </c>
      <c r="BI64" s="398">
        <f t="shared" ca="1" si="10"/>
        <v>0</v>
      </c>
    </row>
    <row r="65" spans="1:61" outlineLevel="1" x14ac:dyDescent="0.15">
      <c r="A65" s="408">
        <v>11</v>
      </c>
      <c r="B65" s="398" t="str">
        <f t="shared" ca="1" si="7"/>
        <v/>
      </c>
      <c r="C65" s="398" t="str">
        <f t="shared" ca="1" si="7"/>
        <v/>
      </c>
      <c r="D65" s="398" t="str">
        <f t="shared" ca="1" si="7"/>
        <v/>
      </c>
      <c r="E65" s="398" t="str">
        <f t="shared" ca="1" si="7"/>
        <v/>
      </c>
      <c r="F65" s="398" t="str">
        <f t="shared" ca="1" si="7"/>
        <v/>
      </c>
      <c r="G65" s="398" t="str">
        <f t="shared" ca="1" si="7"/>
        <v/>
      </c>
      <c r="H65" s="398" t="str">
        <f t="shared" ca="1" si="7"/>
        <v/>
      </c>
      <c r="I65" s="398" t="str">
        <f t="shared" ca="1" si="7"/>
        <v/>
      </c>
      <c r="J65" s="398" t="str">
        <f t="shared" ca="1" si="7"/>
        <v/>
      </c>
      <c r="K65" s="398" t="str">
        <f t="shared" ca="1" si="7"/>
        <v/>
      </c>
      <c r="L65" s="398">
        <f t="shared" ca="1" si="7"/>
        <v>0</v>
      </c>
      <c r="M65" s="398">
        <f t="shared" ca="1" si="7"/>
        <v>0</v>
      </c>
      <c r="N65" s="398">
        <f t="shared" ca="1" si="7"/>
        <v>0</v>
      </c>
      <c r="O65" s="398">
        <f t="shared" ca="1" si="7"/>
        <v>0</v>
      </c>
      <c r="P65" s="398">
        <f t="shared" ca="1" si="7"/>
        <v>0</v>
      </c>
      <c r="Q65" s="398">
        <f t="shared" ca="1" si="7"/>
        <v>0</v>
      </c>
      <c r="R65" s="398">
        <f t="shared" ca="1" si="10"/>
        <v>56480</v>
      </c>
      <c r="S65" s="398">
        <f t="shared" ca="1" si="10"/>
        <v>52379</v>
      </c>
      <c r="T65" s="398">
        <f t="shared" ca="1" si="10"/>
        <v>71686</v>
      </c>
      <c r="U65" s="398">
        <f t="shared" ca="1" si="10"/>
        <v>0</v>
      </c>
      <c r="V65" s="398">
        <f t="shared" ca="1" si="10"/>
        <v>0</v>
      </c>
      <c r="W65" s="398">
        <f t="shared" ca="1" si="10"/>
        <v>0</v>
      </c>
      <c r="X65" s="398">
        <f t="shared" ca="1" si="10"/>
        <v>0</v>
      </c>
      <c r="Y65" s="398">
        <f t="shared" ca="1" si="10"/>
        <v>0</v>
      </c>
      <c r="Z65" s="398">
        <f t="shared" ca="1" si="10"/>
        <v>0</v>
      </c>
      <c r="AA65" s="398">
        <f t="shared" ca="1" si="10"/>
        <v>0</v>
      </c>
      <c r="AB65" s="398">
        <f t="shared" ca="1" si="10"/>
        <v>0</v>
      </c>
      <c r="AC65" s="398">
        <f t="shared" ca="1" si="10"/>
        <v>0</v>
      </c>
      <c r="AD65" s="398">
        <f t="shared" ca="1" si="10"/>
        <v>0</v>
      </c>
      <c r="AE65" s="398">
        <f t="shared" ca="1" si="10"/>
        <v>0</v>
      </c>
      <c r="AF65" s="398">
        <f t="shared" ca="1" si="10"/>
        <v>0</v>
      </c>
      <c r="AG65" s="398">
        <f t="shared" ca="1" si="10"/>
        <v>0</v>
      </c>
      <c r="AH65" s="398">
        <f t="shared" ca="1" si="10"/>
        <v>0</v>
      </c>
      <c r="AI65" s="398">
        <f t="shared" ca="1" si="10"/>
        <v>0</v>
      </c>
      <c r="AJ65" s="398">
        <f t="shared" ca="1" si="10"/>
        <v>0</v>
      </c>
      <c r="AK65" s="398">
        <f t="shared" ca="1" si="10"/>
        <v>0</v>
      </c>
      <c r="AL65" s="398">
        <f t="shared" ca="1" si="10"/>
        <v>0</v>
      </c>
      <c r="AM65" s="398">
        <f t="shared" ca="1" si="10"/>
        <v>0</v>
      </c>
      <c r="AN65" s="398">
        <f t="shared" ca="1" si="10"/>
        <v>0</v>
      </c>
      <c r="AO65" s="398">
        <f t="shared" ca="1" si="10"/>
        <v>0</v>
      </c>
      <c r="AP65" s="398">
        <f t="shared" ca="1" si="10"/>
        <v>0</v>
      </c>
      <c r="AQ65" s="398">
        <f t="shared" ca="1" si="10"/>
        <v>0</v>
      </c>
      <c r="AR65" s="398">
        <f t="shared" ca="1" si="10"/>
        <v>0</v>
      </c>
      <c r="AS65" s="398">
        <f t="shared" ca="1" si="10"/>
        <v>0</v>
      </c>
      <c r="AT65" s="398">
        <f t="shared" ca="1" si="10"/>
        <v>0</v>
      </c>
      <c r="AU65" s="398">
        <f t="shared" ca="1" si="10"/>
        <v>0</v>
      </c>
      <c r="AV65" s="398">
        <f t="shared" ca="1" si="10"/>
        <v>0</v>
      </c>
      <c r="AW65" s="398">
        <f t="shared" ca="1" si="10"/>
        <v>0</v>
      </c>
      <c r="AX65" s="398">
        <f t="shared" ca="1" si="10"/>
        <v>0</v>
      </c>
      <c r="AY65" s="398">
        <f t="shared" ca="1" si="10"/>
        <v>0</v>
      </c>
      <c r="AZ65" s="398">
        <f t="shared" ca="1" si="10"/>
        <v>0</v>
      </c>
      <c r="BA65" s="398">
        <f t="shared" ca="1" si="10"/>
        <v>0</v>
      </c>
      <c r="BB65" s="398">
        <f t="shared" ca="1" si="10"/>
        <v>0</v>
      </c>
      <c r="BC65" s="398">
        <f t="shared" ca="1" si="10"/>
        <v>0</v>
      </c>
      <c r="BD65" s="398">
        <f t="shared" ca="1" si="10"/>
        <v>0</v>
      </c>
      <c r="BE65" s="398">
        <f t="shared" ca="1" si="10"/>
        <v>0</v>
      </c>
      <c r="BF65" s="398">
        <f t="shared" ca="1" si="10"/>
        <v>0</v>
      </c>
      <c r="BG65" s="398">
        <f t="shared" ca="1" si="10"/>
        <v>0</v>
      </c>
      <c r="BH65" s="398">
        <f t="shared" ca="1" si="10"/>
        <v>0</v>
      </c>
      <c r="BI65" s="398">
        <f t="shared" ca="1" si="10"/>
        <v>0</v>
      </c>
    </row>
    <row r="66" spans="1:61" outlineLevel="1" x14ac:dyDescent="0.15">
      <c r="A66" s="408">
        <v>12</v>
      </c>
      <c r="B66" s="398" t="str">
        <f t="shared" ca="1" si="7"/>
        <v/>
      </c>
      <c r="C66" s="398" t="str">
        <f t="shared" ca="1" si="7"/>
        <v/>
      </c>
      <c r="D66" s="398" t="str">
        <f t="shared" ca="1" si="7"/>
        <v/>
      </c>
      <c r="E66" s="398" t="str">
        <f t="shared" ca="1" si="7"/>
        <v/>
      </c>
      <c r="F66" s="398" t="str">
        <f t="shared" ca="1" si="7"/>
        <v/>
      </c>
      <c r="G66" s="398" t="str">
        <f t="shared" ca="1" si="7"/>
        <v/>
      </c>
      <c r="H66" s="398" t="str">
        <f t="shared" ca="1" si="7"/>
        <v/>
      </c>
      <c r="I66" s="398" t="str">
        <f t="shared" ca="1" si="7"/>
        <v/>
      </c>
      <c r="J66" s="398" t="str">
        <f t="shared" ca="1" si="7"/>
        <v/>
      </c>
      <c r="K66" s="398" t="str">
        <f t="shared" ca="1" si="7"/>
        <v/>
      </c>
      <c r="L66" s="398" t="str">
        <f t="shared" ca="1" si="7"/>
        <v/>
      </c>
      <c r="M66" s="398">
        <f t="shared" ca="1" si="7"/>
        <v>0</v>
      </c>
      <c r="N66" s="398">
        <f t="shared" ca="1" si="7"/>
        <v>0</v>
      </c>
      <c r="O66" s="398">
        <f t="shared" ca="1" si="7"/>
        <v>0</v>
      </c>
      <c r="P66" s="398">
        <f t="shared" ca="1" si="7"/>
        <v>0</v>
      </c>
      <c r="Q66" s="398">
        <f t="shared" ca="1" si="7"/>
        <v>0</v>
      </c>
      <c r="R66" s="398">
        <f t="shared" ca="1" si="10"/>
        <v>0</v>
      </c>
      <c r="S66" s="398">
        <f t="shared" ca="1" si="10"/>
        <v>56480</v>
      </c>
      <c r="T66" s="398">
        <f t="shared" ca="1" si="10"/>
        <v>52379</v>
      </c>
      <c r="U66" s="398">
        <f t="shared" ca="1" si="10"/>
        <v>71686</v>
      </c>
      <c r="V66" s="398">
        <f t="shared" ca="1" si="10"/>
        <v>0</v>
      </c>
      <c r="W66" s="398">
        <f t="shared" ca="1" si="10"/>
        <v>0</v>
      </c>
      <c r="X66" s="398">
        <f t="shared" ca="1" si="10"/>
        <v>0</v>
      </c>
      <c r="Y66" s="398">
        <f t="shared" ca="1" si="10"/>
        <v>0</v>
      </c>
      <c r="Z66" s="398">
        <f t="shared" ca="1" si="10"/>
        <v>0</v>
      </c>
      <c r="AA66" s="398">
        <f t="shared" ca="1" si="10"/>
        <v>0</v>
      </c>
      <c r="AB66" s="398">
        <f t="shared" ca="1" si="10"/>
        <v>0</v>
      </c>
      <c r="AC66" s="398">
        <f t="shared" ca="1" si="10"/>
        <v>0</v>
      </c>
      <c r="AD66" s="398">
        <f t="shared" ca="1" si="10"/>
        <v>0</v>
      </c>
      <c r="AE66" s="398">
        <f t="shared" ca="1" si="10"/>
        <v>0</v>
      </c>
      <c r="AF66" s="398">
        <f t="shared" ca="1" si="10"/>
        <v>0</v>
      </c>
      <c r="AG66" s="398">
        <f t="shared" ca="1" si="10"/>
        <v>0</v>
      </c>
      <c r="AH66" s="398">
        <f t="shared" ca="1" si="10"/>
        <v>0</v>
      </c>
      <c r="AI66" s="398">
        <f t="shared" ca="1" si="10"/>
        <v>0</v>
      </c>
      <c r="AJ66" s="398">
        <f t="shared" ca="1" si="10"/>
        <v>0</v>
      </c>
      <c r="AK66" s="398">
        <f t="shared" ca="1" si="10"/>
        <v>0</v>
      </c>
      <c r="AL66" s="398">
        <f t="shared" ca="1" si="10"/>
        <v>0</v>
      </c>
      <c r="AM66" s="398">
        <f t="shared" ca="1" si="10"/>
        <v>0</v>
      </c>
      <c r="AN66" s="398">
        <f t="shared" ca="1" si="10"/>
        <v>0</v>
      </c>
      <c r="AO66" s="398">
        <f t="shared" ca="1" si="10"/>
        <v>0</v>
      </c>
      <c r="AP66" s="398">
        <f t="shared" ca="1" si="10"/>
        <v>0</v>
      </c>
      <c r="AQ66" s="398">
        <f t="shared" ca="1" si="10"/>
        <v>0</v>
      </c>
      <c r="AR66" s="398">
        <f t="shared" ca="1" si="10"/>
        <v>0</v>
      </c>
      <c r="AS66" s="398">
        <f t="shared" ca="1" si="10"/>
        <v>0</v>
      </c>
      <c r="AT66" s="398">
        <f t="shared" ca="1" si="10"/>
        <v>0</v>
      </c>
      <c r="AU66" s="398">
        <f t="shared" ca="1" si="10"/>
        <v>0</v>
      </c>
      <c r="AV66" s="398">
        <f t="shared" ca="1" si="10"/>
        <v>0</v>
      </c>
      <c r="AW66" s="398">
        <f t="shared" ca="1" si="10"/>
        <v>0</v>
      </c>
      <c r="AX66" s="398">
        <f t="shared" ca="1" si="10"/>
        <v>0</v>
      </c>
      <c r="AY66" s="398">
        <f t="shared" ca="1" si="10"/>
        <v>0</v>
      </c>
      <c r="AZ66" s="398">
        <f t="shared" ca="1" si="10"/>
        <v>0</v>
      </c>
      <c r="BA66" s="398">
        <f t="shared" ref="BA66:DG71" ca="1" si="11">IF($A66&gt;BA$5,"",OFFSET(BA$54,0,-($A66-1)))</f>
        <v>0</v>
      </c>
      <c r="BB66" s="398">
        <f t="shared" ca="1" si="11"/>
        <v>0</v>
      </c>
      <c r="BC66" s="398">
        <f t="shared" ca="1" si="11"/>
        <v>0</v>
      </c>
      <c r="BD66" s="398">
        <f t="shared" ca="1" si="11"/>
        <v>0</v>
      </c>
      <c r="BE66" s="398">
        <f t="shared" ca="1" si="11"/>
        <v>0</v>
      </c>
      <c r="BF66" s="398">
        <f t="shared" ca="1" si="11"/>
        <v>0</v>
      </c>
      <c r="BG66" s="398">
        <f t="shared" ca="1" si="11"/>
        <v>0</v>
      </c>
      <c r="BH66" s="398">
        <f t="shared" ca="1" si="11"/>
        <v>0</v>
      </c>
      <c r="BI66" s="398">
        <f t="shared" ca="1" si="11"/>
        <v>0</v>
      </c>
    </row>
    <row r="67" spans="1:61" outlineLevel="1" x14ac:dyDescent="0.15">
      <c r="A67" s="408">
        <v>13</v>
      </c>
      <c r="B67" s="398" t="str">
        <f t="shared" ca="1" si="7"/>
        <v/>
      </c>
      <c r="C67" s="398" t="str">
        <f t="shared" ca="1" si="7"/>
        <v/>
      </c>
      <c r="D67" s="398" t="str">
        <f t="shared" ca="1" si="7"/>
        <v/>
      </c>
      <c r="E67" s="398" t="str">
        <f t="shared" ca="1" si="7"/>
        <v/>
      </c>
      <c r="F67" s="398" t="str">
        <f t="shared" ca="1" si="7"/>
        <v/>
      </c>
      <c r="G67" s="398" t="str">
        <f t="shared" ca="1" si="7"/>
        <v/>
      </c>
      <c r="H67" s="398" t="str">
        <f t="shared" ca="1" si="7"/>
        <v/>
      </c>
      <c r="I67" s="398" t="str">
        <f t="shared" ca="1" si="7"/>
        <v/>
      </c>
      <c r="J67" s="398" t="str">
        <f t="shared" ca="1" si="7"/>
        <v/>
      </c>
      <c r="K67" s="398" t="str">
        <f t="shared" ca="1" si="7"/>
        <v/>
      </c>
      <c r="L67" s="398" t="str">
        <f t="shared" ca="1" si="7"/>
        <v/>
      </c>
      <c r="M67" s="398" t="str">
        <f t="shared" ca="1" si="7"/>
        <v/>
      </c>
      <c r="N67" s="398">
        <f t="shared" ca="1" si="7"/>
        <v>0</v>
      </c>
      <c r="O67" s="398">
        <f t="shared" ca="1" si="7"/>
        <v>0</v>
      </c>
      <c r="P67" s="398">
        <f t="shared" ca="1" si="7"/>
        <v>0</v>
      </c>
      <c r="Q67" s="398">
        <f t="shared" ca="1" si="7"/>
        <v>0</v>
      </c>
      <c r="R67" s="398">
        <f t="shared" ref="R67:BX72" ca="1" si="12">IF($A67&gt;R$5,"",OFFSET(R$54,0,-($A67-1)))</f>
        <v>0</v>
      </c>
      <c r="S67" s="398">
        <f t="shared" ca="1" si="12"/>
        <v>0</v>
      </c>
      <c r="T67" s="398">
        <f t="shared" ca="1" si="12"/>
        <v>56480</v>
      </c>
      <c r="U67" s="398">
        <f t="shared" ca="1" si="12"/>
        <v>52379</v>
      </c>
      <c r="V67" s="398">
        <f t="shared" ca="1" si="12"/>
        <v>71686</v>
      </c>
      <c r="W67" s="398">
        <f t="shared" ca="1" si="12"/>
        <v>0</v>
      </c>
      <c r="X67" s="398">
        <f t="shared" ca="1" si="12"/>
        <v>0</v>
      </c>
      <c r="Y67" s="398">
        <f t="shared" ca="1" si="12"/>
        <v>0</v>
      </c>
      <c r="Z67" s="398">
        <f t="shared" ca="1" si="12"/>
        <v>0</v>
      </c>
      <c r="AA67" s="398">
        <f t="shared" ca="1" si="12"/>
        <v>0</v>
      </c>
      <c r="AB67" s="398">
        <f t="shared" ca="1" si="12"/>
        <v>0</v>
      </c>
      <c r="AC67" s="398">
        <f t="shared" ca="1" si="12"/>
        <v>0</v>
      </c>
      <c r="AD67" s="398">
        <f t="shared" ca="1" si="12"/>
        <v>0</v>
      </c>
      <c r="AE67" s="398">
        <f t="shared" ca="1" si="12"/>
        <v>0</v>
      </c>
      <c r="AF67" s="398">
        <f t="shared" ca="1" si="12"/>
        <v>0</v>
      </c>
      <c r="AG67" s="398">
        <f t="shared" ca="1" si="12"/>
        <v>0</v>
      </c>
      <c r="AH67" s="398">
        <f t="shared" ca="1" si="12"/>
        <v>0</v>
      </c>
      <c r="AI67" s="398">
        <f t="shared" ca="1" si="12"/>
        <v>0</v>
      </c>
      <c r="AJ67" s="398">
        <f t="shared" ca="1" si="12"/>
        <v>0</v>
      </c>
      <c r="AK67" s="398">
        <f t="shared" ca="1" si="12"/>
        <v>0</v>
      </c>
      <c r="AL67" s="398">
        <f t="shared" ca="1" si="12"/>
        <v>0</v>
      </c>
      <c r="AM67" s="398">
        <f t="shared" ca="1" si="12"/>
        <v>0</v>
      </c>
      <c r="AN67" s="398">
        <f t="shared" ca="1" si="12"/>
        <v>0</v>
      </c>
      <c r="AO67" s="398">
        <f t="shared" ca="1" si="12"/>
        <v>0</v>
      </c>
      <c r="AP67" s="398">
        <f t="shared" ca="1" si="12"/>
        <v>0</v>
      </c>
      <c r="AQ67" s="398">
        <f t="shared" ca="1" si="12"/>
        <v>0</v>
      </c>
      <c r="AR67" s="398">
        <f t="shared" ca="1" si="12"/>
        <v>0</v>
      </c>
      <c r="AS67" s="398">
        <f t="shared" ca="1" si="12"/>
        <v>0</v>
      </c>
      <c r="AT67" s="398">
        <f t="shared" ca="1" si="12"/>
        <v>0</v>
      </c>
      <c r="AU67" s="398">
        <f t="shared" ca="1" si="12"/>
        <v>0</v>
      </c>
      <c r="AV67" s="398">
        <f t="shared" ca="1" si="12"/>
        <v>0</v>
      </c>
      <c r="AW67" s="398">
        <f t="shared" ca="1" si="12"/>
        <v>0</v>
      </c>
      <c r="AX67" s="398">
        <f t="shared" ca="1" si="12"/>
        <v>0</v>
      </c>
      <c r="AY67" s="398">
        <f t="shared" ca="1" si="12"/>
        <v>0</v>
      </c>
      <c r="AZ67" s="398">
        <f t="shared" ca="1" si="12"/>
        <v>0</v>
      </c>
      <c r="BA67" s="398">
        <f t="shared" ca="1" si="12"/>
        <v>0</v>
      </c>
      <c r="BB67" s="398">
        <f t="shared" ca="1" si="12"/>
        <v>0</v>
      </c>
      <c r="BC67" s="398">
        <f t="shared" ca="1" si="12"/>
        <v>0</v>
      </c>
      <c r="BD67" s="398">
        <f t="shared" ca="1" si="12"/>
        <v>0</v>
      </c>
      <c r="BE67" s="398">
        <f t="shared" ca="1" si="12"/>
        <v>0</v>
      </c>
      <c r="BF67" s="398">
        <f t="shared" ca="1" si="12"/>
        <v>0</v>
      </c>
      <c r="BG67" s="398">
        <f t="shared" ca="1" si="12"/>
        <v>0</v>
      </c>
      <c r="BH67" s="398">
        <f t="shared" ca="1" si="12"/>
        <v>0</v>
      </c>
      <c r="BI67" s="398">
        <f t="shared" ca="1" si="12"/>
        <v>0</v>
      </c>
    </row>
    <row r="68" spans="1:61" outlineLevel="1" x14ac:dyDescent="0.15">
      <c r="A68" s="408">
        <v>14</v>
      </c>
      <c r="B68" s="398" t="str">
        <f t="shared" ca="1" si="7"/>
        <v/>
      </c>
      <c r="C68" s="398" t="str">
        <f t="shared" ca="1" si="7"/>
        <v/>
      </c>
      <c r="D68" s="398" t="str">
        <f t="shared" ca="1" si="7"/>
        <v/>
      </c>
      <c r="E68" s="398" t="str">
        <f t="shared" ca="1" si="7"/>
        <v/>
      </c>
      <c r="F68" s="398" t="str">
        <f t="shared" ca="1" si="7"/>
        <v/>
      </c>
      <c r="G68" s="398" t="str">
        <f t="shared" ca="1" si="7"/>
        <v/>
      </c>
      <c r="H68" s="398" t="str">
        <f t="shared" ca="1" si="7"/>
        <v/>
      </c>
      <c r="I68" s="398" t="str">
        <f t="shared" ca="1" si="7"/>
        <v/>
      </c>
      <c r="J68" s="398" t="str">
        <f t="shared" ca="1" si="7"/>
        <v/>
      </c>
      <c r="K68" s="398" t="str">
        <f t="shared" ca="1" si="7"/>
        <v/>
      </c>
      <c r="L68" s="398" t="str">
        <f t="shared" ca="1" si="7"/>
        <v/>
      </c>
      <c r="M68" s="398" t="str">
        <f t="shared" ca="1" si="7"/>
        <v/>
      </c>
      <c r="N68" s="398" t="str">
        <f t="shared" ca="1" si="7"/>
        <v/>
      </c>
      <c r="O68" s="398">
        <f t="shared" ca="1" si="7"/>
        <v>0</v>
      </c>
      <c r="P68" s="398">
        <f t="shared" ca="1" si="7"/>
        <v>0</v>
      </c>
      <c r="Q68" s="398">
        <f t="shared" ca="1" si="7"/>
        <v>0</v>
      </c>
      <c r="R68" s="398">
        <f t="shared" ca="1" si="12"/>
        <v>0</v>
      </c>
      <c r="S68" s="398">
        <f t="shared" ca="1" si="12"/>
        <v>0</v>
      </c>
      <c r="T68" s="398">
        <f t="shared" ca="1" si="12"/>
        <v>0</v>
      </c>
      <c r="U68" s="398">
        <f t="shared" ca="1" si="12"/>
        <v>56480</v>
      </c>
      <c r="V68" s="398">
        <f t="shared" ca="1" si="12"/>
        <v>52379</v>
      </c>
      <c r="W68" s="398">
        <f t="shared" ca="1" si="12"/>
        <v>71686</v>
      </c>
      <c r="X68" s="398">
        <f t="shared" ca="1" si="12"/>
        <v>0</v>
      </c>
      <c r="Y68" s="398">
        <f t="shared" ca="1" si="12"/>
        <v>0</v>
      </c>
      <c r="Z68" s="398">
        <f t="shared" ca="1" si="12"/>
        <v>0</v>
      </c>
      <c r="AA68" s="398">
        <f t="shared" ca="1" si="12"/>
        <v>0</v>
      </c>
      <c r="AB68" s="398">
        <f t="shared" ca="1" si="12"/>
        <v>0</v>
      </c>
      <c r="AC68" s="398">
        <f t="shared" ca="1" si="12"/>
        <v>0</v>
      </c>
      <c r="AD68" s="398">
        <f t="shared" ca="1" si="12"/>
        <v>0</v>
      </c>
      <c r="AE68" s="398">
        <f t="shared" ca="1" si="12"/>
        <v>0</v>
      </c>
      <c r="AF68" s="398">
        <f t="shared" ca="1" si="12"/>
        <v>0</v>
      </c>
      <c r="AG68" s="398">
        <f t="shared" ca="1" si="12"/>
        <v>0</v>
      </c>
      <c r="AH68" s="398">
        <f t="shared" ca="1" si="12"/>
        <v>0</v>
      </c>
      <c r="AI68" s="398">
        <f t="shared" ca="1" si="12"/>
        <v>0</v>
      </c>
      <c r="AJ68" s="398">
        <f t="shared" ca="1" si="12"/>
        <v>0</v>
      </c>
      <c r="AK68" s="398">
        <f t="shared" ca="1" si="12"/>
        <v>0</v>
      </c>
      <c r="AL68" s="398">
        <f t="shared" ca="1" si="12"/>
        <v>0</v>
      </c>
      <c r="AM68" s="398">
        <f t="shared" ca="1" si="12"/>
        <v>0</v>
      </c>
      <c r="AN68" s="398">
        <f t="shared" ca="1" si="12"/>
        <v>0</v>
      </c>
      <c r="AO68" s="398">
        <f t="shared" ca="1" si="12"/>
        <v>0</v>
      </c>
      <c r="AP68" s="398">
        <f t="shared" ca="1" si="12"/>
        <v>0</v>
      </c>
      <c r="AQ68" s="398">
        <f t="shared" ca="1" si="12"/>
        <v>0</v>
      </c>
      <c r="AR68" s="398">
        <f t="shared" ca="1" si="12"/>
        <v>0</v>
      </c>
      <c r="AS68" s="398">
        <f t="shared" ca="1" si="12"/>
        <v>0</v>
      </c>
      <c r="AT68" s="398">
        <f t="shared" ca="1" si="12"/>
        <v>0</v>
      </c>
      <c r="AU68" s="398">
        <f t="shared" ca="1" si="12"/>
        <v>0</v>
      </c>
      <c r="AV68" s="398">
        <f t="shared" ca="1" si="12"/>
        <v>0</v>
      </c>
      <c r="AW68" s="398">
        <f t="shared" ca="1" si="12"/>
        <v>0</v>
      </c>
      <c r="AX68" s="398">
        <f t="shared" ca="1" si="12"/>
        <v>0</v>
      </c>
      <c r="AY68" s="398">
        <f t="shared" ca="1" si="12"/>
        <v>0</v>
      </c>
      <c r="AZ68" s="398">
        <f t="shared" ca="1" si="12"/>
        <v>0</v>
      </c>
      <c r="BA68" s="398">
        <f t="shared" ca="1" si="12"/>
        <v>0</v>
      </c>
      <c r="BB68" s="398">
        <f t="shared" ca="1" si="12"/>
        <v>0</v>
      </c>
      <c r="BC68" s="398">
        <f t="shared" ca="1" si="12"/>
        <v>0</v>
      </c>
      <c r="BD68" s="398">
        <f t="shared" ca="1" si="12"/>
        <v>0</v>
      </c>
      <c r="BE68" s="398">
        <f t="shared" ca="1" si="12"/>
        <v>0</v>
      </c>
      <c r="BF68" s="398">
        <f t="shared" ca="1" si="12"/>
        <v>0</v>
      </c>
      <c r="BG68" s="398">
        <f t="shared" ca="1" si="12"/>
        <v>0</v>
      </c>
      <c r="BH68" s="398">
        <f t="shared" ca="1" si="12"/>
        <v>0</v>
      </c>
      <c r="BI68" s="398">
        <f t="shared" ca="1" si="12"/>
        <v>0</v>
      </c>
    </row>
    <row r="69" spans="1:61" outlineLevel="1" x14ac:dyDescent="0.15">
      <c r="A69" s="408">
        <v>15</v>
      </c>
      <c r="B69" s="398" t="str">
        <f t="shared" ca="1" si="7"/>
        <v/>
      </c>
      <c r="C69" s="398" t="str">
        <f t="shared" ca="1" si="7"/>
        <v/>
      </c>
      <c r="D69" s="398" t="str">
        <f t="shared" ca="1" si="7"/>
        <v/>
      </c>
      <c r="E69" s="398" t="str">
        <f t="shared" ca="1" si="7"/>
        <v/>
      </c>
      <c r="F69" s="398" t="str">
        <f t="shared" ca="1" si="7"/>
        <v/>
      </c>
      <c r="G69" s="398" t="str">
        <f t="shared" ca="1" si="7"/>
        <v/>
      </c>
      <c r="H69" s="398" t="str">
        <f t="shared" ca="1" si="7"/>
        <v/>
      </c>
      <c r="I69" s="398" t="str">
        <f t="shared" ca="1" si="7"/>
        <v/>
      </c>
      <c r="J69" s="398" t="str">
        <f t="shared" ca="1" si="7"/>
        <v/>
      </c>
      <c r="K69" s="398" t="str">
        <f t="shared" ca="1" si="7"/>
        <v/>
      </c>
      <c r="L69" s="398" t="str">
        <f t="shared" ca="1" si="7"/>
        <v/>
      </c>
      <c r="M69" s="398" t="str">
        <f t="shared" ca="1" si="7"/>
        <v/>
      </c>
      <c r="N69" s="398" t="str">
        <f t="shared" ca="1" si="7"/>
        <v/>
      </c>
      <c r="O69" s="398" t="str">
        <f t="shared" ca="1" si="7"/>
        <v/>
      </c>
      <c r="P69" s="398">
        <f t="shared" ca="1" si="7"/>
        <v>0</v>
      </c>
      <c r="Q69" s="398">
        <f t="shared" ca="1" si="7"/>
        <v>0</v>
      </c>
      <c r="R69" s="398">
        <f t="shared" ca="1" si="12"/>
        <v>0</v>
      </c>
      <c r="S69" s="398">
        <f t="shared" ca="1" si="12"/>
        <v>0</v>
      </c>
      <c r="T69" s="398">
        <f t="shared" ca="1" si="12"/>
        <v>0</v>
      </c>
      <c r="U69" s="398">
        <f t="shared" ca="1" si="12"/>
        <v>0</v>
      </c>
      <c r="V69" s="398">
        <f t="shared" ca="1" si="12"/>
        <v>56480</v>
      </c>
      <c r="W69" s="398">
        <f t="shared" ca="1" si="12"/>
        <v>52379</v>
      </c>
      <c r="X69" s="398">
        <f t="shared" ca="1" si="12"/>
        <v>71686</v>
      </c>
      <c r="Y69" s="398">
        <f t="shared" ca="1" si="12"/>
        <v>0</v>
      </c>
      <c r="Z69" s="398">
        <f t="shared" ca="1" si="12"/>
        <v>0</v>
      </c>
      <c r="AA69" s="398">
        <f t="shared" ca="1" si="12"/>
        <v>0</v>
      </c>
      <c r="AB69" s="398">
        <f t="shared" ca="1" si="12"/>
        <v>0</v>
      </c>
      <c r="AC69" s="398">
        <f t="shared" ca="1" si="12"/>
        <v>0</v>
      </c>
      <c r="AD69" s="398">
        <f t="shared" ca="1" si="12"/>
        <v>0</v>
      </c>
      <c r="AE69" s="398">
        <f t="shared" ca="1" si="12"/>
        <v>0</v>
      </c>
      <c r="AF69" s="398">
        <f t="shared" ca="1" si="12"/>
        <v>0</v>
      </c>
      <c r="AG69" s="398">
        <f t="shared" ca="1" si="12"/>
        <v>0</v>
      </c>
      <c r="AH69" s="398">
        <f t="shared" ca="1" si="12"/>
        <v>0</v>
      </c>
      <c r="AI69" s="398">
        <f t="shared" ca="1" si="12"/>
        <v>0</v>
      </c>
      <c r="AJ69" s="398">
        <f t="shared" ca="1" si="12"/>
        <v>0</v>
      </c>
      <c r="AK69" s="398">
        <f t="shared" ca="1" si="12"/>
        <v>0</v>
      </c>
      <c r="AL69" s="398">
        <f t="shared" ca="1" si="12"/>
        <v>0</v>
      </c>
      <c r="AM69" s="398">
        <f t="shared" ca="1" si="12"/>
        <v>0</v>
      </c>
      <c r="AN69" s="398">
        <f t="shared" ca="1" si="12"/>
        <v>0</v>
      </c>
      <c r="AO69" s="398">
        <f t="shared" ca="1" si="12"/>
        <v>0</v>
      </c>
      <c r="AP69" s="398">
        <f t="shared" ca="1" si="12"/>
        <v>0</v>
      </c>
      <c r="AQ69" s="398">
        <f t="shared" ca="1" si="12"/>
        <v>0</v>
      </c>
      <c r="AR69" s="398">
        <f t="shared" ca="1" si="12"/>
        <v>0</v>
      </c>
      <c r="AS69" s="398">
        <f t="shared" ca="1" si="12"/>
        <v>0</v>
      </c>
      <c r="AT69" s="398">
        <f t="shared" ca="1" si="12"/>
        <v>0</v>
      </c>
      <c r="AU69" s="398">
        <f t="shared" ca="1" si="12"/>
        <v>0</v>
      </c>
      <c r="AV69" s="398">
        <f t="shared" ca="1" si="12"/>
        <v>0</v>
      </c>
      <c r="AW69" s="398">
        <f t="shared" ca="1" si="12"/>
        <v>0</v>
      </c>
      <c r="AX69" s="398">
        <f t="shared" ca="1" si="12"/>
        <v>0</v>
      </c>
      <c r="AY69" s="398">
        <f t="shared" ca="1" si="12"/>
        <v>0</v>
      </c>
      <c r="AZ69" s="398">
        <f t="shared" ca="1" si="12"/>
        <v>0</v>
      </c>
      <c r="BA69" s="398">
        <f t="shared" ca="1" si="12"/>
        <v>0</v>
      </c>
      <c r="BB69" s="398">
        <f t="shared" ca="1" si="12"/>
        <v>0</v>
      </c>
      <c r="BC69" s="398">
        <f t="shared" ca="1" si="12"/>
        <v>0</v>
      </c>
      <c r="BD69" s="398">
        <f t="shared" ca="1" si="12"/>
        <v>0</v>
      </c>
      <c r="BE69" s="398">
        <f t="shared" ca="1" si="12"/>
        <v>0</v>
      </c>
      <c r="BF69" s="398">
        <f t="shared" ca="1" si="12"/>
        <v>0</v>
      </c>
      <c r="BG69" s="398">
        <f t="shared" ca="1" si="12"/>
        <v>0</v>
      </c>
      <c r="BH69" s="398">
        <f t="shared" ca="1" si="12"/>
        <v>0</v>
      </c>
      <c r="BI69" s="398">
        <f t="shared" ca="1" si="12"/>
        <v>0</v>
      </c>
    </row>
    <row r="70" spans="1:61" outlineLevel="1" x14ac:dyDescent="0.15">
      <c r="A70" s="408">
        <v>16</v>
      </c>
      <c r="B70" s="398" t="str">
        <f t="shared" ca="1" si="7"/>
        <v/>
      </c>
      <c r="C70" s="398" t="str">
        <f t="shared" ca="1" si="7"/>
        <v/>
      </c>
      <c r="D70" s="398" t="str">
        <f t="shared" ca="1" si="7"/>
        <v/>
      </c>
      <c r="E70" s="398" t="str">
        <f t="shared" ca="1" si="7"/>
        <v/>
      </c>
      <c r="F70" s="398" t="str">
        <f t="shared" ca="1" si="7"/>
        <v/>
      </c>
      <c r="G70" s="398" t="str">
        <f t="shared" ca="1" si="7"/>
        <v/>
      </c>
      <c r="H70" s="398" t="str">
        <f t="shared" ca="1" si="7"/>
        <v/>
      </c>
      <c r="I70" s="398" t="str">
        <f t="shared" ca="1" si="7"/>
        <v/>
      </c>
      <c r="J70" s="398" t="str">
        <f t="shared" ca="1" si="7"/>
        <v/>
      </c>
      <c r="K70" s="398" t="str">
        <f t="shared" ca="1" si="7"/>
        <v/>
      </c>
      <c r="L70" s="398" t="str">
        <f t="shared" ca="1" si="7"/>
        <v/>
      </c>
      <c r="M70" s="398" t="str">
        <f t="shared" ca="1" si="7"/>
        <v/>
      </c>
      <c r="N70" s="398" t="str">
        <f t="shared" ca="1" si="7"/>
        <v/>
      </c>
      <c r="O70" s="398" t="str">
        <f t="shared" ca="1" si="7"/>
        <v/>
      </c>
      <c r="P70" s="398" t="str">
        <f t="shared" ca="1" si="7"/>
        <v/>
      </c>
      <c r="Q70" s="398">
        <f t="shared" ref="Q70:BW75" ca="1" si="13">IF($A70&gt;Q$5,"",OFFSET(Q$54,0,-($A70-1)))</f>
        <v>0</v>
      </c>
      <c r="R70" s="398">
        <f t="shared" ca="1" si="13"/>
        <v>0</v>
      </c>
      <c r="S70" s="398">
        <f t="shared" ca="1" si="13"/>
        <v>0</v>
      </c>
      <c r="T70" s="398">
        <f t="shared" ca="1" si="13"/>
        <v>0</v>
      </c>
      <c r="U70" s="398">
        <f t="shared" ca="1" si="13"/>
        <v>0</v>
      </c>
      <c r="V70" s="398">
        <f t="shared" ca="1" si="13"/>
        <v>0</v>
      </c>
      <c r="W70" s="398">
        <f t="shared" ca="1" si="13"/>
        <v>56480</v>
      </c>
      <c r="X70" s="398">
        <f t="shared" ca="1" si="13"/>
        <v>52379</v>
      </c>
      <c r="Y70" s="398">
        <f t="shared" ca="1" si="13"/>
        <v>71686</v>
      </c>
      <c r="Z70" s="398">
        <f t="shared" ca="1" si="13"/>
        <v>0</v>
      </c>
      <c r="AA70" s="398">
        <f t="shared" ca="1" si="13"/>
        <v>0</v>
      </c>
      <c r="AB70" s="398">
        <f t="shared" ca="1" si="13"/>
        <v>0</v>
      </c>
      <c r="AC70" s="398">
        <f t="shared" ca="1" si="13"/>
        <v>0</v>
      </c>
      <c r="AD70" s="398">
        <f t="shared" ca="1" si="13"/>
        <v>0</v>
      </c>
      <c r="AE70" s="398">
        <f t="shared" ca="1" si="13"/>
        <v>0</v>
      </c>
      <c r="AF70" s="398">
        <f t="shared" ca="1" si="13"/>
        <v>0</v>
      </c>
      <c r="AG70" s="398">
        <f t="shared" ca="1" si="13"/>
        <v>0</v>
      </c>
      <c r="AH70" s="398">
        <f t="shared" ca="1" si="13"/>
        <v>0</v>
      </c>
      <c r="AI70" s="398">
        <f t="shared" ca="1" si="13"/>
        <v>0</v>
      </c>
      <c r="AJ70" s="398">
        <f t="shared" ca="1" si="13"/>
        <v>0</v>
      </c>
      <c r="AK70" s="398">
        <f t="shared" ca="1" si="13"/>
        <v>0</v>
      </c>
      <c r="AL70" s="398">
        <f t="shared" ca="1" si="13"/>
        <v>0</v>
      </c>
      <c r="AM70" s="398">
        <f t="shared" ca="1" si="13"/>
        <v>0</v>
      </c>
      <c r="AN70" s="398">
        <f t="shared" ca="1" si="13"/>
        <v>0</v>
      </c>
      <c r="AO70" s="398">
        <f t="shared" ca="1" si="13"/>
        <v>0</v>
      </c>
      <c r="AP70" s="398">
        <f t="shared" ca="1" si="13"/>
        <v>0</v>
      </c>
      <c r="AQ70" s="398">
        <f t="shared" ca="1" si="13"/>
        <v>0</v>
      </c>
      <c r="AR70" s="398">
        <f t="shared" ca="1" si="13"/>
        <v>0</v>
      </c>
      <c r="AS70" s="398">
        <f t="shared" ca="1" si="13"/>
        <v>0</v>
      </c>
      <c r="AT70" s="398">
        <f t="shared" ca="1" si="13"/>
        <v>0</v>
      </c>
      <c r="AU70" s="398">
        <f t="shared" ca="1" si="13"/>
        <v>0</v>
      </c>
      <c r="AV70" s="398">
        <f t="shared" ca="1" si="13"/>
        <v>0</v>
      </c>
      <c r="AW70" s="398">
        <f t="shared" ca="1" si="13"/>
        <v>0</v>
      </c>
      <c r="AX70" s="398">
        <f t="shared" ca="1" si="13"/>
        <v>0</v>
      </c>
      <c r="AY70" s="398">
        <f t="shared" ca="1" si="13"/>
        <v>0</v>
      </c>
      <c r="AZ70" s="398">
        <f t="shared" ca="1" si="13"/>
        <v>0</v>
      </c>
      <c r="BA70" s="398">
        <f t="shared" ca="1" si="13"/>
        <v>0</v>
      </c>
      <c r="BB70" s="398">
        <f t="shared" ca="1" si="13"/>
        <v>0</v>
      </c>
      <c r="BC70" s="398">
        <f t="shared" ca="1" si="13"/>
        <v>0</v>
      </c>
      <c r="BD70" s="398">
        <f t="shared" ca="1" si="13"/>
        <v>0</v>
      </c>
      <c r="BE70" s="398">
        <f t="shared" ca="1" si="13"/>
        <v>0</v>
      </c>
      <c r="BF70" s="398">
        <f t="shared" ca="1" si="13"/>
        <v>0</v>
      </c>
      <c r="BG70" s="398">
        <f t="shared" ca="1" si="13"/>
        <v>0</v>
      </c>
      <c r="BH70" s="398">
        <f t="shared" ca="1" si="13"/>
        <v>0</v>
      </c>
      <c r="BI70" s="398">
        <f t="shared" ca="1" si="13"/>
        <v>0</v>
      </c>
    </row>
    <row r="71" spans="1:61" outlineLevel="1" x14ac:dyDescent="0.15">
      <c r="A71" s="408">
        <v>17</v>
      </c>
      <c r="B71" s="398" t="str">
        <f t="shared" ref="B71:Q102" ca="1" si="14">IF($A71&gt;B$5,"",OFFSET(B$54,0,-($A71-1)))</f>
        <v/>
      </c>
      <c r="C71" s="398" t="str">
        <f t="shared" ca="1" si="14"/>
        <v/>
      </c>
      <c r="D71" s="398" t="str">
        <f t="shared" ca="1" si="14"/>
        <v/>
      </c>
      <c r="E71" s="398" t="str">
        <f t="shared" ca="1" si="14"/>
        <v/>
      </c>
      <c r="F71" s="398" t="str">
        <f t="shared" ca="1" si="14"/>
        <v/>
      </c>
      <c r="G71" s="398" t="str">
        <f t="shared" ca="1" si="14"/>
        <v/>
      </c>
      <c r="H71" s="398" t="str">
        <f t="shared" ca="1" si="14"/>
        <v/>
      </c>
      <c r="I71" s="398" t="str">
        <f t="shared" ca="1" si="14"/>
        <v/>
      </c>
      <c r="J71" s="398" t="str">
        <f t="shared" ca="1" si="14"/>
        <v/>
      </c>
      <c r="K71" s="398" t="str">
        <f t="shared" ca="1" si="14"/>
        <v/>
      </c>
      <c r="L71" s="398" t="str">
        <f t="shared" ca="1" si="14"/>
        <v/>
      </c>
      <c r="M71" s="398" t="str">
        <f t="shared" ca="1" si="14"/>
        <v/>
      </c>
      <c r="N71" s="398" t="str">
        <f t="shared" ca="1" si="14"/>
        <v/>
      </c>
      <c r="O71" s="398" t="str">
        <f t="shared" ca="1" si="14"/>
        <v/>
      </c>
      <c r="P71" s="398" t="str">
        <f t="shared" ca="1" si="14"/>
        <v/>
      </c>
      <c r="Q71" s="398" t="str">
        <f t="shared" ca="1" si="14"/>
        <v/>
      </c>
      <c r="R71" s="398">
        <f t="shared" ca="1" si="13"/>
        <v>0</v>
      </c>
      <c r="S71" s="398">
        <f t="shared" ca="1" si="13"/>
        <v>0</v>
      </c>
      <c r="T71" s="398">
        <f t="shared" ca="1" si="13"/>
        <v>0</v>
      </c>
      <c r="U71" s="398">
        <f t="shared" ca="1" si="13"/>
        <v>0</v>
      </c>
      <c r="V71" s="398">
        <f t="shared" ca="1" si="13"/>
        <v>0</v>
      </c>
      <c r="W71" s="398">
        <f t="shared" ca="1" si="13"/>
        <v>0</v>
      </c>
      <c r="X71" s="398">
        <f t="shared" ca="1" si="13"/>
        <v>56480</v>
      </c>
      <c r="Y71" s="398">
        <f t="shared" ca="1" si="13"/>
        <v>52379</v>
      </c>
      <c r="Z71" s="398">
        <f t="shared" ca="1" si="13"/>
        <v>71686</v>
      </c>
      <c r="AA71" s="398">
        <f t="shared" ca="1" si="13"/>
        <v>0</v>
      </c>
      <c r="AB71" s="398">
        <f t="shared" ca="1" si="13"/>
        <v>0</v>
      </c>
      <c r="AC71" s="398">
        <f t="shared" ca="1" si="13"/>
        <v>0</v>
      </c>
      <c r="AD71" s="398">
        <f t="shared" ca="1" si="13"/>
        <v>0</v>
      </c>
      <c r="AE71" s="398">
        <f t="shared" ca="1" si="13"/>
        <v>0</v>
      </c>
      <c r="AF71" s="398">
        <f t="shared" ca="1" si="13"/>
        <v>0</v>
      </c>
      <c r="AG71" s="398">
        <f t="shared" ca="1" si="13"/>
        <v>0</v>
      </c>
      <c r="AH71" s="398">
        <f t="shared" ca="1" si="13"/>
        <v>0</v>
      </c>
      <c r="AI71" s="398">
        <f t="shared" ca="1" si="13"/>
        <v>0</v>
      </c>
      <c r="AJ71" s="398">
        <f t="shared" ca="1" si="13"/>
        <v>0</v>
      </c>
      <c r="AK71" s="398">
        <f t="shared" ca="1" si="13"/>
        <v>0</v>
      </c>
      <c r="AL71" s="398">
        <f t="shared" ca="1" si="13"/>
        <v>0</v>
      </c>
      <c r="AM71" s="398">
        <f t="shared" ca="1" si="13"/>
        <v>0</v>
      </c>
      <c r="AN71" s="398">
        <f t="shared" ca="1" si="13"/>
        <v>0</v>
      </c>
      <c r="AO71" s="398">
        <f t="shared" ca="1" si="13"/>
        <v>0</v>
      </c>
      <c r="AP71" s="398">
        <f t="shared" ca="1" si="13"/>
        <v>0</v>
      </c>
      <c r="AQ71" s="398">
        <f t="shared" ca="1" si="13"/>
        <v>0</v>
      </c>
      <c r="AR71" s="398">
        <f t="shared" ca="1" si="13"/>
        <v>0</v>
      </c>
      <c r="AS71" s="398">
        <f t="shared" ca="1" si="13"/>
        <v>0</v>
      </c>
      <c r="AT71" s="398">
        <f t="shared" ca="1" si="13"/>
        <v>0</v>
      </c>
      <c r="AU71" s="398">
        <f t="shared" ca="1" si="13"/>
        <v>0</v>
      </c>
      <c r="AV71" s="398">
        <f t="shared" ca="1" si="13"/>
        <v>0</v>
      </c>
      <c r="AW71" s="398">
        <f t="shared" ca="1" si="13"/>
        <v>0</v>
      </c>
      <c r="AX71" s="398">
        <f t="shared" ca="1" si="13"/>
        <v>0</v>
      </c>
      <c r="AY71" s="398">
        <f t="shared" ca="1" si="13"/>
        <v>0</v>
      </c>
      <c r="AZ71" s="398">
        <f t="shared" ca="1" si="13"/>
        <v>0</v>
      </c>
      <c r="BA71" s="398">
        <f t="shared" ca="1" si="13"/>
        <v>0</v>
      </c>
      <c r="BB71" s="398">
        <f t="shared" ca="1" si="13"/>
        <v>0</v>
      </c>
      <c r="BC71" s="398">
        <f t="shared" ca="1" si="13"/>
        <v>0</v>
      </c>
      <c r="BD71" s="398">
        <f t="shared" ca="1" si="13"/>
        <v>0</v>
      </c>
      <c r="BE71" s="398">
        <f t="shared" ca="1" si="13"/>
        <v>0</v>
      </c>
      <c r="BF71" s="398">
        <f t="shared" ca="1" si="13"/>
        <v>0</v>
      </c>
      <c r="BG71" s="398">
        <f t="shared" ca="1" si="13"/>
        <v>0</v>
      </c>
      <c r="BH71" s="398">
        <f t="shared" ca="1" si="13"/>
        <v>0</v>
      </c>
      <c r="BI71" s="398">
        <f t="shared" ca="1" si="13"/>
        <v>0</v>
      </c>
    </row>
    <row r="72" spans="1:61" outlineLevel="1" x14ac:dyDescent="0.15">
      <c r="A72" s="408">
        <v>18</v>
      </c>
      <c r="B72" s="398" t="str">
        <f t="shared" ca="1" si="14"/>
        <v/>
      </c>
      <c r="C72" s="398" t="str">
        <f t="shared" ca="1" si="14"/>
        <v/>
      </c>
      <c r="D72" s="398" t="str">
        <f t="shared" ca="1" si="14"/>
        <v/>
      </c>
      <c r="E72" s="398" t="str">
        <f t="shared" ca="1" si="14"/>
        <v/>
      </c>
      <c r="F72" s="398" t="str">
        <f t="shared" ca="1" si="14"/>
        <v/>
      </c>
      <c r="G72" s="398" t="str">
        <f t="shared" ca="1" si="14"/>
        <v/>
      </c>
      <c r="H72" s="398" t="str">
        <f t="shared" ca="1" si="14"/>
        <v/>
      </c>
      <c r="I72" s="398" t="str">
        <f t="shared" ca="1" si="14"/>
        <v/>
      </c>
      <c r="J72" s="398" t="str">
        <f t="shared" ca="1" si="14"/>
        <v/>
      </c>
      <c r="K72" s="398" t="str">
        <f t="shared" ca="1" si="14"/>
        <v/>
      </c>
      <c r="L72" s="398" t="str">
        <f t="shared" ca="1" si="14"/>
        <v/>
      </c>
      <c r="M72" s="398" t="str">
        <f t="shared" ca="1" si="14"/>
        <v/>
      </c>
      <c r="N72" s="398" t="str">
        <f t="shared" ca="1" si="14"/>
        <v/>
      </c>
      <c r="O72" s="398" t="str">
        <f t="shared" ca="1" si="14"/>
        <v/>
      </c>
      <c r="P72" s="398" t="str">
        <f t="shared" ca="1" si="14"/>
        <v/>
      </c>
      <c r="Q72" s="398" t="str">
        <f t="shared" ca="1" si="14"/>
        <v/>
      </c>
      <c r="R72" s="398" t="str">
        <f t="shared" ca="1" si="13"/>
        <v/>
      </c>
      <c r="S72" s="398">
        <f t="shared" ca="1" si="13"/>
        <v>0</v>
      </c>
      <c r="T72" s="398">
        <f t="shared" ca="1" si="13"/>
        <v>0</v>
      </c>
      <c r="U72" s="398">
        <f t="shared" ca="1" si="13"/>
        <v>0</v>
      </c>
      <c r="V72" s="398">
        <f t="shared" ca="1" si="13"/>
        <v>0</v>
      </c>
      <c r="W72" s="398">
        <f t="shared" ca="1" si="13"/>
        <v>0</v>
      </c>
      <c r="X72" s="398">
        <f t="shared" ca="1" si="13"/>
        <v>0</v>
      </c>
      <c r="Y72" s="398">
        <f t="shared" ca="1" si="13"/>
        <v>56480</v>
      </c>
      <c r="Z72" s="398">
        <f t="shared" ca="1" si="13"/>
        <v>52379</v>
      </c>
      <c r="AA72" s="398">
        <f t="shared" ca="1" si="13"/>
        <v>71686</v>
      </c>
      <c r="AB72" s="398">
        <f t="shared" ca="1" si="13"/>
        <v>0</v>
      </c>
      <c r="AC72" s="398">
        <f t="shared" ca="1" si="13"/>
        <v>0</v>
      </c>
      <c r="AD72" s="398">
        <f t="shared" ca="1" si="13"/>
        <v>0</v>
      </c>
      <c r="AE72" s="398">
        <f t="shared" ca="1" si="13"/>
        <v>0</v>
      </c>
      <c r="AF72" s="398">
        <f t="shared" ca="1" si="13"/>
        <v>0</v>
      </c>
      <c r="AG72" s="398">
        <f t="shared" ca="1" si="13"/>
        <v>0</v>
      </c>
      <c r="AH72" s="398">
        <f t="shared" ca="1" si="13"/>
        <v>0</v>
      </c>
      <c r="AI72" s="398">
        <f t="shared" ca="1" si="13"/>
        <v>0</v>
      </c>
      <c r="AJ72" s="398">
        <f t="shared" ca="1" si="13"/>
        <v>0</v>
      </c>
      <c r="AK72" s="398">
        <f t="shared" ca="1" si="13"/>
        <v>0</v>
      </c>
      <c r="AL72" s="398">
        <f t="shared" ca="1" si="13"/>
        <v>0</v>
      </c>
      <c r="AM72" s="398">
        <f t="shared" ca="1" si="13"/>
        <v>0</v>
      </c>
      <c r="AN72" s="398">
        <f t="shared" ca="1" si="13"/>
        <v>0</v>
      </c>
      <c r="AO72" s="398">
        <f t="shared" ca="1" si="13"/>
        <v>0</v>
      </c>
      <c r="AP72" s="398">
        <f t="shared" ca="1" si="13"/>
        <v>0</v>
      </c>
      <c r="AQ72" s="398">
        <f t="shared" ca="1" si="13"/>
        <v>0</v>
      </c>
      <c r="AR72" s="398">
        <f t="shared" ca="1" si="13"/>
        <v>0</v>
      </c>
      <c r="AS72" s="398">
        <f t="shared" ca="1" si="13"/>
        <v>0</v>
      </c>
      <c r="AT72" s="398">
        <f t="shared" ca="1" si="13"/>
        <v>0</v>
      </c>
      <c r="AU72" s="398">
        <f t="shared" ca="1" si="13"/>
        <v>0</v>
      </c>
      <c r="AV72" s="398">
        <f t="shared" ca="1" si="13"/>
        <v>0</v>
      </c>
      <c r="AW72" s="398">
        <f t="shared" ca="1" si="13"/>
        <v>0</v>
      </c>
      <c r="AX72" s="398">
        <f t="shared" ca="1" si="13"/>
        <v>0</v>
      </c>
      <c r="AY72" s="398">
        <f t="shared" ca="1" si="13"/>
        <v>0</v>
      </c>
      <c r="AZ72" s="398">
        <f t="shared" ca="1" si="13"/>
        <v>0</v>
      </c>
      <c r="BA72" s="398">
        <f t="shared" ca="1" si="13"/>
        <v>0</v>
      </c>
      <c r="BB72" s="398">
        <f t="shared" ca="1" si="13"/>
        <v>0</v>
      </c>
      <c r="BC72" s="398">
        <f t="shared" ca="1" si="13"/>
        <v>0</v>
      </c>
      <c r="BD72" s="398">
        <f t="shared" ca="1" si="13"/>
        <v>0</v>
      </c>
      <c r="BE72" s="398">
        <f t="shared" ca="1" si="13"/>
        <v>0</v>
      </c>
      <c r="BF72" s="398">
        <f t="shared" ca="1" si="13"/>
        <v>0</v>
      </c>
      <c r="BG72" s="398">
        <f t="shared" ca="1" si="13"/>
        <v>0</v>
      </c>
      <c r="BH72" s="398">
        <f t="shared" ca="1" si="13"/>
        <v>0</v>
      </c>
      <c r="BI72" s="398">
        <f t="shared" ca="1" si="13"/>
        <v>0</v>
      </c>
    </row>
    <row r="73" spans="1:61" outlineLevel="1" x14ac:dyDescent="0.15">
      <c r="A73" s="408">
        <v>19</v>
      </c>
      <c r="B73" s="398" t="str">
        <f t="shared" ca="1" si="14"/>
        <v/>
      </c>
      <c r="C73" s="398" t="str">
        <f t="shared" ca="1" si="14"/>
        <v/>
      </c>
      <c r="D73" s="398" t="str">
        <f t="shared" ca="1" si="14"/>
        <v/>
      </c>
      <c r="E73" s="398" t="str">
        <f t="shared" ca="1" si="14"/>
        <v/>
      </c>
      <c r="F73" s="398" t="str">
        <f t="shared" ca="1" si="14"/>
        <v/>
      </c>
      <c r="G73" s="398" t="str">
        <f t="shared" ca="1" si="14"/>
        <v/>
      </c>
      <c r="H73" s="398" t="str">
        <f t="shared" ca="1" si="14"/>
        <v/>
      </c>
      <c r="I73" s="398" t="str">
        <f t="shared" ca="1" si="14"/>
        <v/>
      </c>
      <c r="J73" s="398" t="str">
        <f t="shared" ca="1" si="14"/>
        <v/>
      </c>
      <c r="K73" s="398" t="str">
        <f t="shared" ca="1" si="14"/>
        <v/>
      </c>
      <c r="L73" s="398" t="str">
        <f t="shared" ca="1" si="14"/>
        <v/>
      </c>
      <c r="M73" s="398" t="str">
        <f t="shared" ca="1" si="14"/>
        <v/>
      </c>
      <c r="N73" s="398" t="str">
        <f t="shared" ca="1" si="14"/>
        <v/>
      </c>
      <c r="O73" s="398" t="str">
        <f t="shared" ca="1" si="14"/>
        <v/>
      </c>
      <c r="P73" s="398" t="str">
        <f t="shared" ca="1" si="14"/>
        <v/>
      </c>
      <c r="Q73" s="398" t="str">
        <f t="shared" ca="1" si="14"/>
        <v/>
      </c>
      <c r="R73" s="398" t="str">
        <f t="shared" ca="1" si="13"/>
        <v/>
      </c>
      <c r="S73" s="398" t="str">
        <f t="shared" ca="1" si="13"/>
        <v/>
      </c>
      <c r="T73" s="398">
        <f t="shared" ca="1" si="13"/>
        <v>0</v>
      </c>
      <c r="U73" s="398">
        <f t="shared" ca="1" si="13"/>
        <v>0</v>
      </c>
      <c r="V73" s="398">
        <f t="shared" ca="1" si="13"/>
        <v>0</v>
      </c>
      <c r="W73" s="398">
        <f t="shared" ca="1" si="13"/>
        <v>0</v>
      </c>
      <c r="X73" s="398">
        <f t="shared" ca="1" si="13"/>
        <v>0</v>
      </c>
      <c r="Y73" s="398">
        <f t="shared" ca="1" si="13"/>
        <v>0</v>
      </c>
      <c r="Z73" s="398">
        <f t="shared" ca="1" si="13"/>
        <v>56480</v>
      </c>
      <c r="AA73" s="398">
        <f t="shared" ca="1" si="13"/>
        <v>52379</v>
      </c>
      <c r="AB73" s="398">
        <f t="shared" ca="1" si="13"/>
        <v>71686</v>
      </c>
      <c r="AC73" s="398">
        <f t="shared" ca="1" si="13"/>
        <v>0</v>
      </c>
      <c r="AD73" s="398">
        <f t="shared" ca="1" si="13"/>
        <v>0</v>
      </c>
      <c r="AE73" s="398">
        <f t="shared" ca="1" si="13"/>
        <v>0</v>
      </c>
      <c r="AF73" s="398">
        <f t="shared" ca="1" si="13"/>
        <v>0</v>
      </c>
      <c r="AG73" s="398">
        <f t="shared" ca="1" si="13"/>
        <v>0</v>
      </c>
      <c r="AH73" s="398">
        <f t="shared" ca="1" si="13"/>
        <v>0</v>
      </c>
      <c r="AI73" s="398">
        <f t="shared" ca="1" si="13"/>
        <v>0</v>
      </c>
      <c r="AJ73" s="398">
        <f t="shared" ca="1" si="13"/>
        <v>0</v>
      </c>
      <c r="AK73" s="398">
        <f t="shared" ca="1" si="13"/>
        <v>0</v>
      </c>
      <c r="AL73" s="398">
        <f t="shared" ca="1" si="13"/>
        <v>0</v>
      </c>
      <c r="AM73" s="398">
        <f t="shared" ca="1" si="13"/>
        <v>0</v>
      </c>
      <c r="AN73" s="398">
        <f t="shared" ca="1" si="13"/>
        <v>0</v>
      </c>
      <c r="AO73" s="398">
        <f t="shared" ca="1" si="13"/>
        <v>0</v>
      </c>
      <c r="AP73" s="398">
        <f t="shared" ca="1" si="13"/>
        <v>0</v>
      </c>
      <c r="AQ73" s="398">
        <f t="shared" ca="1" si="13"/>
        <v>0</v>
      </c>
      <c r="AR73" s="398">
        <f t="shared" ca="1" si="13"/>
        <v>0</v>
      </c>
      <c r="AS73" s="398">
        <f t="shared" ca="1" si="13"/>
        <v>0</v>
      </c>
      <c r="AT73" s="398">
        <f t="shared" ca="1" si="13"/>
        <v>0</v>
      </c>
      <c r="AU73" s="398">
        <f t="shared" ca="1" si="13"/>
        <v>0</v>
      </c>
      <c r="AV73" s="398">
        <f t="shared" ca="1" si="13"/>
        <v>0</v>
      </c>
      <c r="AW73" s="398">
        <f t="shared" ca="1" si="13"/>
        <v>0</v>
      </c>
      <c r="AX73" s="398">
        <f t="shared" ca="1" si="13"/>
        <v>0</v>
      </c>
      <c r="AY73" s="398">
        <f t="shared" ca="1" si="13"/>
        <v>0</v>
      </c>
      <c r="AZ73" s="398">
        <f t="shared" ca="1" si="13"/>
        <v>0</v>
      </c>
      <c r="BA73" s="398">
        <f t="shared" ca="1" si="13"/>
        <v>0</v>
      </c>
      <c r="BB73" s="398">
        <f t="shared" ca="1" si="13"/>
        <v>0</v>
      </c>
      <c r="BC73" s="398">
        <f t="shared" ca="1" si="13"/>
        <v>0</v>
      </c>
      <c r="BD73" s="398">
        <f t="shared" ca="1" si="13"/>
        <v>0</v>
      </c>
      <c r="BE73" s="398">
        <f t="shared" ca="1" si="13"/>
        <v>0</v>
      </c>
      <c r="BF73" s="398">
        <f t="shared" ca="1" si="13"/>
        <v>0</v>
      </c>
      <c r="BG73" s="398">
        <f t="shared" ca="1" si="13"/>
        <v>0</v>
      </c>
      <c r="BH73" s="398">
        <f t="shared" ca="1" si="13"/>
        <v>0</v>
      </c>
      <c r="BI73" s="398">
        <f t="shared" ca="1" si="13"/>
        <v>0</v>
      </c>
    </row>
    <row r="74" spans="1:61" outlineLevel="1" x14ac:dyDescent="0.15">
      <c r="A74" s="408">
        <v>20</v>
      </c>
      <c r="B74" s="398" t="str">
        <f t="shared" ca="1" si="14"/>
        <v/>
      </c>
      <c r="C74" s="398" t="str">
        <f t="shared" ca="1" si="14"/>
        <v/>
      </c>
      <c r="D74" s="398" t="str">
        <f t="shared" ca="1" si="14"/>
        <v/>
      </c>
      <c r="E74" s="398" t="str">
        <f t="shared" ca="1" si="14"/>
        <v/>
      </c>
      <c r="F74" s="398" t="str">
        <f t="shared" ca="1" si="14"/>
        <v/>
      </c>
      <c r="G74" s="398" t="str">
        <f t="shared" ca="1" si="14"/>
        <v/>
      </c>
      <c r="H74" s="398" t="str">
        <f t="shared" ca="1" si="14"/>
        <v/>
      </c>
      <c r="I74" s="398" t="str">
        <f t="shared" ca="1" si="14"/>
        <v/>
      </c>
      <c r="J74" s="398" t="str">
        <f t="shared" ca="1" si="14"/>
        <v/>
      </c>
      <c r="K74" s="398" t="str">
        <f t="shared" ca="1" si="14"/>
        <v/>
      </c>
      <c r="L74" s="398" t="str">
        <f t="shared" ca="1" si="14"/>
        <v/>
      </c>
      <c r="M74" s="398" t="str">
        <f t="shared" ca="1" si="14"/>
        <v/>
      </c>
      <c r="N74" s="398" t="str">
        <f t="shared" ca="1" si="14"/>
        <v/>
      </c>
      <c r="O74" s="398" t="str">
        <f t="shared" ca="1" si="14"/>
        <v/>
      </c>
      <c r="P74" s="398" t="str">
        <f t="shared" ca="1" si="14"/>
        <v/>
      </c>
      <c r="Q74" s="398" t="str">
        <f t="shared" ca="1" si="14"/>
        <v/>
      </c>
      <c r="R74" s="398" t="str">
        <f t="shared" ca="1" si="13"/>
        <v/>
      </c>
      <c r="S74" s="398" t="str">
        <f t="shared" ca="1" si="13"/>
        <v/>
      </c>
      <c r="T74" s="398" t="str">
        <f t="shared" ca="1" si="13"/>
        <v/>
      </c>
      <c r="U74" s="398">
        <f t="shared" ca="1" si="13"/>
        <v>0</v>
      </c>
      <c r="V74" s="398">
        <f t="shared" ca="1" si="13"/>
        <v>0</v>
      </c>
      <c r="W74" s="398">
        <f t="shared" ca="1" si="13"/>
        <v>0</v>
      </c>
      <c r="X74" s="398">
        <f t="shared" ca="1" si="13"/>
        <v>0</v>
      </c>
      <c r="Y74" s="398">
        <f t="shared" ca="1" si="13"/>
        <v>0</v>
      </c>
      <c r="Z74" s="398">
        <f t="shared" ca="1" si="13"/>
        <v>0</v>
      </c>
      <c r="AA74" s="398">
        <f t="shared" ca="1" si="13"/>
        <v>56480</v>
      </c>
      <c r="AB74" s="398">
        <f t="shared" ca="1" si="13"/>
        <v>52379</v>
      </c>
      <c r="AC74" s="398">
        <f t="shared" ca="1" si="13"/>
        <v>71686</v>
      </c>
      <c r="AD74" s="398">
        <f t="shared" ca="1" si="13"/>
        <v>0</v>
      </c>
      <c r="AE74" s="398">
        <f t="shared" ca="1" si="13"/>
        <v>0</v>
      </c>
      <c r="AF74" s="398">
        <f t="shared" ca="1" si="13"/>
        <v>0</v>
      </c>
      <c r="AG74" s="398">
        <f t="shared" ca="1" si="13"/>
        <v>0</v>
      </c>
      <c r="AH74" s="398">
        <f t="shared" ca="1" si="13"/>
        <v>0</v>
      </c>
      <c r="AI74" s="398">
        <f t="shared" ca="1" si="13"/>
        <v>0</v>
      </c>
      <c r="AJ74" s="398">
        <f t="shared" ca="1" si="13"/>
        <v>0</v>
      </c>
      <c r="AK74" s="398">
        <f t="shared" ca="1" si="13"/>
        <v>0</v>
      </c>
      <c r="AL74" s="398">
        <f t="shared" ca="1" si="13"/>
        <v>0</v>
      </c>
      <c r="AM74" s="398">
        <f t="shared" ca="1" si="13"/>
        <v>0</v>
      </c>
      <c r="AN74" s="398">
        <f t="shared" ca="1" si="13"/>
        <v>0</v>
      </c>
      <c r="AO74" s="398">
        <f t="shared" ca="1" si="13"/>
        <v>0</v>
      </c>
      <c r="AP74" s="398">
        <f t="shared" ca="1" si="13"/>
        <v>0</v>
      </c>
      <c r="AQ74" s="398">
        <f t="shared" ca="1" si="13"/>
        <v>0</v>
      </c>
      <c r="AR74" s="398">
        <f t="shared" ca="1" si="13"/>
        <v>0</v>
      </c>
      <c r="AS74" s="398">
        <f t="shared" ca="1" si="13"/>
        <v>0</v>
      </c>
      <c r="AT74" s="398">
        <f t="shared" ca="1" si="13"/>
        <v>0</v>
      </c>
      <c r="AU74" s="398">
        <f t="shared" ca="1" si="13"/>
        <v>0</v>
      </c>
      <c r="AV74" s="398">
        <f t="shared" ca="1" si="13"/>
        <v>0</v>
      </c>
      <c r="AW74" s="398">
        <f t="shared" ca="1" si="13"/>
        <v>0</v>
      </c>
      <c r="AX74" s="398">
        <f t="shared" ca="1" si="13"/>
        <v>0</v>
      </c>
      <c r="AY74" s="398">
        <f t="shared" ca="1" si="13"/>
        <v>0</v>
      </c>
      <c r="AZ74" s="398">
        <f t="shared" ca="1" si="13"/>
        <v>0</v>
      </c>
      <c r="BA74" s="398">
        <f t="shared" ca="1" si="13"/>
        <v>0</v>
      </c>
      <c r="BB74" s="398">
        <f t="shared" ca="1" si="13"/>
        <v>0</v>
      </c>
      <c r="BC74" s="398">
        <f t="shared" ca="1" si="13"/>
        <v>0</v>
      </c>
      <c r="BD74" s="398">
        <f t="shared" ca="1" si="13"/>
        <v>0</v>
      </c>
      <c r="BE74" s="398">
        <f t="shared" ca="1" si="13"/>
        <v>0</v>
      </c>
      <c r="BF74" s="398">
        <f t="shared" ca="1" si="13"/>
        <v>0</v>
      </c>
      <c r="BG74" s="398">
        <f t="shared" ca="1" si="13"/>
        <v>0</v>
      </c>
      <c r="BH74" s="398">
        <f t="shared" ca="1" si="13"/>
        <v>0</v>
      </c>
      <c r="BI74" s="398">
        <f t="shared" ca="1" si="13"/>
        <v>0</v>
      </c>
    </row>
    <row r="75" spans="1:61" outlineLevel="1" x14ac:dyDescent="0.15">
      <c r="A75" s="408">
        <v>21</v>
      </c>
      <c r="B75" s="398" t="str">
        <f t="shared" ca="1" si="14"/>
        <v/>
      </c>
      <c r="C75" s="398" t="str">
        <f t="shared" ca="1" si="14"/>
        <v/>
      </c>
      <c r="D75" s="398" t="str">
        <f t="shared" ca="1" si="14"/>
        <v/>
      </c>
      <c r="E75" s="398" t="str">
        <f t="shared" ca="1" si="14"/>
        <v/>
      </c>
      <c r="F75" s="398" t="str">
        <f t="shared" ca="1" si="14"/>
        <v/>
      </c>
      <c r="G75" s="398" t="str">
        <f t="shared" ca="1" si="14"/>
        <v/>
      </c>
      <c r="H75" s="398" t="str">
        <f t="shared" ca="1" si="14"/>
        <v/>
      </c>
      <c r="I75" s="398" t="str">
        <f t="shared" ca="1" si="14"/>
        <v/>
      </c>
      <c r="J75" s="398" t="str">
        <f t="shared" ca="1" si="14"/>
        <v/>
      </c>
      <c r="K75" s="398" t="str">
        <f t="shared" ca="1" si="14"/>
        <v/>
      </c>
      <c r="L75" s="398" t="str">
        <f t="shared" ca="1" si="14"/>
        <v/>
      </c>
      <c r="M75" s="398" t="str">
        <f t="shared" ca="1" si="14"/>
        <v/>
      </c>
      <c r="N75" s="398" t="str">
        <f t="shared" ca="1" si="14"/>
        <v/>
      </c>
      <c r="O75" s="398" t="str">
        <f t="shared" ca="1" si="14"/>
        <v/>
      </c>
      <c r="P75" s="398" t="str">
        <f t="shared" ca="1" si="14"/>
        <v/>
      </c>
      <c r="Q75" s="398" t="str">
        <f t="shared" ca="1" si="14"/>
        <v/>
      </c>
      <c r="R75" s="398" t="str">
        <f t="shared" ca="1" si="13"/>
        <v/>
      </c>
      <c r="S75" s="398" t="str">
        <f t="shared" ca="1" si="13"/>
        <v/>
      </c>
      <c r="T75" s="398" t="str">
        <f t="shared" ca="1" si="13"/>
        <v/>
      </c>
      <c r="U75" s="398" t="str">
        <f t="shared" ca="1" si="13"/>
        <v/>
      </c>
      <c r="V75" s="398">
        <f t="shared" ca="1" si="13"/>
        <v>0</v>
      </c>
      <c r="W75" s="398">
        <f t="shared" ca="1" si="13"/>
        <v>0</v>
      </c>
      <c r="X75" s="398">
        <f t="shared" ca="1" si="13"/>
        <v>0</v>
      </c>
      <c r="Y75" s="398">
        <f t="shared" ca="1" si="13"/>
        <v>0</v>
      </c>
      <c r="Z75" s="398">
        <f t="shared" ca="1" si="13"/>
        <v>0</v>
      </c>
      <c r="AA75" s="398">
        <f t="shared" ca="1" si="13"/>
        <v>0</v>
      </c>
      <c r="AB75" s="398">
        <f t="shared" ca="1" si="13"/>
        <v>56480</v>
      </c>
      <c r="AC75" s="398">
        <f t="shared" ca="1" si="13"/>
        <v>52379</v>
      </c>
      <c r="AD75" s="398">
        <f t="shared" ca="1" si="13"/>
        <v>71686</v>
      </c>
      <c r="AE75" s="398">
        <f t="shared" ca="1" si="13"/>
        <v>0</v>
      </c>
      <c r="AF75" s="398">
        <f t="shared" ca="1" si="13"/>
        <v>0</v>
      </c>
      <c r="AG75" s="398">
        <f t="shared" ca="1" si="13"/>
        <v>0</v>
      </c>
      <c r="AH75" s="398">
        <f t="shared" ca="1" si="13"/>
        <v>0</v>
      </c>
      <c r="AI75" s="398">
        <f t="shared" ca="1" si="13"/>
        <v>0</v>
      </c>
      <c r="AJ75" s="398">
        <f t="shared" ca="1" si="13"/>
        <v>0</v>
      </c>
      <c r="AK75" s="398">
        <f t="shared" ca="1" si="13"/>
        <v>0</v>
      </c>
      <c r="AL75" s="398">
        <f t="shared" ca="1" si="13"/>
        <v>0</v>
      </c>
      <c r="AM75" s="398">
        <f t="shared" ca="1" si="13"/>
        <v>0</v>
      </c>
      <c r="AN75" s="398">
        <f t="shared" ca="1" si="13"/>
        <v>0</v>
      </c>
      <c r="AO75" s="398">
        <f t="shared" ca="1" si="13"/>
        <v>0</v>
      </c>
      <c r="AP75" s="398">
        <f t="shared" ca="1" si="13"/>
        <v>0</v>
      </c>
      <c r="AQ75" s="398">
        <f t="shared" ca="1" si="13"/>
        <v>0</v>
      </c>
      <c r="AR75" s="398">
        <f t="shared" ca="1" si="13"/>
        <v>0</v>
      </c>
      <c r="AS75" s="398">
        <f t="shared" ca="1" si="13"/>
        <v>0</v>
      </c>
      <c r="AT75" s="398">
        <f t="shared" ca="1" si="13"/>
        <v>0</v>
      </c>
      <c r="AU75" s="398">
        <f t="shared" ca="1" si="13"/>
        <v>0</v>
      </c>
      <c r="AV75" s="398">
        <f t="shared" ca="1" si="13"/>
        <v>0</v>
      </c>
      <c r="AW75" s="398">
        <f t="shared" ca="1" si="13"/>
        <v>0</v>
      </c>
      <c r="AX75" s="398">
        <f t="shared" ca="1" si="13"/>
        <v>0</v>
      </c>
      <c r="AY75" s="398">
        <f t="shared" ca="1" si="13"/>
        <v>0</v>
      </c>
      <c r="AZ75" s="398">
        <f t="shared" ref="AZ75:DF79" ca="1" si="15">IF($A75&gt;AZ$5,"",OFFSET(AZ$54,0,-($A75-1)))</f>
        <v>0</v>
      </c>
      <c r="BA75" s="398">
        <f t="shared" ca="1" si="15"/>
        <v>0</v>
      </c>
      <c r="BB75" s="398">
        <f t="shared" ca="1" si="15"/>
        <v>0</v>
      </c>
      <c r="BC75" s="398">
        <f t="shared" ca="1" si="15"/>
        <v>0</v>
      </c>
      <c r="BD75" s="398">
        <f t="shared" ca="1" si="15"/>
        <v>0</v>
      </c>
      <c r="BE75" s="398">
        <f t="shared" ca="1" si="15"/>
        <v>0</v>
      </c>
      <c r="BF75" s="398">
        <f t="shared" ca="1" si="15"/>
        <v>0</v>
      </c>
      <c r="BG75" s="398">
        <f t="shared" ca="1" si="15"/>
        <v>0</v>
      </c>
      <c r="BH75" s="398">
        <f t="shared" ca="1" si="15"/>
        <v>0</v>
      </c>
      <c r="BI75" s="398">
        <f t="shared" ca="1" si="15"/>
        <v>0</v>
      </c>
    </row>
    <row r="76" spans="1:61" outlineLevel="1" x14ac:dyDescent="0.15">
      <c r="A76" s="408">
        <v>22</v>
      </c>
      <c r="B76" s="398" t="str">
        <f t="shared" ca="1" si="14"/>
        <v/>
      </c>
      <c r="C76" s="398" t="str">
        <f t="shared" ca="1" si="14"/>
        <v/>
      </c>
      <c r="D76" s="398" t="str">
        <f t="shared" ca="1" si="14"/>
        <v/>
      </c>
      <c r="E76" s="398" t="str">
        <f t="shared" ca="1" si="14"/>
        <v/>
      </c>
      <c r="F76" s="398" t="str">
        <f t="shared" ca="1" si="14"/>
        <v/>
      </c>
      <c r="G76" s="398" t="str">
        <f t="shared" ca="1" si="14"/>
        <v/>
      </c>
      <c r="H76" s="398" t="str">
        <f t="shared" ca="1" si="14"/>
        <v/>
      </c>
      <c r="I76" s="398" t="str">
        <f t="shared" ca="1" si="14"/>
        <v/>
      </c>
      <c r="J76" s="398" t="str">
        <f t="shared" ca="1" si="14"/>
        <v/>
      </c>
      <c r="K76" s="398" t="str">
        <f t="shared" ca="1" si="14"/>
        <v/>
      </c>
      <c r="L76" s="398" t="str">
        <f t="shared" ca="1" si="14"/>
        <v/>
      </c>
      <c r="M76" s="398" t="str">
        <f t="shared" ca="1" si="14"/>
        <v/>
      </c>
      <c r="N76" s="398" t="str">
        <f t="shared" ca="1" si="14"/>
        <v/>
      </c>
      <c r="O76" s="398" t="str">
        <f t="shared" ca="1" si="14"/>
        <v/>
      </c>
      <c r="P76" s="398" t="str">
        <f t="shared" ca="1" si="14"/>
        <v/>
      </c>
      <c r="Q76" s="398" t="str">
        <f t="shared" ca="1" si="14"/>
        <v/>
      </c>
      <c r="R76" s="398" t="str">
        <f t="shared" ref="R76:BX81" ca="1" si="16">IF($A76&gt;R$5,"",OFFSET(R$54,0,-($A76-1)))</f>
        <v/>
      </c>
      <c r="S76" s="398" t="str">
        <f t="shared" ca="1" si="16"/>
        <v/>
      </c>
      <c r="T76" s="398" t="str">
        <f t="shared" ca="1" si="16"/>
        <v/>
      </c>
      <c r="U76" s="398" t="str">
        <f t="shared" ca="1" si="16"/>
        <v/>
      </c>
      <c r="V76" s="398" t="str">
        <f t="shared" ca="1" si="16"/>
        <v/>
      </c>
      <c r="W76" s="398">
        <f t="shared" ca="1" si="16"/>
        <v>0</v>
      </c>
      <c r="X76" s="398">
        <f t="shared" ca="1" si="16"/>
        <v>0</v>
      </c>
      <c r="Y76" s="398">
        <f t="shared" ca="1" si="16"/>
        <v>0</v>
      </c>
      <c r="Z76" s="398">
        <f t="shared" ca="1" si="16"/>
        <v>0</v>
      </c>
      <c r="AA76" s="398">
        <f t="shared" ca="1" si="16"/>
        <v>0</v>
      </c>
      <c r="AB76" s="398">
        <f t="shared" ca="1" si="16"/>
        <v>0</v>
      </c>
      <c r="AC76" s="398">
        <f t="shared" ca="1" si="16"/>
        <v>56480</v>
      </c>
      <c r="AD76" s="398">
        <f t="shared" ca="1" si="16"/>
        <v>52379</v>
      </c>
      <c r="AE76" s="398">
        <f t="shared" ca="1" si="16"/>
        <v>71686</v>
      </c>
      <c r="AF76" s="398">
        <f t="shared" ca="1" si="16"/>
        <v>0</v>
      </c>
      <c r="AG76" s="398">
        <f t="shared" ca="1" si="16"/>
        <v>0</v>
      </c>
      <c r="AH76" s="398">
        <f t="shared" ca="1" si="16"/>
        <v>0</v>
      </c>
      <c r="AI76" s="398">
        <f t="shared" ca="1" si="16"/>
        <v>0</v>
      </c>
      <c r="AJ76" s="398">
        <f t="shared" ca="1" si="16"/>
        <v>0</v>
      </c>
      <c r="AK76" s="398">
        <f t="shared" ca="1" si="16"/>
        <v>0</v>
      </c>
      <c r="AL76" s="398">
        <f t="shared" ca="1" si="16"/>
        <v>0</v>
      </c>
      <c r="AM76" s="398">
        <f t="shared" ca="1" si="16"/>
        <v>0</v>
      </c>
      <c r="AN76" s="398">
        <f t="shared" ca="1" si="16"/>
        <v>0</v>
      </c>
      <c r="AO76" s="398">
        <f t="shared" ca="1" si="16"/>
        <v>0</v>
      </c>
      <c r="AP76" s="398">
        <f t="shared" ca="1" si="16"/>
        <v>0</v>
      </c>
      <c r="AQ76" s="398">
        <f t="shared" ca="1" si="16"/>
        <v>0</v>
      </c>
      <c r="AR76" s="398">
        <f t="shared" ca="1" si="16"/>
        <v>0</v>
      </c>
      <c r="AS76" s="398">
        <f t="shared" ca="1" si="16"/>
        <v>0</v>
      </c>
      <c r="AT76" s="398">
        <f t="shared" ca="1" si="16"/>
        <v>0</v>
      </c>
      <c r="AU76" s="398">
        <f t="shared" ca="1" si="16"/>
        <v>0</v>
      </c>
      <c r="AV76" s="398">
        <f t="shared" ca="1" si="16"/>
        <v>0</v>
      </c>
      <c r="AW76" s="398">
        <f t="shared" ca="1" si="16"/>
        <v>0</v>
      </c>
      <c r="AX76" s="398">
        <f t="shared" ca="1" si="16"/>
        <v>0</v>
      </c>
      <c r="AY76" s="398">
        <f t="shared" ca="1" si="16"/>
        <v>0</v>
      </c>
      <c r="AZ76" s="398">
        <f t="shared" ca="1" si="16"/>
        <v>0</v>
      </c>
      <c r="BA76" s="398">
        <f t="shared" ca="1" si="16"/>
        <v>0</v>
      </c>
      <c r="BB76" s="398">
        <f t="shared" ca="1" si="15"/>
        <v>0</v>
      </c>
      <c r="BC76" s="398">
        <f t="shared" ca="1" si="15"/>
        <v>0</v>
      </c>
      <c r="BD76" s="398">
        <f t="shared" ca="1" si="15"/>
        <v>0</v>
      </c>
      <c r="BE76" s="398">
        <f t="shared" ca="1" si="15"/>
        <v>0</v>
      </c>
      <c r="BF76" s="398">
        <f t="shared" ca="1" si="15"/>
        <v>0</v>
      </c>
      <c r="BG76" s="398">
        <f t="shared" ca="1" si="15"/>
        <v>0</v>
      </c>
      <c r="BH76" s="398">
        <f t="shared" ca="1" si="15"/>
        <v>0</v>
      </c>
      <c r="BI76" s="398">
        <f t="shared" ca="1" si="15"/>
        <v>0</v>
      </c>
    </row>
    <row r="77" spans="1:61" outlineLevel="1" x14ac:dyDescent="0.15">
      <c r="A77" s="408">
        <v>23</v>
      </c>
      <c r="B77" s="398" t="str">
        <f t="shared" ca="1" si="14"/>
        <v/>
      </c>
      <c r="C77" s="398" t="str">
        <f t="shared" ca="1" si="14"/>
        <v/>
      </c>
      <c r="D77" s="398" t="str">
        <f t="shared" ca="1" si="14"/>
        <v/>
      </c>
      <c r="E77" s="398" t="str">
        <f t="shared" ca="1" si="14"/>
        <v/>
      </c>
      <c r="F77" s="398" t="str">
        <f t="shared" ca="1" si="14"/>
        <v/>
      </c>
      <c r="G77" s="398" t="str">
        <f t="shared" ca="1" si="14"/>
        <v/>
      </c>
      <c r="H77" s="398" t="str">
        <f t="shared" ca="1" si="14"/>
        <v/>
      </c>
      <c r="I77" s="398" t="str">
        <f t="shared" ca="1" si="14"/>
        <v/>
      </c>
      <c r="J77" s="398" t="str">
        <f t="shared" ca="1" si="14"/>
        <v/>
      </c>
      <c r="K77" s="398" t="str">
        <f t="shared" ca="1" si="14"/>
        <v/>
      </c>
      <c r="L77" s="398" t="str">
        <f t="shared" ca="1" si="14"/>
        <v/>
      </c>
      <c r="M77" s="398" t="str">
        <f t="shared" ca="1" si="14"/>
        <v/>
      </c>
      <c r="N77" s="398" t="str">
        <f t="shared" ca="1" si="14"/>
        <v/>
      </c>
      <c r="O77" s="398" t="str">
        <f t="shared" ca="1" si="14"/>
        <v/>
      </c>
      <c r="P77" s="398" t="str">
        <f t="shared" ca="1" si="14"/>
        <v/>
      </c>
      <c r="Q77" s="398" t="str">
        <f t="shared" ca="1" si="14"/>
        <v/>
      </c>
      <c r="R77" s="398" t="str">
        <f t="shared" ca="1" si="16"/>
        <v/>
      </c>
      <c r="S77" s="398" t="str">
        <f t="shared" ca="1" si="16"/>
        <v/>
      </c>
      <c r="T77" s="398" t="str">
        <f t="shared" ca="1" si="16"/>
        <v/>
      </c>
      <c r="U77" s="398" t="str">
        <f t="shared" ca="1" si="16"/>
        <v/>
      </c>
      <c r="V77" s="398" t="str">
        <f t="shared" ca="1" si="16"/>
        <v/>
      </c>
      <c r="W77" s="398" t="str">
        <f t="shared" ca="1" si="16"/>
        <v/>
      </c>
      <c r="X77" s="398">
        <f t="shared" ca="1" si="16"/>
        <v>0</v>
      </c>
      <c r="Y77" s="398">
        <f t="shared" ca="1" si="16"/>
        <v>0</v>
      </c>
      <c r="Z77" s="398">
        <f t="shared" ca="1" si="16"/>
        <v>0</v>
      </c>
      <c r="AA77" s="398">
        <f t="shared" ca="1" si="16"/>
        <v>0</v>
      </c>
      <c r="AB77" s="398">
        <f t="shared" ca="1" si="16"/>
        <v>0</v>
      </c>
      <c r="AC77" s="398">
        <f t="shared" ca="1" si="16"/>
        <v>0</v>
      </c>
      <c r="AD77" s="398">
        <f t="shared" ca="1" si="16"/>
        <v>56480</v>
      </c>
      <c r="AE77" s="398">
        <f t="shared" ca="1" si="16"/>
        <v>52379</v>
      </c>
      <c r="AF77" s="398">
        <f t="shared" ca="1" si="16"/>
        <v>71686</v>
      </c>
      <c r="AG77" s="398">
        <f t="shared" ca="1" si="16"/>
        <v>0</v>
      </c>
      <c r="AH77" s="398">
        <f t="shared" ca="1" si="16"/>
        <v>0</v>
      </c>
      <c r="AI77" s="398">
        <f t="shared" ca="1" si="16"/>
        <v>0</v>
      </c>
      <c r="AJ77" s="398">
        <f t="shared" ca="1" si="16"/>
        <v>0</v>
      </c>
      <c r="AK77" s="398">
        <f t="shared" ca="1" si="16"/>
        <v>0</v>
      </c>
      <c r="AL77" s="398">
        <f t="shared" ca="1" si="16"/>
        <v>0</v>
      </c>
      <c r="AM77" s="398">
        <f t="shared" ca="1" si="16"/>
        <v>0</v>
      </c>
      <c r="AN77" s="398">
        <f t="shared" ca="1" si="16"/>
        <v>0</v>
      </c>
      <c r="AO77" s="398">
        <f t="shared" ca="1" si="16"/>
        <v>0</v>
      </c>
      <c r="AP77" s="398">
        <f t="shared" ca="1" si="16"/>
        <v>0</v>
      </c>
      <c r="AQ77" s="398">
        <f t="shared" ca="1" si="16"/>
        <v>0</v>
      </c>
      <c r="AR77" s="398">
        <f t="shared" ca="1" si="16"/>
        <v>0</v>
      </c>
      <c r="AS77" s="398">
        <f t="shared" ca="1" si="16"/>
        <v>0</v>
      </c>
      <c r="AT77" s="398">
        <f t="shared" ca="1" si="16"/>
        <v>0</v>
      </c>
      <c r="AU77" s="398">
        <f t="shared" ca="1" si="16"/>
        <v>0</v>
      </c>
      <c r="AV77" s="398">
        <f t="shared" ca="1" si="16"/>
        <v>0</v>
      </c>
      <c r="AW77" s="398">
        <f t="shared" ca="1" si="16"/>
        <v>0</v>
      </c>
      <c r="AX77" s="398">
        <f t="shared" ca="1" si="16"/>
        <v>0</v>
      </c>
      <c r="AY77" s="398">
        <f t="shared" ca="1" si="16"/>
        <v>0</v>
      </c>
      <c r="AZ77" s="398">
        <f t="shared" ca="1" si="16"/>
        <v>0</v>
      </c>
      <c r="BA77" s="398">
        <f t="shared" ca="1" si="16"/>
        <v>0</v>
      </c>
      <c r="BB77" s="398">
        <f t="shared" ca="1" si="16"/>
        <v>0</v>
      </c>
      <c r="BC77" s="398">
        <f t="shared" ca="1" si="16"/>
        <v>0</v>
      </c>
      <c r="BD77" s="398">
        <f t="shared" ca="1" si="16"/>
        <v>0</v>
      </c>
      <c r="BE77" s="398">
        <f t="shared" ca="1" si="16"/>
        <v>0</v>
      </c>
      <c r="BF77" s="398">
        <f t="shared" ca="1" si="16"/>
        <v>0</v>
      </c>
      <c r="BG77" s="398">
        <f t="shared" ca="1" si="16"/>
        <v>0</v>
      </c>
      <c r="BH77" s="398">
        <f t="shared" ca="1" si="16"/>
        <v>0</v>
      </c>
      <c r="BI77" s="398">
        <f t="shared" ca="1" si="16"/>
        <v>0</v>
      </c>
    </row>
    <row r="78" spans="1:61" outlineLevel="1" x14ac:dyDescent="0.15">
      <c r="A78" s="408">
        <v>24</v>
      </c>
      <c r="B78" s="398" t="str">
        <f t="shared" ca="1" si="14"/>
        <v/>
      </c>
      <c r="C78" s="398" t="str">
        <f t="shared" ca="1" si="14"/>
        <v/>
      </c>
      <c r="D78" s="398" t="str">
        <f t="shared" ca="1" si="14"/>
        <v/>
      </c>
      <c r="E78" s="398" t="str">
        <f t="shared" ca="1" si="14"/>
        <v/>
      </c>
      <c r="F78" s="398" t="str">
        <f t="shared" ca="1" si="14"/>
        <v/>
      </c>
      <c r="G78" s="398" t="str">
        <f t="shared" ca="1" si="14"/>
        <v/>
      </c>
      <c r="H78" s="398" t="str">
        <f t="shared" ca="1" si="14"/>
        <v/>
      </c>
      <c r="I78" s="398" t="str">
        <f t="shared" ca="1" si="14"/>
        <v/>
      </c>
      <c r="J78" s="398" t="str">
        <f t="shared" ca="1" si="14"/>
        <v/>
      </c>
      <c r="K78" s="398" t="str">
        <f t="shared" ca="1" si="14"/>
        <v/>
      </c>
      <c r="L78" s="398" t="str">
        <f t="shared" ca="1" si="14"/>
        <v/>
      </c>
      <c r="M78" s="398" t="str">
        <f t="shared" ca="1" si="14"/>
        <v/>
      </c>
      <c r="N78" s="398" t="str">
        <f t="shared" ca="1" si="14"/>
        <v/>
      </c>
      <c r="O78" s="398" t="str">
        <f t="shared" ca="1" si="14"/>
        <v/>
      </c>
      <c r="P78" s="398" t="str">
        <f t="shared" ca="1" si="14"/>
        <v/>
      </c>
      <c r="Q78" s="398" t="str">
        <f t="shared" ca="1" si="14"/>
        <v/>
      </c>
      <c r="R78" s="398" t="str">
        <f t="shared" ca="1" si="16"/>
        <v/>
      </c>
      <c r="S78" s="398" t="str">
        <f t="shared" ca="1" si="16"/>
        <v/>
      </c>
      <c r="T78" s="398" t="str">
        <f t="shared" ca="1" si="16"/>
        <v/>
      </c>
      <c r="U78" s="398" t="str">
        <f t="shared" ca="1" si="16"/>
        <v/>
      </c>
      <c r="V78" s="398" t="str">
        <f t="shared" ca="1" si="16"/>
        <v/>
      </c>
      <c r="W78" s="398" t="str">
        <f t="shared" ca="1" si="16"/>
        <v/>
      </c>
      <c r="X78" s="398" t="str">
        <f t="shared" ca="1" si="16"/>
        <v/>
      </c>
      <c r="Y78" s="398">
        <f t="shared" ca="1" si="16"/>
        <v>0</v>
      </c>
      <c r="Z78" s="398">
        <f t="shared" ca="1" si="16"/>
        <v>0</v>
      </c>
      <c r="AA78" s="398">
        <f t="shared" ca="1" si="16"/>
        <v>0</v>
      </c>
      <c r="AB78" s="398">
        <f t="shared" ca="1" si="16"/>
        <v>0</v>
      </c>
      <c r="AC78" s="398">
        <f t="shared" ca="1" si="16"/>
        <v>0</v>
      </c>
      <c r="AD78" s="398">
        <f t="shared" ca="1" si="16"/>
        <v>0</v>
      </c>
      <c r="AE78" s="398">
        <f t="shared" ca="1" si="16"/>
        <v>56480</v>
      </c>
      <c r="AF78" s="398">
        <f t="shared" ca="1" si="16"/>
        <v>52379</v>
      </c>
      <c r="AG78" s="398">
        <f t="shared" ca="1" si="16"/>
        <v>71686</v>
      </c>
      <c r="AH78" s="398">
        <f t="shared" ca="1" si="16"/>
        <v>0</v>
      </c>
      <c r="AI78" s="398">
        <f t="shared" ca="1" si="16"/>
        <v>0</v>
      </c>
      <c r="AJ78" s="398">
        <f t="shared" ca="1" si="16"/>
        <v>0</v>
      </c>
      <c r="AK78" s="398">
        <f t="shared" ca="1" si="16"/>
        <v>0</v>
      </c>
      <c r="AL78" s="398">
        <f t="shared" ca="1" si="16"/>
        <v>0</v>
      </c>
      <c r="AM78" s="398">
        <f t="shared" ca="1" si="16"/>
        <v>0</v>
      </c>
      <c r="AN78" s="398">
        <f t="shared" ca="1" si="16"/>
        <v>0</v>
      </c>
      <c r="AO78" s="398">
        <f t="shared" ca="1" si="16"/>
        <v>0</v>
      </c>
      <c r="AP78" s="398">
        <f t="shared" ca="1" si="16"/>
        <v>0</v>
      </c>
      <c r="AQ78" s="398">
        <f t="shared" ca="1" si="16"/>
        <v>0</v>
      </c>
      <c r="AR78" s="398">
        <f t="shared" ca="1" si="16"/>
        <v>0</v>
      </c>
      <c r="AS78" s="398">
        <f t="shared" ca="1" si="16"/>
        <v>0</v>
      </c>
      <c r="AT78" s="398">
        <f t="shared" ca="1" si="16"/>
        <v>0</v>
      </c>
      <c r="AU78" s="398">
        <f t="shared" ca="1" si="16"/>
        <v>0</v>
      </c>
      <c r="AV78" s="398">
        <f t="shared" ca="1" si="16"/>
        <v>0</v>
      </c>
      <c r="AW78" s="398">
        <f t="shared" ca="1" si="16"/>
        <v>0</v>
      </c>
      <c r="AX78" s="398">
        <f t="shared" ca="1" si="16"/>
        <v>0</v>
      </c>
      <c r="AY78" s="398">
        <f t="shared" ca="1" si="16"/>
        <v>0</v>
      </c>
      <c r="AZ78" s="398">
        <f t="shared" ca="1" si="16"/>
        <v>0</v>
      </c>
      <c r="BA78" s="398">
        <f t="shared" ca="1" si="16"/>
        <v>0</v>
      </c>
      <c r="BB78" s="398">
        <f t="shared" ca="1" si="16"/>
        <v>0</v>
      </c>
      <c r="BC78" s="398">
        <f t="shared" ca="1" si="16"/>
        <v>0</v>
      </c>
      <c r="BD78" s="398">
        <f t="shared" ca="1" si="16"/>
        <v>0</v>
      </c>
      <c r="BE78" s="398">
        <f t="shared" ca="1" si="16"/>
        <v>0</v>
      </c>
      <c r="BF78" s="398">
        <f t="shared" ca="1" si="16"/>
        <v>0</v>
      </c>
      <c r="BG78" s="398">
        <f t="shared" ca="1" si="16"/>
        <v>0</v>
      </c>
      <c r="BH78" s="398">
        <f t="shared" ca="1" si="16"/>
        <v>0</v>
      </c>
      <c r="BI78" s="398">
        <f t="shared" ca="1" si="16"/>
        <v>0</v>
      </c>
    </row>
    <row r="79" spans="1:61" outlineLevel="1" x14ac:dyDescent="0.15">
      <c r="A79" s="408">
        <v>25</v>
      </c>
      <c r="B79" s="398" t="str">
        <f t="shared" ca="1" si="14"/>
        <v/>
      </c>
      <c r="C79" s="398" t="str">
        <f t="shared" ca="1" si="14"/>
        <v/>
      </c>
      <c r="D79" s="398" t="str">
        <f t="shared" ca="1" si="14"/>
        <v/>
      </c>
      <c r="E79" s="398" t="str">
        <f t="shared" ca="1" si="14"/>
        <v/>
      </c>
      <c r="F79" s="398" t="str">
        <f t="shared" ca="1" si="14"/>
        <v/>
      </c>
      <c r="G79" s="398" t="str">
        <f t="shared" ca="1" si="14"/>
        <v/>
      </c>
      <c r="H79" s="398" t="str">
        <f t="shared" ca="1" si="14"/>
        <v/>
      </c>
      <c r="I79" s="398" t="str">
        <f t="shared" ca="1" si="14"/>
        <v/>
      </c>
      <c r="J79" s="398" t="str">
        <f t="shared" ca="1" si="14"/>
        <v/>
      </c>
      <c r="K79" s="398" t="str">
        <f t="shared" ca="1" si="14"/>
        <v/>
      </c>
      <c r="L79" s="398" t="str">
        <f t="shared" ca="1" si="14"/>
        <v/>
      </c>
      <c r="M79" s="398" t="str">
        <f t="shared" ca="1" si="14"/>
        <v/>
      </c>
      <c r="N79" s="398" t="str">
        <f t="shared" ca="1" si="14"/>
        <v/>
      </c>
      <c r="O79" s="398" t="str">
        <f t="shared" ca="1" si="14"/>
        <v/>
      </c>
      <c r="P79" s="398" t="str">
        <f t="shared" ca="1" si="14"/>
        <v/>
      </c>
      <c r="Q79" s="398" t="str">
        <f t="shared" ca="1" si="14"/>
        <v/>
      </c>
      <c r="R79" s="398" t="str">
        <f t="shared" ca="1" si="16"/>
        <v/>
      </c>
      <c r="S79" s="398" t="str">
        <f t="shared" ca="1" si="16"/>
        <v/>
      </c>
      <c r="T79" s="398" t="str">
        <f t="shared" ca="1" si="16"/>
        <v/>
      </c>
      <c r="U79" s="398" t="str">
        <f t="shared" ca="1" si="16"/>
        <v/>
      </c>
      <c r="V79" s="398" t="str">
        <f t="shared" ca="1" si="16"/>
        <v/>
      </c>
      <c r="W79" s="398" t="str">
        <f t="shared" ca="1" si="16"/>
        <v/>
      </c>
      <c r="X79" s="398" t="str">
        <f t="shared" ca="1" si="16"/>
        <v/>
      </c>
      <c r="Y79" s="398" t="str">
        <f t="shared" ca="1" si="16"/>
        <v/>
      </c>
      <c r="Z79" s="398">
        <f t="shared" ca="1" si="16"/>
        <v>0</v>
      </c>
      <c r="AA79" s="398">
        <f t="shared" ca="1" si="16"/>
        <v>0</v>
      </c>
      <c r="AB79" s="398">
        <f t="shared" ca="1" si="16"/>
        <v>0</v>
      </c>
      <c r="AC79" s="398">
        <f t="shared" ca="1" si="16"/>
        <v>0</v>
      </c>
      <c r="AD79" s="398">
        <f t="shared" ca="1" si="16"/>
        <v>0</v>
      </c>
      <c r="AE79" s="398">
        <f t="shared" ca="1" si="16"/>
        <v>0</v>
      </c>
      <c r="AF79" s="398">
        <f t="shared" ca="1" si="16"/>
        <v>56480</v>
      </c>
      <c r="AG79" s="398">
        <f t="shared" ca="1" si="16"/>
        <v>52379</v>
      </c>
      <c r="AH79" s="398">
        <f t="shared" ca="1" si="16"/>
        <v>71686</v>
      </c>
      <c r="AI79" s="398">
        <f t="shared" ca="1" si="16"/>
        <v>0</v>
      </c>
      <c r="AJ79" s="398">
        <f t="shared" ca="1" si="16"/>
        <v>0</v>
      </c>
      <c r="AK79" s="398">
        <f t="shared" ca="1" si="16"/>
        <v>0</v>
      </c>
      <c r="AL79" s="398">
        <f t="shared" ca="1" si="16"/>
        <v>0</v>
      </c>
      <c r="AM79" s="398">
        <f t="shared" ca="1" si="16"/>
        <v>0</v>
      </c>
      <c r="AN79" s="398">
        <f t="shared" ca="1" si="16"/>
        <v>0</v>
      </c>
      <c r="AO79" s="398">
        <f t="shared" ca="1" si="16"/>
        <v>0</v>
      </c>
      <c r="AP79" s="398">
        <f t="shared" ca="1" si="16"/>
        <v>0</v>
      </c>
      <c r="AQ79" s="398">
        <f t="shared" ca="1" si="16"/>
        <v>0</v>
      </c>
      <c r="AR79" s="398">
        <f t="shared" ca="1" si="16"/>
        <v>0</v>
      </c>
      <c r="AS79" s="398">
        <f t="shared" ca="1" si="16"/>
        <v>0</v>
      </c>
      <c r="AT79" s="398">
        <f t="shared" ca="1" si="16"/>
        <v>0</v>
      </c>
      <c r="AU79" s="398">
        <f t="shared" ca="1" si="16"/>
        <v>0</v>
      </c>
      <c r="AV79" s="398">
        <f t="shared" ca="1" si="16"/>
        <v>0</v>
      </c>
      <c r="AW79" s="398">
        <f t="shared" ca="1" si="16"/>
        <v>0</v>
      </c>
      <c r="AX79" s="398">
        <f t="shared" ca="1" si="16"/>
        <v>0</v>
      </c>
      <c r="AY79" s="398">
        <f t="shared" ca="1" si="16"/>
        <v>0</v>
      </c>
      <c r="AZ79" s="398">
        <f t="shared" ca="1" si="16"/>
        <v>0</v>
      </c>
      <c r="BA79" s="398">
        <f t="shared" ca="1" si="16"/>
        <v>0</v>
      </c>
      <c r="BB79" s="398">
        <f t="shared" ca="1" si="16"/>
        <v>0</v>
      </c>
      <c r="BC79" s="398">
        <f t="shared" ca="1" si="16"/>
        <v>0</v>
      </c>
      <c r="BD79" s="398">
        <f t="shared" ca="1" si="16"/>
        <v>0</v>
      </c>
      <c r="BE79" s="398">
        <f t="shared" ca="1" si="16"/>
        <v>0</v>
      </c>
      <c r="BF79" s="398">
        <f t="shared" ca="1" si="16"/>
        <v>0</v>
      </c>
      <c r="BG79" s="398">
        <f t="shared" ca="1" si="16"/>
        <v>0</v>
      </c>
      <c r="BH79" s="398">
        <f t="shared" ca="1" si="16"/>
        <v>0</v>
      </c>
      <c r="BI79" s="398">
        <f t="shared" ca="1" si="16"/>
        <v>0</v>
      </c>
    </row>
    <row r="80" spans="1:61" outlineLevel="1" x14ac:dyDescent="0.15">
      <c r="A80" s="408">
        <v>26</v>
      </c>
      <c r="B80" s="398" t="str">
        <f t="shared" ca="1" si="14"/>
        <v/>
      </c>
      <c r="C80" s="398" t="str">
        <f t="shared" ca="1" si="14"/>
        <v/>
      </c>
      <c r="D80" s="398" t="str">
        <f t="shared" ca="1" si="14"/>
        <v/>
      </c>
      <c r="E80" s="398" t="str">
        <f t="shared" ca="1" si="14"/>
        <v/>
      </c>
      <c r="F80" s="398" t="str">
        <f t="shared" ca="1" si="14"/>
        <v/>
      </c>
      <c r="G80" s="398" t="str">
        <f t="shared" ca="1" si="14"/>
        <v/>
      </c>
      <c r="H80" s="398" t="str">
        <f t="shared" ca="1" si="14"/>
        <v/>
      </c>
      <c r="I80" s="398" t="str">
        <f t="shared" ca="1" si="14"/>
        <v/>
      </c>
      <c r="J80" s="398" t="str">
        <f t="shared" ca="1" si="14"/>
        <v/>
      </c>
      <c r="K80" s="398" t="str">
        <f t="shared" ca="1" si="14"/>
        <v/>
      </c>
      <c r="L80" s="398" t="str">
        <f t="shared" ca="1" si="14"/>
        <v/>
      </c>
      <c r="M80" s="398" t="str">
        <f t="shared" ca="1" si="14"/>
        <v/>
      </c>
      <c r="N80" s="398" t="str">
        <f t="shared" ca="1" si="14"/>
        <v/>
      </c>
      <c r="O80" s="398" t="str">
        <f t="shared" ca="1" si="14"/>
        <v/>
      </c>
      <c r="P80" s="398" t="str">
        <f t="shared" ca="1" si="14"/>
        <v/>
      </c>
      <c r="Q80" s="398" t="str">
        <f t="shared" ca="1" si="14"/>
        <v/>
      </c>
      <c r="R80" s="398" t="str">
        <f t="shared" ca="1" si="16"/>
        <v/>
      </c>
      <c r="S80" s="398" t="str">
        <f t="shared" ca="1" si="16"/>
        <v/>
      </c>
      <c r="T80" s="398" t="str">
        <f t="shared" ca="1" si="16"/>
        <v/>
      </c>
      <c r="U80" s="398" t="str">
        <f t="shared" ca="1" si="16"/>
        <v/>
      </c>
      <c r="V80" s="398" t="str">
        <f t="shared" ca="1" si="16"/>
        <v/>
      </c>
      <c r="W80" s="398" t="str">
        <f t="shared" ca="1" si="16"/>
        <v/>
      </c>
      <c r="X80" s="398" t="str">
        <f t="shared" ca="1" si="16"/>
        <v/>
      </c>
      <c r="Y80" s="398" t="str">
        <f t="shared" ca="1" si="16"/>
        <v/>
      </c>
      <c r="Z80" s="398" t="str">
        <f t="shared" ca="1" si="16"/>
        <v/>
      </c>
      <c r="AA80" s="398">
        <f t="shared" ca="1" si="16"/>
        <v>0</v>
      </c>
      <c r="AB80" s="398">
        <f t="shared" ca="1" si="16"/>
        <v>0</v>
      </c>
      <c r="AC80" s="398">
        <f t="shared" ca="1" si="16"/>
        <v>0</v>
      </c>
      <c r="AD80" s="398">
        <f t="shared" ca="1" si="16"/>
        <v>0</v>
      </c>
      <c r="AE80" s="398">
        <f t="shared" ca="1" si="16"/>
        <v>0</v>
      </c>
      <c r="AF80" s="398">
        <f t="shared" ca="1" si="16"/>
        <v>0</v>
      </c>
      <c r="AG80" s="398">
        <f t="shared" ca="1" si="16"/>
        <v>56480</v>
      </c>
      <c r="AH80" s="398">
        <f t="shared" ca="1" si="16"/>
        <v>52379</v>
      </c>
      <c r="AI80" s="398">
        <f t="shared" ca="1" si="16"/>
        <v>71686</v>
      </c>
      <c r="AJ80" s="398">
        <f t="shared" ca="1" si="16"/>
        <v>0</v>
      </c>
      <c r="AK80" s="398">
        <f t="shared" ca="1" si="16"/>
        <v>0</v>
      </c>
      <c r="AL80" s="398">
        <f t="shared" ca="1" si="16"/>
        <v>0</v>
      </c>
      <c r="AM80" s="398">
        <f t="shared" ca="1" si="16"/>
        <v>0</v>
      </c>
      <c r="AN80" s="398">
        <f t="shared" ca="1" si="16"/>
        <v>0</v>
      </c>
      <c r="AO80" s="398">
        <f t="shared" ca="1" si="16"/>
        <v>0</v>
      </c>
      <c r="AP80" s="398">
        <f t="shared" ca="1" si="16"/>
        <v>0</v>
      </c>
      <c r="AQ80" s="398">
        <f t="shared" ca="1" si="16"/>
        <v>0</v>
      </c>
      <c r="AR80" s="398">
        <f t="shared" ca="1" si="16"/>
        <v>0</v>
      </c>
      <c r="AS80" s="398">
        <f t="shared" ca="1" si="16"/>
        <v>0</v>
      </c>
      <c r="AT80" s="398">
        <f t="shared" ca="1" si="16"/>
        <v>0</v>
      </c>
      <c r="AU80" s="398">
        <f t="shared" ca="1" si="16"/>
        <v>0</v>
      </c>
      <c r="AV80" s="398">
        <f t="shared" ca="1" si="16"/>
        <v>0</v>
      </c>
      <c r="AW80" s="398">
        <f t="shared" ca="1" si="16"/>
        <v>0</v>
      </c>
      <c r="AX80" s="398">
        <f t="shared" ca="1" si="16"/>
        <v>0</v>
      </c>
      <c r="AY80" s="398">
        <f t="shared" ca="1" si="16"/>
        <v>0</v>
      </c>
      <c r="AZ80" s="398">
        <f t="shared" ca="1" si="16"/>
        <v>0</v>
      </c>
      <c r="BA80" s="398">
        <f t="shared" ca="1" si="16"/>
        <v>0</v>
      </c>
      <c r="BB80" s="398">
        <f t="shared" ca="1" si="16"/>
        <v>0</v>
      </c>
      <c r="BC80" s="398">
        <f t="shared" ca="1" si="16"/>
        <v>0</v>
      </c>
      <c r="BD80" s="398">
        <f t="shared" ca="1" si="16"/>
        <v>0</v>
      </c>
      <c r="BE80" s="398">
        <f t="shared" ca="1" si="16"/>
        <v>0</v>
      </c>
      <c r="BF80" s="398">
        <f t="shared" ca="1" si="16"/>
        <v>0</v>
      </c>
      <c r="BG80" s="398">
        <f t="shared" ca="1" si="16"/>
        <v>0</v>
      </c>
      <c r="BH80" s="398">
        <f t="shared" ca="1" si="16"/>
        <v>0</v>
      </c>
      <c r="BI80" s="398">
        <f t="shared" ca="1" si="16"/>
        <v>0</v>
      </c>
    </row>
    <row r="81" spans="1:61" outlineLevel="1" x14ac:dyDescent="0.15">
      <c r="A81" s="408">
        <v>27</v>
      </c>
      <c r="B81" s="398" t="str">
        <f t="shared" ca="1" si="14"/>
        <v/>
      </c>
      <c r="C81" s="398" t="str">
        <f t="shared" ca="1" si="14"/>
        <v/>
      </c>
      <c r="D81" s="398" t="str">
        <f t="shared" ca="1" si="14"/>
        <v/>
      </c>
      <c r="E81" s="398" t="str">
        <f t="shared" ca="1" si="14"/>
        <v/>
      </c>
      <c r="F81" s="398" t="str">
        <f t="shared" ca="1" si="14"/>
        <v/>
      </c>
      <c r="G81" s="398" t="str">
        <f t="shared" ca="1" si="14"/>
        <v/>
      </c>
      <c r="H81" s="398" t="str">
        <f t="shared" ca="1" si="14"/>
        <v/>
      </c>
      <c r="I81" s="398" t="str">
        <f t="shared" ca="1" si="14"/>
        <v/>
      </c>
      <c r="J81" s="398" t="str">
        <f t="shared" ca="1" si="14"/>
        <v/>
      </c>
      <c r="K81" s="398" t="str">
        <f t="shared" ca="1" si="14"/>
        <v/>
      </c>
      <c r="L81" s="398" t="str">
        <f t="shared" ca="1" si="14"/>
        <v/>
      </c>
      <c r="M81" s="398" t="str">
        <f t="shared" ca="1" si="14"/>
        <v/>
      </c>
      <c r="N81" s="398" t="str">
        <f t="shared" ca="1" si="14"/>
        <v/>
      </c>
      <c r="O81" s="398" t="str">
        <f t="shared" ca="1" si="14"/>
        <v/>
      </c>
      <c r="P81" s="398" t="str">
        <f t="shared" ca="1" si="14"/>
        <v/>
      </c>
      <c r="Q81" s="398" t="str">
        <f t="shared" ca="1" si="14"/>
        <v/>
      </c>
      <c r="R81" s="398" t="str">
        <f t="shared" ca="1" si="16"/>
        <v/>
      </c>
      <c r="S81" s="398" t="str">
        <f t="shared" ca="1" si="16"/>
        <v/>
      </c>
      <c r="T81" s="398" t="str">
        <f t="shared" ca="1" si="16"/>
        <v/>
      </c>
      <c r="U81" s="398" t="str">
        <f t="shared" ca="1" si="16"/>
        <v/>
      </c>
      <c r="V81" s="398" t="str">
        <f t="shared" ca="1" si="16"/>
        <v/>
      </c>
      <c r="W81" s="398" t="str">
        <f t="shared" ca="1" si="16"/>
        <v/>
      </c>
      <c r="X81" s="398" t="str">
        <f t="shared" ca="1" si="16"/>
        <v/>
      </c>
      <c r="Y81" s="398" t="str">
        <f t="shared" ca="1" si="16"/>
        <v/>
      </c>
      <c r="Z81" s="398" t="str">
        <f t="shared" ca="1" si="16"/>
        <v/>
      </c>
      <c r="AA81" s="398" t="str">
        <f t="shared" ca="1" si="16"/>
        <v/>
      </c>
      <c r="AB81" s="398">
        <f t="shared" ca="1" si="16"/>
        <v>0</v>
      </c>
      <c r="AC81" s="398">
        <f t="shared" ca="1" si="16"/>
        <v>0</v>
      </c>
      <c r="AD81" s="398">
        <f t="shared" ca="1" si="16"/>
        <v>0</v>
      </c>
      <c r="AE81" s="398">
        <f t="shared" ca="1" si="16"/>
        <v>0</v>
      </c>
      <c r="AF81" s="398">
        <f t="shared" ca="1" si="16"/>
        <v>0</v>
      </c>
      <c r="AG81" s="398">
        <f t="shared" ca="1" si="16"/>
        <v>0</v>
      </c>
      <c r="AH81" s="398">
        <f t="shared" ca="1" si="16"/>
        <v>56480</v>
      </c>
      <c r="AI81" s="398">
        <f t="shared" ca="1" si="16"/>
        <v>52379</v>
      </c>
      <c r="AJ81" s="398">
        <f t="shared" ca="1" si="16"/>
        <v>71686</v>
      </c>
      <c r="AK81" s="398">
        <f t="shared" ca="1" si="16"/>
        <v>0</v>
      </c>
      <c r="AL81" s="398">
        <f t="shared" ca="1" si="16"/>
        <v>0</v>
      </c>
      <c r="AM81" s="398">
        <f t="shared" ca="1" si="16"/>
        <v>0</v>
      </c>
      <c r="AN81" s="398">
        <f t="shared" ca="1" si="16"/>
        <v>0</v>
      </c>
      <c r="AO81" s="398">
        <f t="shared" ca="1" si="16"/>
        <v>0</v>
      </c>
      <c r="AP81" s="398">
        <f t="shared" ca="1" si="16"/>
        <v>0</v>
      </c>
      <c r="AQ81" s="398">
        <f t="shared" ca="1" si="16"/>
        <v>0</v>
      </c>
      <c r="AR81" s="398">
        <f t="shared" ca="1" si="16"/>
        <v>0</v>
      </c>
      <c r="AS81" s="398">
        <f t="shared" ca="1" si="16"/>
        <v>0</v>
      </c>
      <c r="AT81" s="398">
        <f t="shared" ca="1" si="16"/>
        <v>0</v>
      </c>
      <c r="AU81" s="398">
        <f t="shared" ca="1" si="16"/>
        <v>0</v>
      </c>
      <c r="AV81" s="398">
        <f t="shared" ca="1" si="16"/>
        <v>0</v>
      </c>
      <c r="AW81" s="398">
        <f t="shared" ca="1" si="16"/>
        <v>0</v>
      </c>
      <c r="AX81" s="398">
        <f t="shared" ca="1" si="16"/>
        <v>0</v>
      </c>
      <c r="AY81" s="398">
        <f t="shared" ca="1" si="16"/>
        <v>0</v>
      </c>
      <c r="AZ81" s="398">
        <f t="shared" ca="1" si="16"/>
        <v>0</v>
      </c>
      <c r="BA81" s="398">
        <f t="shared" ca="1" si="16"/>
        <v>0</v>
      </c>
      <c r="BB81" s="398">
        <f t="shared" ca="1" si="16"/>
        <v>0</v>
      </c>
      <c r="BC81" s="398">
        <f t="shared" ca="1" si="16"/>
        <v>0</v>
      </c>
      <c r="BD81" s="398">
        <f t="shared" ca="1" si="16"/>
        <v>0</v>
      </c>
      <c r="BE81" s="398">
        <f t="shared" ca="1" si="16"/>
        <v>0</v>
      </c>
      <c r="BF81" s="398">
        <f t="shared" ca="1" si="16"/>
        <v>0</v>
      </c>
      <c r="BG81" s="398">
        <f t="shared" ca="1" si="16"/>
        <v>0</v>
      </c>
      <c r="BH81" s="398">
        <f t="shared" ca="1" si="16"/>
        <v>0</v>
      </c>
      <c r="BI81" s="398">
        <f t="shared" ref="BI81:DO85" ca="1" si="17">IF($A81&gt;BI$5,"",OFFSET(BI$54,0,-($A81-1)))</f>
        <v>0</v>
      </c>
    </row>
    <row r="82" spans="1:61" outlineLevel="1" x14ac:dyDescent="0.15">
      <c r="A82" s="408">
        <v>28</v>
      </c>
      <c r="B82" s="398" t="str">
        <f t="shared" ca="1" si="14"/>
        <v/>
      </c>
      <c r="C82" s="398" t="str">
        <f t="shared" ca="1" si="14"/>
        <v/>
      </c>
      <c r="D82" s="398" t="str">
        <f t="shared" ca="1" si="14"/>
        <v/>
      </c>
      <c r="E82" s="398" t="str">
        <f t="shared" ca="1" si="14"/>
        <v/>
      </c>
      <c r="F82" s="398" t="str">
        <f t="shared" ca="1" si="14"/>
        <v/>
      </c>
      <c r="G82" s="398" t="str">
        <f t="shared" ca="1" si="14"/>
        <v/>
      </c>
      <c r="H82" s="398" t="str">
        <f t="shared" ca="1" si="14"/>
        <v/>
      </c>
      <c r="I82" s="398" t="str">
        <f t="shared" ca="1" si="14"/>
        <v/>
      </c>
      <c r="J82" s="398" t="str">
        <f t="shared" ca="1" si="14"/>
        <v/>
      </c>
      <c r="K82" s="398" t="str">
        <f t="shared" ca="1" si="14"/>
        <v/>
      </c>
      <c r="L82" s="398" t="str">
        <f t="shared" ca="1" si="14"/>
        <v/>
      </c>
      <c r="M82" s="398" t="str">
        <f t="shared" ca="1" si="14"/>
        <v/>
      </c>
      <c r="N82" s="398" t="str">
        <f t="shared" ca="1" si="14"/>
        <v/>
      </c>
      <c r="O82" s="398" t="str">
        <f t="shared" ca="1" si="14"/>
        <v/>
      </c>
      <c r="P82" s="398" t="str">
        <f t="shared" ca="1" si="14"/>
        <v/>
      </c>
      <c r="Q82" s="398" t="str">
        <f t="shared" ca="1" si="14"/>
        <v/>
      </c>
      <c r="R82" s="398" t="str">
        <f t="shared" ref="R82:BX86" ca="1" si="18">IF($A82&gt;R$5,"",OFFSET(R$54,0,-($A82-1)))</f>
        <v/>
      </c>
      <c r="S82" s="398" t="str">
        <f t="shared" ca="1" si="18"/>
        <v/>
      </c>
      <c r="T82" s="398" t="str">
        <f t="shared" ca="1" si="18"/>
        <v/>
      </c>
      <c r="U82" s="398" t="str">
        <f t="shared" ca="1" si="18"/>
        <v/>
      </c>
      <c r="V82" s="398" t="str">
        <f t="shared" ca="1" si="18"/>
        <v/>
      </c>
      <c r="W82" s="398" t="str">
        <f t="shared" ca="1" si="18"/>
        <v/>
      </c>
      <c r="X82" s="398" t="str">
        <f t="shared" ca="1" si="18"/>
        <v/>
      </c>
      <c r="Y82" s="398" t="str">
        <f t="shared" ca="1" si="18"/>
        <v/>
      </c>
      <c r="Z82" s="398" t="str">
        <f t="shared" ca="1" si="18"/>
        <v/>
      </c>
      <c r="AA82" s="398" t="str">
        <f t="shared" ca="1" si="18"/>
        <v/>
      </c>
      <c r="AB82" s="398" t="str">
        <f t="shared" ca="1" si="18"/>
        <v/>
      </c>
      <c r="AC82" s="398">
        <f t="shared" ca="1" si="18"/>
        <v>0</v>
      </c>
      <c r="AD82" s="398">
        <f t="shared" ca="1" si="18"/>
        <v>0</v>
      </c>
      <c r="AE82" s="398">
        <f t="shared" ca="1" si="18"/>
        <v>0</v>
      </c>
      <c r="AF82" s="398">
        <f t="shared" ca="1" si="18"/>
        <v>0</v>
      </c>
      <c r="AG82" s="398">
        <f t="shared" ca="1" si="18"/>
        <v>0</v>
      </c>
      <c r="AH82" s="398">
        <f t="shared" ca="1" si="18"/>
        <v>0</v>
      </c>
      <c r="AI82" s="398">
        <f t="shared" ca="1" si="18"/>
        <v>56480</v>
      </c>
      <c r="AJ82" s="398">
        <f t="shared" ca="1" si="18"/>
        <v>52379</v>
      </c>
      <c r="AK82" s="398">
        <f t="shared" ca="1" si="18"/>
        <v>71686</v>
      </c>
      <c r="AL82" s="398">
        <f t="shared" ca="1" si="18"/>
        <v>0</v>
      </c>
      <c r="AM82" s="398">
        <f t="shared" ca="1" si="18"/>
        <v>0</v>
      </c>
      <c r="AN82" s="398">
        <f t="shared" ca="1" si="18"/>
        <v>0</v>
      </c>
      <c r="AO82" s="398">
        <f t="shared" ca="1" si="18"/>
        <v>0</v>
      </c>
      <c r="AP82" s="398">
        <f t="shared" ca="1" si="18"/>
        <v>0</v>
      </c>
      <c r="AQ82" s="398">
        <f t="shared" ca="1" si="18"/>
        <v>0</v>
      </c>
      <c r="AR82" s="398">
        <f t="shared" ca="1" si="18"/>
        <v>0</v>
      </c>
      <c r="AS82" s="398">
        <f t="shared" ca="1" si="18"/>
        <v>0</v>
      </c>
      <c r="AT82" s="398">
        <f t="shared" ca="1" si="18"/>
        <v>0</v>
      </c>
      <c r="AU82" s="398">
        <f t="shared" ca="1" si="18"/>
        <v>0</v>
      </c>
      <c r="AV82" s="398">
        <f t="shared" ca="1" si="18"/>
        <v>0</v>
      </c>
      <c r="AW82" s="398">
        <f t="shared" ca="1" si="18"/>
        <v>0</v>
      </c>
      <c r="AX82" s="398">
        <f t="shared" ca="1" si="18"/>
        <v>0</v>
      </c>
      <c r="AY82" s="398">
        <f t="shared" ca="1" si="18"/>
        <v>0</v>
      </c>
      <c r="AZ82" s="398">
        <f t="shared" ca="1" si="18"/>
        <v>0</v>
      </c>
      <c r="BA82" s="398">
        <f t="shared" ca="1" si="18"/>
        <v>0</v>
      </c>
      <c r="BB82" s="398">
        <f t="shared" ca="1" si="18"/>
        <v>0</v>
      </c>
      <c r="BC82" s="398">
        <f t="shared" ca="1" si="18"/>
        <v>0</v>
      </c>
      <c r="BD82" s="398">
        <f t="shared" ca="1" si="18"/>
        <v>0</v>
      </c>
      <c r="BE82" s="398">
        <f t="shared" ca="1" si="18"/>
        <v>0</v>
      </c>
      <c r="BF82" s="398">
        <f t="shared" ca="1" si="18"/>
        <v>0</v>
      </c>
      <c r="BG82" s="398">
        <f t="shared" ca="1" si="18"/>
        <v>0</v>
      </c>
      <c r="BH82" s="398">
        <f t="shared" ca="1" si="18"/>
        <v>0</v>
      </c>
      <c r="BI82" s="398">
        <f t="shared" ca="1" si="18"/>
        <v>0</v>
      </c>
    </row>
    <row r="83" spans="1:61" outlineLevel="1" x14ac:dyDescent="0.15">
      <c r="A83" s="408">
        <v>29</v>
      </c>
      <c r="B83" s="398" t="str">
        <f t="shared" ca="1" si="14"/>
        <v/>
      </c>
      <c r="C83" s="398" t="str">
        <f t="shared" ca="1" si="14"/>
        <v/>
      </c>
      <c r="D83" s="398" t="str">
        <f t="shared" ca="1" si="14"/>
        <v/>
      </c>
      <c r="E83" s="398" t="str">
        <f t="shared" ca="1" si="14"/>
        <v/>
      </c>
      <c r="F83" s="398" t="str">
        <f t="shared" ca="1" si="14"/>
        <v/>
      </c>
      <c r="G83" s="398" t="str">
        <f t="shared" ca="1" si="14"/>
        <v/>
      </c>
      <c r="H83" s="398" t="str">
        <f t="shared" ca="1" si="14"/>
        <v/>
      </c>
      <c r="I83" s="398" t="str">
        <f t="shared" ca="1" si="14"/>
        <v/>
      </c>
      <c r="J83" s="398" t="str">
        <f t="shared" ca="1" si="14"/>
        <v/>
      </c>
      <c r="K83" s="398" t="str">
        <f t="shared" ca="1" si="14"/>
        <v/>
      </c>
      <c r="L83" s="398" t="str">
        <f t="shared" ca="1" si="14"/>
        <v/>
      </c>
      <c r="M83" s="398" t="str">
        <f t="shared" ca="1" si="14"/>
        <v/>
      </c>
      <c r="N83" s="398" t="str">
        <f t="shared" ca="1" si="14"/>
        <v/>
      </c>
      <c r="O83" s="398" t="str">
        <f t="shared" ca="1" si="14"/>
        <v/>
      </c>
      <c r="P83" s="398" t="str">
        <f t="shared" ca="1" si="14"/>
        <v/>
      </c>
      <c r="Q83" s="398" t="str">
        <f t="shared" ca="1" si="14"/>
        <v/>
      </c>
      <c r="R83" s="398" t="str">
        <f t="shared" ca="1" si="18"/>
        <v/>
      </c>
      <c r="S83" s="398" t="str">
        <f t="shared" ca="1" si="18"/>
        <v/>
      </c>
      <c r="T83" s="398" t="str">
        <f t="shared" ca="1" si="18"/>
        <v/>
      </c>
      <c r="U83" s="398" t="str">
        <f t="shared" ca="1" si="18"/>
        <v/>
      </c>
      <c r="V83" s="398" t="str">
        <f t="shared" ca="1" si="18"/>
        <v/>
      </c>
      <c r="W83" s="398" t="str">
        <f t="shared" ca="1" si="18"/>
        <v/>
      </c>
      <c r="X83" s="398" t="str">
        <f t="shared" ca="1" si="18"/>
        <v/>
      </c>
      <c r="Y83" s="398" t="str">
        <f t="shared" ca="1" si="18"/>
        <v/>
      </c>
      <c r="Z83" s="398" t="str">
        <f t="shared" ca="1" si="18"/>
        <v/>
      </c>
      <c r="AA83" s="398" t="str">
        <f t="shared" ca="1" si="18"/>
        <v/>
      </c>
      <c r="AB83" s="398" t="str">
        <f t="shared" ca="1" si="18"/>
        <v/>
      </c>
      <c r="AC83" s="398" t="str">
        <f t="shared" ca="1" si="18"/>
        <v/>
      </c>
      <c r="AD83" s="398">
        <f t="shared" ca="1" si="18"/>
        <v>0</v>
      </c>
      <c r="AE83" s="398">
        <f t="shared" ca="1" si="18"/>
        <v>0</v>
      </c>
      <c r="AF83" s="398">
        <f t="shared" ca="1" si="18"/>
        <v>0</v>
      </c>
      <c r="AG83" s="398">
        <f t="shared" ca="1" si="18"/>
        <v>0</v>
      </c>
      <c r="AH83" s="398">
        <f t="shared" ca="1" si="18"/>
        <v>0</v>
      </c>
      <c r="AI83" s="398">
        <f t="shared" ca="1" si="18"/>
        <v>0</v>
      </c>
      <c r="AJ83" s="398">
        <f t="shared" ca="1" si="18"/>
        <v>56480</v>
      </c>
      <c r="AK83" s="398">
        <f t="shared" ca="1" si="18"/>
        <v>52379</v>
      </c>
      <c r="AL83" s="398">
        <f t="shared" ca="1" si="18"/>
        <v>71686</v>
      </c>
      <c r="AM83" s="398">
        <f t="shared" ca="1" si="18"/>
        <v>0</v>
      </c>
      <c r="AN83" s="398">
        <f t="shared" ca="1" si="18"/>
        <v>0</v>
      </c>
      <c r="AO83" s="398">
        <f t="shared" ca="1" si="18"/>
        <v>0</v>
      </c>
      <c r="AP83" s="398">
        <f t="shared" ca="1" si="18"/>
        <v>0</v>
      </c>
      <c r="AQ83" s="398">
        <f t="shared" ca="1" si="18"/>
        <v>0</v>
      </c>
      <c r="AR83" s="398">
        <f t="shared" ca="1" si="18"/>
        <v>0</v>
      </c>
      <c r="AS83" s="398">
        <f t="shared" ca="1" si="18"/>
        <v>0</v>
      </c>
      <c r="AT83" s="398">
        <f t="shared" ca="1" si="18"/>
        <v>0</v>
      </c>
      <c r="AU83" s="398">
        <f t="shared" ca="1" si="18"/>
        <v>0</v>
      </c>
      <c r="AV83" s="398">
        <f t="shared" ca="1" si="18"/>
        <v>0</v>
      </c>
      <c r="AW83" s="398">
        <f t="shared" ca="1" si="18"/>
        <v>0</v>
      </c>
      <c r="AX83" s="398">
        <f t="shared" ca="1" si="18"/>
        <v>0</v>
      </c>
      <c r="AY83" s="398">
        <f t="shared" ca="1" si="18"/>
        <v>0</v>
      </c>
      <c r="AZ83" s="398">
        <f t="shared" ca="1" si="18"/>
        <v>0</v>
      </c>
      <c r="BA83" s="398">
        <f t="shared" ca="1" si="18"/>
        <v>0</v>
      </c>
      <c r="BB83" s="398">
        <f t="shared" ca="1" si="18"/>
        <v>0</v>
      </c>
      <c r="BC83" s="398">
        <f t="shared" ca="1" si="18"/>
        <v>0</v>
      </c>
      <c r="BD83" s="398">
        <f t="shared" ca="1" si="18"/>
        <v>0</v>
      </c>
      <c r="BE83" s="398">
        <f t="shared" ca="1" si="18"/>
        <v>0</v>
      </c>
      <c r="BF83" s="398">
        <f t="shared" ca="1" si="18"/>
        <v>0</v>
      </c>
      <c r="BG83" s="398">
        <f t="shared" ca="1" si="18"/>
        <v>0</v>
      </c>
      <c r="BH83" s="398">
        <f t="shared" ca="1" si="18"/>
        <v>0</v>
      </c>
      <c r="BI83" s="398">
        <f t="shared" ca="1" si="18"/>
        <v>0</v>
      </c>
    </row>
    <row r="84" spans="1:61" outlineLevel="1" x14ac:dyDescent="0.15">
      <c r="A84" s="408">
        <v>30</v>
      </c>
      <c r="B84" s="398" t="str">
        <f t="shared" ca="1" si="14"/>
        <v/>
      </c>
      <c r="C84" s="398" t="str">
        <f t="shared" ca="1" si="14"/>
        <v/>
      </c>
      <c r="D84" s="398" t="str">
        <f t="shared" ca="1" si="14"/>
        <v/>
      </c>
      <c r="E84" s="398" t="str">
        <f t="shared" ca="1" si="14"/>
        <v/>
      </c>
      <c r="F84" s="398" t="str">
        <f t="shared" ca="1" si="14"/>
        <v/>
      </c>
      <c r="G84" s="398" t="str">
        <f t="shared" ca="1" si="14"/>
        <v/>
      </c>
      <c r="H84" s="398" t="str">
        <f t="shared" ca="1" si="14"/>
        <v/>
      </c>
      <c r="I84" s="398" t="str">
        <f t="shared" ca="1" si="14"/>
        <v/>
      </c>
      <c r="J84" s="398" t="str">
        <f t="shared" ca="1" si="14"/>
        <v/>
      </c>
      <c r="K84" s="398" t="str">
        <f t="shared" ca="1" si="14"/>
        <v/>
      </c>
      <c r="L84" s="398" t="str">
        <f t="shared" ca="1" si="14"/>
        <v/>
      </c>
      <c r="M84" s="398" t="str">
        <f t="shared" ca="1" si="14"/>
        <v/>
      </c>
      <c r="N84" s="398" t="str">
        <f t="shared" ca="1" si="14"/>
        <v/>
      </c>
      <c r="O84" s="398" t="str">
        <f t="shared" ca="1" si="14"/>
        <v/>
      </c>
      <c r="P84" s="398" t="str">
        <f t="shared" ca="1" si="14"/>
        <v/>
      </c>
      <c r="Q84" s="398" t="str">
        <f t="shared" ca="1" si="14"/>
        <v/>
      </c>
      <c r="R84" s="398" t="str">
        <f t="shared" ca="1" si="18"/>
        <v/>
      </c>
      <c r="S84" s="398" t="str">
        <f t="shared" ca="1" si="18"/>
        <v/>
      </c>
      <c r="T84" s="398" t="str">
        <f t="shared" ca="1" si="18"/>
        <v/>
      </c>
      <c r="U84" s="398" t="str">
        <f t="shared" ca="1" si="18"/>
        <v/>
      </c>
      <c r="V84" s="398" t="str">
        <f t="shared" ca="1" si="18"/>
        <v/>
      </c>
      <c r="W84" s="398" t="str">
        <f t="shared" ca="1" si="18"/>
        <v/>
      </c>
      <c r="X84" s="398" t="str">
        <f t="shared" ca="1" si="18"/>
        <v/>
      </c>
      <c r="Y84" s="398" t="str">
        <f t="shared" ca="1" si="18"/>
        <v/>
      </c>
      <c r="Z84" s="398" t="str">
        <f t="shared" ca="1" si="18"/>
        <v/>
      </c>
      <c r="AA84" s="398" t="str">
        <f t="shared" ca="1" si="18"/>
        <v/>
      </c>
      <c r="AB84" s="398" t="str">
        <f t="shared" ca="1" si="18"/>
        <v/>
      </c>
      <c r="AC84" s="398" t="str">
        <f t="shared" ca="1" si="18"/>
        <v/>
      </c>
      <c r="AD84" s="398" t="str">
        <f t="shared" ca="1" si="18"/>
        <v/>
      </c>
      <c r="AE84" s="398">
        <f t="shared" ca="1" si="18"/>
        <v>0</v>
      </c>
      <c r="AF84" s="398">
        <f t="shared" ca="1" si="18"/>
        <v>0</v>
      </c>
      <c r="AG84" s="398">
        <f t="shared" ca="1" si="18"/>
        <v>0</v>
      </c>
      <c r="AH84" s="398">
        <f t="shared" ca="1" si="18"/>
        <v>0</v>
      </c>
      <c r="AI84" s="398">
        <f t="shared" ca="1" si="18"/>
        <v>0</v>
      </c>
      <c r="AJ84" s="398">
        <f t="shared" ca="1" si="18"/>
        <v>0</v>
      </c>
      <c r="AK84" s="398">
        <f t="shared" ca="1" si="18"/>
        <v>56480</v>
      </c>
      <c r="AL84" s="398">
        <f t="shared" ca="1" si="18"/>
        <v>52379</v>
      </c>
      <c r="AM84" s="398">
        <f t="shared" ca="1" si="18"/>
        <v>71686</v>
      </c>
      <c r="AN84" s="398">
        <f t="shared" ca="1" si="18"/>
        <v>0</v>
      </c>
      <c r="AO84" s="398">
        <f t="shared" ca="1" si="18"/>
        <v>0</v>
      </c>
      <c r="AP84" s="398">
        <f t="shared" ca="1" si="18"/>
        <v>0</v>
      </c>
      <c r="AQ84" s="398">
        <f t="shared" ca="1" si="18"/>
        <v>0</v>
      </c>
      <c r="AR84" s="398">
        <f t="shared" ca="1" si="18"/>
        <v>0</v>
      </c>
      <c r="AS84" s="398">
        <f t="shared" ca="1" si="18"/>
        <v>0</v>
      </c>
      <c r="AT84" s="398">
        <f t="shared" ca="1" si="18"/>
        <v>0</v>
      </c>
      <c r="AU84" s="398">
        <f t="shared" ca="1" si="18"/>
        <v>0</v>
      </c>
      <c r="AV84" s="398">
        <f t="shared" ca="1" si="18"/>
        <v>0</v>
      </c>
      <c r="AW84" s="398">
        <f t="shared" ca="1" si="18"/>
        <v>0</v>
      </c>
      <c r="AX84" s="398">
        <f t="shared" ca="1" si="18"/>
        <v>0</v>
      </c>
      <c r="AY84" s="398">
        <f t="shared" ca="1" si="18"/>
        <v>0</v>
      </c>
      <c r="AZ84" s="398">
        <f t="shared" ca="1" si="18"/>
        <v>0</v>
      </c>
      <c r="BA84" s="398">
        <f t="shared" ca="1" si="18"/>
        <v>0</v>
      </c>
      <c r="BB84" s="398">
        <f t="shared" ca="1" si="18"/>
        <v>0</v>
      </c>
      <c r="BC84" s="398">
        <f t="shared" ca="1" si="18"/>
        <v>0</v>
      </c>
      <c r="BD84" s="398">
        <f t="shared" ca="1" si="18"/>
        <v>0</v>
      </c>
      <c r="BE84" s="398">
        <f t="shared" ca="1" si="18"/>
        <v>0</v>
      </c>
      <c r="BF84" s="398">
        <f t="shared" ca="1" si="18"/>
        <v>0</v>
      </c>
      <c r="BG84" s="398">
        <f t="shared" ca="1" si="18"/>
        <v>0</v>
      </c>
      <c r="BH84" s="398">
        <f t="shared" ca="1" si="18"/>
        <v>0</v>
      </c>
      <c r="BI84" s="398">
        <f t="shared" ca="1" si="18"/>
        <v>0</v>
      </c>
    </row>
    <row r="85" spans="1:61" outlineLevel="1" x14ac:dyDescent="0.15">
      <c r="A85" s="408">
        <v>31</v>
      </c>
      <c r="B85" s="398" t="str">
        <f t="shared" ca="1" si="14"/>
        <v/>
      </c>
      <c r="C85" s="398" t="str">
        <f t="shared" ca="1" si="14"/>
        <v/>
      </c>
      <c r="D85" s="398" t="str">
        <f t="shared" ca="1" si="14"/>
        <v/>
      </c>
      <c r="E85" s="398" t="str">
        <f t="shared" ca="1" si="14"/>
        <v/>
      </c>
      <c r="F85" s="398" t="str">
        <f t="shared" ca="1" si="14"/>
        <v/>
      </c>
      <c r="G85" s="398" t="str">
        <f t="shared" ca="1" si="14"/>
        <v/>
      </c>
      <c r="H85" s="398" t="str">
        <f t="shared" ca="1" si="14"/>
        <v/>
      </c>
      <c r="I85" s="398" t="str">
        <f t="shared" ca="1" si="14"/>
        <v/>
      </c>
      <c r="J85" s="398" t="str">
        <f t="shared" ca="1" si="14"/>
        <v/>
      </c>
      <c r="K85" s="398" t="str">
        <f t="shared" ca="1" si="14"/>
        <v/>
      </c>
      <c r="L85" s="398" t="str">
        <f t="shared" ca="1" si="14"/>
        <v/>
      </c>
      <c r="M85" s="398" t="str">
        <f t="shared" ca="1" si="14"/>
        <v/>
      </c>
      <c r="N85" s="398" t="str">
        <f t="shared" ca="1" si="14"/>
        <v/>
      </c>
      <c r="O85" s="398" t="str">
        <f t="shared" ca="1" si="14"/>
        <v/>
      </c>
      <c r="P85" s="398" t="str">
        <f t="shared" ca="1" si="14"/>
        <v/>
      </c>
      <c r="Q85" s="398" t="str">
        <f t="shared" ca="1" si="14"/>
        <v/>
      </c>
      <c r="R85" s="398" t="str">
        <f t="shared" ca="1" si="18"/>
        <v/>
      </c>
      <c r="S85" s="398" t="str">
        <f t="shared" ca="1" si="18"/>
        <v/>
      </c>
      <c r="T85" s="398" t="str">
        <f t="shared" ca="1" si="18"/>
        <v/>
      </c>
      <c r="U85" s="398" t="str">
        <f t="shared" ca="1" si="18"/>
        <v/>
      </c>
      <c r="V85" s="398" t="str">
        <f t="shared" ca="1" si="18"/>
        <v/>
      </c>
      <c r="W85" s="398" t="str">
        <f t="shared" ca="1" si="18"/>
        <v/>
      </c>
      <c r="X85" s="398" t="str">
        <f t="shared" ca="1" si="18"/>
        <v/>
      </c>
      <c r="Y85" s="398" t="str">
        <f t="shared" ca="1" si="18"/>
        <v/>
      </c>
      <c r="Z85" s="398" t="str">
        <f t="shared" ca="1" si="18"/>
        <v/>
      </c>
      <c r="AA85" s="398" t="str">
        <f t="shared" ca="1" si="18"/>
        <v/>
      </c>
      <c r="AB85" s="398" t="str">
        <f t="shared" ca="1" si="18"/>
        <v/>
      </c>
      <c r="AC85" s="398" t="str">
        <f t="shared" ca="1" si="18"/>
        <v/>
      </c>
      <c r="AD85" s="398" t="str">
        <f t="shared" ca="1" si="18"/>
        <v/>
      </c>
      <c r="AE85" s="398" t="str">
        <f t="shared" ca="1" si="18"/>
        <v/>
      </c>
      <c r="AF85" s="398">
        <f t="shared" ca="1" si="18"/>
        <v>0</v>
      </c>
      <c r="AG85" s="398">
        <f t="shared" ca="1" si="18"/>
        <v>0</v>
      </c>
      <c r="AH85" s="398">
        <f t="shared" ca="1" si="18"/>
        <v>0</v>
      </c>
      <c r="AI85" s="398">
        <f t="shared" ca="1" si="18"/>
        <v>0</v>
      </c>
      <c r="AJ85" s="398">
        <f t="shared" ca="1" si="18"/>
        <v>0</v>
      </c>
      <c r="AK85" s="398">
        <f t="shared" ca="1" si="18"/>
        <v>0</v>
      </c>
      <c r="AL85" s="398">
        <f t="shared" ca="1" si="18"/>
        <v>56480</v>
      </c>
      <c r="AM85" s="398">
        <f t="shared" ca="1" si="18"/>
        <v>52379</v>
      </c>
      <c r="AN85" s="398">
        <f t="shared" ca="1" si="18"/>
        <v>71686</v>
      </c>
      <c r="AO85" s="398">
        <f t="shared" ca="1" si="18"/>
        <v>0</v>
      </c>
      <c r="AP85" s="398">
        <f t="shared" ca="1" si="18"/>
        <v>0</v>
      </c>
      <c r="AQ85" s="398">
        <f t="shared" ca="1" si="18"/>
        <v>0</v>
      </c>
      <c r="AR85" s="398">
        <f t="shared" ca="1" si="18"/>
        <v>0</v>
      </c>
      <c r="AS85" s="398">
        <f t="shared" ca="1" si="18"/>
        <v>0</v>
      </c>
      <c r="AT85" s="398">
        <f t="shared" ca="1" si="18"/>
        <v>0</v>
      </c>
      <c r="AU85" s="398">
        <f t="shared" ca="1" si="18"/>
        <v>0</v>
      </c>
      <c r="AV85" s="398">
        <f t="shared" ca="1" si="18"/>
        <v>0</v>
      </c>
      <c r="AW85" s="398">
        <f t="shared" ca="1" si="18"/>
        <v>0</v>
      </c>
      <c r="AX85" s="398">
        <f t="shared" ca="1" si="18"/>
        <v>0</v>
      </c>
      <c r="AY85" s="398">
        <f t="shared" ca="1" si="18"/>
        <v>0</v>
      </c>
      <c r="AZ85" s="398">
        <f t="shared" ca="1" si="18"/>
        <v>0</v>
      </c>
      <c r="BA85" s="398">
        <f t="shared" ca="1" si="18"/>
        <v>0</v>
      </c>
      <c r="BB85" s="398">
        <f t="shared" ca="1" si="18"/>
        <v>0</v>
      </c>
      <c r="BC85" s="398">
        <f t="shared" ca="1" si="18"/>
        <v>0</v>
      </c>
      <c r="BD85" s="398">
        <f t="shared" ca="1" si="18"/>
        <v>0</v>
      </c>
      <c r="BE85" s="398">
        <f t="shared" ca="1" si="18"/>
        <v>0</v>
      </c>
      <c r="BF85" s="398">
        <f t="shared" ca="1" si="18"/>
        <v>0</v>
      </c>
      <c r="BG85" s="398">
        <f t="shared" ca="1" si="18"/>
        <v>0</v>
      </c>
      <c r="BH85" s="398">
        <f t="shared" ca="1" si="18"/>
        <v>0</v>
      </c>
      <c r="BI85" s="398">
        <f t="shared" ca="1" si="18"/>
        <v>0</v>
      </c>
    </row>
    <row r="86" spans="1:61" outlineLevel="1" x14ac:dyDescent="0.15">
      <c r="A86" s="408">
        <v>32</v>
      </c>
      <c r="B86" s="398" t="str">
        <f t="shared" ca="1" si="14"/>
        <v/>
      </c>
      <c r="C86" s="398" t="str">
        <f t="shared" ca="1" si="14"/>
        <v/>
      </c>
      <c r="D86" s="398" t="str">
        <f t="shared" ca="1" si="14"/>
        <v/>
      </c>
      <c r="E86" s="398" t="str">
        <f t="shared" ca="1" si="14"/>
        <v/>
      </c>
      <c r="F86" s="398" t="str">
        <f t="shared" ca="1" si="14"/>
        <v/>
      </c>
      <c r="G86" s="398" t="str">
        <f t="shared" ca="1" si="14"/>
        <v/>
      </c>
      <c r="H86" s="398" t="str">
        <f t="shared" ca="1" si="14"/>
        <v/>
      </c>
      <c r="I86" s="398" t="str">
        <f t="shared" ca="1" si="14"/>
        <v/>
      </c>
      <c r="J86" s="398" t="str">
        <f t="shared" ca="1" si="14"/>
        <v/>
      </c>
      <c r="K86" s="398" t="str">
        <f t="shared" ca="1" si="14"/>
        <v/>
      </c>
      <c r="L86" s="398" t="str">
        <f t="shared" ca="1" si="14"/>
        <v/>
      </c>
      <c r="M86" s="398" t="str">
        <f t="shared" ca="1" si="14"/>
        <v/>
      </c>
      <c r="N86" s="398" t="str">
        <f t="shared" ca="1" si="14"/>
        <v/>
      </c>
      <c r="O86" s="398" t="str">
        <f t="shared" ca="1" si="14"/>
        <v/>
      </c>
      <c r="P86" s="398" t="str">
        <f t="shared" ca="1" si="14"/>
        <v/>
      </c>
      <c r="Q86" s="398" t="str">
        <f t="shared" ref="Q86:BW91" ca="1" si="19">IF($A86&gt;Q$5,"",OFFSET(Q$54,0,-($A86-1)))</f>
        <v/>
      </c>
      <c r="R86" s="398" t="str">
        <f t="shared" ca="1" si="19"/>
        <v/>
      </c>
      <c r="S86" s="398" t="str">
        <f t="shared" ca="1" si="19"/>
        <v/>
      </c>
      <c r="T86" s="398" t="str">
        <f t="shared" ca="1" si="19"/>
        <v/>
      </c>
      <c r="U86" s="398" t="str">
        <f t="shared" ca="1" si="19"/>
        <v/>
      </c>
      <c r="V86" s="398" t="str">
        <f t="shared" ca="1" si="19"/>
        <v/>
      </c>
      <c r="W86" s="398" t="str">
        <f t="shared" ca="1" si="19"/>
        <v/>
      </c>
      <c r="X86" s="398" t="str">
        <f t="shared" ca="1" si="19"/>
        <v/>
      </c>
      <c r="Y86" s="398" t="str">
        <f t="shared" ca="1" si="19"/>
        <v/>
      </c>
      <c r="Z86" s="398" t="str">
        <f t="shared" ca="1" si="19"/>
        <v/>
      </c>
      <c r="AA86" s="398" t="str">
        <f t="shared" ca="1" si="19"/>
        <v/>
      </c>
      <c r="AB86" s="398" t="str">
        <f t="shared" ca="1" si="19"/>
        <v/>
      </c>
      <c r="AC86" s="398" t="str">
        <f t="shared" ca="1" si="19"/>
        <v/>
      </c>
      <c r="AD86" s="398" t="str">
        <f t="shared" ca="1" si="19"/>
        <v/>
      </c>
      <c r="AE86" s="398" t="str">
        <f t="shared" ca="1" si="19"/>
        <v/>
      </c>
      <c r="AF86" s="398" t="str">
        <f t="shared" ca="1" si="19"/>
        <v/>
      </c>
      <c r="AG86" s="398">
        <f t="shared" ca="1" si="19"/>
        <v>0</v>
      </c>
      <c r="AH86" s="398">
        <f t="shared" ca="1" si="19"/>
        <v>0</v>
      </c>
      <c r="AI86" s="398">
        <f t="shared" ca="1" si="19"/>
        <v>0</v>
      </c>
      <c r="AJ86" s="398">
        <f t="shared" ca="1" si="19"/>
        <v>0</v>
      </c>
      <c r="AK86" s="398">
        <f t="shared" ca="1" si="19"/>
        <v>0</v>
      </c>
      <c r="AL86" s="398">
        <f t="shared" ca="1" si="19"/>
        <v>0</v>
      </c>
      <c r="AM86" s="398">
        <f t="shared" ca="1" si="19"/>
        <v>56480</v>
      </c>
      <c r="AN86" s="398">
        <f t="shared" ca="1" si="19"/>
        <v>52379</v>
      </c>
      <c r="AO86" s="398">
        <f t="shared" ca="1" si="19"/>
        <v>71686</v>
      </c>
      <c r="AP86" s="398">
        <f t="shared" ca="1" si="19"/>
        <v>0</v>
      </c>
      <c r="AQ86" s="398">
        <f t="shared" ca="1" si="19"/>
        <v>0</v>
      </c>
      <c r="AR86" s="398">
        <f t="shared" ca="1" si="19"/>
        <v>0</v>
      </c>
      <c r="AS86" s="398">
        <f t="shared" ca="1" si="19"/>
        <v>0</v>
      </c>
      <c r="AT86" s="398">
        <f t="shared" ca="1" si="19"/>
        <v>0</v>
      </c>
      <c r="AU86" s="398">
        <f t="shared" ca="1" si="19"/>
        <v>0</v>
      </c>
      <c r="AV86" s="398">
        <f t="shared" ca="1" si="19"/>
        <v>0</v>
      </c>
      <c r="AW86" s="398">
        <f t="shared" ca="1" si="19"/>
        <v>0</v>
      </c>
      <c r="AX86" s="398">
        <f t="shared" ca="1" si="19"/>
        <v>0</v>
      </c>
      <c r="AY86" s="398">
        <f t="shared" ca="1" si="19"/>
        <v>0</v>
      </c>
      <c r="AZ86" s="398">
        <f t="shared" ca="1" si="19"/>
        <v>0</v>
      </c>
      <c r="BA86" s="398">
        <f t="shared" ca="1" si="19"/>
        <v>0</v>
      </c>
      <c r="BB86" s="398">
        <f t="shared" ca="1" si="19"/>
        <v>0</v>
      </c>
      <c r="BC86" s="398">
        <f t="shared" ca="1" si="19"/>
        <v>0</v>
      </c>
      <c r="BD86" s="398">
        <f t="shared" ca="1" si="19"/>
        <v>0</v>
      </c>
      <c r="BE86" s="398">
        <f t="shared" ca="1" si="19"/>
        <v>0</v>
      </c>
      <c r="BF86" s="398">
        <f t="shared" ca="1" si="19"/>
        <v>0</v>
      </c>
      <c r="BG86" s="398">
        <f t="shared" ca="1" si="19"/>
        <v>0</v>
      </c>
      <c r="BH86" s="398">
        <f t="shared" ca="1" si="19"/>
        <v>0</v>
      </c>
      <c r="BI86" s="398">
        <f t="shared" ca="1" si="19"/>
        <v>0</v>
      </c>
    </row>
    <row r="87" spans="1:61" outlineLevel="1" x14ac:dyDescent="0.15">
      <c r="A87" s="408">
        <v>33</v>
      </c>
      <c r="B87" s="398" t="str">
        <f t="shared" ref="B87:Q114" ca="1" si="20">IF($A87&gt;B$5,"",OFFSET(B$54,0,-($A87-1)))</f>
        <v/>
      </c>
      <c r="C87" s="398" t="str">
        <f t="shared" ca="1" si="20"/>
        <v/>
      </c>
      <c r="D87" s="398" t="str">
        <f t="shared" ca="1" si="20"/>
        <v/>
      </c>
      <c r="E87" s="398" t="str">
        <f t="shared" ca="1" si="20"/>
        <v/>
      </c>
      <c r="F87" s="398" t="str">
        <f t="shared" ca="1" si="20"/>
        <v/>
      </c>
      <c r="G87" s="398" t="str">
        <f t="shared" ca="1" si="20"/>
        <v/>
      </c>
      <c r="H87" s="398" t="str">
        <f t="shared" ca="1" si="20"/>
        <v/>
      </c>
      <c r="I87" s="398" t="str">
        <f t="shared" ca="1" si="20"/>
        <v/>
      </c>
      <c r="J87" s="398" t="str">
        <f t="shared" ca="1" si="20"/>
        <v/>
      </c>
      <c r="K87" s="398" t="str">
        <f t="shared" ca="1" si="20"/>
        <v/>
      </c>
      <c r="L87" s="398" t="str">
        <f t="shared" ca="1" si="20"/>
        <v/>
      </c>
      <c r="M87" s="398" t="str">
        <f t="shared" ca="1" si="20"/>
        <v/>
      </c>
      <c r="N87" s="398" t="str">
        <f t="shared" ca="1" si="20"/>
        <v/>
      </c>
      <c r="O87" s="398" t="str">
        <f t="shared" ca="1" si="20"/>
        <v/>
      </c>
      <c r="P87" s="398" t="str">
        <f t="shared" ca="1" si="20"/>
        <v/>
      </c>
      <c r="Q87" s="398" t="str">
        <f t="shared" ca="1" si="20"/>
        <v/>
      </c>
      <c r="R87" s="398" t="str">
        <f t="shared" ca="1" si="19"/>
        <v/>
      </c>
      <c r="S87" s="398" t="str">
        <f t="shared" ca="1" si="19"/>
        <v/>
      </c>
      <c r="T87" s="398" t="str">
        <f t="shared" ca="1" si="19"/>
        <v/>
      </c>
      <c r="U87" s="398" t="str">
        <f t="shared" ca="1" si="19"/>
        <v/>
      </c>
      <c r="V87" s="398" t="str">
        <f t="shared" ca="1" si="19"/>
        <v/>
      </c>
      <c r="W87" s="398" t="str">
        <f t="shared" ca="1" si="19"/>
        <v/>
      </c>
      <c r="X87" s="398" t="str">
        <f t="shared" ca="1" si="19"/>
        <v/>
      </c>
      <c r="Y87" s="398" t="str">
        <f t="shared" ca="1" si="19"/>
        <v/>
      </c>
      <c r="Z87" s="398" t="str">
        <f t="shared" ca="1" si="19"/>
        <v/>
      </c>
      <c r="AA87" s="398" t="str">
        <f t="shared" ca="1" si="19"/>
        <v/>
      </c>
      <c r="AB87" s="398" t="str">
        <f t="shared" ca="1" si="19"/>
        <v/>
      </c>
      <c r="AC87" s="398" t="str">
        <f t="shared" ca="1" si="19"/>
        <v/>
      </c>
      <c r="AD87" s="398" t="str">
        <f t="shared" ca="1" si="19"/>
        <v/>
      </c>
      <c r="AE87" s="398" t="str">
        <f t="shared" ca="1" si="19"/>
        <v/>
      </c>
      <c r="AF87" s="398" t="str">
        <f t="shared" ca="1" si="19"/>
        <v/>
      </c>
      <c r="AG87" s="398" t="str">
        <f t="shared" ca="1" si="19"/>
        <v/>
      </c>
      <c r="AH87" s="398">
        <f t="shared" ca="1" si="19"/>
        <v>0</v>
      </c>
      <c r="AI87" s="398">
        <f t="shared" ca="1" si="19"/>
        <v>0</v>
      </c>
      <c r="AJ87" s="398">
        <f t="shared" ca="1" si="19"/>
        <v>0</v>
      </c>
      <c r="AK87" s="398">
        <f t="shared" ca="1" si="19"/>
        <v>0</v>
      </c>
      <c r="AL87" s="398">
        <f t="shared" ca="1" si="19"/>
        <v>0</v>
      </c>
      <c r="AM87" s="398">
        <f t="shared" ca="1" si="19"/>
        <v>0</v>
      </c>
      <c r="AN87" s="398">
        <f t="shared" ca="1" si="19"/>
        <v>56480</v>
      </c>
      <c r="AO87" s="398">
        <f t="shared" ca="1" si="19"/>
        <v>52379</v>
      </c>
      <c r="AP87" s="398">
        <f t="shared" ca="1" si="19"/>
        <v>71686</v>
      </c>
      <c r="AQ87" s="398">
        <f t="shared" ca="1" si="19"/>
        <v>0</v>
      </c>
      <c r="AR87" s="398">
        <f t="shared" ca="1" si="19"/>
        <v>0</v>
      </c>
      <c r="AS87" s="398">
        <f t="shared" ca="1" si="19"/>
        <v>0</v>
      </c>
      <c r="AT87" s="398">
        <f t="shared" ca="1" si="19"/>
        <v>0</v>
      </c>
      <c r="AU87" s="398">
        <f t="shared" ca="1" si="19"/>
        <v>0</v>
      </c>
      <c r="AV87" s="398">
        <f t="shared" ca="1" si="19"/>
        <v>0</v>
      </c>
      <c r="AW87" s="398">
        <f t="shared" ca="1" si="19"/>
        <v>0</v>
      </c>
      <c r="AX87" s="398">
        <f t="shared" ca="1" si="19"/>
        <v>0</v>
      </c>
      <c r="AY87" s="398">
        <f t="shared" ca="1" si="19"/>
        <v>0</v>
      </c>
      <c r="AZ87" s="398">
        <f t="shared" ca="1" si="19"/>
        <v>0</v>
      </c>
      <c r="BA87" s="398">
        <f t="shared" ca="1" si="19"/>
        <v>0</v>
      </c>
      <c r="BB87" s="398">
        <f t="shared" ca="1" si="19"/>
        <v>0</v>
      </c>
      <c r="BC87" s="398">
        <f t="shared" ca="1" si="19"/>
        <v>0</v>
      </c>
      <c r="BD87" s="398">
        <f t="shared" ca="1" si="19"/>
        <v>0</v>
      </c>
      <c r="BE87" s="398">
        <f t="shared" ca="1" si="19"/>
        <v>0</v>
      </c>
      <c r="BF87" s="398">
        <f t="shared" ca="1" si="19"/>
        <v>0</v>
      </c>
      <c r="BG87" s="398">
        <f t="shared" ca="1" si="19"/>
        <v>0</v>
      </c>
      <c r="BH87" s="398">
        <f t="shared" ca="1" si="19"/>
        <v>0</v>
      </c>
      <c r="BI87" s="398">
        <f t="shared" ca="1" si="19"/>
        <v>0</v>
      </c>
    </row>
    <row r="88" spans="1:61" outlineLevel="1" x14ac:dyDescent="0.15">
      <c r="A88" s="408">
        <v>34</v>
      </c>
      <c r="B88" s="398" t="str">
        <f t="shared" ca="1" si="20"/>
        <v/>
      </c>
      <c r="C88" s="398" t="str">
        <f t="shared" ca="1" si="20"/>
        <v/>
      </c>
      <c r="D88" s="398" t="str">
        <f t="shared" ca="1" si="20"/>
        <v/>
      </c>
      <c r="E88" s="398" t="str">
        <f t="shared" ca="1" si="20"/>
        <v/>
      </c>
      <c r="F88" s="398" t="str">
        <f t="shared" ca="1" si="20"/>
        <v/>
      </c>
      <c r="G88" s="398" t="str">
        <f t="shared" ca="1" si="20"/>
        <v/>
      </c>
      <c r="H88" s="398" t="str">
        <f t="shared" ca="1" si="20"/>
        <v/>
      </c>
      <c r="I88" s="398" t="str">
        <f t="shared" ca="1" si="20"/>
        <v/>
      </c>
      <c r="J88" s="398" t="str">
        <f t="shared" ca="1" si="20"/>
        <v/>
      </c>
      <c r="K88" s="398" t="str">
        <f t="shared" ca="1" si="20"/>
        <v/>
      </c>
      <c r="L88" s="398" t="str">
        <f t="shared" ca="1" si="20"/>
        <v/>
      </c>
      <c r="M88" s="398" t="str">
        <f t="shared" ca="1" si="20"/>
        <v/>
      </c>
      <c r="N88" s="398" t="str">
        <f t="shared" ca="1" si="20"/>
        <v/>
      </c>
      <c r="O88" s="398" t="str">
        <f t="shared" ca="1" si="20"/>
        <v/>
      </c>
      <c r="P88" s="398" t="str">
        <f t="shared" ca="1" si="20"/>
        <v/>
      </c>
      <c r="Q88" s="398" t="str">
        <f t="shared" ca="1" si="20"/>
        <v/>
      </c>
      <c r="R88" s="398" t="str">
        <f t="shared" ca="1" si="19"/>
        <v/>
      </c>
      <c r="S88" s="398" t="str">
        <f t="shared" ca="1" si="19"/>
        <v/>
      </c>
      <c r="T88" s="398" t="str">
        <f t="shared" ca="1" si="19"/>
        <v/>
      </c>
      <c r="U88" s="398" t="str">
        <f t="shared" ca="1" si="19"/>
        <v/>
      </c>
      <c r="V88" s="398" t="str">
        <f t="shared" ca="1" si="19"/>
        <v/>
      </c>
      <c r="W88" s="398" t="str">
        <f t="shared" ca="1" si="19"/>
        <v/>
      </c>
      <c r="X88" s="398" t="str">
        <f t="shared" ca="1" si="19"/>
        <v/>
      </c>
      <c r="Y88" s="398" t="str">
        <f t="shared" ca="1" si="19"/>
        <v/>
      </c>
      <c r="Z88" s="398" t="str">
        <f t="shared" ca="1" si="19"/>
        <v/>
      </c>
      <c r="AA88" s="398" t="str">
        <f t="shared" ca="1" si="19"/>
        <v/>
      </c>
      <c r="AB88" s="398" t="str">
        <f t="shared" ca="1" si="19"/>
        <v/>
      </c>
      <c r="AC88" s="398" t="str">
        <f t="shared" ca="1" si="19"/>
        <v/>
      </c>
      <c r="AD88" s="398" t="str">
        <f t="shared" ca="1" si="19"/>
        <v/>
      </c>
      <c r="AE88" s="398" t="str">
        <f t="shared" ca="1" si="19"/>
        <v/>
      </c>
      <c r="AF88" s="398" t="str">
        <f t="shared" ca="1" si="19"/>
        <v/>
      </c>
      <c r="AG88" s="398" t="str">
        <f t="shared" ca="1" si="19"/>
        <v/>
      </c>
      <c r="AH88" s="398" t="str">
        <f t="shared" ca="1" si="19"/>
        <v/>
      </c>
      <c r="AI88" s="398">
        <f t="shared" ca="1" si="19"/>
        <v>0</v>
      </c>
      <c r="AJ88" s="398">
        <f t="shared" ca="1" si="19"/>
        <v>0</v>
      </c>
      <c r="AK88" s="398">
        <f t="shared" ca="1" si="19"/>
        <v>0</v>
      </c>
      <c r="AL88" s="398">
        <f t="shared" ca="1" si="19"/>
        <v>0</v>
      </c>
      <c r="AM88" s="398">
        <f t="shared" ca="1" si="19"/>
        <v>0</v>
      </c>
      <c r="AN88" s="398">
        <f t="shared" ca="1" si="19"/>
        <v>0</v>
      </c>
      <c r="AO88" s="398">
        <f t="shared" ca="1" si="19"/>
        <v>56480</v>
      </c>
      <c r="AP88" s="398">
        <f t="shared" ca="1" si="19"/>
        <v>52379</v>
      </c>
      <c r="AQ88" s="398">
        <f t="shared" ca="1" si="19"/>
        <v>71686</v>
      </c>
      <c r="AR88" s="398">
        <f t="shared" ca="1" si="19"/>
        <v>0</v>
      </c>
      <c r="AS88" s="398">
        <f t="shared" ca="1" si="19"/>
        <v>0</v>
      </c>
      <c r="AT88" s="398">
        <f t="shared" ca="1" si="19"/>
        <v>0</v>
      </c>
      <c r="AU88" s="398">
        <f t="shared" ca="1" si="19"/>
        <v>0</v>
      </c>
      <c r="AV88" s="398">
        <f t="shared" ca="1" si="19"/>
        <v>0</v>
      </c>
      <c r="AW88" s="398">
        <f t="shared" ca="1" si="19"/>
        <v>0</v>
      </c>
      <c r="AX88" s="398">
        <f t="shared" ca="1" si="19"/>
        <v>0</v>
      </c>
      <c r="AY88" s="398">
        <f t="shared" ca="1" si="19"/>
        <v>0</v>
      </c>
      <c r="AZ88" s="398">
        <f t="shared" ca="1" si="19"/>
        <v>0</v>
      </c>
      <c r="BA88" s="398">
        <f t="shared" ca="1" si="19"/>
        <v>0</v>
      </c>
      <c r="BB88" s="398">
        <f t="shared" ca="1" si="19"/>
        <v>0</v>
      </c>
      <c r="BC88" s="398">
        <f t="shared" ca="1" si="19"/>
        <v>0</v>
      </c>
      <c r="BD88" s="398">
        <f t="shared" ca="1" si="19"/>
        <v>0</v>
      </c>
      <c r="BE88" s="398">
        <f t="shared" ca="1" si="19"/>
        <v>0</v>
      </c>
      <c r="BF88" s="398">
        <f t="shared" ca="1" si="19"/>
        <v>0</v>
      </c>
      <c r="BG88" s="398">
        <f t="shared" ca="1" si="19"/>
        <v>0</v>
      </c>
      <c r="BH88" s="398">
        <f t="shared" ca="1" si="19"/>
        <v>0</v>
      </c>
      <c r="BI88" s="398">
        <f t="shared" ca="1" si="19"/>
        <v>0</v>
      </c>
    </row>
    <row r="89" spans="1:61" outlineLevel="1" x14ac:dyDescent="0.15">
      <c r="A89" s="408">
        <v>35</v>
      </c>
      <c r="B89" s="398" t="str">
        <f t="shared" ca="1" si="20"/>
        <v/>
      </c>
      <c r="C89" s="398" t="str">
        <f t="shared" ca="1" si="20"/>
        <v/>
      </c>
      <c r="D89" s="398" t="str">
        <f t="shared" ca="1" si="20"/>
        <v/>
      </c>
      <c r="E89" s="398" t="str">
        <f t="shared" ca="1" si="20"/>
        <v/>
      </c>
      <c r="F89" s="398" t="str">
        <f t="shared" ca="1" si="20"/>
        <v/>
      </c>
      <c r="G89" s="398" t="str">
        <f t="shared" ca="1" si="20"/>
        <v/>
      </c>
      <c r="H89" s="398" t="str">
        <f t="shared" ca="1" si="20"/>
        <v/>
      </c>
      <c r="I89" s="398" t="str">
        <f t="shared" ca="1" si="20"/>
        <v/>
      </c>
      <c r="J89" s="398" t="str">
        <f t="shared" ca="1" si="20"/>
        <v/>
      </c>
      <c r="K89" s="398" t="str">
        <f t="shared" ca="1" si="20"/>
        <v/>
      </c>
      <c r="L89" s="398" t="str">
        <f t="shared" ca="1" si="20"/>
        <v/>
      </c>
      <c r="M89" s="398" t="str">
        <f t="shared" ca="1" si="20"/>
        <v/>
      </c>
      <c r="N89" s="398" t="str">
        <f t="shared" ca="1" si="20"/>
        <v/>
      </c>
      <c r="O89" s="398" t="str">
        <f t="shared" ca="1" si="20"/>
        <v/>
      </c>
      <c r="P89" s="398" t="str">
        <f t="shared" ca="1" si="20"/>
        <v/>
      </c>
      <c r="Q89" s="398" t="str">
        <f t="shared" ca="1" si="20"/>
        <v/>
      </c>
      <c r="R89" s="398" t="str">
        <f t="shared" ca="1" si="19"/>
        <v/>
      </c>
      <c r="S89" s="398" t="str">
        <f t="shared" ca="1" si="19"/>
        <v/>
      </c>
      <c r="T89" s="398" t="str">
        <f t="shared" ca="1" si="19"/>
        <v/>
      </c>
      <c r="U89" s="398" t="str">
        <f t="shared" ca="1" si="19"/>
        <v/>
      </c>
      <c r="V89" s="398" t="str">
        <f t="shared" ca="1" si="19"/>
        <v/>
      </c>
      <c r="W89" s="398" t="str">
        <f t="shared" ca="1" si="19"/>
        <v/>
      </c>
      <c r="X89" s="398" t="str">
        <f t="shared" ca="1" si="19"/>
        <v/>
      </c>
      <c r="Y89" s="398" t="str">
        <f t="shared" ca="1" si="19"/>
        <v/>
      </c>
      <c r="Z89" s="398" t="str">
        <f t="shared" ca="1" si="19"/>
        <v/>
      </c>
      <c r="AA89" s="398" t="str">
        <f t="shared" ca="1" si="19"/>
        <v/>
      </c>
      <c r="AB89" s="398" t="str">
        <f t="shared" ca="1" si="19"/>
        <v/>
      </c>
      <c r="AC89" s="398" t="str">
        <f t="shared" ca="1" si="19"/>
        <v/>
      </c>
      <c r="AD89" s="398" t="str">
        <f t="shared" ca="1" si="19"/>
        <v/>
      </c>
      <c r="AE89" s="398" t="str">
        <f t="shared" ca="1" si="19"/>
        <v/>
      </c>
      <c r="AF89" s="398" t="str">
        <f t="shared" ca="1" si="19"/>
        <v/>
      </c>
      <c r="AG89" s="398" t="str">
        <f t="shared" ca="1" si="19"/>
        <v/>
      </c>
      <c r="AH89" s="398" t="str">
        <f t="shared" ca="1" si="19"/>
        <v/>
      </c>
      <c r="AI89" s="398" t="str">
        <f t="shared" ca="1" si="19"/>
        <v/>
      </c>
      <c r="AJ89" s="398">
        <f t="shared" ca="1" si="19"/>
        <v>0</v>
      </c>
      <c r="AK89" s="398">
        <f t="shared" ca="1" si="19"/>
        <v>0</v>
      </c>
      <c r="AL89" s="398">
        <f t="shared" ca="1" si="19"/>
        <v>0</v>
      </c>
      <c r="AM89" s="398">
        <f t="shared" ca="1" si="19"/>
        <v>0</v>
      </c>
      <c r="AN89" s="398">
        <f t="shared" ca="1" si="19"/>
        <v>0</v>
      </c>
      <c r="AO89" s="398">
        <f t="shared" ca="1" si="19"/>
        <v>0</v>
      </c>
      <c r="AP89" s="398">
        <f t="shared" ca="1" si="19"/>
        <v>56480</v>
      </c>
      <c r="AQ89" s="398">
        <f t="shared" ca="1" si="19"/>
        <v>52379</v>
      </c>
      <c r="AR89" s="398">
        <f t="shared" ca="1" si="19"/>
        <v>71686</v>
      </c>
      <c r="AS89" s="398">
        <f t="shared" ca="1" si="19"/>
        <v>0</v>
      </c>
      <c r="AT89" s="398">
        <f t="shared" ca="1" si="19"/>
        <v>0</v>
      </c>
      <c r="AU89" s="398">
        <f t="shared" ca="1" si="19"/>
        <v>0</v>
      </c>
      <c r="AV89" s="398">
        <f t="shared" ca="1" si="19"/>
        <v>0</v>
      </c>
      <c r="AW89" s="398">
        <f t="shared" ca="1" si="19"/>
        <v>0</v>
      </c>
      <c r="AX89" s="398">
        <f t="shared" ca="1" si="19"/>
        <v>0</v>
      </c>
      <c r="AY89" s="398">
        <f t="shared" ca="1" si="19"/>
        <v>0</v>
      </c>
      <c r="AZ89" s="398">
        <f t="shared" ca="1" si="19"/>
        <v>0</v>
      </c>
      <c r="BA89" s="398">
        <f t="shared" ca="1" si="19"/>
        <v>0</v>
      </c>
      <c r="BB89" s="398">
        <f t="shared" ca="1" si="19"/>
        <v>0</v>
      </c>
      <c r="BC89" s="398">
        <f t="shared" ca="1" si="19"/>
        <v>0</v>
      </c>
      <c r="BD89" s="398">
        <f t="shared" ca="1" si="19"/>
        <v>0</v>
      </c>
      <c r="BE89" s="398">
        <f t="shared" ca="1" si="19"/>
        <v>0</v>
      </c>
      <c r="BF89" s="398">
        <f t="shared" ca="1" si="19"/>
        <v>0</v>
      </c>
      <c r="BG89" s="398">
        <f t="shared" ca="1" si="19"/>
        <v>0</v>
      </c>
      <c r="BH89" s="398">
        <f t="shared" ca="1" si="19"/>
        <v>0</v>
      </c>
      <c r="BI89" s="398">
        <f t="shared" ca="1" si="19"/>
        <v>0</v>
      </c>
    </row>
    <row r="90" spans="1:61" outlineLevel="1" x14ac:dyDescent="0.15">
      <c r="A90" s="408">
        <v>36</v>
      </c>
      <c r="B90" s="398" t="str">
        <f t="shared" ca="1" si="20"/>
        <v/>
      </c>
      <c r="C90" s="398" t="str">
        <f t="shared" ca="1" si="20"/>
        <v/>
      </c>
      <c r="D90" s="398" t="str">
        <f t="shared" ca="1" si="20"/>
        <v/>
      </c>
      <c r="E90" s="398" t="str">
        <f t="shared" ca="1" si="20"/>
        <v/>
      </c>
      <c r="F90" s="398" t="str">
        <f t="shared" ca="1" si="20"/>
        <v/>
      </c>
      <c r="G90" s="398" t="str">
        <f t="shared" ca="1" si="20"/>
        <v/>
      </c>
      <c r="H90" s="398" t="str">
        <f t="shared" ca="1" si="20"/>
        <v/>
      </c>
      <c r="I90" s="398" t="str">
        <f t="shared" ca="1" si="20"/>
        <v/>
      </c>
      <c r="J90" s="398" t="str">
        <f t="shared" ca="1" si="20"/>
        <v/>
      </c>
      <c r="K90" s="398" t="str">
        <f t="shared" ca="1" si="20"/>
        <v/>
      </c>
      <c r="L90" s="398" t="str">
        <f t="shared" ca="1" si="20"/>
        <v/>
      </c>
      <c r="M90" s="398" t="str">
        <f t="shared" ca="1" si="20"/>
        <v/>
      </c>
      <c r="N90" s="398" t="str">
        <f t="shared" ca="1" si="20"/>
        <v/>
      </c>
      <c r="O90" s="398" t="str">
        <f t="shared" ca="1" si="20"/>
        <v/>
      </c>
      <c r="P90" s="398" t="str">
        <f t="shared" ca="1" si="20"/>
        <v/>
      </c>
      <c r="Q90" s="398" t="str">
        <f t="shared" ca="1" si="20"/>
        <v/>
      </c>
      <c r="R90" s="398" t="str">
        <f t="shared" ca="1" si="19"/>
        <v/>
      </c>
      <c r="S90" s="398" t="str">
        <f t="shared" ca="1" si="19"/>
        <v/>
      </c>
      <c r="T90" s="398" t="str">
        <f t="shared" ca="1" si="19"/>
        <v/>
      </c>
      <c r="U90" s="398" t="str">
        <f t="shared" ca="1" si="19"/>
        <v/>
      </c>
      <c r="V90" s="398" t="str">
        <f t="shared" ca="1" si="19"/>
        <v/>
      </c>
      <c r="W90" s="398" t="str">
        <f t="shared" ca="1" si="19"/>
        <v/>
      </c>
      <c r="X90" s="398" t="str">
        <f t="shared" ca="1" si="19"/>
        <v/>
      </c>
      <c r="Y90" s="398" t="str">
        <f t="shared" ca="1" si="19"/>
        <v/>
      </c>
      <c r="Z90" s="398" t="str">
        <f t="shared" ca="1" si="19"/>
        <v/>
      </c>
      <c r="AA90" s="398" t="str">
        <f t="shared" ca="1" si="19"/>
        <v/>
      </c>
      <c r="AB90" s="398" t="str">
        <f t="shared" ca="1" si="19"/>
        <v/>
      </c>
      <c r="AC90" s="398" t="str">
        <f t="shared" ca="1" si="19"/>
        <v/>
      </c>
      <c r="AD90" s="398" t="str">
        <f t="shared" ca="1" si="19"/>
        <v/>
      </c>
      <c r="AE90" s="398" t="str">
        <f t="shared" ca="1" si="19"/>
        <v/>
      </c>
      <c r="AF90" s="398" t="str">
        <f t="shared" ca="1" si="19"/>
        <v/>
      </c>
      <c r="AG90" s="398" t="str">
        <f t="shared" ca="1" si="19"/>
        <v/>
      </c>
      <c r="AH90" s="398" t="str">
        <f t="shared" ca="1" si="19"/>
        <v/>
      </c>
      <c r="AI90" s="398" t="str">
        <f t="shared" ca="1" si="19"/>
        <v/>
      </c>
      <c r="AJ90" s="398" t="str">
        <f t="shared" ca="1" si="19"/>
        <v/>
      </c>
      <c r="AK90" s="398">
        <f t="shared" ca="1" si="19"/>
        <v>0</v>
      </c>
      <c r="AL90" s="398">
        <f t="shared" ca="1" si="19"/>
        <v>0</v>
      </c>
      <c r="AM90" s="398">
        <f t="shared" ca="1" si="19"/>
        <v>0</v>
      </c>
      <c r="AN90" s="398">
        <f t="shared" ca="1" si="19"/>
        <v>0</v>
      </c>
      <c r="AO90" s="398">
        <f t="shared" ca="1" si="19"/>
        <v>0</v>
      </c>
      <c r="AP90" s="398">
        <f t="shared" ca="1" si="19"/>
        <v>0</v>
      </c>
      <c r="AQ90" s="398">
        <f t="shared" ca="1" si="19"/>
        <v>56480</v>
      </c>
      <c r="AR90" s="398">
        <f t="shared" ca="1" si="19"/>
        <v>52379</v>
      </c>
      <c r="AS90" s="398">
        <f t="shared" ca="1" si="19"/>
        <v>71686</v>
      </c>
      <c r="AT90" s="398">
        <f t="shared" ca="1" si="19"/>
        <v>0</v>
      </c>
      <c r="AU90" s="398">
        <f t="shared" ca="1" si="19"/>
        <v>0</v>
      </c>
      <c r="AV90" s="398">
        <f t="shared" ca="1" si="19"/>
        <v>0</v>
      </c>
      <c r="AW90" s="398">
        <f t="shared" ca="1" si="19"/>
        <v>0</v>
      </c>
      <c r="AX90" s="398">
        <f t="shared" ca="1" si="19"/>
        <v>0</v>
      </c>
      <c r="AY90" s="398">
        <f t="shared" ca="1" si="19"/>
        <v>0</v>
      </c>
      <c r="AZ90" s="398">
        <f t="shared" ca="1" si="19"/>
        <v>0</v>
      </c>
      <c r="BA90" s="398">
        <f t="shared" ca="1" si="19"/>
        <v>0</v>
      </c>
      <c r="BB90" s="398">
        <f t="shared" ca="1" si="19"/>
        <v>0</v>
      </c>
      <c r="BC90" s="398">
        <f t="shared" ca="1" si="19"/>
        <v>0</v>
      </c>
      <c r="BD90" s="398">
        <f t="shared" ca="1" si="19"/>
        <v>0</v>
      </c>
      <c r="BE90" s="398">
        <f t="shared" ca="1" si="19"/>
        <v>0</v>
      </c>
      <c r="BF90" s="398">
        <f t="shared" ca="1" si="19"/>
        <v>0</v>
      </c>
      <c r="BG90" s="398">
        <f t="shared" ca="1" si="19"/>
        <v>0</v>
      </c>
      <c r="BH90" s="398">
        <f t="shared" ca="1" si="19"/>
        <v>0</v>
      </c>
      <c r="BI90" s="398">
        <f t="shared" ca="1" si="19"/>
        <v>0</v>
      </c>
    </row>
    <row r="91" spans="1:61" outlineLevel="1" x14ac:dyDescent="0.15">
      <c r="A91" s="408">
        <v>37</v>
      </c>
      <c r="B91" s="398" t="str">
        <f t="shared" ca="1" si="20"/>
        <v/>
      </c>
      <c r="C91" s="398" t="str">
        <f t="shared" ca="1" si="20"/>
        <v/>
      </c>
      <c r="D91" s="398" t="str">
        <f t="shared" ca="1" si="20"/>
        <v/>
      </c>
      <c r="E91" s="398" t="str">
        <f t="shared" ca="1" si="20"/>
        <v/>
      </c>
      <c r="F91" s="398" t="str">
        <f t="shared" ca="1" si="20"/>
        <v/>
      </c>
      <c r="G91" s="398" t="str">
        <f t="shared" ca="1" si="20"/>
        <v/>
      </c>
      <c r="H91" s="398" t="str">
        <f t="shared" ca="1" si="20"/>
        <v/>
      </c>
      <c r="I91" s="398" t="str">
        <f t="shared" ca="1" si="20"/>
        <v/>
      </c>
      <c r="J91" s="398" t="str">
        <f t="shared" ca="1" si="20"/>
        <v/>
      </c>
      <c r="K91" s="398" t="str">
        <f t="shared" ca="1" si="20"/>
        <v/>
      </c>
      <c r="L91" s="398" t="str">
        <f t="shared" ca="1" si="20"/>
        <v/>
      </c>
      <c r="M91" s="398" t="str">
        <f t="shared" ca="1" si="20"/>
        <v/>
      </c>
      <c r="N91" s="398" t="str">
        <f t="shared" ca="1" si="20"/>
        <v/>
      </c>
      <c r="O91" s="398" t="str">
        <f t="shared" ca="1" si="20"/>
        <v/>
      </c>
      <c r="P91" s="398" t="str">
        <f t="shared" ca="1" si="20"/>
        <v/>
      </c>
      <c r="Q91" s="398" t="str">
        <f t="shared" ca="1" si="20"/>
        <v/>
      </c>
      <c r="R91" s="398" t="str">
        <f t="shared" ca="1" si="19"/>
        <v/>
      </c>
      <c r="S91" s="398" t="str">
        <f t="shared" ca="1" si="19"/>
        <v/>
      </c>
      <c r="T91" s="398" t="str">
        <f t="shared" ca="1" si="19"/>
        <v/>
      </c>
      <c r="U91" s="398" t="str">
        <f t="shared" ca="1" si="19"/>
        <v/>
      </c>
      <c r="V91" s="398" t="str">
        <f t="shared" ca="1" si="19"/>
        <v/>
      </c>
      <c r="W91" s="398" t="str">
        <f t="shared" ca="1" si="19"/>
        <v/>
      </c>
      <c r="X91" s="398" t="str">
        <f t="shared" ca="1" si="19"/>
        <v/>
      </c>
      <c r="Y91" s="398" t="str">
        <f t="shared" ca="1" si="19"/>
        <v/>
      </c>
      <c r="Z91" s="398" t="str">
        <f t="shared" ca="1" si="19"/>
        <v/>
      </c>
      <c r="AA91" s="398" t="str">
        <f t="shared" ca="1" si="19"/>
        <v/>
      </c>
      <c r="AB91" s="398" t="str">
        <f t="shared" ca="1" si="19"/>
        <v/>
      </c>
      <c r="AC91" s="398" t="str">
        <f t="shared" ca="1" si="19"/>
        <v/>
      </c>
      <c r="AD91" s="398" t="str">
        <f t="shared" ca="1" si="19"/>
        <v/>
      </c>
      <c r="AE91" s="398" t="str">
        <f t="shared" ca="1" si="19"/>
        <v/>
      </c>
      <c r="AF91" s="398" t="str">
        <f t="shared" ca="1" si="19"/>
        <v/>
      </c>
      <c r="AG91" s="398" t="str">
        <f t="shared" ca="1" si="19"/>
        <v/>
      </c>
      <c r="AH91" s="398" t="str">
        <f t="shared" ca="1" si="19"/>
        <v/>
      </c>
      <c r="AI91" s="398" t="str">
        <f t="shared" ca="1" si="19"/>
        <v/>
      </c>
      <c r="AJ91" s="398" t="str">
        <f t="shared" ca="1" si="19"/>
        <v/>
      </c>
      <c r="AK91" s="398" t="str">
        <f t="shared" ca="1" si="19"/>
        <v/>
      </c>
      <c r="AL91" s="398">
        <f t="shared" ca="1" si="19"/>
        <v>0</v>
      </c>
      <c r="AM91" s="398">
        <f t="shared" ca="1" si="19"/>
        <v>0</v>
      </c>
      <c r="AN91" s="398">
        <f t="shared" ca="1" si="19"/>
        <v>0</v>
      </c>
      <c r="AO91" s="398">
        <f t="shared" ca="1" si="19"/>
        <v>0</v>
      </c>
      <c r="AP91" s="398">
        <f t="shared" ca="1" si="19"/>
        <v>0</v>
      </c>
      <c r="AQ91" s="398">
        <f t="shared" ca="1" si="19"/>
        <v>0</v>
      </c>
      <c r="AR91" s="398">
        <f t="shared" ca="1" si="19"/>
        <v>56480</v>
      </c>
      <c r="AS91" s="398">
        <f t="shared" ca="1" si="19"/>
        <v>52379</v>
      </c>
      <c r="AT91" s="398">
        <f t="shared" ca="1" si="19"/>
        <v>71686</v>
      </c>
      <c r="AU91" s="398">
        <f t="shared" ca="1" si="19"/>
        <v>0</v>
      </c>
      <c r="AV91" s="398">
        <f t="shared" ca="1" si="19"/>
        <v>0</v>
      </c>
      <c r="AW91" s="398">
        <f t="shared" ca="1" si="19"/>
        <v>0</v>
      </c>
      <c r="AX91" s="398">
        <f t="shared" ca="1" si="19"/>
        <v>0</v>
      </c>
      <c r="AY91" s="398">
        <f t="shared" ca="1" si="19"/>
        <v>0</v>
      </c>
      <c r="AZ91" s="398">
        <f t="shared" ref="AZ91:DF96" ca="1" si="21">IF($A91&gt;AZ$5,"",OFFSET(AZ$54,0,-($A91-1)))</f>
        <v>0</v>
      </c>
      <c r="BA91" s="398">
        <f t="shared" ca="1" si="21"/>
        <v>0</v>
      </c>
      <c r="BB91" s="398">
        <f t="shared" ca="1" si="21"/>
        <v>0</v>
      </c>
      <c r="BC91" s="398">
        <f t="shared" ca="1" si="21"/>
        <v>0</v>
      </c>
      <c r="BD91" s="398">
        <f t="shared" ca="1" si="21"/>
        <v>0</v>
      </c>
      <c r="BE91" s="398">
        <f t="shared" ca="1" si="21"/>
        <v>0</v>
      </c>
      <c r="BF91" s="398">
        <f t="shared" ca="1" si="21"/>
        <v>0</v>
      </c>
      <c r="BG91" s="398">
        <f t="shared" ca="1" si="21"/>
        <v>0</v>
      </c>
      <c r="BH91" s="398">
        <f t="shared" ca="1" si="21"/>
        <v>0</v>
      </c>
      <c r="BI91" s="398">
        <f t="shared" ca="1" si="21"/>
        <v>0</v>
      </c>
    </row>
    <row r="92" spans="1:61" outlineLevel="1" x14ac:dyDescent="0.15">
      <c r="A92" s="408">
        <v>38</v>
      </c>
      <c r="B92" s="398" t="str">
        <f t="shared" ca="1" si="20"/>
        <v/>
      </c>
      <c r="C92" s="398" t="str">
        <f t="shared" ca="1" si="20"/>
        <v/>
      </c>
      <c r="D92" s="398" t="str">
        <f t="shared" ca="1" si="20"/>
        <v/>
      </c>
      <c r="E92" s="398" t="str">
        <f t="shared" ca="1" si="20"/>
        <v/>
      </c>
      <c r="F92" s="398" t="str">
        <f t="shared" ca="1" si="20"/>
        <v/>
      </c>
      <c r="G92" s="398" t="str">
        <f t="shared" ca="1" si="20"/>
        <v/>
      </c>
      <c r="H92" s="398" t="str">
        <f t="shared" ca="1" si="20"/>
        <v/>
      </c>
      <c r="I92" s="398" t="str">
        <f t="shared" ca="1" si="20"/>
        <v/>
      </c>
      <c r="J92" s="398" t="str">
        <f t="shared" ca="1" si="20"/>
        <v/>
      </c>
      <c r="K92" s="398" t="str">
        <f t="shared" ca="1" si="20"/>
        <v/>
      </c>
      <c r="L92" s="398" t="str">
        <f t="shared" ca="1" si="20"/>
        <v/>
      </c>
      <c r="M92" s="398" t="str">
        <f t="shared" ca="1" si="20"/>
        <v/>
      </c>
      <c r="N92" s="398" t="str">
        <f t="shared" ca="1" si="20"/>
        <v/>
      </c>
      <c r="O92" s="398" t="str">
        <f t="shared" ca="1" si="20"/>
        <v/>
      </c>
      <c r="P92" s="398" t="str">
        <f t="shared" ca="1" si="20"/>
        <v/>
      </c>
      <c r="Q92" s="398" t="str">
        <f t="shared" ca="1" si="20"/>
        <v/>
      </c>
      <c r="R92" s="398" t="str">
        <f t="shared" ref="R92:BX97" ca="1" si="22">IF($A92&gt;R$5,"",OFFSET(R$54,0,-($A92-1)))</f>
        <v/>
      </c>
      <c r="S92" s="398" t="str">
        <f t="shared" ca="1" si="22"/>
        <v/>
      </c>
      <c r="T92" s="398" t="str">
        <f t="shared" ca="1" si="22"/>
        <v/>
      </c>
      <c r="U92" s="398" t="str">
        <f t="shared" ca="1" si="22"/>
        <v/>
      </c>
      <c r="V92" s="398" t="str">
        <f t="shared" ca="1" si="22"/>
        <v/>
      </c>
      <c r="W92" s="398" t="str">
        <f t="shared" ca="1" si="22"/>
        <v/>
      </c>
      <c r="X92" s="398" t="str">
        <f t="shared" ca="1" si="22"/>
        <v/>
      </c>
      <c r="Y92" s="398" t="str">
        <f t="shared" ca="1" si="22"/>
        <v/>
      </c>
      <c r="Z92" s="398" t="str">
        <f t="shared" ca="1" si="22"/>
        <v/>
      </c>
      <c r="AA92" s="398" t="str">
        <f t="shared" ca="1" si="22"/>
        <v/>
      </c>
      <c r="AB92" s="398" t="str">
        <f t="shared" ca="1" si="22"/>
        <v/>
      </c>
      <c r="AC92" s="398" t="str">
        <f t="shared" ca="1" si="22"/>
        <v/>
      </c>
      <c r="AD92" s="398" t="str">
        <f t="shared" ca="1" si="22"/>
        <v/>
      </c>
      <c r="AE92" s="398" t="str">
        <f t="shared" ca="1" si="22"/>
        <v/>
      </c>
      <c r="AF92" s="398" t="str">
        <f t="shared" ca="1" si="22"/>
        <v/>
      </c>
      <c r="AG92" s="398" t="str">
        <f t="shared" ca="1" si="22"/>
        <v/>
      </c>
      <c r="AH92" s="398" t="str">
        <f t="shared" ca="1" si="22"/>
        <v/>
      </c>
      <c r="AI92" s="398" t="str">
        <f t="shared" ca="1" si="22"/>
        <v/>
      </c>
      <c r="AJ92" s="398" t="str">
        <f t="shared" ca="1" si="22"/>
        <v/>
      </c>
      <c r="AK92" s="398" t="str">
        <f t="shared" ca="1" si="22"/>
        <v/>
      </c>
      <c r="AL92" s="398" t="str">
        <f t="shared" ca="1" si="22"/>
        <v/>
      </c>
      <c r="AM92" s="398">
        <f t="shared" ca="1" si="22"/>
        <v>0</v>
      </c>
      <c r="AN92" s="398">
        <f t="shared" ca="1" si="22"/>
        <v>0</v>
      </c>
      <c r="AO92" s="398">
        <f t="shared" ca="1" si="22"/>
        <v>0</v>
      </c>
      <c r="AP92" s="398">
        <f t="shared" ca="1" si="22"/>
        <v>0</v>
      </c>
      <c r="AQ92" s="398">
        <f t="shared" ca="1" si="22"/>
        <v>0</v>
      </c>
      <c r="AR92" s="398">
        <f t="shared" ca="1" si="22"/>
        <v>0</v>
      </c>
      <c r="AS92" s="398">
        <f t="shared" ca="1" si="22"/>
        <v>56480</v>
      </c>
      <c r="AT92" s="398">
        <f t="shared" ca="1" si="22"/>
        <v>52379</v>
      </c>
      <c r="AU92" s="398">
        <f t="shared" ca="1" si="22"/>
        <v>71686</v>
      </c>
      <c r="AV92" s="398">
        <f t="shared" ca="1" si="22"/>
        <v>0</v>
      </c>
      <c r="AW92" s="398">
        <f t="shared" ca="1" si="22"/>
        <v>0</v>
      </c>
      <c r="AX92" s="398">
        <f t="shared" ca="1" si="22"/>
        <v>0</v>
      </c>
      <c r="AY92" s="398">
        <f t="shared" ca="1" si="22"/>
        <v>0</v>
      </c>
      <c r="AZ92" s="398">
        <f t="shared" ca="1" si="22"/>
        <v>0</v>
      </c>
      <c r="BA92" s="398">
        <f t="shared" ca="1" si="22"/>
        <v>0</v>
      </c>
      <c r="BB92" s="398">
        <f t="shared" ca="1" si="22"/>
        <v>0</v>
      </c>
      <c r="BC92" s="398">
        <f t="shared" ca="1" si="22"/>
        <v>0</v>
      </c>
      <c r="BD92" s="398">
        <f t="shared" ca="1" si="22"/>
        <v>0</v>
      </c>
      <c r="BE92" s="398">
        <f t="shared" ca="1" si="22"/>
        <v>0</v>
      </c>
      <c r="BF92" s="398">
        <f t="shared" ca="1" si="22"/>
        <v>0</v>
      </c>
      <c r="BG92" s="398">
        <f t="shared" ca="1" si="22"/>
        <v>0</v>
      </c>
      <c r="BH92" s="398">
        <f t="shared" ca="1" si="22"/>
        <v>0</v>
      </c>
      <c r="BI92" s="398">
        <f t="shared" ca="1" si="22"/>
        <v>0</v>
      </c>
    </row>
    <row r="93" spans="1:61" outlineLevel="1" x14ac:dyDescent="0.15">
      <c r="A93" s="408">
        <v>39</v>
      </c>
      <c r="B93" s="398" t="str">
        <f t="shared" ca="1" si="20"/>
        <v/>
      </c>
      <c r="C93" s="398" t="str">
        <f t="shared" ca="1" si="20"/>
        <v/>
      </c>
      <c r="D93" s="398" t="str">
        <f t="shared" ca="1" si="20"/>
        <v/>
      </c>
      <c r="E93" s="398" t="str">
        <f t="shared" ca="1" si="20"/>
        <v/>
      </c>
      <c r="F93" s="398" t="str">
        <f t="shared" ca="1" si="20"/>
        <v/>
      </c>
      <c r="G93" s="398" t="str">
        <f t="shared" ca="1" si="20"/>
        <v/>
      </c>
      <c r="H93" s="398" t="str">
        <f t="shared" ca="1" si="20"/>
        <v/>
      </c>
      <c r="I93" s="398" t="str">
        <f t="shared" ca="1" si="20"/>
        <v/>
      </c>
      <c r="J93" s="398" t="str">
        <f t="shared" ca="1" si="20"/>
        <v/>
      </c>
      <c r="K93" s="398" t="str">
        <f t="shared" ca="1" si="20"/>
        <v/>
      </c>
      <c r="L93" s="398" t="str">
        <f t="shared" ca="1" si="20"/>
        <v/>
      </c>
      <c r="M93" s="398" t="str">
        <f t="shared" ca="1" si="20"/>
        <v/>
      </c>
      <c r="N93" s="398" t="str">
        <f t="shared" ca="1" si="20"/>
        <v/>
      </c>
      <c r="O93" s="398" t="str">
        <f t="shared" ca="1" si="20"/>
        <v/>
      </c>
      <c r="P93" s="398" t="str">
        <f t="shared" ca="1" si="20"/>
        <v/>
      </c>
      <c r="Q93" s="398" t="str">
        <f t="shared" ca="1" si="20"/>
        <v/>
      </c>
      <c r="R93" s="398" t="str">
        <f t="shared" ca="1" si="22"/>
        <v/>
      </c>
      <c r="S93" s="398" t="str">
        <f t="shared" ca="1" si="22"/>
        <v/>
      </c>
      <c r="T93" s="398" t="str">
        <f t="shared" ca="1" si="22"/>
        <v/>
      </c>
      <c r="U93" s="398" t="str">
        <f t="shared" ca="1" si="22"/>
        <v/>
      </c>
      <c r="V93" s="398" t="str">
        <f t="shared" ca="1" si="22"/>
        <v/>
      </c>
      <c r="W93" s="398" t="str">
        <f t="shared" ca="1" si="22"/>
        <v/>
      </c>
      <c r="X93" s="398" t="str">
        <f t="shared" ca="1" si="22"/>
        <v/>
      </c>
      <c r="Y93" s="398" t="str">
        <f t="shared" ca="1" si="22"/>
        <v/>
      </c>
      <c r="Z93" s="398" t="str">
        <f t="shared" ca="1" si="22"/>
        <v/>
      </c>
      <c r="AA93" s="398" t="str">
        <f t="shared" ca="1" si="22"/>
        <v/>
      </c>
      <c r="AB93" s="398" t="str">
        <f t="shared" ca="1" si="22"/>
        <v/>
      </c>
      <c r="AC93" s="398" t="str">
        <f t="shared" ca="1" si="22"/>
        <v/>
      </c>
      <c r="AD93" s="398" t="str">
        <f t="shared" ca="1" si="22"/>
        <v/>
      </c>
      <c r="AE93" s="398" t="str">
        <f t="shared" ca="1" si="22"/>
        <v/>
      </c>
      <c r="AF93" s="398" t="str">
        <f t="shared" ca="1" si="22"/>
        <v/>
      </c>
      <c r="AG93" s="398" t="str">
        <f t="shared" ca="1" si="22"/>
        <v/>
      </c>
      <c r="AH93" s="398" t="str">
        <f t="shared" ca="1" si="22"/>
        <v/>
      </c>
      <c r="AI93" s="398" t="str">
        <f t="shared" ca="1" si="22"/>
        <v/>
      </c>
      <c r="AJ93" s="398" t="str">
        <f t="shared" ca="1" si="22"/>
        <v/>
      </c>
      <c r="AK93" s="398" t="str">
        <f t="shared" ca="1" si="22"/>
        <v/>
      </c>
      <c r="AL93" s="398" t="str">
        <f t="shared" ca="1" si="22"/>
        <v/>
      </c>
      <c r="AM93" s="398" t="str">
        <f t="shared" ca="1" si="22"/>
        <v/>
      </c>
      <c r="AN93" s="398">
        <f t="shared" ca="1" si="22"/>
        <v>0</v>
      </c>
      <c r="AO93" s="398">
        <f t="shared" ca="1" si="22"/>
        <v>0</v>
      </c>
      <c r="AP93" s="398">
        <f t="shared" ca="1" si="22"/>
        <v>0</v>
      </c>
      <c r="AQ93" s="398">
        <f t="shared" ca="1" si="22"/>
        <v>0</v>
      </c>
      <c r="AR93" s="398">
        <f t="shared" ca="1" si="22"/>
        <v>0</v>
      </c>
      <c r="AS93" s="398">
        <f t="shared" ca="1" si="22"/>
        <v>0</v>
      </c>
      <c r="AT93" s="398">
        <f t="shared" ca="1" si="22"/>
        <v>56480</v>
      </c>
      <c r="AU93" s="398">
        <f t="shared" ca="1" si="22"/>
        <v>52379</v>
      </c>
      <c r="AV93" s="398">
        <f t="shared" ca="1" si="22"/>
        <v>71686</v>
      </c>
      <c r="AW93" s="398">
        <f t="shared" ca="1" si="22"/>
        <v>0</v>
      </c>
      <c r="AX93" s="398">
        <f t="shared" ca="1" si="22"/>
        <v>0</v>
      </c>
      <c r="AY93" s="398">
        <f t="shared" ca="1" si="22"/>
        <v>0</v>
      </c>
      <c r="AZ93" s="398">
        <f t="shared" ca="1" si="22"/>
        <v>0</v>
      </c>
      <c r="BA93" s="398">
        <f t="shared" ca="1" si="22"/>
        <v>0</v>
      </c>
      <c r="BB93" s="398">
        <f t="shared" ca="1" si="22"/>
        <v>0</v>
      </c>
      <c r="BC93" s="398">
        <f t="shared" ca="1" si="22"/>
        <v>0</v>
      </c>
      <c r="BD93" s="398">
        <f t="shared" ca="1" si="22"/>
        <v>0</v>
      </c>
      <c r="BE93" s="398">
        <f t="shared" ca="1" si="22"/>
        <v>0</v>
      </c>
      <c r="BF93" s="398">
        <f t="shared" ca="1" si="22"/>
        <v>0</v>
      </c>
      <c r="BG93" s="398">
        <f t="shared" ca="1" si="22"/>
        <v>0</v>
      </c>
      <c r="BH93" s="398">
        <f t="shared" ca="1" si="22"/>
        <v>0</v>
      </c>
      <c r="BI93" s="398">
        <f t="shared" ca="1" si="22"/>
        <v>0</v>
      </c>
    </row>
    <row r="94" spans="1:61" outlineLevel="1" x14ac:dyDescent="0.15">
      <c r="A94" s="408">
        <v>40</v>
      </c>
      <c r="B94" s="398" t="str">
        <f t="shared" ca="1" si="20"/>
        <v/>
      </c>
      <c r="C94" s="398" t="str">
        <f t="shared" ca="1" si="20"/>
        <v/>
      </c>
      <c r="D94" s="398" t="str">
        <f t="shared" ca="1" si="20"/>
        <v/>
      </c>
      <c r="E94" s="398" t="str">
        <f t="shared" ca="1" si="20"/>
        <v/>
      </c>
      <c r="F94" s="398" t="str">
        <f t="shared" ca="1" si="20"/>
        <v/>
      </c>
      <c r="G94" s="398" t="str">
        <f t="shared" ca="1" si="20"/>
        <v/>
      </c>
      <c r="H94" s="398" t="str">
        <f t="shared" ca="1" si="20"/>
        <v/>
      </c>
      <c r="I94" s="398" t="str">
        <f t="shared" ca="1" si="20"/>
        <v/>
      </c>
      <c r="J94" s="398" t="str">
        <f t="shared" ca="1" si="20"/>
        <v/>
      </c>
      <c r="K94" s="398" t="str">
        <f t="shared" ca="1" si="20"/>
        <v/>
      </c>
      <c r="L94" s="398" t="str">
        <f t="shared" ca="1" si="20"/>
        <v/>
      </c>
      <c r="M94" s="398" t="str">
        <f t="shared" ca="1" si="20"/>
        <v/>
      </c>
      <c r="N94" s="398" t="str">
        <f t="shared" ca="1" si="20"/>
        <v/>
      </c>
      <c r="O94" s="398" t="str">
        <f t="shared" ca="1" si="20"/>
        <v/>
      </c>
      <c r="P94" s="398" t="str">
        <f t="shared" ca="1" si="20"/>
        <v/>
      </c>
      <c r="Q94" s="398" t="str">
        <f t="shared" ca="1" si="20"/>
        <v/>
      </c>
      <c r="R94" s="398" t="str">
        <f t="shared" ca="1" si="22"/>
        <v/>
      </c>
      <c r="S94" s="398" t="str">
        <f t="shared" ca="1" si="22"/>
        <v/>
      </c>
      <c r="T94" s="398" t="str">
        <f t="shared" ca="1" si="22"/>
        <v/>
      </c>
      <c r="U94" s="398" t="str">
        <f t="shared" ca="1" si="22"/>
        <v/>
      </c>
      <c r="V94" s="398" t="str">
        <f t="shared" ca="1" si="22"/>
        <v/>
      </c>
      <c r="W94" s="398" t="str">
        <f t="shared" ca="1" si="22"/>
        <v/>
      </c>
      <c r="X94" s="398" t="str">
        <f t="shared" ca="1" si="22"/>
        <v/>
      </c>
      <c r="Y94" s="398" t="str">
        <f t="shared" ca="1" si="22"/>
        <v/>
      </c>
      <c r="Z94" s="398" t="str">
        <f t="shared" ca="1" si="22"/>
        <v/>
      </c>
      <c r="AA94" s="398" t="str">
        <f t="shared" ca="1" si="22"/>
        <v/>
      </c>
      <c r="AB94" s="398" t="str">
        <f t="shared" ca="1" si="22"/>
        <v/>
      </c>
      <c r="AC94" s="398" t="str">
        <f t="shared" ca="1" si="22"/>
        <v/>
      </c>
      <c r="AD94" s="398" t="str">
        <f t="shared" ca="1" si="22"/>
        <v/>
      </c>
      <c r="AE94" s="398" t="str">
        <f t="shared" ca="1" si="22"/>
        <v/>
      </c>
      <c r="AF94" s="398" t="str">
        <f t="shared" ca="1" si="22"/>
        <v/>
      </c>
      <c r="AG94" s="398" t="str">
        <f t="shared" ca="1" si="22"/>
        <v/>
      </c>
      <c r="AH94" s="398" t="str">
        <f t="shared" ca="1" si="22"/>
        <v/>
      </c>
      <c r="AI94" s="398" t="str">
        <f t="shared" ca="1" si="22"/>
        <v/>
      </c>
      <c r="AJ94" s="398" t="str">
        <f t="shared" ca="1" si="22"/>
        <v/>
      </c>
      <c r="AK94" s="398" t="str">
        <f t="shared" ca="1" si="22"/>
        <v/>
      </c>
      <c r="AL94" s="398" t="str">
        <f t="shared" ca="1" si="22"/>
        <v/>
      </c>
      <c r="AM94" s="398" t="str">
        <f t="shared" ca="1" si="22"/>
        <v/>
      </c>
      <c r="AN94" s="398" t="str">
        <f t="shared" ca="1" si="22"/>
        <v/>
      </c>
      <c r="AO94" s="398">
        <f t="shared" ca="1" si="22"/>
        <v>0</v>
      </c>
      <c r="AP94" s="398">
        <f t="shared" ca="1" si="22"/>
        <v>0</v>
      </c>
      <c r="AQ94" s="398">
        <f t="shared" ca="1" si="22"/>
        <v>0</v>
      </c>
      <c r="AR94" s="398">
        <f t="shared" ca="1" si="22"/>
        <v>0</v>
      </c>
      <c r="AS94" s="398">
        <f t="shared" ca="1" si="22"/>
        <v>0</v>
      </c>
      <c r="AT94" s="398">
        <f t="shared" ca="1" si="22"/>
        <v>0</v>
      </c>
      <c r="AU94" s="398">
        <f t="shared" ca="1" si="22"/>
        <v>56480</v>
      </c>
      <c r="AV94" s="398">
        <f t="shared" ca="1" si="22"/>
        <v>52379</v>
      </c>
      <c r="AW94" s="398">
        <f t="shared" ca="1" si="22"/>
        <v>71686</v>
      </c>
      <c r="AX94" s="398">
        <f t="shared" ca="1" si="22"/>
        <v>0</v>
      </c>
      <c r="AY94" s="398">
        <f t="shared" ca="1" si="22"/>
        <v>0</v>
      </c>
      <c r="AZ94" s="398">
        <f t="shared" ca="1" si="22"/>
        <v>0</v>
      </c>
      <c r="BA94" s="398">
        <f t="shared" ca="1" si="22"/>
        <v>0</v>
      </c>
      <c r="BB94" s="398">
        <f t="shared" ca="1" si="22"/>
        <v>0</v>
      </c>
      <c r="BC94" s="398">
        <f t="shared" ca="1" si="22"/>
        <v>0</v>
      </c>
      <c r="BD94" s="398">
        <f t="shared" ca="1" si="22"/>
        <v>0</v>
      </c>
      <c r="BE94" s="398">
        <f t="shared" ca="1" si="22"/>
        <v>0</v>
      </c>
      <c r="BF94" s="398">
        <f t="shared" ca="1" si="22"/>
        <v>0</v>
      </c>
      <c r="BG94" s="398">
        <f t="shared" ca="1" si="22"/>
        <v>0</v>
      </c>
      <c r="BH94" s="398">
        <f t="shared" ca="1" si="22"/>
        <v>0</v>
      </c>
      <c r="BI94" s="398">
        <f t="shared" ca="1" si="22"/>
        <v>0</v>
      </c>
    </row>
    <row r="95" spans="1:61" outlineLevel="1" x14ac:dyDescent="0.15">
      <c r="A95" s="408">
        <v>41</v>
      </c>
      <c r="B95" s="398" t="str">
        <f t="shared" ca="1" si="20"/>
        <v/>
      </c>
      <c r="C95" s="398" t="str">
        <f t="shared" ca="1" si="20"/>
        <v/>
      </c>
      <c r="D95" s="398" t="str">
        <f t="shared" ca="1" si="20"/>
        <v/>
      </c>
      <c r="E95" s="398" t="str">
        <f t="shared" ca="1" si="20"/>
        <v/>
      </c>
      <c r="F95" s="398" t="str">
        <f t="shared" ca="1" si="20"/>
        <v/>
      </c>
      <c r="G95" s="398" t="str">
        <f t="shared" ca="1" si="20"/>
        <v/>
      </c>
      <c r="H95" s="398" t="str">
        <f t="shared" ca="1" si="20"/>
        <v/>
      </c>
      <c r="I95" s="398" t="str">
        <f t="shared" ca="1" si="20"/>
        <v/>
      </c>
      <c r="J95" s="398" t="str">
        <f t="shared" ca="1" si="20"/>
        <v/>
      </c>
      <c r="K95" s="398" t="str">
        <f t="shared" ca="1" si="20"/>
        <v/>
      </c>
      <c r="L95" s="398" t="str">
        <f t="shared" ca="1" si="20"/>
        <v/>
      </c>
      <c r="M95" s="398" t="str">
        <f t="shared" ca="1" si="20"/>
        <v/>
      </c>
      <c r="N95" s="398" t="str">
        <f t="shared" ca="1" si="20"/>
        <v/>
      </c>
      <c r="O95" s="398" t="str">
        <f t="shared" ca="1" si="20"/>
        <v/>
      </c>
      <c r="P95" s="398" t="str">
        <f t="shared" ca="1" si="20"/>
        <v/>
      </c>
      <c r="Q95" s="398" t="str">
        <f t="shared" ca="1" si="20"/>
        <v/>
      </c>
      <c r="R95" s="398" t="str">
        <f t="shared" ca="1" si="22"/>
        <v/>
      </c>
      <c r="S95" s="398" t="str">
        <f t="shared" ca="1" si="22"/>
        <v/>
      </c>
      <c r="T95" s="398" t="str">
        <f t="shared" ca="1" si="22"/>
        <v/>
      </c>
      <c r="U95" s="398" t="str">
        <f t="shared" ca="1" si="22"/>
        <v/>
      </c>
      <c r="V95" s="398" t="str">
        <f t="shared" ca="1" si="22"/>
        <v/>
      </c>
      <c r="W95" s="398" t="str">
        <f t="shared" ca="1" si="22"/>
        <v/>
      </c>
      <c r="X95" s="398" t="str">
        <f t="shared" ca="1" si="22"/>
        <v/>
      </c>
      <c r="Y95" s="398" t="str">
        <f t="shared" ca="1" si="22"/>
        <v/>
      </c>
      <c r="Z95" s="398" t="str">
        <f t="shared" ca="1" si="22"/>
        <v/>
      </c>
      <c r="AA95" s="398" t="str">
        <f t="shared" ca="1" si="22"/>
        <v/>
      </c>
      <c r="AB95" s="398" t="str">
        <f t="shared" ca="1" si="22"/>
        <v/>
      </c>
      <c r="AC95" s="398" t="str">
        <f t="shared" ca="1" si="22"/>
        <v/>
      </c>
      <c r="AD95" s="398" t="str">
        <f t="shared" ca="1" si="22"/>
        <v/>
      </c>
      <c r="AE95" s="398" t="str">
        <f t="shared" ca="1" si="22"/>
        <v/>
      </c>
      <c r="AF95" s="398" t="str">
        <f t="shared" ca="1" si="22"/>
        <v/>
      </c>
      <c r="AG95" s="398" t="str">
        <f t="shared" ca="1" si="22"/>
        <v/>
      </c>
      <c r="AH95" s="398" t="str">
        <f t="shared" ca="1" si="22"/>
        <v/>
      </c>
      <c r="AI95" s="398" t="str">
        <f t="shared" ca="1" si="22"/>
        <v/>
      </c>
      <c r="AJ95" s="398" t="str">
        <f t="shared" ca="1" si="22"/>
        <v/>
      </c>
      <c r="AK95" s="398" t="str">
        <f t="shared" ca="1" si="22"/>
        <v/>
      </c>
      <c r="AL95" s="398" t="str">
        <f t="shared" ca="1" si="22"/>
        <v/>
      </c>
      <c r="AM95" s="398" t="str">
        <f t="shared" ca="1" si="22"/>
        <v/>
      </c>
      <c r="AN95" s="398" t="str">
        <f t="shared" ca="1" si="22"/>
        <v/>
      </c>
      <c r="AO95" s="398" t="str">
        <f t="shared" ca="1" si="22"/>
        <v/>
      </c>
      <c r="AP95" s="398">
        <f t="shared" ca="1" si="22"/>
        <v>0</v>
      </c>
      <c r="AQ95" s="398">
        <f t="shared" ca="1" si="22"/>
        <v>0</v>
      </c>
      <c r="AR95" s="398">
        <f t="shared" ca="1" si="22"/>
        <v>0</v>
      </c>
      <c r="AS95" s="398">
        <f t="shared" ca="1" si="22"/>
        <v>0</v>
      </c>
      <c r="AT95" s="398">
        <f t="shared" ca="1" si="22"/>
        <v>0</v>
      </c>
      <c r="AU95" s="398">
        <f t="shared" ca="1" si="22"/>
        <v>0</v>
      </c>
      <c r="AV95" s="398">
        <f t="shared" ca="1" si="22"/>
        <v>56480</v>
      </c>
      <c r="AW95" s="398">
        <f t="shared" ca="1" si="22"/>
        <v>52379</v>
      </c>
      <c r="AX95" s="398">
        <f t="shared" ca="1" si="22"/>
        <v>71686</v>
      </c>
      <c r="AY95" s="398">
        <f t="shared" ca="1" si="22"/>
        <v>0</v>
      </c>
      <c r="AZ95" s="398">
        <f t="shared" ca="1" si="22"/>
        <v>0</v>
      </c>
      <c r="BA95" s="398">
        <f t="shared" ca="1" si="22"/>
        <v>0</v>
      </c>
      <c r="BB95" s="398">
        <f t="shared" ca="1" si="22"/>
        <v>0</v>
      </c>
      <c r="BC95" s="398">
        <f t="shared" ca="1" si="22"/>
        <v>0</v>
      </c>
      <c r="BD95" s="398">
        <f t="shared" ca="1" si="22"/>
        <v>0</v>
      </c>
      <c r="BE95" s="398">
        <f t="shared" ca="1" si="22"/>
        <v>0</v>
      </c>
      <c r="BF95" s="398">
        <f t="shared" ca="1" si="22"/>
        <v>0</v>
      </c>
      <c r="BG95" s="398">
        <f t="shared" ca="1" si="22"/>
        <v>0</v>
      </c>
      <c r="BH95" s="398">
        <f t="shared" ca="1" si="22"/>
        <v>0</v>
      </c>
      <c r="BI95" s="398">
        <f t="shared" ca="1" si="22"/>
        <v>0</v>
      </c>
    </row>
    <row r="96" spans="1:61" outlineLevel="1" x14ac:dyDescent="0.15">
      <c r="A96" s="408">
        <v>42</v>
      </c>
      <c r="B96" s="398" t="str">
        <f t="shared" ca="1" si="20"/>
        <v/>
      </c>
      <c r="C96" s="398" t="str">
        <f t="shared" ca="1" si="20"/>
        <v/>
      </c>
      <c r="D96" s="398" t="str">
        <f t="shared" ca="1" si="20"/>
        <v/>
      </c>
      <c r="E96" s="398" t="str">
        <f t="shared" ca="1" si="20"/>
        <v/>
      </c>
      <c r="F96" s="398" t="str">
        <f t="shared" ca="1" si="20"/>
        <v/>
      </c>
      <c r="G96" s="398" t="str">
        <f t="shared" ca="1" si="20"/>
        <v/>
      </c>
      <c r="H96" s="398" t="str">
        <f t="shared" ca="1" si="20"/>
        <v/>
      </c>
      <c r="I96" s="398" t="str">
        <f t="shared" ca="1" si="20"/>
        <v/>
      </c>
      <c r="J96" s="398" t="str">
        <f t="shared" ca="1" si="20"/>
        <v/>
      </c>
      <c r="K96" s="398" t="str">
        <f t="shared" ca="1" si="20"/>
        <v/>
      </c>
      <c r="L96" s="398" t="str">
        <f t="shared" ca="1" si="20"/>
        <v/>
      </c>
      <c r="M96" s="398" t="str">
        <f t="shared" ca="1" si="20"/>
        <v/>
      </c>
      <c r="N96" s="398" t="str">
        <f t="shared" ca="1" si="20"/>
        <v/>
      </c>
      <c r="O96" s="398" t="str">
        <f t="shared" ca="1" si="20"/>
        <v/>
      </c>
      <c r="P96" s="398" t="str">
        <f t="shared" ca="1" si="20"/>
        <v/>
      </c>
      <c r="Q96" s="398" t="str">
        <f t="shared" ca="1" si="20"/>
        <v/>
      </c>
      <c r="R96" s="398" t="str">
        <f t="shared" ca="1" si="22"/>
        <v/>
      </c>
      <c r="S96" s="398" t="str">
        <f t="shared" ca="1" si="22"/>
        <v/>
      </c>
      <c r="T96" s="398" t="str">
        <f t="shared" ca="1" si="22"/>
        <v/>
      </c>
      <c r="U96" s="398" t="str">
        <f t="shared" ca="1" si="22"/>
        <v/>
      </c>
      <c r="V96" s="398" t="str">
        <f t="shared" ca="1" si="22"/>
        <v/>
      </c>
      <c r="W96" s="398" t="str">
        <f t="shared" ca="1" si="22"/>
        <v/>
      </c>
      <c r="X96" s="398" t="str">
        <f t="shared" ca="1" si="22"/>
        <v/>
      </c>
      <c r="Y96" s="398" t="str">
        <f t="shared" ca="1" si="22"/>
        <v/>
      </c>
      <c r="Z96" s="398" t="str">
        <f t="shared" ca="1" si="22"/>
        <v/>
      </c>
      <c r="AA96" s="398" t="str">
        <f t="shared" ca="1" si="22"/>
        <v/>
      </c>
      <c r="AB96" s="398" t="str">
        <f t="shared" ca="1" si="22"/>
        <v/>
      </c>
      <c r="AC96" s="398" t="str">
        <f t="shared" ca="1" si="22"/>
        <v/>
      </c>
      <c r="AD96" s="398" t="str">
        <f t="shared" ca="1" si="22"/>
        <v/>
      </c>
      <c r="AE96" s="398" t="str">
        <f t="shared" ca="1" si="22"/>
        <v/>
      </c>
      <c r="AF96" s="398" t="str">
        <f t="shared" ca="1" si="22"/>
        <v/>
      </c>
      <c r="AG96" s="398" t="str">
        <f t="shared" ca="1" si="22"/>
        <v/>
      </c>
      <c r="AH96" s="398" t="str">
        <f t="shared" ca="1" si="22"/>
        <v/>
      </c>
      <c r="AI96" s="398" t="str">
        <f t="shared" ca="1" si="22"/>
        <v/>
      </c>
      <c r="AJ96" s="398" t="str">
        <f t="shared" ca="1" si="22"/>
        <v/>
      </c>
      <c r="AK96" s="398" t="str">
        <f t="shared" ca="1" si="22"/>
        <v/>
      </c>
      <c r="AL96" s="398" t="str">
        <f t="shared" ca="1" si="22"/>
        <v/>
      </c>
      <c r="AM96" s="398" t="str">
        <f t="shared" ca="1" si="22"/>
        <v/>
      </c>
      <c r="AN96" s="398" t="str">
        <f t="shared" ca="1" si="22"/>
        <v/>
      </c>
      <c r="AO96" s="398" t="str">
        <f t="shared" ca="1" si="22"/>
        <v/>
      </c>
      <c r="AP96" s="398" t="str">
        <f t="shared" ca="1" si="22"/>
        <v/>
      </c>
      <c r="AQ96" s="398">
        <f t="shared" ca="1" si="22"/>
        <v>0</v>
      </c>
      <c r="AR96" s="398">
        <f t="shared" ca="1" si="22"/>
        <v>0</v>
      </c>
      <c r="AS96" s="398">
        <f t="shared" ca="1" si="22"/>
        <v>0</v>
      </c>
      <c r="AT96" s="398">
        <f t="shared" ca="1" si="22"/>
        <v>0</v>
      </c>
      <c r="AU96" s="398">
        <f t="shared" ca="1" si="22"/>
        <v>0</v>
      </c>
      <c r="AV96" s="398">
        <f t="shared" ca="1" si="22"/>
        <v>0</v>
      </c>
      <c r="AW96" s="398">
        <f t="shared" ca="1" si="22"/>
        <v>56480</v>
      </c>
      <c r="AX96" s="398">
        <f t="shared" ca="1" si="22"/>
        <v>52379</v>
      </c>
      <c r="AY96" s="398">
        <f t="shared" ca="1" si="22"/>
        <v>71686</v>
      </c>
      <c r="AZ96" s="398">
        <f t="shared" ca="1" si="22"/>
        <v>0</v>
      </c>
      <c r="BA96" s="398">
        <f t="shared" ca="1" si="22"/>
        <v>0</v>
      </c>
      <c r="BB96" s="398">
        <f t="shared" ca="1" si="22"/>
        <v>0</v>
      </c>
      <c r="BC96" s="398">
        <f t="shared" ca="1" si="22"/>
        <v>0</v>
      </c>
      <c r="BD96" s="398">
        <f t="shared" ca="1" si="22"/>
        <v>0</v>
      </c>
      <c r="BE96" s="398">
        <f t="shared" ca="1" si="22"/>
        <v>0</v>
      </c>
      <c r="BF96" s="398">
        <f t="shared" ca="1" si="22"/>
        <v>0</v>
      </c>
      <c r="BG96" s="398">
        <f t="shared" ca="1" si="22"/>
        <v>0</v>
      </c>
      <c r="BH96" s="398">
        <f t="shared" ca="1" si="22"/>
        <v>0</v>
      </c>
      <c r="BI96" s="398">
        <f t="shared" ca="1" si="22"/>
        <v>0</v>
      </c>
    </row>
    <row r="97" spans="1:61" outlineLevel="1" x14ac:dyDescent="0.15">
      <c r="A97" s="408">
        <v>43</v>
      </c>
      <c r="B97" s="398" t="str">
        <f t="shared" ca="1" si="20"/>
        <v/>
      </c>
      <c r="C97" s="398" t="str">
        <f t="shared" ca="1" si="20"/>
        <v/>
      </c>
      <c r="D97" s="398" t="str">
        <f t="shared" ca="1" si="20"/>
        <v/>
      </c>
      <c r="E97" s="398" t="str">
        <f t="shared" ca="1" si="20"/>
        <v/>
      </c>
      <c r="F97" s="398" t="str">
        <f t="shared" ca="1" si="20"/>
        <v/>
      </c>
      <c r="G97" s="398" t="str">
        <f t="shared" ca="1" si="20"/>
        <v/>
      </c>
      <c r="H97" s="398" t="str">
        <f t="shared" ca="1" si="20"/>
        <v/>
      </c>
      <c r="I97" s="398" t="str">
        <f t="shared" ca="1" si="20"/>
        <v/>
      </c>
      <c r="J97" s="398" t="str">
        <f t="shared" ca="1" si="20"/>
        <v/>
      </c>
      <c r="K97" s="398" t="str">
        <f t="shared" ca="1" si="20"/>
        <v/>
      </c>
      <c r="L97" s="398" t="str">
        <f t="shared" ca="1" si="20"/>
        <v/>
      </c>
      <c r="M97" s="398" t="str">
        <f t="shared" ca="1" si="20"/>
        <v/>
      </c>
      <c r="N97" s="398" t="str">
        <f t="shared" ca="1" si="20"/>
        <v/>
      </c>
      <c r="O97" s="398" t="str">
        <f t="shared" ca="1" si="20"/>
        <v/>
      </c>
      <c r="P97" s="398" t="str">
        <f t="shared" ca="1" si="20"/>
        <v/>
      </c>
      <c r="Q97" s="398" t="str">
        <f t="shared" ca="1" si="20"/>
        <v/>
      </c>
      <c r="R97" s="398" t="str">
        <f t="shared" ca="1" si="22"/>
        <v/>
      </c>
      <c r="S97" s="398" t="str">
        <f t="shared" ca="1" si="22"/>
        <v/>
      </c>
      <c r="T97" s="398" t="str">
        <f t="shared" ca="1" si="22"/>
        <v/>
      </c>
      <c r="U97" s="398" t="str">
        <f t="shared" ca="1" si="22"/>
        <v/>
      </c>
      <c r="V97" s="398" t="str">
        <f t="shared" ca="1" si="22"/>
        <v/>
      </c>
      <c r="W97" s="398" t="str">
        <f t="shared" ca="1" si="22"/>
        <v/>
      </c>
      <c r="X97" s="398" t="str">
        <f t="shared" ca="1" si="22"/>
        <v/>
      </c>
      <c r="Y97" s="398" t="str">
        <f t="shared" ca="1" si="22"/>
        <v/>
      </c>
      <c r="Z97" s="398" t="str">
        <f t="shared" ca="1" si="22"/>
        <v/>
      </c>
      <c r="AA97" s="398" t="str">
        <f t="shared" ca="1" si="22"/>
        <v/>
      </c>
      <c r="AB97" s="398" t="str">
        <f t="shared" ca="1" si="22"/>
        <v/>
      </c>
      <c r="AC97" s="398" t="str">
        <f t="shared" ca="1" si="22"/>
        <v/>
      </c>
      <c r="AD97" s="398" t="str">
        <f t="shared" ca="1" si="22"/>
        <v/>
      </c>
      <c r="AE97" s="398" t="str">
        <f t="shared" ca="1" si="22"/>
        <v/>
      </c>
      <c r="AF97" s="398" t="str">
        <f t="shared" ca="1" si="22"/>
        <v/>
      </c>
      <c r="AG97" s="398" t="str">
        <f t="shared" ca="1" si="22"/>
        <v/>
      </c>
      <c r="AH97" s="398" t="str">
        <f t="shared" ca="1" si="22"/>
        <v/>
      </c>
      <c r="AI97" s="398" t="str">
        <f t="shared" ca="1" si="22"/>
        <v/>
      </c>
      <c r="AJ97" s="398" t="str">
        <f t="shared" ca="1" si="22"/>
        <v/>
      </c>
      <c r="AK97" s="398" t="str">
        <f t="shared" ca="1" si="22"/>
        <v/>
      </c>
      <c r="AL97" s="398" t="str">
        <f t="shared" ca="1" si="22"/>
        <v/>
      </c>
      <c r="AM97" s="398" t="str">
        <f t="shared" ca="1" si="22"/>
        <v/>
      </c>
      <c r="AN97" s="398" t="str">
        <f t="shared" ca="1" si="22"/>
        <v/>
      </c>
      <c r="AO97" s="398" t="str">
        <f t="shared" ca="1" si="22"/>
        <v/>
      </c>
      <c r="AP97" s="398" t="str">
        <f t="shared" ca="1" si="22"/>
        <v/>
      </c>
      <c r="AQ97" s="398" t="str">
        <f t="shared" ca="1" si="22"/>
        <v/>
      </c>
      <c r="AR97" s="398">
        <f t="shared" ca="1" si="22"/>
        <v>0</v>
      </c>
      <c r="AS97" s="398">
        <f t="shared" ca="1" si="22"/>
        <v>0</v>
      </c>
      <c r="AT97" s="398">
        <f t="shared" ca="1" si="22"/>
        <v>0</v>
      </c>
      <c r="AU97" s="398">
        <f t="shared" ca="1" si="22"/>
        <v>0</v>
      </c>
      <c r="AV97" s="398">
        <f t="shared" ca="1" si="22"/>
        <v>0</v>
      </c>
      <c r="AW97" s="398">
        <f t="shared" ca="1" si="22"/>
        <v>0</v>
      </c>
      <c r="AX97" s="398">
        <f t="shared" ca="1" si="22"/>
        <v>56480</v>
      </c>
      <c r="AY97" s="398">
        <f t="shared" ca="1" si="22"/>
        <v>52379</v>
      </c>
      <c r="AZ97" s="398">
        <f t="shared" ca="1" si="22"/>
        <v>71686</v>
      </c>
      <c r="BA97" s="398">
        <f t="shared" ref="BA97:DG101" ca="1" si="23">IF($A97&gt;BA$5,"",OFFSET(BA$54,0,-($A97-1)))</f>
        <v>0</v>
      </c>
      <c r="BB97" s="398">
        <f t="shared" ca="1" si="23"/>
        <v>0</v>
      </c>
      <c r="BC97" s="398">
        <f t="shared" ca="1" si="23"/>
        <v>0</v>
      </c>
      <c r="BD97" s="398">
        <f t="shared" ca="1" si="23"/>
        <v>0</v>
      </c>
      <c r="BE97" s="398">
        <f t="shared" ca="1" si="23"/>
        <v>0</v>
      </c>
      <c r="BF97" s="398">
        <f t="shared" ca="1" si="23"/>
        <v>0</v>
      </c>
      <c r="BG97" s="398">
        <f t="shared" ca="1" si="23"/>
        <v>0</v>
      </c>
      <c r="BH97" s="398">
        <f t="shared" ca="1" si="23"/>
        <v>0</v>
      </c>
      <c r="BI97" s="398">
        <f t="shared" ca="1" si="23"/>
        <v>0</v>
      </c>
    </row>
    <row r="98" spans="1:61" outlineLevel="1" x14ac:dyDescent="0.15">
      <c r="A98" s="408">
        <v>44</v>
      </c>
      <c r="B98" s="398" t="str">
        <f t="shared" ca="1" si="20"/>
        <v/>
      </c>
      <c r="C98" s="398" t="str">
        <f t="shared" ca="1" si="20"/>
        <v/>
      </c>
      <c r="D98" s="398" t="str">
        <f t="shared" ca="1" si="20"/>
        <v/>
      </c>
      <c r="E98" s="398" t="str">
        <f t="shared" ca="1" si="20"/>
        <v/>
      </c>
      <c r="F98" s="398" t="str">
        <f t="shared" ca="1" si="20"/>
        <v/>
      </c>
      <c r="G98" s="398" t="str">
        <f t="shared" ca="1" si="20"/>
        <v/>
      </c>
      <c r="H98" s="398" t="str">
        <f t="shared" ca="1" si="20"/>
        <v/>
      </c>
      <c r="I98" s="398" t="str">
        <f t="shared" ca="1" si="20"/>
        <v/>
      </c>
      <c r="J98" s="398" t="str">
        <f t="shared" ca="1" si="20"/>
        <v/>
      </c>
      <c r="K98" s="398" t="str">
        <f t="shared" ca="1" si="20"/>
        <v/>
      </c>
      <c r="L98" s="398" t="str">
        <f t="shared" ca="1" si="20"/>
        <v/>
      </c>
      <c r="M98" s="398" t="str">
        <f t="shared" ca="1" si="20"/>
        <v/>
      </c>
      <c r="N98" s="398" t="str">
        <f t="shared" ca="1" si="20"/>
        <v/>
      </c>
      <c r="O98" s="398" t="str">
        <f t="shared" ca="1" si="20"/>
        <v/>
      </c>
      <c r="P98" s="398" t="str">
        <f t="shared" ca="1" si="20"/>
        <v/>
      </c>
      <c r="Q98" s="398" t="str">
        <f t="shared" ca="1" si="20"/>
        <v/>
      </c>
      <c r="R98" s="398" t="str">
        <f t="shared" ref="R98:BX102" ca="1" si="24">IF($A98&gt;R$5,"",OFFSET(R$54,0,-($A98-1)))</f>
        <v/>
      </c>
      <c r="S98" s="398" t="str">
        <f t="shared" ca="1" si="24"/>
        <v/>
      </c>
      <c r="T98" s="398" t="str">
        <f t="shared" ca="1" si="24"/>
        <v/>
      </c>
      <c r="U98" s="398" t="str">
        <f t="shared" ca="1" si="24"/>
        <v/>
      </c>
      <c r="V98" s="398" t="str">
        <f t="shared" ca="1" si="24"/>
        <v/>
      </c>
      <c r="W98" s="398" t="str">
        <f t="shared" ca="1" si="24"/>
        <v/>
      </c>
      <c r="X98" s="398" t="str">
        <f t="shared" ca="1" si="24"/>
        <v/>
      </c>
      <c r="Y98" s="398" t="str">
        <f t="shared" ca="1" si="24"/>
        <v/>
      </c>
      <c r="Z98" s="398" t="str">
        <f t="shared" ca="1" si="24"/>
        <v/>
      </c>
      <c r="AA98" s="398" t="str">
        <f t="shared" ca="1" si="24"/>
        <v/>
      </c>
      <c r="AB98" s="398" t="str">
        <f t="shared" ca="1" si="24"/>
        <v/>
      </c>
      <c r="AC98" s="398" t="str">
        <f t="shared" ca="1" si="24"/>
        <v/>
      </c>
      <c r="AD98" s="398" t="str">
        <f t="shared" ca="1" si="24"/>
        <v/>
      </c>
      <c r="AE98" s="398" t="str">
        <f t="shared" ca="1" si="24"/>
        <v/>
      </c>
      <c r="AF98" s="398" t="str">
        <f t="shared" ca="1" si="24"/>
        <v/>
      </c>
      <c r="AG98" s="398" t="str">
        <f t="shared" ca="1" si="24"/>
        <v/>
      </c>
      <c r="AH98" s="398" t="str">
        <f t="shared" ca="1" si="24"/>
        <v/>
      </c>
      <c r="AI98" s="398" t="str">
        <f t="shared" ca="1" si="24"/>
        <v/>
      </c>
      <c r="AJ98" s="398" t="str">
        <f t="shared" ca="1" si="24"/>
        <v/>
      </c>
      <c r="AK98" s="398" t="str">
        <f t="shared" ca="1" si="24"/>
        <v/>
      </c>
      <c r="AL98" s="398" t="str">
        <f t="shared" ca="1" si="24"/>
        <v/>
      </c>
      <c r="AM98" s="398" t="str">
        <f t="shared" ca="1" si="24"/>
        <v/>
      </c>
      <c r="AN98" s="398" t="str">
        <f t="shared" ca="1" si="24"/>
        <v/>
      </c>
      <c r="AO98" s="398" t="str">
        <f t="shared" ca="1" si="24"/>
        <v/>
      </c>
      <c r="AP98" s="398" t="str">
        <f t="shared" ca="1" si="24"/>
        <v/>
      </c>
      <c r="AQ98" s="398" t="str">
        <f t="shared" ca="1" si="24"/>
        <v/>
      </c>
      <c r="AR98" s="398" t="str">
        <f t="shared" ca="1" si="24"/>
        <v/>
      </c>
      <c r="AS98" s="398">
        <f t="shared" ca="1" si="24"/>
        <v>0</v>
      </c>
      <c r="AT98" s="398">
        <f t="shared" ca="1" si="24"/>
        <v>0</v>
      </c>
      <c r="AU98" s="398">
        <f t="shared" ca="1" si="24"/>
        <v>0</v>
      </c>
      <c r="AV98" s="398">
        <f t="shared" ca="1" si="24"/>
        <v>0</v>
      </c>
      <c r="AW98" s="398">
        <f t="shared" ca="1" si="24"/>
        <v>0</v>
      </c>
      <c r="AX98" s="398">
        <f t="shared" ca="1" si="24"/>
        <v>0</v>
      </c>
      <c r="AY98" s="398">
        <f t="shared" ca="1" si="24"/>
        <v>56480</v>
      </c>
      <c r="AZ98" s="398">
        <f t="shared" ca="1" si="24"/>
        <v>52379</v>
      </c>
      <c r="BA98" s="398">
        <f t="shared" ca="1" si="24"/>
        <v>71686</v>
      </c>
      <c r="BB98" s="398">
        <f t="shared" ca="1" si="24"/>
        <v>0</v>
      </c>
      <c r="BC98" s="398">
        <f t="shared" ca="1" si="24"/>
        <v>0</v>
      </c>
      <c r="BD98" s="398">
        <f t="shared" ca="1" si="24"/>
        <v>0</v>
      </c>
      <c r="BE98" s="398">
        <f t="shared" ca="1" si="24"/>
        <v>0</v>
      </c>
      <c r="BF98" s="398">
        <f t="shared" ca="1" si="24"/>
        <v>0</v>
      </c>
      <c r="BG98" s="398">
        <f t="shared" ca="1" si="24"/>
        <v>0</v>
      </c>
      <c r="BH98" s="398">
        <f t="shared" ca="1" si="24"/>
        <v>0</v>
      </c>
      <c r="BI98" s="398">
        <f t="shared" ca="1" si="24"/>
        <v>0</v>
      </c>
    </row>
    <row r="99" spans="1:61" outlineLevel="1" x14ac:dyDescent="0.15">
      <c r="A99" s="408">
        <v>45</v>
      </c>
      <c r="B99" s="398" t="str">
        <f t="shared" ca="1" si="20"/>
        <v/>
      </c>
      <c r="C99" s="398" t="str">
        <f t="shared" ca="1" si="20"/>
        <v/>
      </c>
      <c r="D99" s="398" t="str">
        <f t="shared" ca="1" si="20"/>
        <v/>
      </c>
      <c r="E99" s="398" t="str">
        <f t="shared" ca="1" si="20"/>
        <v/>
      </c>
      <c r="F99" s="398" t="str">
        <f t="shared" ca="1" si="20"/>
        <v/>
      </c>
      <c r="G99" s="398" t="str">
        <f t="shared" ca="1" si="20"/>
        <v/>
      </c>
      <c r="H99" s="398" t="str">
        <f t="shared" ca="1" si="20"/>
        <v/>
      </c>
      <c r="I99" s="398" t="str">
        <f t="shared" ca="1" si="20"/>
        <v/>
      </c>
      <c r="J99" s="398" t="str">
        <f t="shared" ca="1" si="20"/>
        <v/>
      </c>
      <c r="K99" s="398" t="str">
        <f t="shared" ca="1" si="20"/>
        <v/>
      </c>
      <c r="L99" s="398" t="str">
        <f t="shared" ca="1" si="20"/>
        <v/>
      </c>
      <c r="M99" s="398" t="str">
        <f t="shared" ca="1" si="20"/>
        <v/>
      </c>
      <c r="N99" s="398" t="str">
        <f t="shared" ca="1" si="20"/>
        <v/>
      </c>
      <c r="O99" s="398" t="str">
        <f t="shared" ca="1" si="20"/>
        <v/>
      </c>
      <c r="P99" s="398" t="str">
        <f t="shared" ca="1" si="20"/>
        <v/>
      </c>
      <c r="Q99" s="398" t="str">
        <f t="shared" ca="1" si="20"/>
        <v/>
      </c>
      <c r="R99" s="398" t="str">
        <f t="shared" ca="1" si="24"/>
        <v/>
      </c>
      <c r="S99" s="398" t="str">
        <f t="shared" ca="1" si="24"/>
        <v/>
      </c>
      <c r="T99" s="398" t="str">
        <f t="shared" ca="1" si="24"/>
        <v/>
      </c>
      <c r="U99" s="398" t="str">
        <f t="shared" ca="1" si="24"/>
        <v/>
      </c>
      <c r="V99" s="398" t="str">
        <f t="shared" ca="1" si="24"/>
        <v/>
      </c>
      <c r="W99" s="398" t="str">
        <f t="shared" ca="1" si="24"/>
        <v/>
      </c>
      <c r="X99" s="398" t="str">
        <f t="shared" ca="1" si="24"/>
        <v/>
      </c>
      <c r="Y99" s="398" t="str">
        <f t="shared" ca="1" si="24"/>
        <v/>
      </c>
      <c r="Z99" s="398" t="str">
        <f t="shared" ca="1" si="24"/>
        <v/>
      </c>
      <c r="AA99" s="398" t="str">
        <f t="shared" ca="1" si="24"/>
        <v/>
      </c>
      <c r="AB99" s="398" t="str">
        <f t="shared" ca="1" si="24"/>
        <v/>
      </c>
      <c r="AC99" s="398" t="str">
        <f t="shared" ca="1" si="24"/>
        <v/>
      </c>
      <c r="AD99" s="398" t="str">
        <f t="shared" ca="1" si="24"/>
        <v/>
      </c>
      <c r="AE99" s="398" t="str">
        <f t="shared" ca="1" si="24"/>
        <v/>
      </c>
      <c r="AF99" s="398" t="str">
        <f t="shared" ca="1" si="24"/>
        <v/>
      </c>
      <c r="AG99" s="398" t="str">
        <f t="shared" ca="1" si="24"/>
        <v/>
      </c>
      <c r="AH99" s="398" t="str">
        <f t="shared" ca="1" si="24"/>
        <v/>
      </c>
      <c r="AI99" s="398" t="str">
        <f t="shared" ca="1" si="24"/>
        <v/>
      </c>
      <c r="AJ99" s="398" t="str">
        <f t="shared" ca="1" si="24"/>
        <v/>
      </c>
      <c r="AK99" s="398" t="str">
        <f t="shared" ca="1" si="24"/>
        <v/>
      </c>
      <c r="AL99" s="398" t="str">
        <f t="shared" ca="1" si="24"/>
        <v/>
      </c>
      <c r="AM99" s="398" t="str">
        <f t="shared" ca="1" si="24"/>
        <v/>
      </c>
      <c r="AN99" s="398" t="str">
        <f t="shared" ca="1" si="24"/>
        <v/>
      </c>
      <c r="AO99" s="398" t="str">
        <f t="shared" ca="1" si="24"/>
        <v/>
      </c>
      <c r="AP99" s="398" t="str">
        <f t="shared" ca="1" si="24"/>
        <v/>
      </c>
      <c r="AQ99" s="398" t="str">
        <f t="shared" ca="1" si="24"/>
        <v/>
      </c>
      <c r="AR99" s="398" t="str">
        <f t="shared" ca="1" si="24"/>
        <v/>
      </c>
      <c r="AS99" s="398" t="str">
        <f t="shared" ca="1" si="24"/>
        <v/>
      </c>
      <c r="AT99" s="398">
        <f t="shared" ca="1" si="24"/>
        <v>0</v>
      </c>
      <c r="AU99" s="398">
        <f t="shared" ca="1" si="24"/>
        <v>0</v>
      </c>
      <c r="AV99" s="398">
        <f t="shared" ca="1" si="24"/>
        <v>0</v>
      </c>
      <c r="AW99" s="398">
        <f t="shared" ca="1" si="24"/>
        <v>0</v>
      </c>
      <c r="AX99" s="398">
        <f t="shared" ca="1" si="24"/>
        <v>0</v>
      </c>
      <c r="AY99" s="398">
        <f t="shared" ca="1" si="24"/>
        <v>0</v>
      </c>
      <c r="AZ99" s="398">
        <f t="shared" ca="1" si="24"/>
        <v>56480</v>
      </c>
      <c r="BA99" s="398">
        <f t="shared" ca="1" si="24"/>
        <v>52379</v>
      </c>
      <c r="BB99" s="398">
        <f t="shared" ca="1" si="24"/>
        <v>71686</v>
      </c>
      <c r="BC99" s="398">
        <f t="shared" ca="1" si="24"/>
        <v>0</v>
      </c>
      <c r="BD99" s="398">
        <f t="shared" ca="1" si="24"/>
        <v>0</v>
      </c>
      <c r="BE99" s="398">
        <f t="shared" ca="1" si="24"/>
        <v>0</v>
      </c>
      <c r="BF99" s="398">
        <f t="shared" ca="1" si="24"/>
        <v>0</v>
      </c>
      <c r="BG99" s="398">
        <f t="shared" ca="1" si="24"/>
        <v>0</v>
      </c>
      <c r="BH99" s="398">
        <f t="shared" ca="1" si="24"/>
        <v>0</v>
      </c>
      <c r="BI99" s="398">
        <f t="shared" ca="1" si="24"/>
        <v>0</v>
      </c>
    </row>
    <row r="100" spans="1:61" outlineLevel="1" x14ac:dyDescent="0.15">
      <c r="A100" s="408">
        <v>46</v>
      </c>
      <c r="B100" s="398" t="str">
        <f t="shared" ca="1" si="20"/>
        <v/>
      </c>
      <c r="C100" s="398" t="str">
        <f t="shared" ca="1" si="20"/>
        <v/>
      </c>
      <c r="D100" s="398" t="str">
        <f t="shared" ca="1" si="20"/>
        <v/>
      </c>
      <c r="E100" s="398" t="str">
        <f t="shared" ca="1" si="20"/>
        <v/>
      </c>
      <c r="F100" s="398" t="str">
        <f t="shared" ca="1" si="20"/>
        <v/>
      </c>
      <c r="G100" s="398" t="str">
        <f t="shared" ca="1" si="20"/>
        <v/>
      </c>
      <c r="H100" s="398" t="str">
        <f t="shared" ca="1" si="20"/>
        <v/>
      </c>
      <c r="I100" s="398" t="str">
        <f t="shared" ca="1" si="20"/>
        <v/>
      </c>
      <c r="J100" s="398" t="str">
        <f t="shared" ca="1" si="20"/>
        <v/>
      </c>
      <c r="K100" s="398" t="str">
        <f t="shared" ca="1" si="20"/>
        <v/>
      </c>
      <c r="L100" s="398" t="str">
        <f t="shared" ca="1" si="20"/>
        <v/>
      </c>
      <c r="M100" s="398" t="str">
        <f t="shared" ca="1" si="20"/>
        <v/>
      </c>
      <c r="N100" s="398" t="str">
        <f t="shared" ca="1" si="20"/>
        <v/>
      </c>
      <c r="O100" s="398" t="str">
        <f t="shared" ca="1" si="20"/>
        <v/>
      </c>
      <c r="P100" s="398" t="str">
        <f t="shared" ca="1" si="20"/>
        <v/>
      </c>
      <c r="Q100" s="398" t="str">
        <f t="shared" ca="1" si="20"/>
        <v/>
      </c>
      <c r="R100" s="398" t="str">
        <f t="shared" ca="1" si="24"/>
        <v/>
      </c>
      <c r="S100" s="398" t="str">
        <f t="shared" ca="1" si="24"/>
        <v/>
      </c>
      <c r="T100" s="398" t="str">
        <f t="shared" ca="1" si="24"/>
        <v/>
      </c>
      <c r="U100" s="398" t="str">
        <f t="shared" ca="1" si="24"/>
        <v/>
      </c>
      <c r="V100" s="398" t="str">
        <f t="shared" ca="1" si="24"/>
        <v/>
      </c>
      <c r="W100" s="398" t="str">
        <f t="shared" ca="1" si="24"/>
        <v/>
      </c>
      <c r="X100" s="398" t="str">
        <f t="shared" ca="1" si="24"/>
        <v/>
      </c>
      <c r="Y100" s="398" t="str">
        <f t="shared" ca="1" si="24"/>
        <v/>
      </c>
      <c r="Z100" s="398" t="str">
        <f t="shared" ca="1" si="24"/>
        <v/>
      </c>
      <c r="AA100" s="398" t="str">
        <f t="shared" ca="1" si="24"/>
        <v/>
      </c>
      <c r="AB100" s="398" t="str">
        <f t="shared" ca="1" si="24"/>
        <v/>
      </c>
      <c r="AC100" s="398" t="str">
        <f t="shared" ca="1" si="24"/>
        <v/>
      </c>
      <c r="AD100" s="398" t="str">
        <f t="shared" ca="1" si="24"/>
        <v/>
      </c>
      <c r="AE100" s="398" t="str">
        <f t="shared" ca="1" si="24"/>
        <v/>
      </c>
      <c r="AF100" s="398" t="str">
        <f t="shared" ca="1" si="24"/>
        <v/>
      </c>
      <c r="AG100" s="398" t="str">
        <f t="shared" ca="1" si="24"/>
        <v/>
      </c>
      <c r="AH100" s="398" t="str">
        <f t="shared" ca="1" si="24"/>
        <v/>
      </c>
      <c r="AI100" s="398" t="str">
        <f t="shared" ca="1" si="24"/>
        <v/>
      </c>
      <c r="AJ100" s="398" t="str">
        <f t="shared" ca="1" si="24"/>
        <v/>
      </c>
      <c r="AK100" s="398" t="str">
        <f t="shared" ca="1" si="24"/>
        <v/>
      </c>
      <c r="AL100" s="398" t="str">
        <f t="shared" ca="1" si="24"/>
        <v/>
      </c>
      <c r="AM100" s="398" t="str">
        <f t="shared" ca="1" si="24"/>
        <v/>
      </c>
      <c r="AN100" s="398" t="str">
        <f t="shared" ca="1" si="24"/>
        <v/>
      </c>
      <c r="AO100" s="398" t="str">
        <f t="shared" ca="1" si="24"/>
        <v/>
      </c>
      <c r="AP100" s="398" t="str">
        <f t="shared" ca="1" si="24"/>
        <v/>
      </c>
      <c r="AQ100" s="398" t="str">
        <f t="shared" ca="1" si="24"/>
        <v/>
      </c>
      <c r="AR100" s="398" t="str">
        <f t="shared" ca="1" si="24"/>
        <v/>
      </c>
      <c r="AS100" s="398" t="str">
        <f t="shared" ca="1" si="24"/>
        <v/>
      </c>
      <c r="AT100" s="398" t="str">
        <f t="shared" ca="1" si="24"/>
        <v/>
      </c>
      <c r="AU100" s="398">
        <f t="shared" ca="1" si="24"/>
        <v>0</v>
      </c>
      <c r="AV100" s="398">
        <f t="shared" ca="1" si="24"/>
        <v>0</v>
      </c>
      <c r="AW100" s="398">
        <f t="shared" ca="1" si="24"/>
        <v>0</v>
      </c>
      <c r="AX100" s="398">
        <f t="shared" ca="1" si="24"/>
        <v>0</v>
      </c>
      <c r="AY100" s="398">
        <f t="shared" ca="1" si="24"/>
        <v>0</v>
      </c>
      <c r="AZ100" s="398">
        <f t="shared" ca="1" si="24"/>
        <v>0</v>
      </c>
      <c r="BA100" s="398">
        <f t="shared" ca="1" si="24"/>
        <v>56480</v>
      </c>
      <c r="BB100" s="398">
        <f t="shared" ca="1" si="24"/>
        <v>52379</v>
      </c>
      <c r="BC100" s="398">
        <f t="shared" ca="1" si="24"/>
        <v>71686</v>
      </c>
      <c r="BD100" s="398">
        <f t="shared" ca="1" si="24"/>
        <v>0</v>
      </c>
      <c r="BE100" s="398">
        <f t="shared" ca="1" si="24"/>
        <v>0</v>
      </c>
      <c r="BF100" s="398">
        <f t="shared" ca="1" si="24"/>
        <v>0</v>
      </c>
      <c r="BG100" s="398">
        <f t="shared" ca="1" si="24"/>
        <v>0</v>
      </c>
      <c r="BH100" s="398">
        <f t="shared" ca="1" si="24"/>
        <v>0</v>
      </c>
      <c r="BI100" s="398">
        <f t="shared" ca="1" si="24"/>
        <v>0</v>
      </c>
    </row>
    <row r="101" spans="1:61" outlineLevel="1" x14ac:dyDescent="0.15">
      <c r="A101" s="408">
        <v>47</v>
      </c>
      <c r="B101" s="398" t="str">
        <f t="shared" ca="1" si="20"/>
        <v/>
      </c>
      <c r="C101" s="398" t="str">
        <f t="shared" ca="1" si="20"/>
        <v/>
      </c>
      <c r="D101" s="398" t="str">
        <f t="shared" ca="1" si="20"/>
        <v/>
      </c>
      <c r="E101" s="398" t="str">
        <f t="shared" ca="1" si="20"/>
        <v/>
      </c>
      <c r="F101" s="398" t="str">
        <f t="shared" ca="1" si="20"/>
        <v/>
      </c>
      <c r="G101" s="398" t="str">
        <f t="shared" ca="1" si="20"/>
        <v/>
      </c>
      <c r="H101" s="398" t="str">
        <f t="shared" ca="1" si="20"/>
        <v/>
      </c>
      <c r="I101" s="398" t="str">
        <f t="shared" ca="1" si="20"/>
        <v/>
      </c>
      <c r="J101" s="398" t="str">
        <f t="shared" ca="1" si="20"/>
        <v/>
      </c>
      <c r="K101" s="398" t="str">
        <f t="shared" ca="1" si="20"/>
        <v/>
      </c>
      <c r="L101" s="398" t="str">
        <f t="shared" ca="1" si="20"/>
        <v/>
      </c>
      <c r="M101" s="398" t="str">
        <f t="shared" ca="1" si="20"/>
        <v/>
      </c>
      <c r="N101" s="398" t="str">
        <f t="shared" ca="1" si="20"/>
        <v/>
      </c>
      <c r="O101" s="398" t="str">
        <f t="shared" ca="1" si="20"/>
        <v/>
      </c>
      <c r="P101" s="398" t="str">
        <f t="shared" ca="1" si="20"/>
        <v/>
      </c>
      <c r="Q101" s="398" t="str">
        <f t="shared" ca="1" si="20"/>
        <v/>
      </c>
      <c r="R101" s="398" t="str">
        <f t="shared" ca="1" si="24"/>
        <v/>
      </c>
      <c r="S101" s="398" t="str">
        <f t="shared" ca="1" si="24"/>
        <v/>
      </c>
      <c r="T101" s="398" t="str">
        <f t="shared" ca="1" si="24"/>
        <v/>
      </c>
      <c r="U101" s="398" t="str">
        <f t="shared" ca="1" si="24"/>
        <v/>
      </c>
      <c r="V101" s="398" t="str">
        <f t="shared" ca="1" si="24"/>
        <v/>
      </c>
      <c r="W101" s="398" t="str">
        <f t="shared" ca="1" si="24"/>
        <v/>
      </c>
      <c r="X101" s="398" t="str">
        <f t="shared" ca="1" si="24"/>
        <v/>
      </c>
      <c r="Y101" s="398" t="str">
        <f t="shared" ca="1" si="24"/>
        <v/>
      </c>
      <c r="Z101" s="398" t="str">
        <f t="shared" ca="1" si="24"/>
        <v/>
      </c>
      <c r="AA101" s="398" t="str">
        <f t="shared" ca="1" si="24"/>
        <v/>
      </c>
      <c r="AB101" s="398" t="str">
        <f t="shared" ca="1" si="24"/>
        <v/>
      </c>
      <c r="AC101" s="398" t="str">
        <f t="shared" ca="1" si="24"/>
        <v/>
      </c>
      <c r="AD101" s="398" t="str">
        <f t="shared" ca="1" si="24"/>
        <v/>
      </c>
      <c r="AE101" s="398" t="str">
        <f t="shared" ca="1" si="24"/>
        <v/>
      </c>
      <c r="AF101" s="398" t="str">
        <f t="shared" ca="1" si="24"/>
        <v/>
      </c>
      <c r="AG101" s="398" t="str">
        <f t="shared" ca="1" si="24"/>
        <v/>
      </c>
      <c r="AH101" s="398" t="str">
        <f t="shared" ca="1" si="24"/>
        <v/>
      </c>
      <c r="AI101" s="398" t="str">
        <f t="shared" ca="1" si="24"/>
        <v/>
      </c>
      <c r="AJ101" s="398" t="str">
        <f t="shared" ca="1" si="24"/>
        <v/>
      </c>
      <c r="AK101" s="398" t="str">
        <f t="shared" ca="1" si="24"/>
        <v/>
      </c>
      <c r="AL101" s="398" t="str">
        <f t="shared" ca="1" si="24"/>
        <v/>
      </c>
      <c r="AM101" s="398" t="str">
        <f t="shared" ca="1" si="24"/>
        <v/>
      </c>
      <c r="AN101" s="398" t="str">
        <f t="shared" ca="1" si="24"/>
        <v/>
      </c>
      <c r="AO101" s="398" t="str">
        <f t="shared" ca="1" si="24"/>
        <v/>
      </c>
      <c r="AP101" s="398" t="str">
        <f t="shared" ca="1" si="24"/>
        <v/>
      </c>
      <c r="AQ101" s="398" t="str">
        <f t="shared" ca="1" si="24"/>
        <v/>
      </c>
      <c r="AR101" s="398" t="str">
        <f t="shared" ca="1" si="24"/>
        <v/>
      </c>
      <c r="AS101" s="398" t="str">
        <f t="shared" ca="1" si="24"/>
        <v/>
      </c>
      <c r="AT101" s="398" t="str">
        <f t="shared" ca="1" si="24"/>
        <v/>
      </c>
      <c r="AU101" s="398" t="str">
        <f t="shared" ca="1" si="24"/>
        <v/>
      </c>
      <c r="AV101" s="398">
        <f t="shared" ca="1" si="24"/>
        <v>0</v>
      </c>
      <c r="AW101" s="398">
        <f t="shared" ca="1" si="24"/>
        <v>0</v>
      </c>
      <c r="AX101" s="398">
        <f t="shared" ca="1" si="24"/>
        <v>0</v>
      </c>
      <c r="AY101" s="398">
        <f t="shared" ca="1" si="24"/>
        <v>0</v>
      </c>
      <c r="AZ101" s="398">
        <f t="shared" ca="1" si="24"/>
        <v>0</v>
      </c>
      <c r="BA101" s="398">
        <f t="shared" ca="1" si="24"/>
        <v>0</v>
      </c>
      <c r="BB101" s="398">
        <f t="shared" ca="1" si="24"/>
        <v>56480</v>
      </c>
      <c r="BC101" s="398">
        <f t="shared" ca="1" si="24"/>
        <v>52379</v>
      </c>
      <c r="BD101" s="398">
        <f t="shared" ca="1" si="24"/>
        <v>71686</v>
      </c>
      <c r="BE101" s="398">
        <f t="shared" ca="1" si="24"/>
        <v>0</v>
      </c>
      <c r="BF101" s="398">
        <f t="shared" ca="1" si="24"/>
        <v>0</v>
      </c>
      <c r="BG101" s="398">
        <f t="shared" ca="1" si="24"/>
        <v>0</v>
      </c>
      <c r="BH101" s="398">
        <f t="shared" ca="1" si="24"/>
        <v>0</v>
      </c>
      <c r="BI101" s="398">
        <f t="shared" ca="1" si="24"/>
        <v>0</v>
      </c>
    </row>
    <row r="102" spans="1:61" outlineLevel="1" x14ac:dyDescent="0.15">
      <c r="A102" s="408">
        <v>48</v>
      </c>
      <c r="B102" s="398" t="str">
        <f t="shared" ca="1" si="20"/>
        <v/>
      </c>
      <c r="C102" s="398" t="str">
        <f t="shared" ca="1" si="20"/>
        <v/>
      </c>
      <c r="D102" s="398" t="str">
        <f t="shared" ca="1" si="20"/>
        <v/>
      </c>
      <c r="E102" s="398" t="str">
        <f t="shared" ca="1" si="20"/>
        <v/>
      </c>
      <c r="F102" s="398" t="str">
        <f t="shared" ca="1" si="20"/>
        <v/>
      </c>
      <c r="G102" s="398" t="str">
        <f t="shared" ca="1" si="20"/>
        <v/>
      </c>
      <c r="H102" s="398" t="str">
        <f t="shared" ca="1" si="20"/>
        <v/>
      </c>
      <c r="I102" s="398" t="str">
        <f t="shared" ca="1" si="20"/>
        <v/>
      </c>
      <c r="J102" s="398" t="str">
        <f t="shared" ca="1" si="20"/>
        <v/>
      </c>
      <c r="K102" s="398" t="str">
        <f t="shared" ca="1" si="20"/>
        <v/>
      </c>
      <c r="L102" s="398" t="str">
        <f t="shared" ca="1" si="20"/>
        <v/>
      </c>
      <c r="M102" s="398" t="str">
        <f t="shared" ca="1" si="20"/>
        <v/>
      </c>
      <c r="N102" s="398" t="str">
        <f t="shared" ca="1" si="20"/>
        <v/>
      </c>
      <c r="O102" s="398" t="str">
        <f t="shared" ca="1" si="20"/>
        <v/>
      </c>
      <c r="P102" s="398" t="str">
        <f t="shared" ca="1" si="20"/>
        <v/>
      </c>
      <c r="Q102" s="398" t="str">
        <f t="shared" ref="Q102:BW108" ca="1" si="25">IF($A102&gt;Q$5,"",OFFSET(Q$54,0,-($A102-1)))</f>
        <v/>
      </c>
      <c r="R102" s="398" t="str">
        <f t="shared" ca="1" si="25"/>
        <v/>
      </c>
      <c r="S102" s="398" t="str">
        <f t="shared" ca="1" si="25"/>
        <v/>
      </c>
      <c r="T102" s="398" t="str">
        <f t="shared" ca="1" si="25"/>
        <v/>
      </c>
      <c r="U102" s="398" t="str">
        <f t="shared" ca="1" si="25"/>
        <v/>
      </c>
      <c r="V102" s="398" t="str">
        <f t="shared" ca="1" si="25"/>
        <v/>
      </c>
      <c r="W102" s="398" t="str">
        <f t="shared" ca="1" si="25"/>
        <v/>
      </c>
      <c r="X102" s="398" t="str">
        <f t="shared" ca="1" si="25"/>
        <v/>
      </c>
      <c r="Y102" s="398" t="str">
        <f t="shared" ca="1" si="25"/>
        <v/>
      </c>
      <c r="Z102" s="398" t="str">
        <f t="shared" ca="1" si="25"/>
        <v/>
      </c>
      <c r="AA102" s="398" t="str">
        <f t="shared" ca="1" si="25"/>
        <v/>
      </c>
      <c r="AB102" s="398" t="str">
        <f t="shared" ca="1" si="25"/>
        <v/>
      </c>
      <c r="AC102" s="398" t="str">
        <f t="shared" ca="1" si="25"/>
        <v/>
      </c>
      <c r="AD102" s="398" t="str">
        <f t="shared" ca="1" si="25"/>
        <v/>
      </c>
      <c r="AE102" s="398" t="str">
        <f t="shared" ca="1" si="25"/>
        <v/>
      </c>
      <c r="AF102" s="398" t="str">
        <f t="shared" ca="1" si="25"/>
        <v/>
      </c>
      <c r="AG102" s="398" t="str">
        <f t="shared" ca="1" si="25"/>
        <v/>
      </c>
      <c r="AH102" s="398" t="str">
        <f t="shared" ca="1" si="25"/>
        <v/>
      </c>
      <c r="AI102" s="398" t="str">
        <f t="shared" ca="1" si="25"/>
        <v/>
      </c>
      <c r="AJ102" s="398" t="str">
        <f t="shared" ca="1" si="25"/>
        <v/>
      </c>
      <c r="AK102" s="398" t="str">
        <f t="shared" ca="1" si="25"/>
        <v/>
      </c>
      <c r="AL102" s="398" t="str">
        <f t="shared" ca="1" si="25"/>
        <v/>
      </c>
      <c r="AM102" s="398" t="str">
        <f t="shared" ca="1" si="25"/>
        <v/>
      </c>
      <c r="AN102" s="398" t="str">
        <f t="shared" ca="1" si="25"/>
        <v/>
      </c>
      <c r="AO102" s="398" t="str">
        <f t="shared" ca="1" si="25"/>
        <v/>
      </c>
      <c r="AP102" s="398" t="str">
        <f t="shared" ca="1" si="25"/>
        <v/>
      </c>
      <c r="AQ102" s="398" t="str">
        <f t="shared" ca="1" si="25"/>
        <v/>
      </c>
      <c r="AR102" s="398" t="str">
        <f t="shared" ca="1" si="25"/>
        <v/>
      </c>
      <c r="AS102" s="398" t="str">
        <f t="shared" ca="1" si="25"/>
        <v/>
      </c>
      <c r="AT102" s="398" t="str">
        <f t="shared" ca="1" si="25"/>
        <v/>
      </c>
      <c r="AU102" s="398" t="str">
        <f t="shared" ca="1" si="25"/>
        <v/>
      </c>
      <c r="AV102" s="398" t="str">
        <f t="shared" ca="1" si="25"/>
        <v/>
      </c>
      <c r="AW102" s="398">
        <f t="shared" ca="1" si="25"/>
        <v>0</v>
      </c>
      <c r="AX102" s="398">
        <f t="shared" ca="1" si="24"/>
        <v>0</v>
      </c>
      <c r="AY102" s="398">
        <f t="shared" ca="1" si="24"/>
        <v>0</v>
      </c>
      <c r="AZ102" s="398">
        <f t="shared" ca="1" si="24"/>
        <v>0</v>
      </c>
      <c r="BA102" s="398">
        <f t="shared" ca="1" si="24"/>
        <v>0</v>
      </c>
      <c r="BB102" s="398">
        <f t="shared" ca="1" si="24"/>
        <v>0</v>
      </c>
      <c r="BC102" s="398">
        <f t="shared" ca="1" si="24"/>
        <v>56480</v>
      </c>
      <c r="BD102" s="398">
        <f t="shared" ca="1" si="24"/>
        <v>52379</v>
      </c>
      <c r="BE102" s="398">
        <f t="shared" ca="1" si="24"/>
        <v>71686</v>
      </c>
      <c r="BF102" s="398">
        <f t="shared" ca="1" si="24"/>
        <v>0</v>
      </c>
      <c r="BG102" s="398">
        <f t="shared" ca="1" si="24"/>
        <v>0</v>
      </c>
      <c r="BH102" s="398">
        <f t="shared" ca="1" si="24"/>
        <v>0</v>
      </c>
      <c r="BI102" s="398">
        <f t="shared" ca="1" si="24"/>
        <v>0</v>
      </c>
    </row>
    <row r="103" spans="1:61" outlineLevel="1" x14ac:dyDescent="0.15">
      <c r="A103" s="408">
        <v>49</v>
      </c>
      <c r="B103" s="398" t="str">
        <f t="shared" ref="B103:Q130" ca="1" si="26">IF($A103&gt;B$5,"",OFFSET(B$54,0,-($A103-1)))</f>
        <v/>
      </c>
      <c r="C103" s="398" t="str">
        <f t="shared" ca="1" si="26"/>
        <v/>
      </c>
      <c r="D103" s="398" t="str">
        <f t="shared" ca="1" si="26"/>
        <v/>
      </c>
      <c r="E103" s="398" t="str">
        <f t="shared" ca="1" si="26"/>
        <v/>
      </c>
      <c r="F103" s="398" t="str">
        <f t="shared" ca="1" si="26"/>
        <v/>
      </c>
      <c r="G103" s="398" t="str">
        <f t="shared" ca="1" si="26"/>
        <v/>
      </c>
      <c r="H103" s="398" t="str">
        <f t="shared" ca="1" si="26"/>
        <v/>
      </c>
      <c r="I103" s="398" t="str">
        <f t="shared" ca="1" si="26"/>
        <v/>
      </c>
      <c r="J103" s="398" t="str">
        <f t="shared" ca="1" si="26"/>
        <v/>
      </c>
      <c r="K103" s="398" t="str">
        <f t="shared" ca="1" si="26"/>
        <v/>
      </c>
      <c r="L103" s="398" t="str">
        <f t="shared" ca="1" si="26"/>
        <v/>
      </c>
      <c r="M103" s="398" t="str">
        <f t="shared" ca="1" si="26"/>
        <v/>
      </c>
      <c r="N103" s="398" t="str">
        <f t="shared" ca="1" si="26"/>
        <v/>
      </c>
      <c r="O103" s="398" t="str">
        <f t="shared" ca="1" si="26"/>
        <v/>
      </c>
      <c r="P103" s="398" t="str">
        <f t="shared" ca="1" si="26"/>
        <v/>
      </c>
      <c r="Q103" s="398" t="str">
        <f t="shared" ca="1" si="26"/>
        <v/>
      </c>
      <c r="R103" s="398" t="str">
        <f t="shared" ca="1" si="25"/>
        <v/>
      </c>
      <c r="S103" s="398" t="str">
        <f t="shared" ca="1" si="25"/>
        <v/>
      </c>
      <c r="T103" s="398" t="str">
        <f t="shared" ca="1" si="25"/>
        <v/>
      </c>
      <c r="U103" s="398" t="str">
        <f t="shared" ca="1" si="25"/>
        <v/>
      </c>
      <c r="V103" s="398" t="str">
        <f t="shared" ca="1" si="25"/>
        <v/>
      </c>
      <c r="W103" s="398" t="str">
        <f t="shared" ca="1" si="25"/>
        <v/>
      </c>
      <c r="X103" s="398" t="str">
        <f t="shared" ca="1" si="25"/>
        <v/>
      </c>
      <c r="Y103" s="398" t="str">
        <f t="shared" ca="1" si="25"/>
        <v/>
      </c>
      <c r="Z103" s="398" t="str">
        <f t="shared" ca="1" si="25"/>
        <v/>
      </c>
      <c r="AA103" s="398" t="str">
        <f t="shared" ca="1" si="25"/>
        <v/>
      </c>
      <c r="AB103" s="398" t="str">
        <f t="shared" ca="1" si="25"/>
        <v/>
      </c>
      <c r="AC103" s="398" t="str">
        <f t="shared" ca="1" si="25"/>
        <v/>
      </c>
      <c r="AD103" s="398" t="str">
        <f t="shared" ca="1" si="25"/>
        <v/>
      </c>
      <c r="AE103" s="398" t="str">
        <f t="shared" ca="1" si="25"/>
        <v/>
      </c>
      <c r="AF103" s="398" t="str">
        <f t="shared" ca="1" si="25"/>
        <v/>
      </c>
      <c r="AG103" s="398" t="str">
        <f t="shared" ca="1" si="25"/>
        <v/>
      </c>
      <c r="AH103" s="398" t="str">
        <f t="shared" ca="1" si="25"/>
        <v/>
      </c>
      <c r="AI103" s="398" t="str">
        <f t="shared" ca="1" si="25"/>
        <v/>
      </c>
      <c r="AJ103" s="398" t="str">
        <f t="shared" ca="1" si="25"/>
        <v/>
      </c>
      <c r="AK103" s="398" t="str">
        <f t="shared" ca="1" si="25"/>
        <v/>
      </c>
      <c r="AL103" s="398" t="str">
        <f t="shared" ca="1" si="25"/>
        <v/>
      </c>
      <c r="AM103" s="398" t="str">
        <f t="shared" ca="1" si="25"/>
        <v/>
      </c>
      <c r="AN103" s="398" t="str">
        <f t="shared" ca="1" si="25"/>
        <v/>
      </c>
      <c r="AO103" s="398" t="str">
        <f t="shared" ca="1" si="25"/>
        <v/>
      </c>
      <c r="AP103" s="398" t="str">
        <f t="shared" ca="1" si="25"/>
        <v/>
      </c>
      <c r="AQ103" s="398" t="str">
        <f t="shared" ca="1" si="25"/>
        <v/>
      </c>
      <c r="AR103" s="398" t="str">
        <f t="shared" ca="1" si="25"/>
        <v/>
      </c>
      <c r="AS103" s="398" t="str">
        <f t="shared" ca="1" si="25"/>
        <v/>
      </c>
      <c r="AT103" s="398" t="str">
        <f t="shared" ca="1" si="25"/>
        <v/>
      </c>
      <c r="AU103" s="398" t="str">
        <f t="shared" ca="1" si="25"/>
        <v/>
      </c>
      <c r="AV103" s="398" t="str">
        <f t="shared" ca="1" si="25"/>
        <v/>
      </c>
      <c r="AW103" s="398" t="str">
        <f t="shared" ca="1" si="25"/>
        <v/>
      </c>
      <c r="AX103" s="398">
        <f t="shared" ca="1" si="25"/>
        <v>0</v>
      </c>
      <c r="AY103" s="398">
        <f t="shared" ca="1" si="25"/>
        <v>0</v>
      </c>
      <c r="AZ103" s="398">
        <f t="shared" ca="1" si="25"/>
        <v>0</v>
      </c>
      <c r="BA103" s="398">
        <f t="shared" ca="1" si="25"/>
        <v>0</v>
      </c>
      <c r="BB103" s="398">
        <f t="shared" ca="1" si="25"/>
        <v>0</v>
      </c>
      <c r="BC103" s="398">
        <f t="shared" ca="1" si="25"/>
        <v>0</v>
      </c>
      <c r="BD103" s="398">
        <f t="shared" ca="1" si="25"/>
        <v>56480</v>
      </c>
      <c r="BE103" s="398">
        <f t="shared" ca="1" si="25"/>
        <v>52379</v>
      </c>
      <c r="BF103" s="398">
        <f t="shared" ca="1" si="25"/>
        <v>71686</v>
      </c>
      <c r="BG103" s="398">
        <f t="shared" ca="1" si="25"/>
        <v>0</v>
      </c>
      <c r="BH103" s="398">
        <f t="shared" ca="1" si="25"/>
        <v>0</v>
      </c>
      <c r="BI103" s="398">
        <f t="shared" ca="1" si="25"/>
        <v>0</v>
      </c>
    </row>
    <row r="104" spans="1:61" outlineLevel="1" x14ac:dyDescent="0.15">
      <c r="A104" s="408">
        <v>50</v>
      </c>
      <c r="B104" s="398" t="str">
        <f t="shared" ca="1" si="26"/>
        <v/>
      </c>
      <c r="C104" s="398" t="str">
        <f t="shared" ca="1" si="26"/>
        <v/>
      </c>
      <c r="D104" s="398" t="str">
        <f t="shared" ca="1" si="26"/>
        <v/>
      </c>
      <c r="E104" s="398" t="str">
        <f t="shared" ca="1" si="26"/>
        <v/>
      </c>
      <c r="F104" s="398" t="str">
        <f t="shared" ca="1" si="26"/>
        <v/>
      </c>
      <c r="G104" s="398" t="str">
        <f t="shared" ca="1" si="26"/>
        <v/>
      </c>
      <c r="H104" s="398" t="str">
        <f t="shared" ca="1" si="26"/>
        <v/>
      </c>
      <c r="I104" s="398" t="str">
        <f t="shared" ca="1" si="26"/>
        <v/>
      </c>
      <c r="J104" s="398" t="str">
        <f t="shared" ca="1" si="26"/>
        <v/>
      </c>
      <c r="K104" s="398" t="str">
        <f t="shared" ca="1" si="26"/>
        <v/>
      </c>
      <c r="L104" s="398" t="str">
        <f t="shared" ca="1" si="26"/>
        <v/>
      </c>
      <c r="M104" s="398" t="str">
        <f t="shared" ca="1" si="26"/>
        <v/>
      </c>
      <c r="N104" s="398" t="str">
        <f t="shared" ca="1" si="26"/>
        <v/>
      </c>
      <c r="O104" s="398" t="str">
        <f t="shared" ca="1" si="26"/>
        <v/>
      </c>
      <c r="P104" s="398" t="str">
        <f t="shared" ca="1" si="26"/>
        <v/>
      </c>
      <c r="Q104" s="398" t="str">
        <f t="shared" ca="1" si="26"/>
        <v/>
      </c>
      <c r="R104" s="398" t="str">
        <f t="shared" ca="1" si="25"/>
        <v/>
      </c>
      <c r="S104" s="398" t="str">
        <f t="shared" ca="1" si="25"/>
        <v/>
      </c>
      <c r="T104" s="398" t="str">
        <f t="shared" ca="1" si="25"/>
        <v/>
      </c>
      <c r="U104" s="398" t="str">
        <f t="shared" ca="1" si="25"/>
        <v/>
      </c>
      <c r="V104" s="398" t="str">
        <f t="shared" ca="1" si="25"/>
        <v/>
      </c>
      <c r="W104" s="398" t="str">
        <f t="shared" ca="1" si="25"/>
        <v/>
      </c>
      <c r="X104" s="398" t="str">
        <f t="shared" ca="1" si="25"/>
        <v/>
      </c>
      <c r="Y104" s="398" t="str">
        <f t="shared" ca="1" si="25"/>
        <v/>
      </c>
      <c r="Z104" s="398" t="str">
        <f t="shared" ca="1" si="25"/>
        <v/>
      </c>
      <c r="AA104" s="398" t="str">
        <f t="shared" ca="1" si="25"/>
        <v/>
      </c>
      <c r="AB104" s="398" t="str">
        <f t="shared" ca="1" si="25"/>
        <v/>
      </c>
      <c r="AC104" s="398" t="str">
        <f t="shared" ca="1" si="25"/>
        <v/>
      </c>
      <c r="AD104" s="398" t="str">
        <f t="shared" ca="1" si="25"/>
        <v/>
      </c>
      <c r="AE104" s="398" t="str">
        <f t="shared" ca="1" si="25"/>
        <v/>
      </c>
      <c r="AF104" s="398" t="str">
        <f t="shared" ca="1" si="25"/>
        <v/>
      </c>
      <c r="AG104" s="398" t="str">
        <f t="shared" ca="1" si="25"/>
        <v/>
      </c>
      <c r="AH104" s="398" t="str">
        <f t="shared" ca="1" si="25"/>
        <v/>
      </c>
      <c r="AI104" s="398" t="str">
        <f t="shared" ca="1" si="25"/>
        <v/>
      </c>
      <c r="AJ104" s="398" t="str">
        <f t="shared" ca="1" si="25"/>
        <v/>
      </c>
      <c r="AK104" s="398" t="str">
        <f t="shared" ca="1" si="25"/>
        <v/>
      </c>
      <c r="AL104" s="398" t="str">
        <f t="shared" ca="1" si="25"/>
        <v/>
      </c>
      <c r="AM104" s="398" t="str">
        <f t="shared" ca="1" si="25"/>
        <v/>
      </c>
      <c r="AN104" s="398" t="str">
        <f t="shared" ca="1" si="25"/>
        <v/>
      </c>
      <c r="AO104" s="398" t="str">
        <f t="shared" ca="1" si="25"/>
        <v/>
      </c>
      <c r="AP104" s="398" t="str">
        <f t="shared" ca="1" si="25"/>
        <v/>
      </c>
      <c r="AQ104" s="398" t="str">
        <f t="shared" ca="1" si="25"/>
        <v/>
      </c>
      <c r="AR104" s="398" t="str">
        <f t="shared" ca="1" si="25"/>
        <v/>
      </c>
      <c r="AS104" s="398" t="str">
        <f t="shared" ca="1" si="25"/>
        <v/>
      </c>
      <c r="AT104" s="398" t="str">
        <f t="shared" ca="1" si="25"/>
        <v/>
      </c>
      <c r="AU104" s="398" t="str">
        <f t="shared" ca="1" si="25"/>
        <v/>
      </c>
      <c r="AV104" s="398" t="str">
        <f t="shared" ca="1" si="25"/>
        <v/>
      </c>
      <c r="AW104" s="398" t="str">
        <f t="shared" ca="1" si="25"/>
        <v/>
      </c>
      <c r="AX104" s="398" t="str">
        <f t="shared" ca="1" si="25"/>
        <v/>
      </c>
      <c r="AY104" s="398">
        <f t="shared" ca="1" si="25"/>
        <v>0</v>
      </c>
      <c r="AZ104" s="398">
        <f t="shared" ca="1" si="25"/>
        <v>0</v>
      </c>
      <c r="BA104" s="398">
        <f t="shared" ca="1" si="25"/>
        <v>0</v>
      </c>
      <c r="BB104" s="398">
        <f t="shared" ca="1" si="25"/>
        <v>0</v>
      </c>
      <c r="BC104" s="398">
        <f t="shared" ca="1" si="25"/>
        <v>0</v>
      </c>
      <c r="BD104" s="398">
        <f t="shared" ca="1" si="25"/>
        <v>0</v>
      </c>
      <c r="BE104" s="398">
        <f t="shared" ca="1" si="25"/>
        <v>56480</v>
      </c>
      <c r="BF104" s="398">
        <f t="shared" ca="1" si="25"/>
        <v>52379</v>
      </c>
      <c r="BG104" s="398">
        <f t="shared" ca="1" si="25"/>
        <v>71686</v>
      </c>
      <c r="BH104" s="398">
        <f t="shared" ca="1" si="25"/>
        <v>0</v>
      </c>
      <c r="BI104" s="398">
        <f t="shared" ca="1" si="25"/>
        <v>0</v>
      </c>
    </row>
    <row r="105" spans="1:61" outlineLevel="1" x14ac:dyDescent="0.15">
      <c r="A105" s="408">
        <v>51</v>
      </c>
      <c r="B105" s="398" t="str">
        <f t="shared" ca="1" si="26"/>
        <v/>
      </c>
      <c r="C105" s="398" t="str">
        <f t="shared" ca="1" si="26"/>
        <v/>
      </c>
      <c r="D105" s="398" t="str">
        <f t="shared" ca="1" si="26"/>
        <v/>
      </c>
      <c r="E105" s="398" t="str">
        <f t="shared" ca="1" si="26"/>
        <v/>
      </c>
      <c r="F105" s="398" t="str">
        <f t="shared" ca="1" si="26"/>
        <v/>
      </c>
      <c r="G105" s="398" t="str">
        <f t="shared" ca="1" si="26"/>
        <v/>
      </c>
      <c r="H105" s="398" t="str">
        <f t="shared" ca="1" si="26"/>
        <v/>
      </c>
      <c r="I105" s="398" t="str">
        <f t="shared" ca="1" si="26"/>
        <v/>
      </c>
      <c r="J105" s="398" t="str">
        <f t="shared" ca="1" si="26"/>
        <v/>
      </c>
      <c r="K105" s="398" t="str">
        <f t="shared" ca="1" si="26"/>
        <v/>
      </c>
      <c r="L105" s="398" t="str">
        <f t="shared" ca="1" si="26"/>
        <v/>
      </c>
      <c r="M105" s="398" t="str">
        <f t="shared" ca="1" si="26"/>
        <v/>
      </c>
      <c r="N105" s="398" t="str">
        <f t="shared" ca="1" si="26"/>
        <v/>
      </c>
      <c r="O105" s="398" t="str">
        <f t="shared" ca="1" si="26"/>
        <v/>
      </c>
      <c r="P105" s="398" t="str">
        <f t="shared" ca="1" si="26"/>
        <v/>
      </c>
      <c r="Q105" s="398" t="str">
        <f t="shared" ca="1" si="26"/>
        <v/>
      </c>
      <c r="R105" s="398" t="str">
        <f t="shared" ca="1" si="25"/>
        <v/>
      </c>
      <c r="S105" s="398" t="str">
        <f t="shared" ca="1" si="25"/>
        <v/>
      </c>
      <c r="T105" s="398" t="str">
        <f t="shared" ca="1" si="25"/>
        <v/>
      </c>
      <c r="U105" s="398" t="str">
        <f t="shared" ca="1" si="25"/>
        <v/>
      </c>
      <c r="V105" s="398" t="str">
        <f t="shared" ca="1" si="25"/>
        <v/>
      </c>
      <c r="W105" s="398" t="str">
        <f t="shared" ca="1" si="25"/>
        <v/>
      </c>
      <c r="X105" s="398" t="str">
        <f t="shared" ca="1" si="25"/>
        <v/>
      </c>
      <c r="Y105" s="398" t="str">
        <f t="shared" ca="1" si="25"/>
        <v/>
      </c>
      <c r="Z105" s="398" t="str">
        <f t="shared" ca="1" si="25"/>
        <v/>
      </c>
      <c r="AA105" s="398" t="str">
        <f t="shared" ca="1" si="25"/>
        <v/>
      </c>
      <c r="AB105" s="398" t="str">
        <f t="shared" ca="1" si="25"/>
        <v/>
      </c>
      <c r="AC105" s="398" t="str">
        <f t="shared" ca="1" si="25"/>
        <v/>
      </c>
      <c r="AD105" s="398" t="str">
        <f t="shared" ca="1" si="25"/>
        <v/>
      </c>
      <c r="AE105" s="398" t="str">
        <f t="shared" ca="1" si="25"/>
        <v/>
      </c>
      <c r="AF105" s="398" t="str">
        <f t="shared" ca="1" si="25"/>
        <v/>
      </c>
      <c r="AG105" s="398" t="str">
        <f t="shared" ca="1" si="25"/>
        <v/>
      </c>
      <c r="AH105" s="398" t="str">
        <f t="shared" ca="1" si="25"/>
        <v/>
      </c>
      <c r="AI105" s="398" t="str">
        <f t="shared" ca="1" si="25"/>
        <v/>
      </c>
      <c r="AJ105" s="398" t="str">
        <f t="shared" ca="1" si="25"/>
        <v/>
      </c>
      <c r="AK105" s="398" t="str">
        <f t="shared" ca="1" si="25"/>
        <v/>
      </c>
      <c r="AL105" s="398" t="str">
        <f t="shared" ca="1" si="25"/>
        <v/>
      </c>
      <c r="AM105" s="398" t="str">
        <f t="shared" ca="1" si="25"/>
        <v/>
      </c>
      <c r="AN105" s="398" t="str">
        <f t="shared" ca="1" si="25"/>
        <v/>
      </c>
      <c r="AO105" s="398" t="str">
        <f t="shared" ca="1" si="25"/>
        <v/>
      </c>
      <c r="AP105" s="398" t="str">
        <f t="shared" ca="1" si="25"/>
        <v/>
      </c>
      <c r="AQ105" s="398" t="str">
        <f t="shared" ca="1" si="25"/>
        <v/>
      </c>
      <c r="AR105" s="398" t="str">
        <f t="shared" ca="1" si="25"/>
        <v/>
      </c>
      <c r="AS105" s="398" t="str">
        <f t="shared" ca="1" si="25"/>
        <v/>
      </c>
      <c r="AT105" s="398" t="str">
        <f t="shared" ca="1" si="25"/>
        <v/>
      </c>
      <c r="AU105" s="398" t="str">
        <f t="shared" ca="1" si="25"/>
        <v/>
      </c>
      <c r="AV105" s="398" t="str">
        <f t="shared" ca="1" si="25"/>
        <v/>
      </c>
      <c r="AW105" s="398" t="str">
        <f t="shared" ca="1" si="25"/>
        <v/>
      </c>
      <c r="AX105" s="398" t="str">
        <f t="shared" ca="1" si="25"/>
        <v/>
      </c>
      <c r="AY105" s="398" t="str">
        <f t="shared" ca="1" si="25"/>
        <v/>
      </c>
      <c r="AZ105" s="398">
        <f t="shared" ca="1" si="25"/>
        <v>0</v>
      </c>
      <c r="BA105" s="398">
        <f t="shared" ca="1" si="25"/>
        <v>0</v>
      </c>
      <c r="BB105" s="398">
        <f t="shared" ca="1" si="25"/>
        <v>0</v>
      </c>
      <c r="BC105" s="398">
        <f t="shared" ca="1" si="25"/>
        <v>0</v>
      </c>
      <c r="BD105" s="398">
        <f t="shared" ca="1" si="25"/>
        <v>0</v>
      </c>
      <c r="BE105" s="398">
        <f t="shared" ca="1" si="25"/>
        <v>0</v>
      </c>
      <c r="BF105" s="398">
        <f t="shared" ca="1" si="25"/>
        <v>56480</v>
      </c>
      <c r="BG105" s="398">
        <f t="shared" ca="1" si="25"/>
        <v>52379</v>
      </c>
      <c r="BH105" s="398">
        <f t="shared" ca="1" si="25"/>
        <v>71686</v>
      </c>
      <c r="BI105" s="398">
        <f t="shared" ca="1" si="25"/>
        <v>0</v>
      </c>
    </row>
    <row r="106" spans="1:61" outlineLevel="1" x14ac:dyDescent="0.15">
      <c r="A106" s="408">
        <v>52</v>
      </c>
      <c r="B106" s="398" t="str">
        <f t="shared" ca="1" si="26"/>
        <v/>
      </c>
      <c r="C106" s="398" t="str">
        <f t="shared" ca="1" si="26"/>
        <v/>
      </c>
      <c r="D106" s="398" t="str">
        <f t="shared" ca="1" si="26"/>
        <v/>
      </c>
      <c r="E106" s="398" t="str">
        <f t="shared" ca="1" si="26"/>
        <v/>
      </c>
      <c r="F106" s="398" t="str">
        <f t="shared" ca="1" si="26"/>
        <v/>
      </c>
      <c r="G106" s="398" t="str">
        <f t="shared" ca="1" si="26"/>
        <v/>
      </c>
      <c r="H106" s="398" t="str">
        <f t="shared" ca="1" si="26"/>
        <v/>
      </c>
      <c r="I106" s="398" t="str">
        <f t="shared" ca="1" si="26"/>
        <v/>
      </c>
      <c r="J106" s="398" t="str">
        <f t="shared" ca="1" si="26"/>
        <v/>
      </c>
      <c r="K106" s="398" t="str">
        <f t="shared" ca="1" si="26"/>
        <v/>
      </c>
      <c r="L106" s="398" t="str">
        <f t="shared" ca="1" si="26"/>
        <v/>
      </c>
      <c r="M106" s="398" t="str">
        <f t="shared" ca="1" si="26"/>
        <v/>
      </c>
      <c r="N106" s="398" t="str">
        <f t="shared" ca="1" si="26"/>
        <v/>
      </c>
      <c r="O106" s="398" t="str">
        <f t="shared" ca="1" si="26"/>
        <v/>
      </c>
      <c r="P106" s="398" t="str">
        <f t="shared" ca="1" si="26"/>
        <v/>
      </c>
      <c r="Q106" s="398" t="str">
        <f t="shared" ca="1" si="26"/>
        <v/>
      </c>
      <c r="R106" s="398" t="str">
        <f t="shared" ca="1" si="25"/>
        <v/>
      </c>
      <c r="S106" s="398" t="str">
        <f t="shared" ca="1" si="25"/>
        <v/>
      </c>
      <c r="T106" s="398" t="str">
        <f t="shared" ca="1" si="25"/>
        <v/>
      </c>
      <c r="U106" s="398" t="str">
        <f t="shared" ca="1" si="25"/>
        <v/>
      </c>
      <c r="V106" s="398" t="str">
        <f t="shared" ca="1" si="25"/>
        <v/>
      </c>
      <c r="W106" s="398" t="str">
        <f t="shared" ca="1" si="25"/>
        <v/>
      </c>
      <c r="X106" s="398" t="str">
        <f t="shared" ca="1" si="25"/>
        <v/>
      </c>
      <c r="Y106" s="398" t="str">
        <f t="shared" ca="1" si="25"/>
        <v/>
      </c>
      <c r="Z106" s="398" t="str">
        <f t="shared" ca="1" si="25"/>
        <v/>
      </c>
      <c r="AA106" s="398" t="str">
        <f t="shared" ca="1" si="25"/>
        <v/>
      </c>
      <c r="AB106" s="398" t="str">
        <f t="shared" ca="1" si="25"/>
        <v/>
      </c>
      <c r="AC106" s="398" t="str">
        <f t="shared" ca="1" si="25"/>
        <v/>
      </c>
      <c r="AD106" s="398" t="str">
        <f t="shared" ca="1" si="25"/>
        <v/>
      </c>
      <c r="AE106" s="398" t="str">
        <f t="shared" ca="1" si="25"/>
        <v/>
      </c>
      <c r="AF106" s="398" t="str">
        <f t="shared" ca="1" si="25"/>
        <v/>
      </c>
      <c r="AG106" s="398" t="str">
        <f t="shared" ca="1" si="25"/>
        <v/>
      </c>
      <c r="AH106" s="398" t="str">
        <f t="shared" ca="1" si="25"/>
        <v/>
      </c>
      <c r="AI106" s="398" t="str">
        <f t="shared" ca="1" si="25"/>
        <v/>
      </c>
      <c r="AJ106" s="398" t="str">
        <f t="shared" ca="1" si="25"/>
        <v/>
      </c>
      <c r="AK106" s="398" t="str">
        <f t="shared" ca="1" si="25"/>
        <v/>
      </c>
      <c r="AL106" s="398" t="str">
        <f t="shared" ca="1" si="25"/>
        <v/>
      </c>
      <c r="AM106" s="398" t="str">
        <f t="shared" ca="1" si="25"/>
        <v/>
      </c>
      <c r="AN106" s="398" t="str">
        <f t="shared" ca="1" si="25"/>
        <v/>
      </c>
      <c r="AO106" s="398" t="str">
        <f t="shared" ca="1" si="25"/>
        <v/>
      </c>
      <c r="AP106" s="398" t="str">
        <f t="shared" ca="1" si="25"/>
        <v/>
      </c>
      <c r="AQ106" s="398" t="str">
        <f t="shared" ca="1" si="25"/>
        <v/>
      </c>
      <c r="AR106" s="398" t="str">
        <f t="shared" ca="1" si="25"/>
        <v/>
      </c>
      <c r="AS106" s="398" t="str">
        <f t="shared" ca="1" si="25"/>
        <v/>
      </c>
      <c r="AT106" s="398" t="str">
        <f t="shared" ca="1" si="25"/>
        <v/>
      </c>
      <c r="AU106" s="398" t="str">
        <f t="shared" ca="1" si="25"/>
        <v/>
      </c>
      <c r="AV106" s="398" t="str">
        <f t="shared" ca="1" si="25"/>
        <v/>
      </c>
      <c r="AW106" s="398" t="str">
        <f t="shared" ca="1" si="25"/>
        <v/>
      </c>
      <c r="AX106" s="398" t="str">
        <f t="shared" ca="1" si="25"/>
        <v/>
      </c>
      <c r="AY106" s="398" t="str">
        <f t="shared" ca="1" si="25"/>
        <v/>
      </c>
      <c r="AZ106" s="398" t="str">
        <f t="shared" ca="1" si="25"/>
        <v/>
      </c>
      <c r="BA106" s="398">
        <f t="shared" ca="1" si="25"/>
        <v>0</v>
      </c>
      <c r="BB106" s="398">
        <f t="shared" ca="1" si="25"/>
        <v>0</v>
      </c>
      <c r="BC106" s="398">
        <f t="shared" ca="1" si="25"/>
        <v>0</v>
      </c>
      <c r="BD106" s="398">
        <f t="shared" ca="1" si="25"/>
        <v>0</v>
      </c>
      <c r="BE106" s="398">
        <f t="shared" ca="1" si="25"/>
        <v>0</v>
      </c>
      <c r="BF106" s="398">
        <f t="shared" ca="1" si="25"/>
        <v>0</v>
      </c>
      <c r="BG106" s="398">
        <f t="shared" ca="1" si="25"/>
        <v>56480</v>
      </c>
      <c r="BH106" s="398">
        <f t="shared" ca="1" si="25"/>
        <v>52379</v>
      </c>
      <c r="BI106" s="398">
        <f t="shared" ca="1" si="25"/>
        <v>71686</v>
      </c>
    </row>
    <row r="107" spans="1:61" outlineLevel="1" x14ac:dyDescent="0.15">
      <c r="A107" s="408">
        <v>53</v>
      </c>
      <c r="B107" s="398" t="str">
        <f t="shared" ca="1" si="26"/>
        <v/>
      </c>
      <c r="C107" s="398" t="str">
        <f t="shared" ca="1" si="26"/>
        <v/>
      </c>
      <c r="D107" s="398" t="str">
        <f t="shared" ca="1" si="26"/>
        <v/>
      </c>
      <c r="E107" s="398" t="str">
        <f t="shared" ca="1" si="26"/>
        <v/>
      </c>
      <c r="F107" s="398" t="str">
        <f t="shared" ca="1" si="26"/>
        <v/>
      </c>
      <c r="G107" s="398" t="str">
        <f t="shared" ca="1" si="26"/>
        <v/>
      </c>
      <c r="H107" s="398" t="str">
        <f t="shared" ca="1" si="26"/>
        <v/>
      </c>
      <c r="I107" s="398" t="str">
        <f t="shared" ca="1" si="26"/>
        <v/>
      </c>
      <c r="J107" s="398" t="str">
        <f t="shared" ca="1" si="26"/>
        <v/>
      </c>
      <c r="K107" s="398" t="str">
        <f t="shared" ca="1" si="26"/>
        <v/>
      </c>
      <c r="L107" s="398" t="str">
        <f t="shared" ca="1" si="26"/>
        <v/>
      </c>
      <c r="M107" s="398" t="str">
        <f t="shared" ca="1" si="26"/>
        <v/>
      </c>
      <c r="N107" s="398" t="str">
        <f t="shared" ca="1" si="26"/>
        <v/>
      </c>
      <c r="O107" s="398" t="str">
        <f t="shared" ca="1" si="26"/>
        <v/>
      </c>
      <c r="P107" s="398" t="str">
        <f t="shared" ca="1" si="26"/>
        <v/>
      </c>
      <c r="Q107" s="398" t="str">
        <f t="shared" ca="1" si="26"/>
        <v/>
      </c>
      <c r="R107" s="398" t="str">
        <f t="shared" ca="1" si="25"/>
        <v/>
      </c>
      <c r="S107" s="398" t="str">
        <f t="shared" ca="1" si="25"/>
        <v/>
      </c>
      <c r="T107" s="398" t="str">
        <f t="shared" ca="1" si="25"/>
        <v/>
      </c>
      <c r="U107" s="398" t="str">
        <f t="shared" ca="1" si="25"/>
        <v/>
      </c>
      <c r="V107" s="398" t="str">
        <f t="shared" ca="1" si="25"/>
        <v/>
      </c>
      <c r="W107" s="398" t="str">
        <f t="shared" ca="1" si="25"/>
        <v/>
      </c>
      <c r="X107" s="398" t="str">
        <f t="shared" ca="1" si="25"/>
        <v/>
      </c>
      <c r="Y107" s="398" t="str">
        <f t="shared" ca="1" si="25"/>
        <v/>
      </c>
      <c r="Z107" s="398" t="str">
        <f t="shared" ca="1" si="25"/>
        <v/>
      </c>
      <c r="AA107" s="398" t="str">
        <f t="shared" ca="1" si="25"/>
        <v/>
      </c>
      <c r="AB107" s="398" t="str">
        <f t="shared" ca="1" si="25"/>
        <v/>
      </c>
      <c r="AC107" s="398" t="str">
        <f t="shared" ca="1" si="25"/>
        <v/>
      </c>
      <c r="AD107" s="398" t="str">
        <f t="shared" ca="1" si="25"/>
        <v/>
      </c>
      <c r="AE107" s="398" t="str">
        <f t="shared" ca="1" si="25"/>
        <v/>
      </c>
      <c r="AF107" s="398" t="str">
        <f t="shared" ca="1" si="25"/>
        <v/>
      </c>
      <c r="AG107" s="398" t="str">
        <f t="shared" ca="1" si="25"/>
        <v/>
      </c>
      <c r="AH107" s="398" t="str">
        <f t="shared" ca="1" si="25"/>
        <v/>
      </c>
      <c r="AI107" s="398" t="str">
        <f t="shared" ca="1" si="25"/>
        <v/>
      </c>
      <c r="AJ107" s="398" t="str">
        <f t="shared" ca="1" si="25"/>
        <v/>
      </c>
      <c r="AK107" s="398" t="str">
        <f t="shared" ca="1" si="25"/>
        <v/>
      </c>
      <c r="AL107" s="398" t="str">
        <f t="shared" ca="1" si="25"/>
        <v/>
      </c>
      <c r="AM107" s="398" t="str">
        <f t="shared" ca="1" si="25"/>
        <v/>
      </c>
      <c r="AN107" s="398" t="str">
        <f t="shared" ca="1" si="25"/>
        <v/>
      </c>
      <c r="AO107" s="398" t="str">
        <f t="shared" ca="1" si="25"/>
        <v/>
      </c>
      <c r="AP107" s="398" t="str">
        <f t="shared" ca="1" si="25"/>
        <v/>
      </c>
      <c r="AQ107" s="398" t="str">
        <f t="shared" ca="1" si="25"/>
        <v/>
      </c>
      <c r="AR107" s="398" t="str">
        <f t="shared" ca="1" si="25"/>
        <v/>
      </c>
      <c r="AS107" s="398" t="str">
        <f t="shared" ca="1" si="25"/>
        <v/>
      </c>
      <c r="AT107" s="398" t="str">
        <f t="shared" ca="1" si="25"/>
        <v/>
      </c>
      <c r="AU107" s="398" t="str">
        <f t="shared" ca="1" si="25"/>
        <v/>
      </c>
      <c r="AV107" s="398" t="str">
        <f t="shared" ca="1" si="25"/>
        <v/>
      </c>
      <c r="AW107" s="398" t="str">
        <f t="shared" ca="1" si="25"/>
        <v/>
      </c>
      <c r="AX107" s="398" t="str">
        <f t="shared" ca="1" si="25"/>
        <v/>
      </c>
      <c r="AY107" s="398" t="str">
        <f t="shared" ca="1" si="25"/>
        <v/>
      </c>
      <c r="AZ107" s="398" t="str">
        <f t="shared" ca="1" si="25"/>
        <v/>
      </c>
      <c r="BA107" s="398" t="str">
        <f t="shared" ca="1" si="25"/>
        <v/>
      </c>
      <c r="BB107" s="398">
        <f t="shared" ca="1" si="25"/>
        <v>0</v>
      </c>
      <c r="BC107" s="398">
        <f t="shared" ca="1" si="25"/>
        <v>0</v>
      </c>
      <c r="BD107" s="398">
        <f t="shared" ca="1" si="25"/>
        <v>0</v>
      </c>
      <c r="BE107" s="398">
        <f t="shared" ca="1" si="25"/>
        <v>0</v>
      </c>
      <c r="BF107" s="398">
        <f t="shared" ca="1" si="25"/>
        <v>0</v>
      </c>
      <c r="BG107" s="398">
        <f t="shared" ca="1" si="25"/>
        <v>0</v>
      </c>
      <c r="BH107" s="398">
        <f t="shared" ca="1" si="25"/>
        <v>56480</v>
      </c>
      <c r="BI107" s="398">
        <f t="shared" ca="1" si="25"/>
        <v>52379</v>
      </c>
    </row>
    <row r="108" spans="1:61" outlineLevel="1" x14ac:dyDescent="0.15">
      <c r="A108" s="408">
        <v>54</v>
      </c>
      <c r="B108" s="398" t="str">
        <f t="shared" ca="1" si="26"/>
        <v/>
      </c>
      <c r="C108" s="398" t="str">
        <f t="shared" ca="1" si="26"/>
        <v/>
      </c>
      <c r="D108" s="398" t="str">
        <f t="shared" ca="1" si="26"/>
        <v/>
      </c>
      <c r="E108" s="398" t="str">
        <f t="shared" ca="1" si="26"/>
        <v/>
      </c>
      <c r="F108" s="398" t="str">
        <f t="shared" ca="1" si="26"/>
        <v/>
      </c>
      <c r="G108" s="398" t="str">
        <f t="shared" ca="1" si="26"/>
        <v/>
      </c>
      <c r="H108" s="398" t="str">
        <f t="shared" ca="1" si="26"/>
        <v/>
      </c>
      <c r="I108" s="398" t="str">
        <f t="shared" ca="1" si="26"/>
        <v/>
      </c>
      <c r="J108" s="398" t="str">
        <f t="shared" ca="1" si="26"/>
        <v/>
      </c>
      <c r="K108" s="398" t="str">
        <f t="shared" ca="1" si="26"/>
        <v/>
      </c>
      <c r="L108" s="398" t="str">
        <f t="shared" ca="1" si="26"/>
        <v/>
      </c>
      <c r="M108" s="398" t="str">
        <f t="shared" ca="1" si="26"/>
        <v/>
      </c>
      <c r="N108" s="398" t="str">
        <f t="shared" ca="1" si="26"/>
        <v/>
      </c>
      <c r="O108" s="398" t="str">
        <f t="shared" ca="1" si="26"/>
        <v/>
      </c>
      <c r="P108" s="398" t="str">
        <f t="shared" ca="1" si="26"/>
        <v/>
      </c>
      <c r="Q108" s="398" t="str">
        <f t="shared" ca="1" si="26"/>
        <v/>
      </c>
      <c r="R108" s="398" t="str">
        <f t="shared" ca="1" si="25"/>
        <v/>
      </c>
      <c r="S108" s="398" t="str">
        <f t="shared" ca="1" si="25"/>
        <v/>
      </c>
      <c r="T108" s="398" t="str">
        <f t="shared" ref="T108:BZ112" ca="1" si="27">IF($A108&gt;T$5,"",OFFSET(T$54,0,-($A108-1)))</f>
        <v/>
      </c>
      <c r="U108" s="398" t="str">
        <f t="shared" ca="1" si="27"/>
        <v/>
      </c>
      <c r="V108" s="398" t="str">
        <f t="shared" ca="1" si="27"/>
        <v/>
      </c>
      <c r="W108" s="398" t="str">
        <f t="shared" ca="1" si="27"/>
        <v/>
      </c>
      <c r="X108" s="398" t="str">
        <f t="shared" ca="1" si="27"/>
        <v/>
      </c>
      <c r="Y108" s="398" t="str">
        <f t="shared" ca="1" si="27"/>
        <v/>
      </c>
      <c r="Z108" s="398" t="str">
        <f t="shared" ca="1" si="27"/>
        <v/>
      </c>
      <c r="AA108" s="398" t="str">
        <f t="shared" ca="1" si="27"/>
        <v/>
      </c>
      <c r="AB108" s="398" t="str">
        <f t="shared" ca="1" si="27"/>
        <v/>
      </c>
      <c r="AC108" s="398" t="str">
        <f t="shared" ca="1" si="27"/>
        <v/>
      </c>
      <c r="AD108" s="398" t="str">
        <f t="shared" ca="1" si="27"/>
        <v/>
      </c>
      <c r="AE108" s="398" t="str">
        <f t="shared" ca="1" si="27"/>
        <v/>
      </c>
      <c r="AF108" s="398" t="str">
        <f t="shared" ca="1" si="27"/>
        <v/>
      </c>
      <c r="AG108" s="398" t="str">
        <f t="shared" ca="1" si="27"/>
        <v/>
      </c>
      <c r="AH108" s="398" t="str">
        <f t="shared" ca="1" si="27"/>
        <v/>
      </c>
      <c r="AI108" s="398" t="str">
        <f t="shared" ca="1" si="27"/>
        <v/>
      </c>
      <c r="AJ108" s="398" t="str">
        <f t="shared" ca="1" si="27"/>
        <v/>
      </c>
      <c r="AK108" s="398" t="str">
        <f t="shared" ca="1" si="27"/>
        <v/>
      </c>
      <c r="AL108" s="398" t="str">
        <f t="shared" ca="1" si="27"/>
        <v/>
      </c>
      <c r="AM108" s="398" t="str">
        <f t="shared" ca="1" si="27"/>
        <v/>
      </c>
      <c r="AN108" s="398" t="str">
        <f t="shared" ca="1" si="27"/>
        <v/>
      </c>
      <c r="AO108" s="398" t="str">
        <f t="shared" ca="1" si="27"/>
        <v/>
      </c>
      <c r="AP108" s="398" t="str">
        <f t="shared" ca="1" si="27"/>
        <v/>
      </c>
      <c r="AQ108" s="398" t="str">
        <f t="shared" ca="1" si="27"/>
        <v/>
      </c>
      <c r="AR108" s="398" t="str">
        <f t="shared" ca="1" si="27"/>
        <v/>
      </c>
      <c r="AS108" s="398" t="str">
        <f t="shared" ca="1" si="27"/>
        <v/>
      </c>
      <c r="AT108" s="398" t="str">
        <f t="shared" ca="1" si="27"/>
        <v/>
      </c>
      <c r="AU108" s="398" t="str">
        <f t="shared" ca="1" si="27"/>
        <v/>
      </c>
      <c r="AV108" s="398" t="str">
        <f t="shared" ca="1" si="27"/>
        <v/>
      </c>
      <c r="AW108" s="398" t="str">
        <f t="shared" ca="1" si="27"/>
        <v/>
      </c>
      <c r="AX108" s="398" t="str">
        <f t="shared" ca="1" si="27"/>
        <v/>
      </c>
      <c r="AY108" s="398" t="str">
        <f t="shared" ca="1" si="27"/>
        <v/>
      </c>
      <c r="AZ108" s="398" t="str">
        <f t="shared" ca="1" si="27"/>
        <v/>
      </c>
      <c r="BA108" s="398" t="str">
        <f t="shared" ca="1" si="27"/>
        <v/>
      </c>
      <c r="BB108" s="398" t="str">
        <f t="shared" ca="1" si="27"/>
        <v/>
      </c>
      <c r="BC108" s="398">
        <f t="shared" ca="1" si="27"/>
        <v>0</v>
      </c>
      <c r="BD108" s="398">
        <f t="shared" ca="1" si="27"/>
        <v>0</v>
      </c>
      <c r="BE108" s="398">
        <f t="shared" ca="1" si="27"/>
        <v>0</v>
      </c>
      <c r="BF108" s="398">
        <f t="shared" ca="1" si="27"/>
        <v>0</v>
      </c>
      <c r="BG108" s="398">
        <f t="shared" ca="1" si="27"/>
        <v>0</v>
      </c>
      <c r="BH108" s="398">
        <f t="shared" ca="1" si="27"/>
        <v>0</v>
      </c>
      <c r="BI108" s="398">
        <f t="shared" ca="1" si="27"/>
        <v>56480</v>
      </c>
    </row>
    <row r="109" spans="1:61" outlineLevel="1" x14ac:dyDescent="0.15">
      <c r="A109" s="408">
        <v>55</v>
      </c>
      <c r="B109" s="398" t="str">
        <f t="shared" ca="1" si="26"/>
        <v/>
      </c>
      <c r="C109" s="398" t="str">
        <f t="shared" ca="1" si="26"/>
        <v/>
      </c>
      <c r="D109" s="398" t="str">
        <f t="shared" ca="1" si="26"/>
        <v/>
      </c>
      <c r="E109" s="398" t="str">
        <f t="shared" ca="1" si="26"/>
        <v/>
      </c>
      <c r="F109" s="398" t="str">
        <f t="shared" ca="1" si="26"/>
        <v/>
      </c>
      <c r="G109" s="398" t="str">
        <f t="shared" ca="1" si="26"/>
        <v/>
      </c>
      <c r="H109" s="398" t="str">
        <f t="shared" ca="1" si="26"/>
        <v/>
      </c>
      <c r="I109" s="398" t="str">
        <f t="shared" ca="1" si="26"/>
        <v/>
      </c>
      <c r="J109" s="398" t="str">
        <f t="shared" ca="1" si="26"/>
        <v/>
      </c>
      <c r="K109" s="398" t="str">
        <f t="shared" ca="1" si="26"/>
        <v/>
      </c>
      <c r="L109" s="398" t="str">
        <f t="shared" ca="1" si="26"/>
        <v/>
      </c>
      <c r="M109" s="398" t="str">
        <f t="shared" ca="1" si="26"/>
        <v/>
      </c>
      <c r="N109" s="398" t="str">
        <f t="shared" ca="1" si="26"/>
        <v/>
      </c>
      <c r="O109" s="398" t="str">
        <f t="shared" ca="1" si="26"/>
        <v/>
      </c>
      <c r="P109" s="398" t="str">
        <f t="shared" ca="1" si="26"/>
        <v/>
      </c>
      <c r="Q109" s="398" t="str">
        <f t="shared" ca="1" si="26"/>
        <v/>
      </c>
      <c r="R109" s="398" t="str">
        <f t="shared" ref="R109:BX114" ca="1" si="28">IF($A109&gt;R$5,"",OFFSET(R$54,0,-($A109-1)))</f>
        <v/>
      </c>
      <c r="S109" s="398" t="str">
        <f t="shared" ca="1" si="28"/>
        <v/>
      </c>
      <c r="T109" s="398" t="str">
        <f t="shared" ca="1" si="28"/>
        <v/>
      </c>
      <c r="U109" s="398" t="str">
        <f t="shared" ca="1" si="28"/>
        <v/>
      </c>
      <c r="V109" s="398" t="str">
        <f t="shared" ca="1" si="28"/>
        <v/>
      </c>
      <c r="W109" s="398" t="str">
        <f t="shared" ca="1" si="28"/>
        <v/>
      </c>
      <c r="X109" s="398" t="str">
        <f t="shared" ca="1" si="28"/>
        <v/>
      </c>
      <c r="Y109" s="398" t="str">
        <f t="shared" ca="1" si="28"/>
        <v/>
      </c>
      <c r="Z109" s="398" t="str">
        <f t="shared" ca="1" si="28"/>
        <v/>
      </c>
      <c r="AA109" s="398" t="str">
        <f t="shared" ca="1" si="28"/>
        <v/>
      </c>
      <c r="AB109" s="398" t="str">
        <f t="shared" ca="1" si="28"/>
        <v/>
      </c>
      <c r="AC109" s="398" t="str">
        <f t="shared" ca="1" si="28"/>
        <v/>
      </c>
      <c r="AD109" s="398" t="str">
        <f t="shared" ca="1" si="28"/>
        <v/>
      </c>
      <c r="AE109" s="398" t="str">
        <f t="shared" ca="1" si="28"/>
        <v/>
      </c>
      <c r="AF109" s="398" t="str">
        <f t="shared" ca="1" si="28"/>
        <v/>
      </c>
      <c r="AG109" s="398" t="str">
        <f t="shared" ca="1" si="28"/>
        <v/>
      </c>
      <c r="AH109" s="398" t="str">
        <f t="shared" ca="1" si="28"/>
        <v/>
      </c>
      <c r="AI109" s="398" t="str">
        <f t="shared" ca="1" si="28"/>
        <v/>
      </c>
      <c r="AJ109" s="398" t="str">
        <f t="shared" ca="1" si="28"/>
        <v/>
      </c>
      <c r="AK109" s="398" t="str">
        <f t="shared" ca="1" si="28"/>
        <v/>
      </c>
      <c r="AL109" s="398" t="str">
        <f t="shared" ca="1" si="28"/>
        <v/>
      </c>
      <c r="AM109" s="398" t="str">
        <f t="shared" ca="1" si="28"/>
        <v/>
      </c>
      <c r="AN109" s="398" t="str">
        <f t="shared" ca="1" si="28"/>
        <v/>
      </c>
      <c r="AO109" s="398" t="str">
        <f t="shared" ca="1" si="28"/>
        <v/>
      </c>
      <c r="AP109" s="398" t="str">
        <f t="shared" ca="1" si="28"/>
        <v/>
      </c>
      <c r="AQ109" s="398" t="str">
        <f t="shared" ca="1" si="28"/>
        <v/>
      </c>
      <c r="AR109" s="398" t="str">
        <f t="shared" ca="1" si="28"/>
        <v/>
      </c>
      <c r="AS109" s="398" t="str">
        <f t="shared" ca="1" si="28"/>
        <v/>
      </c>
      <c r="AT109" s="398" t="str">
        <f t="shared" ca="1" si="28"/>
        <v/>
      </c>
      <c r="AU109" s="398" t="str">
        <f t="shared" ca="1" si="28"/>
        <v/>
      </c>
      <c r="AV109" s="398" t="str">
        <f t="shared" ca="1" si="28"/>
        <v/>
      </c>
      <c r="AW109" s="398" t="str">
        <f t="shared" ca="1" si="28"/>
        <v/>
      </c>
      <c r="AX109" s="398" t="str">
        <f t="shared" ca="1" si="28"/>
        <v/>
      </c>
      <c r="AY109" s="398" t="str">
        <f t="shared" ca="1" si="28"/>
        <v/>
      </c>
      <c r="AZ109" s="398" t="str">
        <f t="shared" ca="1" si="28"/>
        <v/>
      </c>
      <c r="BA109" s="398" t="str">
        <f t="shared" ca="1" si="28"/>
        <v/>
      </c>
      <c r="BB109" s="398" t="str">
        <f t="shared" ca="1" si="28"/>
        <v/>
      </c>
      <c r="BC109" s="398" t="str">
        <f t="shared" ca="1" si="28"/>
        <v/>
      </c>
      <c r="BD109" s="398">
        <f t="shared" ca="1" si="28"/>
        <v>0</v>
      </c>
      <c r="BE109" s="398">
        <f t="shared" ca="1" si="28"/>
        <v>0</v>
      </c>
      <c r="BF109" s="398">
        <f t="shared" ca="1" si="28"/>
        <v>0</v>
      </c>
      <c r="BG109" s="398">
        <f t="shared" ca="1" si="28"/>
        <v>0</v>
      </c>
      <c r="BH109" s="398">
        <f t="shared" ca="1" si="28"/>
        <v>0</v>
      </c>
      <c r="BI109" s="398">
        <f t="shared" ca="1" si="28"/>
        <v>0</v>
      </c>
    </row>
    <row r="110" spans="1:61" outlineLevel="1" x14ac:dyDescent="0.15">
      <c r="A110" s="408">
        <v>56</v>
      </c>
      <c r="B110" s="398" t="str">
        <f t="shared" ca="1" si="26"/>
        <v/>
      </c>
      <c r="C110" s="398" t="str">
        <f t="shared" ca="1" si="26"/>
        <v/>
      </c>
      <c r="D110" s="398" t="str">
        <f t="shared" ca="1" si="26"/>
        <v/>
      </c>
      <c r="E110" s="398" t="str">
        <f t="shared" ca="1" si="26"/>
        <v/>
      </c>
      <c r="F110" s="398" t="str">
        <f t="shared" ca="1" si="26"/>
        <v/>
      </c>
      <c r="G110" s="398" t="str">
        <f t="shared" ca="1" si="26"/>
        <v/>
      </c>
      <c r="H110" s="398" t="str">
        <f t="shared" ca="1" si="26"/>
        <v/>
      </c>
      <c r="I110" s="398" t="str">
        <f t="shared" ca="1" si="26"/>
        <v/>
      </c>
      <c r="J110" s="398" t="str">
        <f t="shared" ca="1" si="26"/>
        <v/>
      </c>
      <c r="K110" s="398" t="str">
        <f t="shared" ca="1" si="26"/>
        <v/>
      </c>
      <c r="L110" s="398" t="str">
        <f t="shared" ca="1" si="26"/>
        <v/>
      </c>
      <c r="M110" s="398" t="str">
        <f t="shared" ca="1" si="26"/>
        <v/>
      </c>
      <c r="N110" s="398" t="str">
        <f t="shared" ca="1" si="26"/>
        <v/>
      </c>
      <c r="O110" s="398" t="str">
        <f t="shared" ca="1" si="26"/>
        <v/>
      </c>
      <c r="P110" s="398" t="str">
        <f t="shared" ca="1" si="26"/>
        <v/>
      </c>
      <c r="Q110" s="398" t="str">
        <f t="shared" ca="1" si="26"/>
        <v/>
      </c>
      <c r="R110" s="398" t="str">
        <f t="shared" ca="1" si="28"/>
        <v/>
      </c>
      <c r="S110" s="398" t="str">
        <f t="shared" ca="1" si="28"/>
        <v/>
      </c>
      <c r="T110" s="398" t="str">
        <f t="shared" ca="1" si="28"/>
        <v/>
      </c>
      <c r="U110" s="398" t="str">
        <f t="shared" ca="1" si="28"/>
        <v/>
      </c>
      <c r="V110" s="398" t="str">
        <f t="shared" ca="1" si="28"/>
        <v/>
      </c>
      <c r="W110" s="398" t="str">
        <f t="shared" ca="1" si="28"/>
        <v/>
      </c>
      <c r="X110" s="398" t="str">
        <f t="shared" ca="1" si="28"/>
        <v/>
      </c>
      <c r="Y110" s="398" t="str">
        <f t="shared" ca="1" si="28"/>
        <v/>
      </c>
      <c r="Z110" s="398" t="str">
        <f t="shared" ca="1" si="28"/>
        <v/>
      </c>
      <c r="AA110" s="398" t="str">
        <f t="shared" ca="1" si="28"/>
        <v/>
      </c>
      <c r="AB110" s="398" t="str">
        <f t="shared" ca="1" si="28"/>
        <v/>
      </c>
      <c r="AC110" s="398" t="str">
        <f t="shared" ca="1" si="28"/>
        <v/>
      </c>
      <c r="AD110" s="398" t="str">
        <f t="shared" ca="1" si="28"/>
        <v/>
      </c>
      <c r="AE110" s="398" t="str">
        <f t="shared" ca="1" si="28"/>
        <v/>
      </c>
      <c r="AF110" s="398" t="str">
        <f t="shared" ca="1" si="28"/>
        <v/>
      </c>
      <c r="AG110" s="398" t="str">
        <f t="shared" ca="1" si="28"/>
        <v/>
      </c>
      <c r="AH110" s="398" t="str">
        <f t="shared" ca="1" si="28"/>
        <v/>
      </c>
      <c r="AI110" s="398" t="str">
        <f t="shared" ca="1" si="28"/>
        <v/>
      </c>
      <c r="AJ110" s="398" t="str">
        <f t="shared" ca="1" si="28"/>
        <v/>
      </c>
      <c r="AK110" s="398" t="str">
        <f t="shared" ca="1" si="28"/>
        <v/>
      </c>
      <c r="AL110" s="398" t="str">
        <f t="shared" ca="1" si="28"/>
        <v/>
      </c>
      <c r="AM110" s="398" t="str">
        <f t="shared" ca="1" si="28"/>
        <v/>
      </c>
      <c r="AN110" s="398" t="str">
        <f t="shared" ca="1" si="28"/>
        <v/>
      </c>
      <c r="AO110" s="398" t="str">
        <f t="shared" ca="1" si="28"/>
        <v/>
      </c>
      <c r="AP110" s="398" t="str">
        <f t="shared" ca="1" si="28"/>
        <v/>
      </c>
      <c r="AQ110" s="398" t="str">
        <f t="shared" ca="1" si="28"/>
        <v/>
      </c>
      <c r="AR110" s="398" t="str">
        <f t="shared" ca="1" si="28"/>
        <v/>
      </c>
      <c r="AS110" s="398" t="str">
        <f t="shared" ca="1" si="28"/>
        <v/>
      </c>
      <c r="AT110" s="398" t="str">
        <f t="shared" ca="1" si="28"/>
        <v/>
      </c>
      <c r="AU110" s="398" t="str">
        <f t="shared" ca="1" si="28"/>
        <v/>
      </c>
      <c r="AV110" s="398" t="str">
        <f t="shared" ca="1" si="28"/>
        <v/>
      </c>
      <c r="AW110" s="398" t="str">
        <f t="shared" ca="1" si="28"/>
        <v/>
      </c>
      <c r="AX110" s="398" t="str">
        <f t="shared" ca="1" si="28"/>
        <v/>
      </c>
      <c r="AY110" s="398" t="str">
        <f t="shared" ca="1" si="28"/>
        <v/>
      </c>
      <c r="AZ110" s="398" t="str">
        <f t="shared" ca="1" si="28"/>
        <v/>
      </c>
      <c r="BA110" s="398" t="str">
        <f t="shared" ca="1" si="28"/>
        <v/>
      </c>
      <c r="BB110" s="398" t="str">
        <f t="shared" ca="1" si="28"/>
        <v/>
      </c>
      <c r="BC110" s="398" t="str">
        <f t="shared" ca="1" si="28"/>
        <v/>
      </c>
      <c r="BD110" s="398" t="str">
        <f t="shared" ca="1" si="28"/>
        <v/>
      </c>
      <c r="BE110" s="398">
        <f t="shared" ca="1" si="28"/>
        <v>0</v>
      </c>
      <c r="BF110" s="398">
        <f t="shared" ca="1" si="28"/>
        <v>0</v>
      </c>
      <c r="BG110" s="398">
        <f t="shared" ca="1" si="28"/>
        <v>0</v>
      </c>
      <c r="BH110" s="398">
        <f t="shared" ca="1" si="28"/>
        <v>0</v>
      </c>
      <c r="BI110" s="398">
        <f t="shared" ca="1" si="28"/>
        <v>0</v>
      </c>
    </row>
    <row r="111" spans="1:61" outlineLevel="1" x14ac:dyDescent="0.15">
      <c r="A111" s="408">
        <v>57</v>
      </c>
      <c r="B111" s="398" t="str">
        <f t="shared" ca="1" si="26"/>
        <v/>
      </c>
      <c r="C111" s="398" t="str">
        <f t="shared" ca="1" si="26"/>
        <v/>
      </c>
      <c r="D111" s="398" t="str">
        <f t="shared" ca="1" si="26"/>
        <v/>
      </c>
      <c r="E111" s="398" t="str">
        <f t="shared" ca="1" si="26"/>
        <v/>
      </c>
      <c r="F111" s="398" t="str">
        <f t="shared" ca="1" si="26"/>
        <v/>
      </c>
      <c r="G111" s="398" t="str">
        <f t="shared" ca="1" si="26"/>
        <v/>
      </c>
      <c r="H111" s="398" t="str">
        <f t="shared" ca="1" si="26"/>
        <v/>
      </c>
      <c r="I111" s="398" t="str">
        <f t="shared" ca="1" si="26"/>
        <v/>
      </c>
      <c r="J111" s="398" t="str">
        <f t="shared" ca="1" si="26"/>
        <v/>
      </c>
      <c r="K111" s="398" t="str">
        <f t="shared" ca="1" si="26"/>
        <v/>
      </c>
      <c r="L111" s="398" t="str">
        <f t="shared" ca="1" si="26"/>
        <v/>
      </c>
      <c r="M111" s="398" t="str">
        <f t="shared" ca="1" si="26"/>
        <v/>
      </c>
      <c r="N111" s="398" t="str">
        <f t="shared" ca="1" si="26"/>
        <v/>
      </c>
      <c r="O111" s="398" t="str">
        <f t="shared" ca="1" si="26"/>
        <v/>
      </c>
      <c r="P111" s="398" t="str">
        <f t="shared" ca="1" si="26"/>
        <v/>
      </c>
      <c r="Q111" s="398" t="str">
        <f t="shared" ca="1" si="26"/>
        <v/>
      </c>
      <c r="R111" s="398" t="str">
        <f t="shared" ca="1" si="28"/>
        <v/>
      </c>
      <c r="S111" s="398" t="str">
        <f t="shared" ca="1" si="28"/>
        <v/>
      </c>
      <c r="T111" s="398" t="str">
        <f t="shared" ca="1" si="28"/>
        <v/>
      </c>
      <c r="U111" s="398" t="str">
        <f t="shared" ca="1" si="28"/>
        <v/>
      </c>
      <c r="V111" s="398" t="str">
        <f t="shared" ca="1" si="28"/>
        <v/>
      </c>
      <c r="W111" s="398" t="str">
        <f t="shared" ca="1" si="28"/>
        <v/>
      </c>
      <c r="X111" s="398" t="str">
        <f t="shared" ca="1" si="28"/>
        <v/>
      </c>
      <c r="Y111" s="398" t="str">
        <f t="shared" ca="1" si="28"/>
        <v/>
      </c>
      <c r="Z111" s="398" t="str">
        <f t="shared" ca="1" si="28"/>
        <v/>
      </c>
      <c r="AA111" s="398" t="str">
        <f t="shared" ca="1" si="28"/>
        <v/>
      </c>
      <c r="AB111" s="398" t="str">
        <f t="shared" ca="1" si="28"/>
        <v/>
      </c>
      <c r="AC111" s="398" t="str">
        <f t="shared" ca="1" si="28"/>
        <v/>
      </c>
      <c r="AD111" s="398" t="str">
        <f t="shared" ca="1" si="28"/>
        <v/>
      </c>
      <c r="AE111" s="398" t="str">
        <f t="shared" ca="1" si="28"/>
        <v/>
      </c>
      <c r="AF111" s="398" t="str">
        <f t="shared" ca="1" si="28"/>
        <v/>
      </c>
      <c r="AG111" s="398" t="str">
        <f t="shared" ca="1" si="28"/>
        <v/>
      </c>
      <c r="AH111" s="398" t="str">
        <f t="shared" ca="1" si="28"/>
        <v/>
      </c>
      <c r="AI111" s="398" t="str">
        <f t="shared" ca="1" si="28"/>
        <v/>
      </c>
      <c r="AJ111" s="398" t="str">
        <f t="shared" ca="1" si="28"/>
        <v/>
      </c>
      <c r="AK111" s="398" t="str">
        <f t="shared" ca="1" si="28"/>
        <v/>
      </c>
      <c r="AL111" s="398" t="str">
        <f t="shared" ca="1" si="28"/>
        <v/>
      </c>
      <c r="AM111" s="398" t="str">
        <f t="shared" ca="1" si="28"/>
        <v/>
      </c>
      <c r="AN111" s="398" t="str">
        <f t="shared" ca="1" si="28"/>
        <v/>
      </c>
      <c r="AO111" s="398" t="str">
        <f t="shared" ca="1" si="28"/>
        <v/>
      </c>
      <c r="AP111" s="398" t="str">
        <f t="shared" ca="1" si="28"/>
        <v/>
      </c>
      <c r="AQ111" s="398" t="str">
        <f t="shared" ca="1" si="28"/>
        <v/>
      </c>
      <c r="AR111" s="398" t="str">
        <f t="shared" ca="1" si="28"/>
        <v/>
      </c>
      <c r="AS111" s="398" t="str">
        <f t="shared" ca="1" si="28"/>
        <v/>
      </c>
      <c r="AT111" s="398" t="str">
        <f t="shared" ca="1" si="28"/>
        <v/>
      </c>
      <c r="AU111" s="398" t="str">
        <f t="shared" ca="1" si="28"/>
        <v/>
      </c>
      <c r="AV111" s="398" t="str">
        <f t="shared" ca="1" si="28"/>
        <v/>
      </c>
      <c r="AW111" s="398" t="str">
        <f t="shared" ca="1" si="28"/>
        <v/>
      </c>
      <c r="AX111" s="398" t="str">
        <f t="shared" ca="1" si="28"/>
        <v/>
      </c>
      <c r="AY111" s="398" t="str">
        <f t="shared" ca="1" si="28"/>
        <v/>
      </c>
      <c r="AZ111" s="398" t="str">
        <f t="shared" ca="1" si="28"/>
        <v/>
      </c>
      <c r="BA111" s="398" t="str">
        <f t="shared" ca="1" si="28"/>
        <v/>
      </c>
      <c r="BB111" s="398" t="str">
        <f t="shared" ca="1" si="28"/>
        <v/>
      </c>
      <c r="BC111" s="398" t="str">
        <f t="shared" ca="1" si="28"/>
        <v/>
      </c>
      <c r="BD111" s="398" t="str">
        <f t="shared" ca="1" si="28"/>
        <v/>
      </c>
      <c r="BE111" s="398" t="str">
        <f t="shared" ca="1" si="28"/>
        <v/>
      </c>
      <c r="BF111" s="398">
        <f t="shared" ca="1" si="28"/>
        <v>0</v>
      </c>
      <c r="BG111" s="398">
        <f t="shared" ca="1" si="28"/>
        <v>0</v>
      </c>
      <c r="BH111" s="398">
        <f t="shared" ca="1" si="28"/>
        <v>0</v>
      </c>
      <c r="BI111" s="398">
        <f t="shared" ca="1" si="28"/>
        <v>0</v>
      </c>
    </row>
    <row r="112" spans="1:61" outlineLevel="1" x14ac:dyDescent="0.15">
      <c r="A112" s="408">
        <v>58</v>
      </c>
      <c r="B112" s="398" t="str">
        <f t="shared" ca="1" si="26"/>
        <v/>
      </c>
      <c r="C112" s="398" t="str">
        <f t="shared" ca="1" si="26"/>
        <v/>
      </c>
      <c r="D112" s="398" t="str">
        <f t="shared" ca="1" si="26"/>
        <v/>
      </c>
      <c r="E112" s="398" t="str">
        <f t="shared" ca="1" si="26"/>
        <v/>
      </c>
      <c r="F112" s="398" t="str">
        <f t="shared" ca="1" si="26"/>
        <v/>
      </c>
      <c r="G112" s="398" t="str">
        <f t="shared" ca="1" si="26"/>
        <v/>
      </c>
      <c r="H112" s="398" t="str">
        <f t="shared" ca="1" si="26"/>
        <v/>
      </c>
      <c r="I112" s="398" t="str">
        <f t="shared" ca="1" si="26"/>
        <v/>
      </c>
      <c r="J112" s="398" t="str">
        <f t="shared" ca="1" si="26"/>
        <v/>
      </c>
      <c r="K112" s="398" t="str">
        <f t="shared" ca="1" si="26"/>
        <v/>
      </c>
      <c r="L112" s="398" t="str">
        <f t="shared" ca="1" si="26"/>
        <v/>
      </c>
      <c r="M112" s="398" t="str">
        <f t="shared" ca="1" si="26"/>
        <v/>
      </c>
      <c r="N112" s="398" t="str">
        <f t="shared" ca="1" si="26"/>
        <v/>
      </c>
      <c r="O112" s="398" t="str">
        <f t="shared" ca="1" si="26"/>
        <v/>
      </c>
      <c r="P112" s="398" t="str">
        <f t="shared" ca="1" si="26"/>
        <v/>
      </c>
      <c r="Q112" s="398" t="str">
        <f t="shared" ca="1" si="26"/>
        <v/>
      </c>
      <c r="R112" s="398" t="str">
        <f t="shared" ca="1" si="28"/>
        <v/>
      </c>
      <c r="S112" s="398" t="str">
        <f t="shared" ca="1" si="28"/>
        <v/>
      </c>
      <c r="T112" s="398" t="str">
        <f t="shared" ca="1" si="28"/>
        <v/>
      </c>
      <c r="U112" s="398" t="str">
        <f t="shared" ca="1" si="28"/>
        <v/>
      </c>
      <c r="V112" s="398" t="str">
        <f t="shared" ca="1" si="28"/>
        <v/>
      </c>
      <c r="W112" s="398" t="str">
        <f t="shared" ca="1" si="28"/>
        <v/>
      </c>
      <c r="X112" s="398" t="str">
        <f t="shared" ca="1" si="28"/>
        <v/>
      </c>
      <c r="Y112" s="398" t="str">
        <f t="shared" ca="1" si="28"/>
        <v/>
      </c>
      <c r="Z112" s="398" t="str">
        <f t="shared" ca="1" si="28"/>
        <v/>
      </c>
      <c r="AA112" s="398" t="str">
        <f t="shared" ca="1" si="28"/>
        <v/>
      </c>
      <c r="AB112" s="398" t="str">
        <f t="shared" ca="1" si="28"/>
        <v/>
      </c>
      <c r="AC112" s="398" t="str">
        <f t="shared" ca="1" si="28"/>
        <v/>
      </c>
      <c r="AD112" s="398" t="str">
        <f t="shared" ca="1" si="28"/>
        <v/>
      </c>
      <c r="AE112" s="398" t="str">
        <f t="shared" ca="1" si="28"/>
        <v/>
      </c>
      <c r="AF112" s="398" t="str">
        <f t="shared" ca="1" si="28"/>
        <v/>
      </c>
      <c r="AG112" s="398" t="str">
        <f t="shared" ca="1" si="28"/>
        <v/>
      </c>
      <c r="AH112" s="398" t="str">
        <f t="shared" ca="1" si="28"/>
        <v/>
      </c>
      <c r="AI112" s="398" t="str">
        <f t="shared" ca="1" si="28"/>
        <v/>
      </c>
      <c r="AJ112" s="398" t="str">
        <f t="shared" ca="1" si="28"/>
        <v/>
      </c>
      <c r="AK112" s="398" t="str">
        <f t="shared" ca="1" si="28"/>
        <v/>
      </c>
      <c r="AL112" s="398" t="str">
        <f t="shared" ca="1" si="28"/>
        <v/>
      </c>
      <c r="AM112" s="398" t="str">
        <f t="shared" ca="1" si="28"/>
        <v/>
      </c>
      <c r="AN112" s="398" t="str">
        <f t="shared" ca="1" si="28"/>
        <v/>
      </c>
      <c r="AO112" s="398" t="str">
        <f t="shared" ca="1" si="28"/>
        <v/>
      </c>
      <c r="AP112" s="398" t="str">
        <f t="shared" ca="1" si="28"/>
        <v/>
      </c>
      <c r="AQ112" s="398" t="str">
        <f t="shared" ca="1" si="28"/>
        <v/>
      </c>
      <c r="AR112" s="398" t="str">
        <f t="shared" ca="1" si="28"/>
        <v/>
      </c>
      <c r="AS112" s="398" t="str">
        <f t="shared" ca="1" si="28"/>
        <v/>
      </c>
      <c r="AT112" s="398" t="str">
        <f t="shared" ca="1" si="28"/>
        <v/>
      </c>
      <c r="AU112" s="398" t="str">
        <f t="shared" ca="1" si="28"/>
        <v/>
      </c>
      <c r="AV112" s="398" t="str">
        <f t="shared" ca="1" si="28"/>
        <v/>
      </c>
      <c r="AW112" s="398" t="str">
        <f t="shared" ca="1" si="28"/>
        <v/>
      </c>
      <c r="AX112" s="398" t="str">
        <f t="shared" ca="1" si="28"/>
        <v/>
      </c>
      <c r="AY112" s="398" t="str">
        <f t="shared" ca="1" si="28"/>
        <v/>
      </c>
      <c r="AZ112" s="398" t="str">
        <f t="shared" ca="1" si="28"/>
        <v/>
      </c>
      <c r="BA112" s="398" t="str">
        <f t="shared" ca="1" si="28"/>
        <v/>
      </c>
      <c r="BB112" s="398" t="str">
        <f t="shared" ca="1" si="28"/>
        <v/>
      </c>
      <c r="BC112" s="398" t="str">
        <f t="shared" ca="1" si="28"/>
        <v/>
      </c>
      <c r="BD112" s="398" t="str">
        <f t="shared" ca="1" si="28"/>
        <v/>
      </c>
      <c r="BE112" s="398" t="str">
        <f t="shared" ca="1" si="28"/>
        <v/>
      </c>
      <c r="BF112" s="398" t="str">
        <f t="shared" ca="1" si="28"/>
        <v/>
      </c>
      <c r="BG112" s="398">
        <f t="shared" ca="1" si="28"/>
        <v>0</v>
      </c>
      <c r="BH112" s="398">
        <f t="shared" ca="1" si="28"/>
        <v>0</v>
      </c>
      <c r="BI112" s="398">
        <f t="shared" ca="1" si="28"/>
        <v>0</v>
      </c>
    </row>
    <row r="113" spans="1:61" outlineLevel="1" x14ac:dyDescent="0.15">
      <c r="A113" s="408">
        <v>59</v>
      </c>
      <c r="B113" s="398" t="str">
        <f t="shared" ca="1" si="26"/>
        <v/>
      </c>
      <c r="C113" s="398" t="str">
        <f t="shared" ca="1" si="26"/>
        <v/>
      </c>
      <c r="D113" s="398" t="str">
        <f t="shared" ca="1" si="26"/>
        <v/>
      </c>
      <c r="E113" s="398" t="str">
        <f t="shared" ca="1" si="26"/>
        <v/>
      </c>
      <c r="F113" s="398" t="str">
        <f t="shared" ca="1" si="26"/>
        <v/>
      </c>
      <c r="G113" s="398" t="str">
        <f t="shared" ca="1" si="26"/>
        <v/>
      </c>
      <c r="H113" s="398" t="str">
        <f t="shared" ca="1" si="26"/>
        <v/>
      </c>
      <c r="I113" s="398" t="str">
        <f t="shared" ca="1" si="26"/>
        <v/>
      </c>
      <c r="J113" s="398" t="str">
        <f t="shared" ca="1" si="26"/>
        <v/>
      </c>
      <c r="K113" s="398" t="str">
        <f t="shared" ca="1" si="26"/>
        <v/>
      </c>
      <c r="L113" s="398" t="str">
        <f t="shared" ca="1" si="26"/>
        <v/>
      </c>
      <c r="M113" s="398" t="str">
        <f t="shared" ca="1" si="26"/>
        <v/>
      </c>
      <c r="N113" s="398" t="str">
        <f t="shared" ca="1" si="26"/>
        <v/>
      </c>
      <c r="O113" s="398" t="str">
        <f t="shared" ca="1" si="26"/>
        <v/>
      </c>
      <c r="P113" s="398" t="str">
        <f t="shared" ca="1" si="26"/>
        <v/>
      </c>
      <c r="Q113" s="398" t="str">
        <f t="shared" ca="1" si="26"/>
        <v/>
      </c>
      <c r="R113" s="398" t="str">
        <f t="shared" ca="1" si="28"/>
        <v/>
      </c>
      <c r="S113" s="398" t="str">
        <f t="shared" ca="1" si="28"/>
        <v/>
      </c>
      <c r="T113" s="398" t="str">
        <f t="shared" ca="1" si="28"/>
        <v/>
      </c>
      <c r="U113" s="398" t="str">
        <f t="shared" ca="1" si="28"/>
        <v/>
      </c>
      <c r="V113" s="398" t="str">
        <f t="shared" ca="1" si="28"/>
        <v/>
      </c>
      <c r="W113" s="398" t="str">
        <f t="shared" ca="1" si="28"/>
        <v/>
      </c>
      <c r="X113" s="398" t="str">
        <f t="shared" ca="1" si="28"/>
        <v/>
      </c>
      <c r="Y113" s="398" t="str">
        <f t="shared" ca="1" si="28"/>
        <v/>
      </c>
      <c r="Z113" s="398" t="str">
        <f t="shared" ca="1" si="28"/>
        <v/>
      </c>
      <c r="AA113" s="398" t="str">
        <f t="shared" ca="1" si="28"/>
        <v/>
      </c>
      <c r="AB113" s="398" t="str">
        <f t="shared" ca="1" si="28"/>
        <v/>
      </c>
      <c r="AC113" s="398" t="str">
        <f t="shared" ca="1" si="28"/>
        <v/>
      </c>
      <c r="AD113" s="398" t="str">
        <f t="shared" ca="1" si="28"/>
        <v/>
      </c>
      <c r="AE113" s="398" t="str">
        <f t="shared" ca="1" si="28"/>
        <v/>
      </c>
      <c r="AF113" s="398" t="str">
        <f t="shared" ca="1" si="28"/>
        <v/>
      </c>
      <c r="AG113" s="398" t="str">
        <f t="shared" ca="1" si="28"/>
        <v/>
      </c>
      <c r="AH113" s="398" t="str">
        <f t="shared" ca="1" si="28"/>
        <v/>
      </c>
      <c r="AI113" s="398" t="str">
        <f t="shared" ca="1" si="28"/>
        <v/>
      </c>
      <c r="AJ113" s="398" t="str">
        <f t="shared" ca="1" si="28"/>
        <v/>
      </c>
      <c r="AK113" s="398" t="str">
        <f t="shared" ca="1" si="28"/>
        <v/>
      </c>
      <c r="AL113" s="398" t="str">
        <f t="shared" ca="1" si="28"/>
        <v/>
      </c>
      <c r="AM113" s="398" t="str">
        <f t="shared" ca="1" si="28"/>
        <v/>
      </c>
      <c r="AN113" s="398" t="str">
        <f t="shared" ca="1" si="28"/>
        <v/>
      </c>
      <c r="AO113" s="398" t="str">
        <f t="shared" ca="1" si="28"/>
        <v/>
      </c>
      <c r="AP113" s="398" t="str">
        <f t="shared" ca="1" si="28"/>
        <v/>
      </c>
      <c r="AQ113" s="398" t="str">
        <f t="shared" ca="1" si="28"/>
        <v/>
      </c>
      <c r="AR113" s="398" t="str">
        <f t="shared" ca="1" si="28"/>
        <v/>
      </c>
      <c r="AS113" s="398" t="str">
        <f t="shared" ca="1" si="28"/>
        <v/>
      </c>
      <c r="AT113" s="398" t="str">
        <f t="shared" ca="1" si="28"/>
        <v/>
      </c>
      <c r="AU113" s="398" t="str">
        <f t="shared" ca="1" si="28"/>
        <v/>
      </c>
      <c r="AV113" s="398" t="str">
        <f t="shared" ca="1" si="28"/>
        <v/>
      </c>
      <c r="AW113" s="398" t="str">
        <f t="shared" ca="1" si="28"/>
        <v/>
      </c>
      <c r="AX113" s="398" t="str">
        <f t="shared" ca="1" si="28"/>
        <v/>
      </c>
      <c r="AY113" s="398" t="str">
        <f t="shared" ca="1" si="28"/>
        <v/>
      </c>
      <c r="AZ113" s="398" t="str">
        <f t="shared" ca="1" si="28"/>
        <v/>
      </c>
      <c r="BA113" s="398" t="str">
        <f t="shared" ca="1" si="28"/>
        <v/>
      </c>
      <c r="BB113" s="398" t="str">
        <f t="shared" ca="1" si="28"/>
        <v/>
      </c>
      <c r="BC113" s="398" t="str">
        <f t="shared" ca="1" si="28"/>
        <v/>
      </c>
      <c r="BD113" s="398" t="str">
        <f t="shared" ca="1" si="28"/>
        <v/>
      </c>
      <c r="BE113" s="398" t="str">
        <f t="shared" ca="1" si="28"/>
        <v/>
      </c>
      <c r="BF113" s="398" t="str">
        <f t="shared" ca="1" si="28"/>
        <v/>
      </c>
      <c r="BG113" s="398" t="str">
        <f t="shared" ca="1" si="28"/>
        <v/>
      </c>
      <c r="BH113" s="398">
        <f t="shared" ca="1" si="28"/>
        <v>0</v>
      </c>
      <c r="BI113" s="398">
        <f t="shared" ca="1" si="28"/>
        <v>0</v>
      </c>
    </row>
    <row r="114" spans="1:61" s="405" customFormat="1" x14ac:dyDescent="0.15">
      <c r="A114" s="408">
        <v>60</v>
      </c>
      <c r="B114" s="398" t="str">
        <f t="shared" ca="1" si="26"/>
        <v/>
      </c>
      <c r="C114" s="398" t="str">
        <f t="shared" ca="1" si="26"/>
        <v/>
      </c>
      <c r="D114" s="398" t="str">
        <f t="shared" ca="1" si="26"/>
        <v/>
      </c>
      <c r="E114" s="398" t="str">
        <f t="shared" ca="1" si="26"/>
        <v/>
      </c>
      <c r="F114" s="398" t="str">
        <f t="shared" ca="1" si="26"/>
        <v/>
      </c>
      <c r="G114" s="398" t="str">
        <f t="shared" ca="1" si="26"/>
        <v/>
      </c>
      <c r="H114" s="398" t="str">
        <f t="shared" ca="1" si="26"/>
        <v/>
      </c>
      <c r="I114" s="398" t="str">
        <f t="shared" ca="1" si="26"/>
        <v/>
      </c>
      <c r="J114" s="398" t="str">
        <f t="shared" ca="1" si="26"/>
        <v/>
      </c>
      <c r="K114" s="398" t="str">
        <f t="shared" ca="1" si="26"/>
        <v/>
      </c>
      <c r="L114" s="398" t="str">
        <f t="shared" ca="1" si="26"/>
        <v/>
      </c>
      <c r="M114" s="398" t="str">
        <f t="shared" ca="1" si="26"/>
        <v/>
      </c>
      <c r="N114" s="398" t="str">
        <f t="shared" ca="1" si="26"/>
        <v/>
      </c>
      <c r="O114" s="398" t="str">
        <f t="shared" ca="1" si="26"/>
        <v/>
      </c>
      <c r="P114" s="398" t="str">
        <f t="shared" ca="1" si="26"/>
        <v/>
      </c>
      <c r="Q114" s="398" t="str">
        <f t="shared" ca="1" si="26"/>
        <v/>
      </c>
      <c r="R114" s="398" t="str">
        <f t="shared" ca="1" si="28"/>
        <v/>
      </c>
      <c r="S114" s="398" t="str">
        <f t="shared" ca="1" si="28"/>
        <v/>
      </c>
      <c r="T114" s="398" t="str">
        <f t="shared" ca="1" si="28"/>
        <v/>
      </c>
      <c r="U114" s="398" t="str">
        <f t="shared" ca="1" si="28"/>
        <v/>
      </c>
      <c r="V114" s="398" t="str">
        <f t="shared" ca="1" si="28"/>
        <v/>
      </c>
      <c r="W114" s="398" t="str">
        <f t="shared" ca="1" si="28"/>
        <v/>
      </c>
      <c r="X114" s="398" t="str">
        <f t="shared" ca="1" si="28"/>
        <v/>
      </c>
      <c r="Y114" s="398" t="str">
        <f t="shared" ca="1" si="28"/>
        <v/>
      </c>
      <c r="Z114" s="398" t="str">
        <f t="shared" ca="1" si="28"/>
        <v/>
      </c>
      <c r="AA114" s="398" t="str">
        <f t="shared" ca="1" si="28"/>
        <v/>
      </c>
      <c r="AB114" s="398" t="str">
        <f t="shared" ca="1" si="28"/>
        <v/>
      </c>
      <c r="AC114" s="398" t="str">
        <f t="shared" ca="1" si="28"/>
        <v/>
      </c>
      <c r="AD114" s="398" t="str">
        <f t="shared" ca="1" si="28"/>
        <v/>
      </c>
      <c r="AE114" s="398" t="str">
        <f t="shared" ca="1" si="28"/>
        <v/>
      </c>
      <c r="AF114" s="398" t="str">
        <f t="shared" ca="1" si="28"/>
        <v/>
      </c>
      <c r="AG114" s="398" t="str">
        <f t="shared" ca="1" si="28"/>
        <v/>
      </c>
      <c r="AH114" s="398" t="str">
        <f t="shared" ca="1" si="28"/>
        <v/>
      </c>
      <c r="AI114" s="398" t="str">
        <f t="shared" ca="1" si="28"/>
        <v/>
      </c>
      <c r="AJ114" s="398" t="str">
        <f t="shared" ca="1" si="28"/>
        <v/>
      </c>
      <c r="AK114" s="398" t="str">
        <f t="shared" ca="1" si="28"/>
        <v/>
      </c>
      <c r="AL114" s="398" t="str">
        <f t="shared" ca="1" si="28"/>
        <v/>
      </c>
      <c r="AM114" s="398" t="str">
        <f t="shared" ca="1" si="28"/>
        <v/>
      </c>
      <c r="AN114" s="398" t="str">
        <f t="shared" ca="1" si="28"/>
        <v/>
      </c>
      <c r="AO114" s="398" t="str">
        <f t="shared" ca="1" si="28"/>
        <v/>
      </c>
      <c r="AP114" s="398" t="str">
        <f t="shared" ca="1" si="28"/>
        <v/>
      </c>
      <c r="AQ114" s="398" t="str">
        <f t="shared" ca="1" si="28"/>
        <v/>
      </c>
      <c r="AR114" s="398" t="str">
        <f t="shared" ca="1" si="28"/>
        <v/>
      </c>
      <c r="AS114" s="398" t="str">
        <f t="shared" ca="1" si="28"/>
        <v/>
      </c>
      <c r="AT114" s="398" t="str">
        <f t="shared" ca="1" si="28"/>
        <v/>
      </c>
      <c r="AU114" s="398" t="str">
        <f t="shared" ca="1" si="28"/>
        <v/>
      </c>
      <c r="AV114" s="398" t="str">
        <f t="shared" ca="1" si="28"/>
        <v/>
      </c>
      <c r="AW114" s="398" t="str">
        <f t="shared" ca="1" si="28"/>
        <v/>
      </c>
      <c r="AX114" s="398" t="str">
        <f t="shared" ca="1" si="28"/>
        <v/>
      </c>
      <c r="AY114" s="398" t="str">
        <f t="shared" ca="1" si="28"/>
        <v/>
      </c>
      <c r="AZ114" s="398" t="str">
        <f t="shared" ca="1" si="28"/>
        <v/>
      </c>
      <c r="BA114" s="398" t="str">
        <f t="shared" ref="BA114:DG117" ca="1" si="29">IF($A114&gt;BA$5,"",OFFSET(BA$54,0,-($A114-1)))</f>
        <v/>
      </c>
      <c r="BB114" s="398" t="str">
        <f t="shared" ca="1" si="29"/>
        <v/>
      </c>
      <c r="BC114" s="398" t="str">
        <f t="shared" ca="1" si="29"/>
        <v/>
      </c>
      <c r="BD114" s="398" t="str">
        <f t="shared" ca="1" si="29"/>
        <v/>
      </c>
      <c r="BE114" s="398" t="str">
        <f t="shared" ca="1" si="29"/>
        <v/>
      </c>
      <c r="BF114" s="398" t="str">
        <f t="shared" ca="1" si="29"/>
        <v/>
      </c>
      <c r="BG114" s="398" t="str">
        <f t="shared" ca="1" si="29"/>
        <v/>
      </c>
      <c r="BH114" s="398" t="str">
        <f t="shared" ca="1" si="29"/>
        <v/>
      </c>
      <c r="BI114" s="398">
        <f t="shared" ca="1" si="29"/>
        <v>0</v>
      </c>
    </row>
    <row r="115" spans="1:61" s="405" customFormat="1" x14ac:dyDescent="0.15">
      <c r="A115" s="408"/>
    </row>
    <row r="116" spans="1:61" x14ac:dyDescent="0.15">
      <c r="B116" s="398"/>
      <c r="C116" s="398"/>
      <c r="D116" s="398"/>
      <c r="E116" s="398"/>
      <c r="F116" s="398"/>
      <c r="G116" s="398"/>
      <c r="H116" s="398"/>
      <c r="I116" s="398"/>
      <c r="J116" s="398"/>
      <c r="K116" s="398"/>
      <c r="L116" s="398"/>
      <c r="M116" s="398"/>
      <c r="N116" s="398"/>
      <c r="O116" s="398"/>
      <c r="P116" s="398"/>
      <c r="Q116" s="398"/>
      <c r="R116" s="398"/>
      <c r="S116" s="398"/>
      <c r="T116" s="398"/>
      <c r="U116" s="398"/>
      <c r="V116" s="398"/>
      <c r="W116" s="398"/>
      <c r="X116" s="398"/>
      <c r="Y116" s="398"/>
      <c r="Z116" s="398"/>
      <c r="AA116" s="398"/>
      <c r="AB116" s="398"/>
      <c r="AC116" s="398"/>
      <c r="AD116" s="398"/>
      <c r="AE116" s="398"/>
      <c r="AF116" s="398"/>
      <c r="AG116" s="398"/>
      <c r="AH116" s="398"/>
      <c r="AI116" s="398"/>
      <c r="AJ116" s="398"/>
      <c r="AK116" s="398"/>
      <c r="AL116" s="398"/>
      <c r="AM116" s="398"/>
      <c r="AN116" s="398"/>
      <c r="AO116" s="398"/>
      <c r="AP116" s="398"/>
      <c r="AQ116" s="398"/>
      <c r="AR116" s="398"/>
      <c r="AS116" s="398"/>
      <c r="AT116" s="398"/>
      <c r="AU116" s="398"/>
      <c r="AV116" s="398"/>
      <c r="AW116" s="398"/>
      <c r="AX116" s="398"/>
      <c r="AY116" s="398"/>
      <c r="AZ116" s="398"/>
      <c r="BA116" s="398"/>
      <c r="BB116" s="398"/>
      <c r="BC116" s="398"/>
      <c r="BD116" s="398"/>
      <c r="BE116" s="398"/>
      <c r="BF116" s="398"/>
      <c r="BG116" s="398"/>
      <c r="BH116" s="398"/>
      <c r="BI116" s="398"/>
    </row>
    <row r="117" spans="1:61" x14ac:dyDescent="0.15">
      <c r="A117" s="409"/>
    </row>
    <row r="121" spans="1:61" x14ac:dyDescent="0.15">
      <c r="D121" s="403"/>
      <c r="E121" s="403"/>
      <c r="F121" s="403"/>
      <c r="G121" s="403"/>
      <c r="H121" s="403"/>
      <c r="I121" s="403"/>
      <c r="J121" s="403"/>
      <c r="N121" s="388"/>
      <c r="O121" s="388"/>
      <c r="S121" s="410"/>
    </row>
    <row r="122" spans="1:61" x14ac:dyDescent="0.15">
      <c r="E122" s="403"/>
      <c r="F122" s="403"/>
      <c r="G122" s="403"/>
      <c r="H122" s="403"/>
      <c r="I122" s="403"/>
      <c r="J122" s="403"/>
      <c r="S122" s="410"/>
    </row>
    <row r="123" spans="1:61" x14ac:dyDescent="0.15">
      <c r="F123" s="403"/>
      <c r="G123" s="403"/>
      <c r="H123" s="403"/>
      <c r="I123" s="403"/>
      <c r="J123" s="403"/>
      <c r="S123" s="410"/>
    </row>
    <row r="124" spans="1:61" x14ac:dyDescent="0.15">
      <c r="G124" s="403"/>
      <c r="H124" s="403"/>
      <c r="I124" s="403"/>
      <c r="J124" s="403"/>
      <c r="S124" s="410"/>
    </row>
    <row r="125" spans="1:61" x14ac:dyDescent="0.15">
      <c r="H125" s="403"/>
      <c r="I125" s="403"/>
      <c r="J125" s="403"/>
      <c r="S125" s="410"/>
    </row>
    <row r="126" spans="1:61" x14ac:dyDescent="0.15">
      <c r="S126" s="410"/>
    </row>
    <row r="127" spans="1:61" x14ac:dyDescent="0.15">
      <c r="S127" s="410"/>
    </row>
    <row r="128" spans="1:61" x14ac:dyDescent="0.15">
      <c r="S128" s="410"/>
    </row>
    <row r="129" spans="19:19" x14ac:dyDescent="0.15">
      <c r="S129" s="410"/>
    </row>
    <row r="130" spans="19:19" x14ac:dyDescent="0.15">
      <c r="S130" s="410"/>
    </row>
    <row r="131" spans="19:19" x14ac:dyDescent="0.15">
      <c r="S131" s="410"/>
    </row>
    <row r="132" spans="19:19" x14ac:dyDescent="0.15">
      <c r="S132" s="410"/>
    </row>
    <row r="133" spans="19:19" x14ac:dyDescent="0.15">
      <c r="S133" s="410"/>
    </row>
    <row r="134" spans="19:19" x14ac:dyDescent="0.15">
      <c r="S134" s="410"/>
    </row>
    <row r="135" spans="19:19" x14ac:dyDescent="0.15">
      <c r="S135" s="410"/>
    </row>
    <row r="136" spans="19:19" x14ac:dyDescent="0.15">
      <c r="S136" s="410"/>
    </row>
  </sheetData>
  <sheetProtection algorithmName="SHA-512" hashValue="aqviqFDOgbPDXuTWTO+xbR1bzqx5KnSqAdUCvxuTYejI5nyQb2OCVIa79ffMnwuH8N2xoTdn5KoXfVhJbHqk9A==" saltValue="k/7r9yOESsvIygk8UmZHIg==" spinCount="100000" sheet="1"/>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36A27-778F-9F44-BE8B-E12A3EBAC1B0}">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IR</vt:lpstr>
      <vt:lpstr>NOTE</vt:lpstr>
      <vt:lpstr>Leadsheet</vt:lpstr>
      <vt:lpstr>COF</vt:lpstr>
      <vt:lpstr>DATA</vt:lpstr>
      <vt:lpstr>SAP_Speadsheet</vt:lpstr>
      <vt:lpstr>Saleplan&amp;PnL</vt:lpstr>
      <vt:lpstr>PnL_Speadsheet</vt:lpstr>
      <vt:lpstr>Sheet1</vt:lpstr>
      <vt:lpstr>'Saleplan&amp;PnL'!Print_Area</vt:lpstr>
      <vt:lpstr>SAP_Speadsheet!Print_Area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2026-05-13T03:39:03Z</dcterms:created>
  <dcterms:modified xsi:type="dcterms:W3CDTF">2026-05-13T03:40:10Z</dcterms:modified>
</cp:coreProperties>
</file>